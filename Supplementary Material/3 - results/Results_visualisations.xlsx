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leidenuniv1-my.sharepoint.com/personal/drotenkocd2_vuw_leidenuniv_nl/Documents/Documents/Paper 1/Supplementary Material - WIP 2nd submission/data/3 - results/"/>
    </mc:Choice>
  </mc:AlternateContent>
  <xr:revisionPtr revIDLastSave="371" documentId="8_{3DEE1724-D752-407D-BE22-DE03D2ADD0AA}" xr6:coauthVersionLast="47" xr6:coauthVersionMax="47" xr10:uidLastSave="{582C4141-EFD0-4BAF-A4B5-44EAB993AD90}"/>
  <bookViews>
    <workbookView xWindow="3144" yWindow="1884" windowWidth="18000" windowHeight="10320" tabRatio="827" xr2:uid="{00000000-000D-0000-FFFF-FFFF00000000}"/>
  </bookViews>
  <sheets>
    <sheet name="Overview" sheetId="17" r:id="rId1"/>
    <sheet name="Summary for Figures" sheetId="15" r:id="rId2"/>
    <sheet name="Relative Processing" sheetId="18" r:id="rId3"/>
    <sheet name="Relative Impacts" sheetId="11" r:id="rId4"/>
    <sheet name="Global Impacts" sheetId="8" r:id="rId5"/>
    <sheet name="All TNC Impacts" sheetId="7" r:id="rId6"/>
    <sheet name="Bovine Meat" sheetId="2" r:id="rId7"/>
    <sheet name="Poultry Meat" sheetId="3" r:id="rId8"/>
    <sheet name="Pigmeat" sheetId="4" r:id="rId9"/>
    <sheet name="Milk - Excluding Butter" sheetId="5" r:id="rId10"/>
  </sheets>
  <definedNames>
    <definedName name="_xlnm._FilterDatabase" localSheetId="5" hidden="1">'All TNC Impacts'!$A$1:$G$6161</definedName>
    <definedName name="_xlnm._FilterDatabase" localSheetId="6" hidden="1">'Bovine Meat'!$A$1:$G$1</definedName>
  </definedNames>
  <calcPr calcId="191029"/>
  <pivotCaches>
    <pivotCache cacheId="0" r:id="rId11"/>
    <pivotCache cacheId="1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11" l="1"/>
  <c r="D39" i="15"/>
  <c r="D38" i="15"/>
  <c r="E38" i="15" s="1"/>
  <c r="D27" i="15"/>
  <c r="D26" i="15"/>
  <c r="D15" i="15"/>
  <c r="D14" i="15"/>
  <c r="D3" i="15"/>
  <c r="E3" i="15" s="1"/>
  <c r="D2" i="15"/>
  <c r="D5" i="11"/>
  <c r="D8" i="15" s="1"/>
  <c r="E8" i="15" s="1"/>
  <c r="D6" i="18"/>
  <c r="D5" i="18"/>
  <c r="D4" i="18"/>
  <c r="D3" i="18"/>
  <c r="K22" i="11"/>
  <c r="D24" i="15" s="1"/>
  <c r="E24" i="15" s="1"/>
  <c r="K21" i="11"/>
  <c r="K20" i="11"/>
  <c r="D21" i="15" s="1"/>
  <c r="E21" i="15" s="1"/>
  <c r="K17" i="11"/>
  <c r="K16" i="11"/>
  <c r="K15" i="11"/>
  <c r="D33" i="15" s="1"/>
  <c r="E33" i="15" s="1"/>
  <c r="K12" i="11"/>
  <c r="D48" i="15" s="1"/>
  <c r="E48" i="15" s="1"/>
  <c r="K11" i="11"/>
  <c r="D42" i="15" s="1"/>
  <c r="E42" i="15" s="1"/>
  <c r="K10" i="11"/>
  <c r="K7" i="11"/>
  <c r="D12" i="15" s="1"/>
  <c r="E12" i="15" s="1"/>
  <c r="K6" i="11"/>
  <c r="D6" i="15" s="1"/>
  <c r="E6" i="15" s="1"/>
  <c r="K5" i="11"/>
  <c r="D9" i="15" s="1"/>
  <c r="E9" i="15" s="1"/>
  <c r="D22" i="11"/>
  <c r="D23" i="15" s="1"/>
  <c r="E23" i="15" s="1"/>
  <c r="D21" i="11"/>
  <c r="D20" i="11"/>
  <c r="D20" i="15" s="1"/>
  <c r="E20" i="15" s="1"/>
  <c r="D17" i="11"/>
  <c r="D16" i="11"/>
  <c r="B33" i="11" s="1"/>
  <c r="D33" i="11" s="1"/>
  <c r="D15" i="11"/>
  <c r="D12" i="11"/>
  <c r="D11" i="11"/>
  <c r="D10" i="11"/>
  <c r="C22" i="11"/>
  <c r="J22" i="11" s="1"/>
  <c r="C21" i="11"/>
  <c r="J21" i="11" s="1"/>
  <c r="C19" i="11"/>
  <c r="J19" i="11" s="1"/>
  <c r="C6" i="11"/>
  <c r="J6" i="11" s="1"/>
  <c r="C17" i="11"/>
  <c r="J17" i="11" s="1"/>
  <c r="C16" i="11"/>
  <c r="J16" i="11" s="1"/>
  <c r="C14" i="11"/>
  <c r="J14" i="11" s="1"/>
  <c r="C11" i="11"/>
  <c r="J11" i="11" s="1"/>
  <c r="C12" i="11"/>
  <c r="J12" i="11" s="1"/>
  <c r="C9" i="11"/>
  <c r="J9" i="11" s="1"/>
  <c r="H1409" i="5"/>
  <c r="H1408" i="5"/>
  <c r="H1407" i="5"/>
  <c r="H1406" i="5"/>
  <c r="H1405" i="5"/>
  <c r="H1404" i="5"/>
  <c r="H1403" i="5"/>
  <c r="H1402" i="5"/>
  <c r="H1401" i="5"/>
  <c r="H1400" i="5"/>
  <c r="H1399" i="5"/>
  <c r="H1398" i="5"/>
  <c r="H1397" i="5"/>
  <c r="H1396" i="5"/>
  <c r="H1395" i="5"/>
  <c r="H1394" i="5"/>
  <c r="H1393" i="5"/>
  <c r="H1392" i="5"/>
  <c r="H1391" i="5"/>
  <c r="H1390" i="5"/>
  <c r="H1389" i="5"/>
  <c r="H1388" i="5"/>
  <c r="H1387" i="5"/>
  <c r="H1386" i="5"/>
  <c r="H1385" i="5"/>
  <c r="H1384" i="5"/>
  <c r="H1383" i="5"/>
  <c r="H1382" i="5"/>
  <c r="H1381" i="5"/>
  <c r="H1380" i="5"/>
  <c r="H1379" i="5"/>
  <c r="H1378" i="5"/>
  <c r="H1377" i="5"/>
  <c r="H1376" i="5"/>
  <c r="H1375" i="5"/>
  <c r="H1374" i="5"/>
  <c r="H1373" i="5"/>
  <c r="H1372" i="5"/>
  <c r="H1371" i="5"/>
  <c r="H1370" i="5"/>
  <c r="H1369" i="5"/>
  <c r="H1368" i="5"/>
  <c r="H1367" i="5"/>
  <c r="H1366" i="5"/>
  <c r="H1365" i="5"/>
  <c r="H1364" i="5"/>
  <c r="H1363" i="5"/>
  <c r="H1362" i="5"/>
  <c r="H1361" i="5"/>
  <c r="H1360" i="5"/>
  <c r="H1359" i="5"/>
  <c r="H1358" i="5"/>
  <c r="H1357" i="5"/>
  <c r="H1356" i="5"/>
  <c r="H1355" i="5"/>
  <c r="H1354" i="5"/>
  <c r="H1353" i="5"/>
  <c r="H1352" i="5"/>
  <c r="H1351" i="5"/>
  <c r="H1350" i="5"/>
  <c r="H1349" i="5"/>
  <c r="H1348" i="5"/>
  <c r="H1347" i="5"/>
  <c r="H1346" i="5"/>
  <c r="H1345" i="5"/>
  <c r="H1344" i="5"/>
  <c r="H1343" i="5"/>
  <c r="H1342" i="5"/>
  <c r="H1341" i="5"/>
  <c r="H1340" i="5"/>
  <c r="H1339" i="5"/>
  <c r="H1338" i="5"/>
  <c r="H1337" i="5"/>
  <c r="H1336" i="5"/>
  <c r="H1335" i="5"/>
  <c r="H1334" i="5"/>
  <c r="H1333" i="5"/>
  <c r="H1332" i="5"/>
  <c r="H1331" i="5"/>
  <c r="H1330" i="5"/>
  <c r="H1329" i="5"/>
  <c r="H1328" i="5"/>
  <c r="H1327" i="5"/>
  <c r="H1326" i="5"/>
  <c r="H1325" i="5"/>
  <c r="H1324" i="5"/>
  <c r="H1323" i="5"/>
  <c r="H1322" i="5"/>
  <c r="H1321" i="5"/>
  <c r="H1320" i="5"/>
  <c r="H1319" i="5"/>
  <c r="H1318" i="5"/>
  <c r="H1317" i="5"/>
  <c r="H1316" i="5"/>
  <c r="H1315" i="5"/>
  <c r="H1314" i="5"/>
  <c r="H1313" i="5"/>
  <c r="H1312" i="5"/>
  <c r="H1311" i="5"/>
  <c r="H1310" i="5"/>
  <c r="H1309" i="5"/>
  <c r="H1308" i="5"/>
  <c r="H1307" i="5"/>
  <c r="H1306" i="5"/>
  <c r="H1305" i="5"/>
  <c r="H1304" i="5"/>
  <c r="H1303" i="5"/>
  <c r="H1302" i="5"/>
  <c r="H1301" i="5"/>
  <c r="H1300" i="5"/>
  <c r="H1299" i="5"/>
  <c r="H1298" i="5"/>
  <c r="H1297" i="5"/>
  <c r="H1296" i="5"/>
  <c r="H1295" i="5"/>
  <c r="H1294" i="5"/>
  <c r="H1293" i="5"/>
  <c r="H1292" i="5"/>
  <c r="H1291" i="5"/>
  <c r="H1290" i="5"/>
  <c r="H1289" i="5"/>
  <c r="H1288" i="5"/>
  <c r="H1287" i="5"/>
  <c r="H1286" i="5"/>
  <c r="H1285" i="5"/>
  <c r="H1284" i="5"/>
  <c r="H1283" i="5"/>
  <c r="H1282" i="5"/>
  <c r="H1281" i="5"/>
  <c r="H1280" i="5"/>
  <c r="H1279" i="5"/>
  <c r="H1278" i="5"/>
  <c r="H1277" i="5"/>
  <c r="H1276" i="5"/>
  <c r="H1275" i="5"/>
  <c r="H1274" i="5"/>
  <c r="H1273" i="5"/>
  <c r="H1272" i="5"/>
  <c r="H1271" i="5"/>
  <c r="H1270" i="5"/>
  <c r="H1269" i="5"/>
  <c r="H1268" i="5"/>
  <c r="H1267" i="5"/>
  <c r="H1266" i="5"/>
  <c r="H1265" i="5"/>
  <c r="H1264" i="5"/>
  <c r="H1263" i="5"/>
  <c r="H1262" i="5"/>
  <c r="H1261" i="5"/>
  <c r="H1260" i="5"/>
  <c r="H1259" i="5"/>
  <c r="H1258" i="5"/>
  <c r="H1257" i="5"/>
  <c r="H1256" i="5"/>
  <c r="H1255" i="5"/>
  <c r="H1254" i="5"/>
  <c r="H1253" i="5"/>
  <c r="H1252" i="5"/>
  <c r="H1251" i="5"/>
  <c r="H1250" i="5"/>
  <c r="H1249" i="5"/>
  <c r="H1248" i="5"/>
  <c r="H1247" i="5"/>
  <c r="H1246" i="5"/>
  <c r="H1245" i="5"/>
  <c r="H1244" i="5"/>
  <c r="H1243" i="5"/>
  <c r="H1242" i="5"/>
  <c r="H1241" i="5"/>
  <c r="H1240" i="5"/>
  <c r="H1239" i="5"/>
  <c r="H1238" i="5"/>
  <c r="H1237" i="5"/>
  <c r="H1236" i="5"/>
  <c r="H1235" i="5"/>
  <c r="H1234" i="5"/>
  <c r="H1233" i="5"/>
  <c r="H1232" i="5"/>
  <c r="H1231" i="5"/>
  <c r="H1230" i="5"/>
  <c r="H1229" i="5"/>
  <c r="H1228" i="5"/>
  <c r="H1227" i="5"/>
  <c r="H1226" i="5"/>
  <c r="H1225" i="5"/>
  <c r="H1224" i="5"/>
  <c r="H1223" i="5"/>
  <c r="H1222" i="5"/>
  <c r="H1221" i="5"/>
  <c r="H1220" i="5"/>
  <c r="H1219" i="5"/>
  <c r="H1218" i="5"/>
  <c r="H1217" i="5"/>
  <c r="H1216" i="5"/>
  <c r="H1215" i="5"/>
  <c r="H1214" i="5"/>
  <c r="H1213" i="5"/>
  <c r="H1212" i="5"/>
  <c r="H1211" i="5"/>
  <c r="H1210" i="5"/>
  <c r="H1209" i="5"/>
  <c r="H1208" i="5"/>
  <c r="H1207" i="5"/>
  <c r="H1206" i="5"/>
  <c r="H1205" i="5"/>
  <c r="H1204" i="5"/>
  <c r="H1203" i="5"/>
  <c r="H1202" i="5"/>
  <c r="H1201" i="5"/>
  <c r="H1200" i="5"/>
  <c r="H1199" i="5"/>
  <c r="H1198" i="5"/>
  <c r="H1197" i="5"/>
  <c r="H1196" i="5"/>
  <c r="H1195" i="5"/>
  <c r="H1194" i="5"/>
  <c r="H1193" i="5"/>
  <c r="H1192" i="5"/>
  <c r="H1191" i="5"/>
  <c r="H1190" i="5"/>
  <c r="H1189" i="5"/>
  <c r="H1188" i="5"/>
  <c r="H1187" i="5"/>
  <c r="H1186" i="5"/>
  <c r="H1185" i="5"/>
  <c r="H1184" i="5"/>
  <c r="H1183" i="5"/>
  <c r="H1182" i="5"/>
  <c r="H1181" i="5"/>
  <c r="H1180" i="5"/>
  <c r="H1179" i="5"/>
  <c r="H1178" i="5"/>
  <c r="H1177" i="5"/>
  <c r="H1176" i="5"/>
  <c r="H1175" i="5"/>
  <c r="H1174" i="5"/>
  <c r="H1173" i="5"/>
  <c r="H1172" i="5"/>
  <c r="H1171" i="5"/>
  <c r="H1170" i="5"/>
  <c r="H1169" i="5"/>
  <c r="H1168" i="5"/>
  <c r="H1167" i="5"/>
  <c r="H1166" i="5"/>
  <c r="H1165" i="5"/>
  <c r="H1164" i="5"/>
  <c r="H1163" i="5"/>
  <c r="H1162" i="5"/>
  <c r="H1161" i="5"/>
  <c r="H1160" i="5"/>
  <c r="H1159" i="5"/>
  <c r="H1158" i="5"/>
  <c r="H1157" i="5"/>
  <c r="H1156" i="5"/>
  <c r="H1155" i="5"/>
  <c r="H1154" i="5"/>
  <c r="H1153" i="5"/>
  <c r="H1152" i="5"/>
  <c r="H1151" i="5"/>
  <c r="H1150" i="5"/>
  <c r="H1149" i="5"/>
  <c r="H1148" i="5"/>
  <c r="H1147" i="5"/>
  <c r="H1146" i="5"/>
  <c r="H1145" i="5"/>
  <c r="H1144" i="5"/>
  <c r="H1143" i="5"/>
  <c r="H1142" i="5"/>
  <c r="H1141" i="5"/>
  <c r="H1140" i="5"/>
  <c r="H1139" i="5"/>
  <c r="H1138" i="5"/>
  <c r="H1137" i="5"/>
  <c r="H1136" i="5"/>
  <c r="H1135" i="5"/>
  <c r="H1134" i="5"/>
  <c r="H1133" i="5"/>
  <c r="H1132" i="5"/>
  <c r="H1131" i="5"/>
  <c r="H1130" i="5"/>
  <c r="H1129" i="5"/>
  <c r="H1128" i="5"/>
  <c r="H1127" i="5"/>
  <c r="H1126" i="5"/>
  <c r="H1125" i="5"/>
  <c r="H1124" i="5"/>
  <c r="H1123" i="5"/>
  <c r="H1122" i="5"/>
  <c r="H1121" i="5"/>
  <c r="H1120" i="5"/>
  <c r="H1119" i="5"/>
  <c r="H1118" i="5"/>
  <c r="H1117" i="5"/>
  <c r="H1116" i="5"/>
  <c r="H1115" i="5"/>
  <c r="H1114" i="5"/>
  <c r="H1113" i="5"/>
  <c r="H1112" i="5"/>
  <c r="H1111" i="5"/>
  <c r="H1110" i="5"/>
  <c r="H1109" i="5"/>
  <c r="H1108" i="5"/>
  <c r="H1107" i="5"/>
  <c r="H1106" i="5"/>
  <c r="H1105" i="5"/>
  <c r="H1104" i="5"/>
  <c r="H1103" i="5"/>
  <c r="H1102" i="5"/>
  <c r="H1101" i="5"/>
  <c r="H1100" i="5"/>
  <c r="H1099" i="5"/>
  <c r="H1098" i="5"/>
  <c r="H1097" i="5"/>
  <c r="H1096" i="5"/>
  <c r="H1095" i="5"/>
  <c r="H1094" i="5"/>
  <c r="H1093" i="5"/>
  <c r="H1092" i="5"/>
  <c r="H1091" i="5"/>
  <c r="H1090" i="5"/>
  <c r="H1089" i="5"/>
  <c r="H1088" i="5"/>
  <c r="H1087" i="5"/>
  <c r="H1086" i="5"/>
  <c r="H1085" i="5"/>
  <c r="H1084" i="5"/>
  <c r="H1083" i="5"/>
  <c r="H1082" i="5"/>
  <c r="H1081" i="5"/>
  <c r="H1080" i="5"/>
  <c r="H1079" i="5"/>
  <c r="H1078" i="5"/>
  <c r="H1077" i="5"/>
  <c r="H1076" i="5"/>
  <c r="H1075" i="5"/>
  <c r="H1074" i="5"/>
  <c r="H1073" i="5"/>
  <c r="H1072" i="5"/>
  <c r="H1071" i="5"/>
  <c r="H1070" i="5"/>
  <c r="H1069" i="5"/>
  <c r="H1068" i="5"/>
  <c r="H1067" i="5"/>
  <c r="H1066" i="5"/>
  <c r="H1065" i="5"/>
  <c r="H1064" i="5"/>
  <c r="H1063" i="5"/>
  <c r="H1062" i="5"/>
  <c r="H1061" i="5"/>
  <c r="H1060" i="5"/>
  <c r="H1059" i="5"/>
  <c r="H1058" i="5"/>
  <c r="H1057" i="5"/>
  <c r="H1056" i="5"/>
  <c r="H1055" i="5"/>
  <c r="H1054" i="5"/>
  <c r="H1053" i="5"/>
  <c r="H1052" i="5"/>
  <c r="H1051" i="5"/>
  <c r="H1050" i="5"/>
  <c r="H1049" i="5"/>
  <c r="H1048" i="5"/>
  <c r="H1047" i="5"/>
  <c r="H1046" i="5"/>
  <c r="H1045" i="5"/>
  <c r="H1044" i="5"/>
  <c r="H1043" i="5"/>
  <c r="H1042" i="5"/>
  <c r="H1041" i="5"/>
  <c r="H1040" i="5"/>
  <c r="H1039" i="5"/>
  <c r="H1038" i="5"/>
  <c r="H1037" i="5"/>
  <c r="H1036" i="5"/>
  <c r="H1035" i="5"/>
  <c r="H1034" i="5"/>
  <c r="H1033" i="5"/>
  <c r="H1032" i="5"/>
  <c r="H1031" i="5"/>
  <c r="H1030" i="5"/>
  <c r="H1029" i="5"/>
  <c r="H1028" i="5"/>
  <c r="H1027" i="5"/>
  <c r="H1026" i="5"/>
  <c r="H1025" i="5"/>
  <c r="H1024" i="5"/>
  <c r="H1023" i="5"/>
  <c r="H1022" i="5"/>
  <c r="H1021" i="5"/>
  <c r="H1020" i="5"/>
  <c r="H1019" i="5"/>
  <c r="H1018" i="5"/>
  <c r="H1017" i="5"/>
  <c r="H1016" i="5"/>
  <c r="H1015" i="5"/>
  <c r="H1014" i="5"/>
  <c r="H1013" i="5"/>
  <c r="H1012" i="5"/>
  <c r="H1011" i="5"/>
  <c r="H1010" i="5"/>
  <c r="H1009" i="5"/>
  <c r="H1008" i="5"/>
  <c r="H1007" i="5"/>
  <c r="H1006" i="5"/>
  <c r="H1005" i="5"/>
  <c r="H1004" i="5"/>
  <c r="H1003" i="5"/>
  <c r="H1002" i="5"/>
  <c r="H1001" i="5"/>
  <c r="H1000" i="5"/>
  <c r="H999" i="5"/>
  <c r="H998" i="5"/>
  <c r="H997" i="5"/>
  <c r="H996" i="5"/>
  <c r="H995" i="5"/>
  <c r="H994" i="5"/>
  <c r="H993" i="5"/>
  <c r="H992" i="5"/>
  <c r="H991" i="5"/>
  <c r="H990" i="5"/>
  <c r="H989" i="5"/>
  <c r="H988" i="5"/>
  <c r="H987" i="5"/>
  <c r="H986" i="5"/>
  <c r="H985" i="5"/>
  <c r="H984" i="5"/>
  <c r="H983" i="5"/>
  <c r="H982" i="5"/>
  <c r="H981" i="5"/>
  <c r="H980" i="5"/>
  <c r="H979" i="5"/>
  <c r="H978" i="5"/>
  <c r="H977" i="5"/>
  <c r="H976" i="5"/>
  <c r="H975" i="5"/>
  <c r="H974" i="5"/>
  <c r="H973" i="5"/>
  <c r="H972" i="5"/>
  <c r="H971" i="5"/>
  <c r="H970" i="5"/>
  <c r="H969" i="5"/>
  <c r="H968" i="5"/>
  <c r="H967" i="5"/>
  <c r="H966" i="5"/>
  <c r="H965" i="5"/>
  <c r="H964" i="5"/>
  <c r="H963" i="5"/>
  <c r="H962" i="5"/>
  <c r="H961" i="5"/>
  <c r="H960" i="5"/>
  <c r="H959" i="5"/>
  <c r="H958" i="5"/>
  <c r="H957" i="5"/>
  <c r="H956" i="5"/>
  <c r="H955" i="5"/>
  <c r="H954" i="5"/>
  <c r="H953" i="5"/>
  <c r="H952" i="5"/>
  <c r="H951" i="5"/>
  <c r="H950" i="5"/>
  <c r="H949" i="5"/>
  <c r="H948" i="5"/>
  <c r="H947" i="5"/>
  <c r="H946" i="5"/>
  <c r="H945" i="5"/>
  <c r="H944" i="5"/>
  <c r="H943" i="5"/>
  <c r="H942" i="5"/>
  <c r="H941" i="5"/>
  <c r="H940" i="5"/>
  <c r="H939" i="5"/>
  <c r="H938" i="5"/>
  <c r="H937" i="5"/>
  <c r="H936" i="5"/>
  <c r="H935" i="5"/>
  <c r="H934" i="5"/>
  <c r="H933" i="5"/>
  <c r="H932" i="5"/>
  <c r="H931" i="5"/>
  <c r="H930" i="5"/>
  <c r="H929" i="5"/>
  <c r="H928" i="5"/>
  <c r="H927" i="5"/>
  <c r="H926" i="5"/>
  <c r="H925" i="5"/>
  <c r="H924" i="5"/>
  <c r="H923" i="5"/>
  <c r="H922" i="5"/>
  <c r="H921" i="5"/>
  <c r="H920" i="5"/>
  <c r="H919" i="5"/>
  <c r="H918" i="5"/>
  <c r="H917" i="5"/>
  <c r="H916" i="5"/>
  <c r="H915" i="5"/>
  <c r="H914" i="5"/>
  <c r="H913" i="5"/>
  <c r="H912" i="5"/>
  <c r="H911" i="5"/>
  <c r="H910" i="5"/>
  <c r="H909" i="5"/>
  <c r="H908" i="5"/>
  <c r="H907" i="5"/>
  <c r="H906" i="5"/>
  <c r="H905" i="5"/>
  <c r="H904" i="5"/>
  <c r="H903" i="5"/>
  <c r="H902" i="5"/>
  <c r="H901" i="5"/>
  <c r="H900" i="5"/>
  <c r="H899" i="5"/>
  <c r="H898" i="5"/>
  <c r="H897" i="5"/>
  <c r="H896" i="5"/>
  <c r="H895" i="5"/>
  <c r="H894" i="5"/>
  <c r="H893" i="5"/>
  <c r="H892" i="5"/>
  <c r="H891" i="5"/>
  <c r="H890" i="5"/>
  <c r="H889" i="5"/>
  <c r="H888" i="5"/>
  <c r="H887" i="5"/>
  <c r="H886" i="5"/>
  <c r="H885" i="5"/>
  <c r="H884" i="5"/>
  <c r="H883" i="5"/>
  <c r="H882" i="5"/>
  <c r="H881" i="5"/>
  <c r="H880" i="5"/>
  <c r="H879" i="5"/>
  <c r="H878" i="5"/>
  <c r="H877" i="5"/>
  <c r="H876" i="5"/>
  <c r="H875" i="5"/>
  <c r="H874" i="5"/>
  <c r="H873" i="5"/>
  <c r="H872" i="5"/>
  <c r="H871" i="5"/>
  <c r="H870" i="5"/>
  <c r="H869" i="5"/>
  <c r="H868" i="5"/>
  <c r="H867" i="5"/>
  <c r="H866" i="5"/>
  <c r="H865" i="5"/>
  <c r="H864" i="5"/>
  <c r="H863" i="5"/>
  <c r="H862" i="5"/>
  <c r="H861" i="5"/>
  <c r="H860" i="5"/>
  <c r="H859" i="5"/>
  <c r="H858" i="5"/>
  <c r="H857" i="5"/>
  <c r="H856" i="5"/>
  <c r="H855" i="5"/>
  <c r="H854" i="5"/>
  <c r="H853" i="5"/>
  <c r="H852" i="5"/>
  <c r="H851" i="5"/>
  <c r="H850" i="5"/>
  <c r="H849" i="5"/>
  <c r="H848" i="5"/>
  <c r="H847" i="5"/>
  <c r="H846" i="5"/>
  <c r="H845" i="5"/>
  <c r="H844" i="5"/>
  <c r="H843" i="5"/>
  <c r="H842" i="5"/>
  <c r="H841" i="5"/>
  <c r="H840" i="5"/>
  <c r="H839" i="5"/>
  <c r="H838" i="5"/>
  <c r="H837" i="5"/>
  <c r="H836" i="5"/>
  <c r="H835" i="5"/>
  <c r="H834" i="5"/>
  <c r="H833" i="5"/>
  <c r="H832" i="5"/>
  <c r="H831" i="5"/>
  <c r="H830" i="5"/>
  <c r="H829" i="5"/>
  <c r="H828" i="5"/>
  <c r="H827" i="5"/>
  <c r="H826" i="5"/>
  <c r="H825" i="5"/>
  <c r="H824" i="5"/>
  <c r="H823" i="5"/>
  <c r="H822" i="5"/>
  <c r="H821" i="5"/>
  <c r="H820" i="5"/>
  <c r="H819" i="5"/>
  <c r="H818" i="5"/>
  <c r="H817" i="5"/>
  <c r="H816" i="5"/>
  <c r="H815" i="5"/>
  <c r="H814" i="5"/>
  <c r="H813" i="5"/>
  <c r="H812" i="5"/>
  <c r="H811" i="5"/>
  <c r="H810" i="5"/>
  <c r="H809" i="5"/>
  <c r="H808" i="5"/>
  <c r="H807" i="5"/>
  <c r="H806" i="5"/>
  <c r="H805" i="5"/>
  <c r="H804" i="5"/>
  <c r="H803" i="5"/>
  <c r="H802" i="5"/>
  <c r="H801" i="5"/>
  <c r="H800" i="5"/>
  <c r="H799" i="5"/>
  <c r="H798" i="5"/>
  <c r="H797" i="5"/>
  <c r="H796" i="5"/>
  <c r="H795" i="5"/>
  <c r="H794" i="5"/>
  <c r="H793" i="5"/>
  <c r="H792" i="5"/>
  <c r="H791" i="5"/>
  <c r="H790" i="5"/>
  <c r="H789" i="5"/>
  <c r="H788" i="5"/>
  <c r="H787" i="5"/>
  <c r="H786" i="5"/>
  <c r="H785" i="5"/>
  <c r="H784" i="5"/>
  <c r="H783" i="5"/>
  <c r="H782" i="5"/>
  <c r="H781" i="5"/>
  <c r="H780" i="5"/>
  <c r="H779" i="5"/>
  <c r="H778" i="5"/>
  <c r="H777" i="5"/>
  <c r="H776" i="5"/>
  <c r="H775" i="5"/>
  <c r="H774" i="5"/>
  <c r="H773" i="5"/>
  <c r="H772" i="5"/>
  <c r="H771" i="5"/>
  <c r="H770" i="5"/>
  <c r="H769" i="5"/>
  <c r="H768" i="5"/>
  <c r="H767" i="5"/>
  <c r="H766" i="5"/>
  <c r="H765" i="5"/>
  <c r="H764" i="5"/>
  <c r="H763" i="5"/>
  <c r="H762" i="5"/>
  <c r="H761" i="5"/>
  <c r="H760" i="5"/>
  <c r="H759" i="5"/>
  <c r="H758" i="5"/>
  <c r="H757" i="5"/>
  <c r="H756" i="5"/>
  <c r="H755" i="5"/>
  <c r="H754" i="5"/>
  <c r="H753" i="5"/>
  <c r="H752" i="5"/>
  <c r="H751" i="5"/>
  <c r="H750" i="5"/>
  <c r="H749" i="5"/>
  <c r="H748" i="5"/>
  <c r="H747" i="5"/>
  <c r="H746" i="5"/>
  <c r="H745" i="5"/>
  <c r="H744" i="5"/>
  <c r="H743" i="5"/>
  <c r="H742" i="5"/>
  <c r="H741" i="5"/>
  <c r="H740" i="5"/>
  <c r="H739" i="5"/>
  <c r="H738" i="5"/>
  <c r="H737" i="5"/>
  <c r="H736" i="5"/>
  <c r="H735" i="5"/>
  <c r="H734" i="5"/>
  <c r="H733" i="5"/>
  <c r="H732" i="5"/>
  <c r="H731" i="5"/>
  <c r="H730" i="5"/>
  <c r="H729" i="5"/>
  <c r="H728" i="5"/>
  <c r="H727" i="5"/>
  <c r="H726" i="5"/>
  <c r="H725" i="5"/>
  <c r="H724" i="5"/>
  <c r="H723" i="5"/>
  <c r="H722" i="5"/>
  <c r="H721" i="5"/>
  <c r="H720" i="5"/>
  <c r="H719" i="5"/>
  <c r="H718" i="5"/>
  <c r="H717" i="5"/>
  <c r="H716" i="5"/>
  <c r="H715" i="5"/>
  <c r="H714" i="5"/>
  <c r="H713" i="5"/>
  <c r="H712" i="5"/>
  <c r="H711" i="5"/>
  <c r="H710" i="5"/>
  <c r="H709" i="5"/>
  <c r="H708" i="5"/>
  <c r="H707" i="5"/>
  <c r="H706" i="5"/>
  <c r="H705" i="5"/>
  <c r="H704" i="5"/>
  <c r="H703" i="5"/>
  <c r="H702" i="5"/>
  <c r="H701" i="5"/>
  <c r="H700" i="5"/>
  <c r="H699" i="5"/>
  <c r="H698" i="5"/>
  <c r="H697" i="5"/>
  <c r="H696" i="5"/>
  <c r="H695" i="5"/>
  <c r="H694" i="5"/>
  <c r="H693" i="5"/>
  <c r="H692" i="5"/>
  <c r="H691" i="5"/>
  <c r="H690" i="5"/>
  <c r="H689" i="5"/>
  <c r="H688" i="5"/>
  <c r="H687" i="5"/>
  <c r="H686" i="5"/>
  <c r="H685" i="5"/>
  <c r="H684" i="5"/>
  <c r="H683" i="5"/>
  <c r="H682" i="5"/>
  <c r="H681" i="5"/>
  <c r="H680" i="5"/>
  <c r="H679" i="5"/>
  <c r="H678" i="5"/>
  <c r="H677" i="5"/>
  <c r="H676" i="5"/>
  <c r="H675" i="5"/>
  <c r="H674" i="5"/>
  <c r="H673" i="5"/>
  <c r="H672" i="5"/>
  <c r="H671" i="5"/>
  <c r="H670" i="5"/>
  <c r="H669" i="5"/>
  <c r="H668" i="5"/>
  <c r="H667" i="5"/>
  <c r="H666" i="5"/>
  <c r="H665" i="5"/>
  <c r="H664" i="5"/>
  <c r="H663" i="5"/>
  <c r="H662" i="5"/>
  <c r="H661" i="5"/>
  <c r="H660" i="5"/>
  <c r="H659" i="5"/>
  <c r="H658" i="5"/>
  <c r="H657" i="5"/>
  <c r="H656" i="5"/>
  <c r="H655" i="5"/>
  <c r="H654" i="5"/>
  <c r="H653" i="5"/>
  <c r="H652" i="5"/>
  <c r="H651" i="5"/>
  <c r="H650" i="5"/>
  <c r="H649" i="5"/>
  <c r="H648" i="5"/>
  <c r="H647" i="5"/>
  <c r="H646" i="5"/>
  <c r="H645" i="5"/>
  <c r="H644" i="5"/>
  <c r="H643" i="5"/>
  <c r="H642" i="5"/>
  <c r="H641" i="5"/>
  <c r="H640" i="5"/>
  <c r="H639" i="5"/>
  <c r="H638" i="5"/>
  <c r="H637" i="5"/>
  <c r="H636" i="5"/>
  <c r="H635" i="5"/>
  <c r="H634" i="5"/>
  <c r="H633" i="5"/>
  <c r="H632" i="5"/>
  <c r="H631" i="5"/>
  <c r="H630" i="5"/>
  <c r="H629" i="5"/>
  <c r="H628" i="5"/>
  <c r="H627" i="5"/>
  <c r="H626" i="5"/>
  <c r="H625" i="5"/>
  <c r="H624" i="5"/>
  <c r="H623" i="5"/>
  <c r="H622" i="5"/>
  <c r="H621" i="5"/>
  <c r="H620" i="5"/>
  <c r="H619" i="5"/>
  <c r="H618" i="5"/>
  <c r="H617" i="5"/>
  <c r="H616" i="5"/>
  <c r="H615" i="5"/>
  <c r="H614" i="5"/>
  <c r="H613" i="5"/>
  <c r="H612" i="5"/>
  <c r="H611" i="5"/>
  <c r="H610" i="5"/>
  <c r="H609" i="5"/>
  <c r="H608" i="5"/>
  <c r="H607" i="5"/>
  <c r="H606" i="5"/>
  <c r="H605" i="5"/>
  <c r="H604" i="5"/>
  <c r="H603" i="5"/>
  <c r="H602" i="5"/>
  <c r="H601" i="5"/>
  <c r="H600" i="5"/>
  <c r="H599" i="5"/>
  <c r="H598" i="5"/>
  <c r="H597" i="5"/>
  <c r="H596" i="5"/>
  <c r="H595" i="5"/>
  <c r="H594" i="5"/>
  <c r="H593" i="5"/>
  <c r="H592" i="5"/>
  <c r="H591" i="5"/>
  <c r="H590" i="5"/>
  <c r="H589" i="5"/>
  <c r="H588" i="5"/>
  <c r="H587" i="5"/>
  <c r="H586" i="5"/>
  <c r="H585" i="5"/>
  <c r="H584" i="5"/>
  <c r="H583" i="5"/>
  <c r="H582" i="5"/>
  <c r="H581" i="5"/>
  <c r="H580" i="5"/>
  <c r="H579" i="5"/>
  <c r="H578" i="5"/>
  <c r="H577" i="5"/>
  <c r="H576" i="5"/>
  <c r="H575" i="5"/>
  <c r="H574" i="5"/>
  <c r="H573" i="5"/>
  <c r="H572" i="5"/>
  <c r="H571" i="5"/>
  <c r="H570" i="5"/>
  <c r="H569" i="5"/>
  <c r="H568" i="5"/>
  <c r="H567" i="5"/>
  <c r="H566" i="5"/>
  <c r="H565" i="5"/>
  <c r="H564" i="5"/>
  <c r="H563" i="5"/>
  <c r="H562" i="5"/>
  <c r="H561" i="5"/>
  <c r="H560" i="5"/>
  <c r="H559" i="5"/>
  <c r="H558" i="5"/>
  <c r="H557" i="5"/>
  <c r="H556" i="5"/>
  <c r="H555" i="5"/>
  <c r="H554" i="5"/>
  <c r="H553" i="5"/>
  <c r="H552" i="5"/>
  <c r="H551" i="5"/>
  <c r="H550" i="5"/>
  <c r="H549" i="5"/>
  <c r="H548" i="5"/>
  <c r="H547" i="5"/>
  <c r="H546" i="5"/>
  <c r="H545" i="5"/>
  <c r="H544" i="5"/>
  <c r="H543" i="5"/>
  <c r="H542" i="5"/>
  <c r="H541" i="5"/>
  <c r="H540" i="5"/>
  <c r="H539" i="5"/>
  <c r="H538" i="5"/>
  <c r="H537" i="5"/>
  <c r="H536" i="5"/>
  <c r="H535" i="5"/>
  <c r="H534" i="5"/>
  <c r="H533" i="5"/>
  <c r="H532" i="5"/>
  <c r="H531" i="5"/>
  <c r="H530" i="5"/>
  <c r="H529" i="5"/>
  <c r="H528" i="5"/>
  <c r="H527" i="5"/>
  <c r="H526" i="5"/>
  <c r="H525" i="5"/>
  <c r="H524" i="5"/>
  <c r="H523" i="5"/>
  <c r="H522" i="5"/>
  <c r="H521" i="5"/>
  <c r="H520" i="5"/>
  <c r="H519" i="5"/>
  <c r="H518" i="5"/>
  <c r="H517" i="5"/>
  <c r="H516" i="5"/>
  <c r="H515" i="5"/>
  <c r="H514" i="5"/>
  <c r="H513" i="5"/>
  <c r="H512" i="5"/>
  <c r="H511" i="5"/>
  <c r="H510" i="5"/>
  <c r="H509" i="5"/>
  <c r="H508" i="5"/>
  <c r="H507" i="5"/>
  <c r="H506" i="5"/>
  <c r="H505" i="5"/>
  <c r="H504" i="5"/>
  <c r="H503" i="5"/>
  <c r="H502" i="5"/>
  <c r="H501" i="5"/>
  <c r="H500" i="5"/>
  <c r="H499" i="5"/>
  <c r="H498" i="5"/>
  <c r="H497" i="5"/>
  <c r="H496" i="5"/>
  <c r="H495" i="5"/>
  <c r="H494" i="5"/>
  <c r="H493" i="5"/>
  <c r="H492" i="5"/>
  <c r="H491" i="5"/>
  <c r="H490" i="5"/>
  <c r="H489" i="5"/>
  <c r="H488" i="5"/>
  <c r="H487" i="5"/>
  <c r="H486" i="5"/>
  <c r="H485" i="5"/>
  <c r="H484" i="5"/>
  <c r="H483" i="5"/>
  <c r="H482" i="5"/>
  <c r="H481" i="5"/>
  <c r="H480" i="5"/>
  <c r="H479" i="5"/>
  <c r="H478" i="5"/>
  <c r="H477" i="5"/>
  <c r="H476" i="5"/>
  <c r="H475" i="5"/>
  <c r="H474" i="5"/>
  <c r="H473" i="5"/>
  <c r="H472" i="5"/>
  <c r="H471" i="5"/>
  <c r="H470" i="5"/>
  <c r="H469" i="5"/>
  <c r="H468" i="5"/>
  <c r="H467" i="5"/>
  <c r="H466" i="5"/>
  <c r="H465" i="5"/>
  <c r="H464" i="5"/>
  <c r="H463" i="5"/>
  <c r="H462" i="5"/>
  <c r="H461" i="5"/>
  <c r="H460" i="5"/>
  <c r="H459" i="5"/>
  <c r="H458" i="5"/>
  <c r="H457" i="5"/>
  <c r="H456" i="5"/>
  <c r="H455" i="5"/>
  <c r="H454" i="5"/>
  <c r="H453" i="5"/>
  <c r="H452" i="5"/>
  <c r="H451" i="5"/>
  <c r="H450" i="5"/>
  <c r="H449" i="5"/>
  <c r="H448" i="5"/>
  <c r="H447" i="5"/>
  <c r="H446" i="5"/>
  <c r="H445" i="5"/>
  <c r="H444" i="5"/>
  <c r="H443" i="5"/>
  <c r="H442" i="5"/>
  <c r="H441" i="5"/>
  <c r="H440" i="5"/>
  <c r="H439" i="5"/>
  <c r="H438" i="5"/>
  <c r="H437" i="5"/>
  <c r="H436" i="5"/>
  <c r="H435" i="5"/>
  <c r="H434" i="5"/>
  <c r="H433" i="5"/>
  <c r="H432" i="5"/>
  <c r="H431" i="5"/>
  <c r="H430" i="5"/>
  <c r="H429" i="5"/>
  <c r="H428" i="5"/>
  <c r="H427" i="5"/>
  <c r="H426" i="5"/>
  <c r="H425" i="5"/>
  <c r="H424" i="5"/>
  <c r="H423" i="5"/>
  <c r="H422" i="5"/>
  <c r="H421" i="5"/>
  <c r="H420" i="5"/>
  <c r="H419" i="5"/>
  <c r="H418" i="5"/>
  <c r="H417" i="5"/>
  <c r="H416" i="5"/>
  <c r="H415" i="5"/>
  <c r="H414" i="5"/>
  <c r="H413" i="5"/>
  <c r="H412" i="5"/>
  <c r="H411" i="5"/>
  <c r="H410" i="5"/>
  <c r="H409" i="5"/>
  <c r="H408" i="5"/>
  <c r="H407" i="5"/>
  <c r="H406" i="5"/>
  <c r="H405" i="5"/>
  <c r="H404" i="5"/>
  <c r="H403" i="5"/>
  <c r="H402" i="5"/>
  <c r="H401" i="5"/>
  <c r="H400" i="5"/>
  <c r="H399" i="5"/>
  <c r="H398" i="5"/>
  <c r="H397" i="5"/>
  <c r="H396" i="5"/>
  <c r="H395" i="5"/>
  <c r="H394" i="5"/>
  <c r="H393" i="5"/>
  <c r="H392" i="5"/>
  <c r="H391" i="5"/>
  <c r="H390" i="5"/>
  <c r="H389" i="5"/>
  <c r="H388" i="5"/>
  <c r="H387" i="5"/>
  <c r="H386" i="5"/>
  <c r="H385" i="5"/>
  <c r="H384" i="5"/>
  <c r="H383" i="5"/>
  <c r="H382" i="5"/>
  <c r="H381" i="5"/>
  <c r="H380" i="5"/>
  <c r="H379" i="5"/>
  <c r="H378" i="5"/>
  <c r="H377" i="5"/>
  <c r="H376" i="5"/>
  <c r="H375" i="5"/>
  <c r="H374" i="5"/>
  <c r="H373" i="5"/>
  <c r="H372" i="5"/>
  <c r="H371" i="5"/>
  <c r="H370" i="5"/>
  <c r="H369" i="5"/>
  <c r="H368" i="5"/>
  <c r="H367" i="5"/>
  <c r="H366" i="5"/>
  <c r="H365" i="5"/>
  <c r="H364" i="5"/>
  <c r="H363" i="5"/>
  <c r="H362" i="5"/>
  <c r="H361" i="5"/>
  <c r="H360" i="5"/>
  <c r="H359" i="5"/>
  <c r="H358" i="5"/>
  <c r="H357" i="5"/>
  <c r="H356" i="5"/>
  <c r="H355" i="5"/>
  <c r="H354" i="5"/>
  <c r="H353" i="5"/>
  <c r="H352" i="5"/>
  <c r="H351" i="5"/>
  <c r="H350" i="5"/>
  <c r="H349" i="5"/>
  <c r="H348" i="5"/>
  <c r="H347" i="5"/>
  <c r="H346" i="5"/>
  <c r="H345" i="5"/>
  <c r="H344" i="5"/>
  <c r="H343" i="5"/>
  <c r="H342" i="5"/>
  <c r="H341" i="5"/>
  <c r="H340" i="5"/>
  <c r="H339" i="5"/>
  <c r="H338" i="5"/>
  <c r="H337" i="5"/>
  <c r="H336" i="5"/>
  <c r="H335" i="5"/>
  <c r="H334" i="5"/>
  <c r="H333" i="5"/>
  <c r="H332" i="5"/>
  <c r="H331" i="5"/>
  <c r="H330" i="5"/>
  <c r="H329" i="5"/>
  <c r="H328" i="5"/>
  <c r="H327" i="5"/>
  <c r="H326" i="5"/>
  <c r="H325" i="5"/>
  <c r="H324" i="5"/>
  <c r="H323" i="5"/>
  <c r="H322" i="5"/>
  <c r="H321" i="5"/>
  <c r="H320" i="5"/>
  <c r="H319" i="5"/>
  <c r="H318" i="5"/>
  <c r="H317" i="5"/>
  <c r="H316" i="5"/>
  <c r="H315" i="5"/>
  <c r="H314" i="5"/>
  <c r="H313" i="5"/>
  <c r="H312" i="5"/>
  <c r="H311" i="5"/>
  <c r="H310" i="5"/>
  <c r="H309" i="5"/>
  <c r="H308" i="5"/>
  <c r="H307" i="5"/>
  <c r="H306" i="5"/>
  <c r="H305" i="5"/>
  <c r="H304" i="5"/>
  <c r="H303" i="5"/>
  <c r="H302" i="5"/>
  <c r="H301" i="5"/>
  <c r="H300" i="5"/>
  <c r="H299" i="5"/>
  <c r="H298" i="5"/>
  <c r="H297" i="5"/>
  <c r="H296" i="5"/>
  <c r="H295" i="5"/>
  <c r="H294" i="5"/>
  <c r="H293" i="5"/>
  <c r="H292" i="5"/>
  <c r="H291" i="5"/>
  <c r="H290" i="5"/>
  <c r="H289" i="5"/>
  <c r="H288" i="5"/>
  <c r="H287" i="5"/>
  <c r="H286" i="5"/>
  <c r="H285" i="5"/>
  <c r="H284" i="5"/>
  <c r="H283" i="5"/>
  <c r="H282" i="5"/>
  <c r="H281" i="5"/>
  <c r="H280" i="5"/>
  <c r="H279" i="5"/>
  <c r="H278" i="5"/>
  <c r="H277" i="5"/>
  <c r="H276" i="5"/>
  <c r="H275" i="5"/>
  <c r="H274" i="5"/>
  <c r="H273" i="5"/>
  <c r="H272" i="5"/>
  <c r="H271" i="5"/>
  <c r="H270" i="5"/>
  <c r="H269" i="5"/>
  <c r="H268" i="5"/>
  <c r="H267" i="5"/>
  <c r="H266" i="5"/>
  <c r="H265" i="5"/>
  <c r="H264" i="5"/>
  <c r="H263" i="5"/>
  <c r="H262" i="5"/>
  <c r="H261" i="5"/>
  <c r="H260" i="5"/>
  <c r="H259" i="5"/>
  <c r="H258" i="5"/>
  <c r="H257" i="5"/>
  <c r="H256" i="5"/>
  <c r="H255" i="5"/>
  <c r="H254" i="5"/>
  <c r="H253" i="5"/>
  <c r="H252" i="5"/>
  <c r="H251" i="5"/>
  <c r="H250" i="5"/>
  <c r="H249" i="5"/>
  <c r="H248" i="5"/>
  <c r="H247" i="5"/>
  <c r="H246" i="5"/>
  <c r="H245" i="5"/>
  <c r="H244" i="5"/>
  <c r="H243" i="5"/>
  <c r="H242" i="5"/>
  <c r="H241" i="5"/>
  <c r="H240" i="5"/>
  <c r="H239" i="5"/>
  <c r="H238" i="5"/>
  <c r="H237" i="5"/>
  <c r="H236" i="5"/>
  <c r="H235" i="5"/>
  <c r="H234" i="5"/>
  <c r="H233" i="5"/>
  <c r="H232" i="5"/>
  <c r="H231" i="5"/>
  <c r="H230" i="5"/>
  <c r="H229" i="5"/>
  <c r="H228" i="5"/>
  <c r="H227" i="5"/>
  <c r="H226" i="5"/>
  <c r="H225" i="5"/>
  <c r="H224" i="5"/>
  <c r="H223" i="5"/>
  <c r="H222" i="5"/>
  <c r="H221" i="5"/>
  <c r="H220" i="5"/>
  <c r="H219" i="5"/>
  <c r="H218" i="5"/>
  <c r="H217" i="5"/>
  <c r="H216" i="5"/>
  <c r="H215" i="5"/>
  <c r="H214" i="5"/>
  <c r="H213" i="5"/>
  <c r="H212" i="5"/>
  <c r="H211" i="5"/>
  <c r="H210" i="5"/>
  <c r="H209" i="5"/>
  <c r="H208" i="5"/>
  <c r="H207" i="5"/>
  <c r="H206" i="5"/>
  <c r="H205" i="5"/>
  <c r="H204" i="5"/>
  <c r="H203" i="5"/>
  <c r="H202" i="5"/>
  <c r="H201" i="5"/>
  <c r="H200" i="5"/>
  <c r="H199" i="5"/>
  <c r="H198" i="5"/>
  <c r="H197" i="5"/>
  <c r="H196" i="5"/>
  <c r="H195" i="5"/>
  <c r="H194" i="5"/>
  <c r="H193" i="5"/>
  <c r="H192" i="5"/>
  <c r="H191" i="5"/>
  <c r="H190" i="5"/>
  <c r="H189" i="5"/>
  <c r="H188" i="5"/>
  <c r="H187" i="5"/>
  <c r="H186" i="5"/>
  <c r="H185" i="5"/>
  <c r="H184" i="5"/>
  <c r="H183" i="5"/>
  <c r="H182" i="5"/>
  <c r="H181" i="5"/>
  <c r="H180" i="5"/>
  <c r="H179" i="5"/>
  <c r="H178" i="5"/>
  <c r="H177" i="5"/>
  <c r="H176" i="5"/>
  <c r="H175" i="5"/>
  <c r="H174" i="5"/>
  <c r="H173" i="5"/>
  <c r="H172" i="5"/>
  <c r="H171" i="5"/>
  <c r="H170" i="5"/>
  <c r="H169" i="5"/>
  <c r="H168" i="5"/>
  <c r="H167" i="5"/>
  <c r="H166" i="5"/>
  <c r="H165" i="5"/>
  <c r="H164" i="5"/>
  <c r="H163" i="5"/>
  <c r="H162" i="5"/>
  <c r="H161" i="5"/>
  <c r="H160" i="5"/>
  <c r="H159" i="5"/>
  <c r="H158" i="5"/>
  <c r="H157" i="5"/>
  <c r="H156" i="5"/>
  <c r="H155" i="5"/>
  <c r="H154" i="5"/>
  <c r="H153" i="5"/>
  <c r="H152" i="5"/>
  <c r="H151" i="5"/>
  <c r="H150" i="5"/>
  <c r="H149" i="5"/>
  <c r="H148" i="5"/>
  <c r="H147" i="5"/>
  <c r="H146" i="5"/>
  <c r="H145" i="5"/>
  <c r="H144" i="5"/>
  <c r="H143" i="5"/>
  <c r="H142" i="5"/>
  <c r="H141" i="5"/>
  <c r="H140" i="5"/>
  <c r="H139" i="5"/>
  <c r="H138" i="5"/>
  <c r="H137" i="5"/>
  <c r="H136" i="5"/>
  <c r="H135" i="5"/>
  <c r="H134" i="5"/>
  <c r="H133" i="5"/>
  <c r="H132" i="5"/>
  <c r="H131" i="5"/>
  <c r="H130" i="5"/>
  <c r="H129" i="5"/>
  <c r="H128" i="5"/>
  <c r="H127" i="5"/>
  <c r="H126" i="5"/>
  <c r="H125" i="5"/>
  <c r="H124" i="5"/>
  <c r="H123" i="5"/>
  <c r="H122" i="5"/>
  <c r="H121" i="5"/>
  <c r="H120" i="5"/>
  <c r="H119" i="5"/>
  <c r="H118" i="5"/>
  <c r="H117" i="5"/>
  <c r="H116" i="5"/>
  <c r="H115" i="5"/>
  <c r="H114" i="5"/>
  <c r="H113" i="5"/>
  <c r="H112" i="5"/>
  <c r="H111" i="5"/>
  <c r="H110" i="5"/>
  <c r="H109" i="5"/>
  <c r="H108" i="5"/>
  <c r="H107" i="5"/>
  <c r="H106" i="5"/>
  <c r="H105" i="5"/>
  <c r="H104" i="5"/>
  <c r="H103" i="5"/>
  <c r="H102" i="5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H2" i="5"/>
  <c r="H2025" i="4"/>
  <c r="H2024" i="4"/>
  <c r="H2023" i="4"/>
  <c r="H2022" i="4"/>
  <c r="H2021" i="4"/>
  <c r="H2020" i="4"/>
  <c r="H2019" i="4"/>
  <c r="H2018" i="4"/>
  <c r="H2017" i="4"/>
  <c r="H2016" i="4"/>
  <c r="H2015" i="4"/>
  <c r="H2014" i="4"/>
  <c r="H2013" i="4"/>
  <c r="H2012" i="4"/>
  <c r="H2011" i="4"/>
  <c r="H2010" i="4"/>
  <c r="H2009" i="4"/>
  <c r="H2008" i="4"/>
  <c r="H2007" i="4"/>
  <c r="H2006" i="4"/>
  <c r="H2005" i="4"/>
  <c r="H2004" i="4"/>
  <c r="H2003" i="4"/>
  <c r="H2002" i="4"/>
  <c r="H2001" i="4"/>
  <c r="H2000" i="4"/>
  <c r="H1999" i="4"/>
  <c r="H1998" i="4"/>
  <c r="H1997" i="4"/>
  <c r="H1996" i="4"/>
  <c r="H1995" i="4"/>
  <c r="H1994" i="4"/>
  <c r="H1993" i="4"/>
  <c r="H1992" i="4"/>
  <c r="H1991" i="4"/>
  <c r="H1990" i="4"/>
  <c r="H1989" i="4"/>
  <c r="H1988" i="4"/>
  <c r="H1987" i="4"/>
  <c r="H1986" i="4"/>
  <c r="H1985" i="4"/>
  <c r="H1984" i="4"/>
  <c r="H1983" i="4"/>
  <c r="H1982" i="4"/>
  <c r="H1981" i="4"/>
  <c r="H1980" i="4"/>
  <c r="H1979" i="4"/>
  <c r="H1978" i="4"/>
  <c r="H1977" i="4"/>
  <c r="H1976" i="4"/>
  <c r="H1975" i="4"/>
  <c r="H1974" i="4"/>
  <c r="H1973" i="4"/>
  <c r="H1972" i="4"/>
  <c r="H1971" i="4"/>
  <c r="H1970" i="4"/>
  <c r="H1969" i="4"/>
  <c r="H1968" i="4"/>
  <c r="H1967" i="4"/>
  <c r="H1966" i="4"/>
  <c r="H1965" i="4"/>
  <c r="H1964" i="4"/>
  <c r="H1963" i="4"/>
  <c r="H1962" i="4"/>
  <c r="H1961" i="4"/>
  <c r="H1960" i="4"/>
  <c r="H1959" i="4"/>
  <c r="H1958" i="4"/>
  <c r="H1957" i="4"/>
  <c r="H1956" i="4"/>
  <c r="H1955" i="4"/>
  <c r="H1954" i="4"/>
  <c r="H1953" i="4"/>
  <c r="H1952" i="4"/>
  <c r="H1951" i="4"/>
  <c r="H1950" i="4"/>
  <c r="H1949" i="4"/>
  <c r="H1948" i="4"/>
  <c r="H1947" i="4"/>
  <c r="H1946" i="4"/>
  <c r="H1945" i="4"/>
  <c r="H1944" i="4"/>
  <c r="H1943" i="4"/>
  <c r="H1942" i="4"/>
  <c r="H1941" i="4"/>
  <c r="H1940" i="4"/>
  <c r="H1939" i="4"/>
  <c r="H1938" i="4"/>
  <c r="H1937" i="4"/>
  <c r="H1936" i="4"/>
  <c r="H1935" i="4"/>
  <c r="H1934" i="4"/>
  <c r="H1933" i="4"/>
  <c r="H1932" i="4"/>
  <c r="H1931" i="4"/>
  <c r="H1930" i="4"/>
  <c r="H1929" i="4"/>
  <c r="H1928" i="4"/>
  <c r="H1927" i="4"/>
  <c r="H1926" i="4"/>
  <c r="H1925" i="4"/>
  <c r="H1924" i="4"/>
  <c r="H1923" i="4"/>
  <c r="H1922" i="4"/>
  <c r="H1921" i="4"/>
  <c r="H1920" i="4"/>
  <c r="H1919" i="4"/>
  <c r="H1918" i="4"/>
  <c r="H1917" i="4"/>
  <c r="H1916" i="4"/>
  <c r="H1915" i="4"/>
  <c r="H1914" i="4"/>
  <c r="H1913" i="4"/>
  <c r="H1912" i="4"/>
  <c r="H1911" i="4"/>
  <c r="H1910" i="4"/>
  <c r="H1909" i="4"/>
  <c r="H1908" i="4"/>
  <c r="H1907" i="4"/>
  <c r="H1906" i="4"/>
  <c r="H1905" i="4"/>
  <c r="H1904" i="4"/>
  <c r="H1903" i="4"/>
  <c r="H1902" i="4"/>
  <c r="H1901" i="4"/>
  <c r="H1900" i="4"/>
  <c r="H1899" i="4"/>
  <c r="H1898" i="4"/>
  <c r="H1897" i="4"/>
  <c r="H1896" i="4"/>
  <c r="H1895" i="4"/>
  <c r="H1894" i="4"/>
  <c r="H1893" i="4"/>
  <c r="H1892" i="4"/>
  <c r="H1891" i="4"/>
  <c r="H1890" i="4"/>
  <c r="H1889" i="4"/>
  <c r="H1888" i="4"/>
  <c r="H1887" i="4"/>
  <c r="H1886" i="4"/>
  <c r="H1885" i="4"/>
  <c r="H1884" i="4"/>
  <c r="H1883" i="4"/>
  <c r="H1882" i="4"/>
  <c r="H1881" i="4"/>
  <c r="H1880" i="4"/>
  <c r="H1879" i="4"/>
  <c r="H1878" i="4"/>
  <c r="H1877" i="4"/>
  <c r="H1876" i="4"/>
  <c r="H1875" i="4"/>
  <c r="H1874" i="4"/>
  <c r="H1873" i="4"/>
  <c r="H1872" i="4"/>
  <c r="H1871" i="4"/>
  <c r="H1870" i="4"/>
  <c r="H1869" i="4"/>
  <c r="H1868" i="4"/>
  <c r="H1867" i="4"/>
  <c r="H1866" i="4"/>
  <c r="H1865" i="4"/>
  <c r="H1864" i="4"/>
  <c r="H1863" i="4"/>
  <c r="H1862" i="4"/>
  <c r="H1861" i="4"/>
  <c r="H1860" i="4"/>
  <c r="H1859" i="4"/>
  <c r="H1858" i="4"/>
  <c r="H1857" i="4"/>
  <c r="H1856" i="4"/>
  <c r="H1855" i="4"/>
  <c r="H1854" i="4"/>
  <c r="H1853" i="4"/>
  <c r="H1852" i="4"/>
  <c r="H1851" i="4"/>
  <c r="H1850" i="4"/>
  <c r="H1849" i="4"/>
  <c r="H1848" i="4"/>
  <c r="H1847" i="4"/>
  <c r="H1846" i="4"/>
  <c r="H1845" i="4"/>
  <c r="H1844" i="4"/>
  <c r="H1843" i="4"/>
  <c r="H1842" i="4"/>
  <c r="H1841" i="4"/>
  <c r="H1840" i="4"/>
  <c r="H1839" i="4"/>
  <c r="H1838" i="4"/>
  <c r="H1837" i="4"/>
  <c r="H1836" i="4"/>
  <c r="H1835" i="4"/>
  <c r="H1834" i="4"/>
  <c r="H1833" i="4"/>
  <c r="H1832" i="4"/>
  <c r="H1831" i="4"/>
  <c r="H1830" i="4"/>
  <c r="H1829" i="4"/>
  <c r="H1828" i="4"/>
  <c r="H1827" i="4"/>
  <c r="H1826" i="4"/>
  <c r="H1825" i="4"/>
  <c r="H1824" i="4"/>
  <c r="H1823" i="4"/>
  <c r="H1822" i="4"/>
  <c r="H1821" i="4"/>
  <c r="H1820" i="4"/>
  <c r="H1819" i="4"/>
  <c r="H1818" i="4"/>
  <c r="H1817" i="4"/>
  <c r="H1816" i="4"/>
  <c r="H1815" i="4"/>
  <c r="H1814" i="4"/>
  <c r="H1813" i="4"/>
  <c r="H1812" i="4"/>
  <c r="H1811" i="4"/>
  <c r="H1810" i="4"/>
  <c r="H1809" i="4"/>
  <c r="H1808" i="4"/>
  <c r="H1807" i="4"/>
  <c r="H1806" i="4"/>
  <c r="H1805" i="4"/>
  <c r="H1804" i="4"/>
  <c r="H1803" i="4"/>
  <c r="H1802" i="4"/>
  <c r="H1801" i="4"/>
  <c r="H1800" i="4"/>
  <c r="H1799" i="4"/>
  <c r="H1798" i="4"/>
  <c r="H1797" i="4"/>
  <c r="H1796" i="4"/>
  <c r="H1795" i="4"/>
  <c r="H1794" i="4"/>
  <c r="H1793" i="4"/>
  <c r="H1792" i="4"/>
  <c r="H1791" i="4"/>
  <c r="H1790" i="4"/>
  <c r="H1789" i="4"/>
  <c r="H1788" i="4"/>
  <c r="H1787" i="4"/>
  <c r="H1786" i="4"/>
  <c r="H1785" i="4"/>
  <c r="H1784" i="4"/>
  <c r="H1783" i="4"/>
  <c r="H1782" i="4"/>
  <c r="H1781" i="4"/>
  <c r="H1780" i="4"/>
  <c r="H1779" i="4"/>
  <c r="H1778" i="4"/>
  <c r="H1777" i="4"/>
  <c r="H1776" i="4"/>
  <c r="H1775" i="4"/>
  <c r="H1774" i="4"/>
  <c r="H1773" i="4"/>
  <c r="H1772" i="4"/>
  <c r="H1771" i="4"/>
  <c r="H1770" i="4"/>
  <c r="H1769" i="4"/>
  <c r="H1768" i="4"/>
  <c r="H1767" i="4"/>
  <c r="H1766" i="4"/>
  <c r="H1765" i="4"/>
  <c r="H1764" i="4"/>
  <c r="H1763" i="4"/>
  <c r="H1762" i="4"/>
  <c r="H1761" i="4"/>
  <c r="H1760" i="4"/>
  <c r="H1759" i="4"/>
  <c r="H1758" i="4"/>
  <c r="H1757" i="4"/>
  <c r="H1756" i="4"/>
  <c r="H1755" i="4"/>
  <c r="H1754" i="4"/>
  <c r="H1753" i="4"/>
  <c r="H1752" i="4"/>
  <c r="H1751" i="4"/>
  <c r="H1750" i="4"/>
  <c r="H1749" i="4"/>
  <c r="H1748" i="4"/>
  <c r="H1747" i="4"/>
  <c r="H1746" i="4"/>
  <c r="H1745" i="4"/>
  <c r="H1744" i="4"/>
  <c r="H1743" i="4"/>
  <c r="H1742" i="4"/>
  <c r="H1741" i="4"/>
  <c r="H1740" i="4"/>
  <c r="H1739" i="4"/>
  <c r="H1738" i="4"/>
  <c r="H1737" i="4"/>
  <c r="H1736" i="4"/>
  <c r="H1735" i="4"/>
  <c r="H1734" i="4"/>
  <c r="H1733" i="4"/>
  <c r="H1732" i="4"/>
  <c r="H1731" i="4"/>
  <c r="H1730" i="4"/>
  <c r="H1729" i="4"/>
  <c r="H1728" i="4"/>
  <c r="H1727" i="4"/>
  <c r="H1726" i="4"/>
  <c r="H1725" i="4"/>
  <c r="H1724" i="4"/>
  <c r="H1723" i="4"/>
  <c r="H1722" i="4"/>
  <c r="H1721" i="4"/>
  <c r="H1720" i="4"/>
  <c r="H1719" i="4"/>
  <c r="H1718" i="4"/>
  <c r="H1717" i="4"/>
  <c r="H1716" i="4"/>
  <c r="H1715" i="4"/>
  <c r="H1714" i="4"/>
  <c r="H1713" i="4"/>
  <c r="H1712" i="4"/>
  <c r="H1711" i="4"/>
  <c r="H1710" i="4"/>
  <c r="H1709" i="4"/>
  <c r="H1708" i="4"/>
  <c r="H1707" i="4"/>
  <c r="H1706" i="4"/>
  <c r="H1705" i="4"/>
  <c r="H1704" i="4"/>
  <c r="H1703" i="4"/>
  <c r="H1702" i="4"/>
  <c r="H1701" i="4"/>
  <c r="H1700" i="4"/>
  <c r="H1699" i="4"/>
  <c r="H1698" i="4"/>
  <c r="H1697" i="4"/>
  <c r="H1696" i="4"/>
  <c r="H1695" i="4"/>
  <c r="H1694" i="4"/>
  <c r="H1693" i="4"/>
  <c r="H1692" i="4"/>
  <c r="H1691" i="4"/>
  <c r="H1690" i="4"/>
  <c r="H1689" i="4"/>
  <c r="H1688" i="4"/>
  <c r="H1687" i="4"/>
  <c r="H1686" i="4"/>
  <c r="H1685" i="4"/>
  <c r="H1684" i="4"/>
  <c r="H1683" i="4"/>
  <c r="H1682" i="4"/>
  <c r="H1681" i="4"/>
  <c r="H1680" i="4"/>
  <c r="H1679" i="4"/>
  <c r="H1678" i="4"/>
  <c r="H1677" i="4"/>
  <c r="H1676" i="4"/>
  <c r="H1675" i="4"/>
  <c r="H1674" i="4"/>
  <c r="H1673" i="4"/>
  <c r="H1672" i="4"/>
  <c r="H1671" i="4"/>
  <c r="H1670" i="4"/>
  <c r="H1669" i="4"/>
  <c r="H1668" i="4"/>
  <c r="H1667" i="4"/>
  <c r="H1666" i="4"/>
  <c r="H1665" i="4"/>
  <c r="H1664" i="4"/>
  <c r="H1663" i="4"/>
  <c r="H1662" i="4"/>
  <c r="H1661" i="4"/>
  <c r="H1660" i="4"/>
  <c r="H1659" i="4"/>
  <c r="H1658" i="4"/>
  <c r="H1657" i="4"/>
  <c r="H1656" i="4"/>
  <c r="H1655" i="4"/>
  <c r="H1654" i="4"/>
  <c r="H1653" i="4"/>
  <c r="H1652" i="4"/>
  <c r="H1651" i="4"/>
  <c r="H1650" i="4"/>
  <c r="H1649" i="4"/>
  <c r="H1648" i="4"/>
  <c r="H1647" i="4"/>
  <c r="H1646" i="4"/>
  <c r="H1645" i="4"/>
  <c r="H1644" i="4"/>
  <c r="H1643" i="4"/>
  <c r="H1642" i="4"/>
  <c r="H1641" i="4"/>
  <c r="H1640" i="4"/>
  <c r="H1639" i="4"/>
  <c r="H1638" i="4"/>
  <c r="H1637" i="4"/>
  <c r="H1636" i="4"/>
  <c r="H1635" i="4"/>
  <c r="H1634" i="4"/>
  <c r="H1633" i="4"/>
  <c r="H1632" i="4"/>
  <c r="H1631" i="4"/>
  <c r="H1630" i="4"/>
  <c r="H1629" i="4"/>
  <c r="H1628" i="4"/>
  <c r="H1627" i="4"/>
  <c r="H1626" i="4"/>
  <c r="H1625" i="4"/>
  <c r="H1624" i="4"/>
  <c r="H1623" i="4"/>
  <c r="H1622" i="4"/>
  <c r="H1621" i="4"/>
  <c r="H1620" i="4"/>
  <c r="H1619" i="4"/>
  <c r="H1618" i="4"/>
  <c r="H1617" i="4"/>
  <c r="H1616" i="4"/>
  <c r="H1615" i="4"/>
  <c r="H1614" i="4"/>
  <c r="H1613" i="4"/>
  <c r="H1612" i="4"/>
  <c r="H1611" i="4"/>
  <c r="H1610" i="4"/>
  <c r="H1609" i="4"/>
  <c r="H1608" i="4"/>
  <c r="H1607" i="4"/>
  <c r="H1606" i="4"/>
  <c r="H1605" i="4"/>
  <c r="H1604" i="4"/>
  <c r="H1603" i="4"/>
  <c r="H1602" i="4"/>
  <c r="H1601" i="4"/>
  <c r="H1600" i="4"/>
  <c r="H1599" i="4"/>
  <c r="H1598" i="4"/>
  <c r="H1597" i="4"/>
  <c r="H1596" i="4"/>
  <c r="H1595" i="4"/>
  <c r="H1594" i="4"/>
  <c r="H1593" i="4"/>
  <c r="H1592" i="4"/>
  <c r="H1591" i="4"/>
  <c r="H1590" i="4"/>
  <c r="H1589" i="4"/>
  <c r="H1588" i="4"/>
  <c r="H1587" i="4"/>
  <c r="H1586" i="4"/>
  <c r="H1585" i="4"/>
  <c r="H1584" i="4"/>
  <c r="H1583" i="4"/>
  <c r="H1582" i="4"/>
  <c r="H1581" i="4"/>
  <c r="H1580" i="4"/>
  <c r="H1579" i="4"/>
  <c r="H1578" i="4"/>
  <c r="H1577" i="4"/>
  <c r="H1576" i="4"/>
  <c r="H1575" i="4"/>
  <c r="H1574" i="4"/>
  <c r="H1573" i="4"/>
  <c r="H1572" i="4"/>
  <c r="H1571" i="4"/>
  <c r="H1570" i="4"/>
  <c r="H1569" i="4"/>
  <c r="H1568" i="4"/>
  <c r="H1567" i="4"/>
  <c r="H1566" i="4"/>
  <c r="H1565" i="4"/>
  <c r="H1564" i="4"/>
  <c r="H1563" i="4"/>
  <c r="H1562" i="4"/>
  <c r="H1561" i="4"/>
  <c r="H1560" i="4"/>
  <c r="H1559" i="4"/>
  <c r="H1558" i="4"/>
  <c r="H1557" i="4"/>
  <c r="H1556" i="4"/>
  <c r="H1555" i="4"/>
  <c r="H1554" i="4"/>
  <c r="H1553" i="4"/>
  <c r="H1552" i="4"/>
  <c r="H1551" i="4"/>
  <c r="H1550" i="4"/>
  <c r="H1549" i="4"/>
  <c r="H1548" i="4"/>
  <c r="H1547" i="4"/>
  <c r="H1546" i="4"/>
  <c r="H1545" i="4"/>
  <c r="H1544" i="4"/>
  <c r="H1543" i="4"/>
  <c r="H1542" i="4"/>
  <c r="H1541" i="4"/>
  <c r="H1540" i="4"/>
  <c r="H1539" i="4"/>
  <c r="H1538" i="4"/>
  <c r="H1537" i="4"/>
  <c r="H1536" i="4"/>
  <c r="H1535" i="4"/>
  <c r="H1534" i="4"/>
  <c r="H1533" i="4"/>
  <c r="H1532" i="4"/>
  <c r="H1531" i="4"/>
  <c r="H1530" i="4"/>
  <c r="H1529" i="4"/>
  <c r="H1528" i="4"/>
  <c r="H1527" i="4"/>
  <c r="H1526" i="4"/>
  <c r="H1525" i="4"/>
  <c r="H1524" i="4"/>
  <c r="H1523" i="4"/>
  <c r="H1522" i="4"/>
  <c r="H1521" i="4"/>
  <c r="H1520" i="4"/>
  <c r="H1519" i="4"/>
  <c r="H1518" i="4"/>
  <c r="H1517" i="4"/>
  <c r="H1516" i="4"/>
  <c r="H1515" i="4"/>
  <c r="H1514" i="4"/>
  <c r="H1513" i="4"/>
  <c r="H1512" i="4"/>
  <c r="H1511" i="4"/>
  <c r="H1510" i="4"/>
  <c r="H1509" i="4"/>
  <c r="H1508" i="4"/>
  <c r="H1507" i="4"/>
  <c r="H1506" i="4"/>
  <c r="H1505" i="4"/>
  <c r="H1504" i="4"/>
  <c r="H1503" i="4"/>
  <c r="H1502" i="4"/>
  <c r="H1501" i="4"/>
  <c r="H1500" i="4"/>
  <c r="H1499" i="4"/>
  <c r="H1498" i="4"/>
  <c r="H1497" i="4"/>
  <c r="H1496" i="4"/>
  <c r="H1495" i="4"/>
  <c r="H1494" i="4"/>
  <c r="H1493" i="4"/>
  <c r="H1492" i="4"/>
  <c r="H1491" i="4"/>
  <c r="H1490" i="4"/>
  <c r="H1489" i="4"/>
  <c r="H1488" i="4"/>
  <c r="H1487" i="4"/>
  <c r="H1486" i="4"/>
  <c r="H1485" i="4"/>
  <c r="H1484" i="4"/>
  <c r="H1483" i="4"/>
  <c r="H1482" i="4"/>
  <c r="H1481" i="4"/>
  <c r="H1480" i="4"/>
  <c r="H1479" i="4"/>
  <c r="H1478" i="4"/>
  <c r="H1477" i="4"/>
  <c r="H1476" i="4"/>
  <c r="H1475" i="4"/>
  <c r="H1474" i="4"/>
  <c r="H1473" i="4"/>
  <c r="H1472" i="4"/>
  <c r="H1471" i="4"/>
  <c r="H1470" i="4"/>
  <c r="H1469" i="4"/>
  <c r="H1468" i="4"/>
  <c r="H1467" i="4"/>
  <c r="H1466" i="4"/>
  <c r="H1465" i="4"/>
  <c r="H1464" i="4"/>
  <c r="H1463" i="4"/>
  <c r="H1462" i="4"/>
  <c r="H1461" i="4"/>
  <c r="H1460" i="4"/>
  <c r="H1459" i="4"/>
  <c r="H1458" i="4"/>
  <c r="H1457" i="4"/>
  <c r="H1456" i="4"/>
  <c r="H1455" i="4"/>
  <c r="H1454" i="4"/>
  <c r="H1453" i="4"/>
  <c r="H1452" i="4"/>
  <c r="H1451" i="4"/>
  <c r="H1450" i="4"/>
  <c r="H1449" i="4"/>
  <c r="H1448" i="4"/>
  <c r="H1447" i="4"/>
  <c r="H1446" i="4"/>
  <c r="H1445" i="4"/>
  <c r="H1444" i="4"/>
  <c r="H1443" i="4"/>
  <c r="H1442" i="4"/>
  <c r="H1441" i="4"/>
  <c r="H1440" i="4"/>
  <c r="H1439" i="4"/>
  <c r="H1438" i="4"/>
  <c r="H1437" i="4"/>
  <c r="H1436" i="4"/>
  <c r="H1435" i="4"/>
  <c r="H1434" i="4"/>
  <c r="H1433" i="4"/>
  <c r="H1432" i="4"/>
  <c r="H1431" i="4"/>
  <c r="H1430" i="4"/>
  <c r="H1429" i="4"/>
  <c r="H1428" i="4"/>
  <c r="H1427" i="4"/>
  <c r="H1426" i="4"/>
  <c r="H1425" i="4"/>
  <c r="H1424" i="4"/>
  <c r="H1423" i="4"/>
  <c r="H1422" i="4"/>
  <c r="H1421" i="4"/>
  <c r="H1420" i="4"/>
  <c r="H1419" i="4"/>
  <c r="H1418" i="4"/>
  <c r="H1417" i="4"/>
  <c r="H1416" i="4"/>
  <c r="H1415" i="4"/>
  <c r="H1414" i="4"/>
  <c r="H1413" i="4"/>
  <c r="H1412" i="4"/>
  <c r="H1411" i="4"/>
  <c r="H1410" i="4"/>
  <c r="H1409" i="4"/>
  <c r="H1408" i="4"/>
  <c r="H1407" i="4"/>
  <c r="H1406" i="4"/>
  <c r="H1405" i="4"/>
  <c r="H1404" i="4"/>
  <c r="H1403" i="4"/>
  <c r="H1402" i="4"/>
  <c r="H1401" i="4"/>
  <c r="H1400" i="4"/>
  <c r="H1399" i="4"/>
  <c r="H1398" i="4"/>
  <c r="H1397" i="4"/>
  <c r="H1396" i="4"/>
  <c r="H1395" i="4"/>
  <c r="H1394" i="4"/>
  <c r="H1393" i="4"/>
  <c r="H1392" i="4"/>
  <c r="H1391" i="4"/>
  <c r="H1390" i="4"/>
  <c r="H1389" i="4"/>
  <c r="H1388" i="4"/>
  <c r="H1387" i="4"/>
  <c r="H1386" i="4"/>
  <c r="H1385" i="4"/>
  <c r="H1384" i="4"/>
  <c r="H1383" i="4"/>
  <c r="H1382" i="4"/>
  <c r="H1381" i="4"/>
  <c r="H1380" i="4"/>
  <c r="H1379" i="4"/>
  <c r="H1378" i="4"/>
  <c r="H1377" i="4"/>
  <c r="H1376" i="4"/>
  <c r="H1375" i="4"/>
  <c r="H1374" i="4"/>
  <c r="H1373" i="4"/>
  <c r="H1372" i="4"/>
  <c r="H1371" i="4"/>
  <c r="H1370" i="4"/>
  <c r="H1369" i="4"/>
  <c r="H1368" i="4"/>
  <c r="H1367" i="4"/>
  <c r="H1366" i="4"/>
  <c r="H1365" i="4"/>
  <c r="H1364" i="4"/>
  <c r="H1363" i="4"/>
  <c r="H1362" i="4"/>
  <c r="H1361" i="4"/>
  <c r="H1360" i="4"/>
  <c r="H1359" i="4"/>
  <c r="H1358" i="4"/>
  <c r="H1357" i="4"/>
  <c r="H1356" i="4"/>
  <c r="H1355" i="4"/>
  <c r="H1354" i="4"/>
  <c r="H1353" i="4"/>
  <c r="H1352" i="4"/>
  <c r="H1351" i="4"/>
  <c r="H1350" i="4"/>
  <c r="H1349" i="4"/>
  <c r="H1348" i="4"/>
  <c r="H1347" i="4"/>
  <c r="H1346" i="4"/>
  <c r="H1345" i="4"/>
  <c r="H1344" i="4"/>
  <c r="H1343" i="4"/>
  <c r="H1342" i="4"/>
  <c r="H1341" i="4"/>
  <c r="H1340" i="4"/>
  <c r="H1339" i="4"/>
  <c r="H1338" i="4"/>
  <c r="H1337" i="4"/>
  <c r="H1336" i="4"/>
  <c r="H1335" i="4"/>
  <c r="H1334" i="4"/>
  <c r="H1333" i="4"/>
  <c r="H1332" i="4"/>
  <c r="H1331" i="4"/>
  <c r="H1330" i="4"/>
  <c r="H1329" i="4"/>
  <c r="H1328" i="4"/>
  <c r="H1327" i="4"/>
  <c r="H1326" i="4"/>
  <c r="H1325" i="4"/>
  <c r="H1324" i="4"/>
  <c r="H1323" i="4"/>
  <c r="H1322" i="4"/>
  <c r="H1321" i="4"/>
  <c r="H1320" i="4"/>
  <c r="H1319" i="4"/>
  <c r="H1318" i="4"/>
  <c r="H1317" i="4"/>
  <c r="H1316" i="4"/>
  <c r="H1315" i="4"/>
  <c r="H1314" i="4"/>
  <c r="H1313" i="4"/>
  <c r="H1312" i="4"/>
  <c r="H1311" i="4"/>
  <c r="H1310" i="4"/>
  <c r="H1309" i="4"/>
  <c r="H1308" i="4"/>
  <c r="H1307" i="4"/>
  <c r="H1306" i="4"/>
  <c r="H1305" i="4"/>
  <c r="H1304" i="4"/>
  <c r="H1303" i="4"/>
  <c r="H1302" i="4"/>
  <c r="H1301" i="4"/>
  <c r="H1300" i="4"/>
  <c r="H1299" i="4"/>
  <c r="H1298" i="4"/>
  <c r="H1297" i="4"/>
  <c r="H1296" i="4"/>
  <c r="H1295" i="4"/>
  <c r="H1294" i="4"/>
  <c r="H1293" i="4"/>
  <c r="H1292" i="4"/>
  <c r="H1291" i="4"/>
  <c r="H1290" i="4"/>
  <c r="H1289" i="4"/>
  <c r="H1288" i="4"/>
  <c r="H1287" i="4"/>
  <c r="H1286" i="4"/>
  <c r="H1285" i="4"/>
  <c r="H1284" i="4"/>
  <c r="H1283" i="4"/>
  <c r="H1282" i="4"/>
  <c r="H1281" i="4"/>
  <c r="H1280" i="4"/>
  <c r="H1279" i="4"/>
  <c r="H1278" i="4"/>
  <c r="H1277" i="4"/>
  <c r="H1276" i="4"/>
  <c r="H1275" i="4"/>
  <c r="H1274" i="4"/>
  <c r="H1273" i="4"/>
  <c r="H1272" i="4"/>
  <c r="H1271" i="4"/>
  <c r="H1270" i="4"/>
  <c r="H1269" i="4"/>
  <c r="H1268" i="4"/>
  <c r="H1267" i="4"/>
  <c r="H1266" i="4"/>
  <c r="H1265" i="4"/>
  <c r="H1264" i="4"/>
  <c r="H1263" i="4"/>
  <c r="H1262" i="4"/>
  <c r="H1261" i="4"/>
  <c r="H1260" i="4"/>
  <c r="H1259" i="4"/>
  <c r="H1258" i="4"/>
  <c r="H1257" i="4"/>
  <c r="H1256" i="4"/>
  <c r="H1255" i="4"/>
  <c r="H1254" i="4"/>
  <c r="H1253" i="4"/>
  <c r="H1252" i="4"/>
  <c r="H1251" i="4"/>
  <c r="H1250" i="4"/>
  <c r="H1249" i="4"/>
  <c r="H1248" i="4"/>
  <c r="H1247" i="4"/>
  <c r="H1246" i="4"/>
  <c r="H1245" i="4"/>
  <c r="H1244" i="4"/>
  <c r="H1243" i="4"/>
  <c r="H1242" i="4"/>
  <c r="H1241" i="4"/>
  <c r="H1240" i="4"/>
  <c r="H1239" i="4"/>
  <c r="H1238" i="4"/>
  <c r="H1237" i="4"/>
  <c r="H1236" i="4"/>
  <c r="H1235" i="4"/>
  <c r="H1234" i="4"/>
  <c r="H1233" i="4"/>
  <c r="H1232" i="4"/>
  <c r="H1231" i="4"/>
  <c r="H1230" i="4"/>
  <c r="H1229" i="4"/>
  <c r="H1228" i="4"/>
  <c r="H1227" i="4"/>
  <c r="H1226" i="4"/>
  <c r="H1225" i="4"/>
  <c r="H1224" i="4"/>
  <c r="H1223" i="4"/>
  <c r="H1222" i="4"/>
  <c r="H1221" i="4"/>
  <c r="H1220" i="4"/>
  <c r="H1219" i="4"/>
  <c r="H1218" i="4"/>
  <c r="H1217" i="4"/>
  <c r="H1216" i="4"/>
  <c r="H1215" i="4"/>
  <c r="H1214" i="4"/>
  <c r="H1213" i="4"/>
  <c r="H1212" i="4"/>
  <c r="H1211" i="4"/>
  <c r="H1210" i="4"/>
  <c r="H1209" i="4"/>
  <c r="H1208" i="4"/>
  <c r="H1207" i="4"/>
  <c r="H1206" i="4"/>
  <c r="H1205" i="4"/>
  <c r="H1204" i="4"/>
  <c r="H1203" i="4"/>
  <c r="H1202" i="4"/>
  <c r="H1201" i="4"/>
  <c r="H1200" i="4"/>
  <c r="H1199" i="4"/>
  <c r="H1198" i="4"/>
  <c r="H1197" i="4"/>
  <c r="H1196" i="4"/>
  <c r="H1195" i="4"/>
  <c r="H1194" i="4"/>
  <c r="H1193" i="4"/>
  <c r="H1192" i="4"/>
  <c r="H1191" i="4"/>
  <c r="H1190" i="4"/>
  <c r="H1189" i="4"/>
  <c r="H1188" i="4"/>
  <c r="H1187" i="4"/>
  <c r="H1186" i="4"/>
  <c r="H1185" i="4"/>
  <c r="H1184" i="4"/>
  <c r="H1183" i="4"/>
  <c r="H1182" i="4"/>
  <c r="H1181" i="4"/>
  <c r="H1180" i="4"/>
  <c r="H1179" i="4"/>
  <c r="H1178" i="4"/>
  <c r="H1177" i="4"/>
  <c r="H1176" i="4"/>
  <c r="H1175" i="4"/>
  <c r="H1174" i="4"/>
  <c r="H1173" i="4"/>
  <c r="H1172" i="4"/>
  <c r="H1171" i="4"/>
  <c r="H1170" i="4"/>
  <c r="H1169" i="4"/>
  <c r="H1168" i="4"/>
  <c r="H1167" i="4"/>
  <c r="H1166" i="4"/>
  <c r="H1165" i="4"/>
  <c r="H1164" i="4"/>
  <c r="H1163" i="4"/>
  <c r="H1162" i="4"/>
  <c r="H1161" i="4"/>
  <c r="H1160" i="4"/>
  <c r="H1159" i="4"/>
  <c r="H1158" i="4"/>
  <c r="H1157" i="4"/>
  <c r="H1156" i="4"/>
  <c r="H1155" i="4"/>
  <c r="H1154" i="4"/>
  <c r="H1153" i="4"/>
  <c r="H1152" i="4"/>
  <c r="H1151" i="4"/>
  <c r="H1150" i="4"/>
  <c r="H1149" i="4"/>
  <c r="H1148" i="4"/>
  <c r="H1147" i="4"/>
  <c r="H1146" i="4"/>
  <c r="H1145" i="4"/>
  <c r="H1144" i="4"/>
  <c r="H1143" i="4"/>
  <c r="H1142" i="4"/>
  <c r="H1141" i="4"/>
  <c r="H1140" i="4"/>
  <c r="H1139" i="4"/>
  <c r="H1138" i="4"/>
  <c r="H1137" i="4"/>
  <c r="H1136" i="4"/>
  <c r="H1135" i="4"/>
  <c r="H1134" i="4"/>
  <c r="H1133" i="4"/>
  <c r="H1132" i="4"/>
  <c r="H1131" i="4"/>
  <c r="H1130" i="4"/>
  <c r="H1129" i="4"/>
  <c r="H1128" i="4"/>
  <c r="H1127" i="4"/>
  <c r="H1126" i="4"/>
  <c r="H1125" i="4"/>
  <c r="H1124" i="4"/>
  <c r="H1123" i="4"/>
  <c r="H1122" i="4"/>
  <c r="H1121" i="4"/>
  <c r="H1120" i="4"/>
  <c r="H1119" i="4"/>
  <c r="H1118" i="4"/>
  <c r="H1117" i="4"/>
  <c r="H1116" i="4"/>
  <c r="H1115" i="4"/>
  <c r="H1114" i="4"/>
  <c r="H1113" i="4"/>
  <c r="H1112" i="4"/>
  <c r="H1111" i="4"/>
  <c r="H1110" i="4"/>
  <c r="H1109" i="4"/>
  <c r="H1108" i="4"/>
  <c r="H1107" i="4"/>
  <c r="H1106" i="4"/>
  <c r="H1105" i="4"/>
  <c r="H1104" i="4"/>
  <c r="H1103" i="4"/>
  <c r="H1102" i="4"/>
  <c r="H1101" i="4"/>
  <c r="H1100" i="4"/>
  <c r="H1099" i="4"/>
  <c r="H1098" i="4"/>
  <c r="H1097" i="4"/>
  <c r="H1096" i="4"/>
  <c r="H1095" i="4"/>
  <c r="H1094" i="4"/>
  <c r="H1093" i="4"/>
  <c r="H1092" i="4"/>
  <c r="H1091" i="4"/>
  <c r="H1090" i="4"/>
  <c r="H1089" i="4"/>
  <c r="H1088" i="4"/>
  <c r="H1087" i="4"/>
  <c r="H1086" i="4"/>
  <c r="H1085" i="4"/>
  <c r="H1084" i="4"/>
  <c r="H1083" i="4"/>
  <c r="H1082" i="4"/>
  <c r="H1081" i="4"/>
  <c r="H1080" i="4"/>
  <c r="H1079" i="4"/>
  <c r="H1078" i="4"/>
  <c r="H1077" i="4"/>
  <c r="H1076" i="4"/>
  <c r="H1075" i="4"/>
  <c r="H1074" i="4"/>
  <c r="H1073" i="4"/>
  <c r="H1072" i="4"/>
  <c r="H1071" i="4"/>
  <c r="H1070" i="4"/>
  <c r="H1069" i="4"/>
  <c r="H1068" i="4"/>
  <c r="H1067" i="4"/>
  <c r="H1066" i="4"/>
  <c r="H1065" i="4"/>
  <c r="H1064" i="4"/>
  <c r="H1063" i="4"/>
  <c r="H1062" i="4"/>
  <c r="H1061" i="4"/>
  <c r="H1060" i="4"/>
  <c r="H1059" i="4"/>
  <c r="H1058" i="4"/>
  <c r="H1057" i="4"/>
  <c r="H1056" i="4"/>
  <c r="H1055" i="4"/>
  <c r="H1054" i="4"/>
  <c r="H1053" i="4"/>
  <c r="H1052" i="4"/>
  <c r="H1051" i="4"/>
  <c r="H1050" i="4"/>
  <c r="H1049" i="4"/>
  <c r="H1048" i="4"/>
  <c r="H1047" i="4"/>
  <c r="H1046" i="4"/>
  <c r="H1045" i="4"/>
  <c r="H1044" i="4"/>
  <c r="H1043" i="4"/>
  <c r="H1042" i="4"/>
  <c r="H1041" i="4"/>
  <c r="H1040" i="4"/>
  <c r="H1039" i="4"/>
  <c r="H1038" i="4"/>
  <c r="H1037" i="4"/>
  <c r="H1036" i="4"/>
  <c r="H1035" i="4"/>
  <c r="H1034" i="4"/>
  <c r="H1033" i="4"/>
  <c r="H1032" i="4"/>
  <c r="H1031" i="4"/>
  <c r="H1030" i="4"/>
  <c r="H1029" i="4"/>
  <c r="H1028" i="4"/>
  <c r="H1027" i="4"/>
  <c r="H1026" i="4"/>
  <c r="H1025" i="4"/>
  <c r="H1024" i="4"/>
  <c r="H1023" i="4"/>
  <c r="H1022" i="4"/>
  <c r="H1021" i="4"/>
  <c r="H1020" i="4"/>
  <c r="H1019" i="4"/>
  <c r="H1018" i="4"/>
  <c r="H1017" i="4"/>
  <c r="H1016" i="4"/>
  <c r="H1015" i="4"/>
  <c r="H1014" i="4"/>
  <c r="H1013" i="4"/>
  <c r="H1012" i="4"/>
  <c r="H1011" i="4"/>
  <c r="H1010" i="4"/>
  <c r="H1009" i="4"/>
  <c r="H1008" i="4"/>
  <c r="H1007" i="4"/>
  <c r="H1006" i="4"/>
  <c r="H1005" i="4"/>
  <c r="H1004" i="4"/>
  <c r="H1003" i="4"/>
  <c r="H1002" i="4"/>
  <c r="H1001" i="4"/>
  <c r="H1000" i="4"/>
  <c r="H999" i="4"/>
  <c r="H998" i="4"/>
  <c r="H997" i="4"/>
  <c r="H996" i="4"/>
  <c r="H995" i="4"/>
  <c r="H994" i="4"/>
  <c r="H993" i="4"/>
  <c r="H992" i="4"/>
  <c r="H991" i="4"/>
  <c r="H990" i="4"/>
  <c r="H989" i="4"/>
  <c r="H988" i="4"/>
  <c r="H987" i="4"/>
  <c r="H986" i="4"/>
  <c r="H985" i="4"/>
  <c r="H984" i="4"/>
  <c r="H983" i="4"/>
  <c r="H982" i="4"/>
  <c r="H981" i="4"/>
  <c r="H980" i="4"/>
  <c r="H979" i="4"/>
  <c r="H978" i="4"/>
  <c r="H977" i="4"/>
  <c r="H976" i="4"/>
  <c r="H975" i="4"/>
  <c r="H974" i="4"/>
  <c r="H973" i="4"/>
  <c r="H972" i="4"/>
  <c r="H971" i="4"/>
  <c r="H970" i="4"/>
  <c r="H969" i="4"/>
  <c r="H968" i="4"/>
  <c r="H967" i="4"/>
  <c r="H966" i="4"/>
  <c r="H965" i="4"/>
  <c r="H964" i="4"/>
  <c r="H963" i="4"/>
  <c r="H962" i="4"/>
  <c r="H961" i="4"/>
  <c r="H960" i="4"/>
  <c r="H959" i="4"/>
  <c r="H958" i="4"/>
  <c r="H957" i="4"/>
  <c r="H956" i="4"/>
  <c r="H955" i="4"/>
  <c r="H954" i="4"/>
  <c r="H953" i="4"/>
  <c r="H952" i="4"/>
  <c r="H951" i="4"/>
  <c r="H950" i="4"/>
  <c r="H949" i="4"/>
  <c r="H948" i="4"/>
  <c r="H947" i="4"/>
  <c r="H946" i="4"/>
  <c r="H945" i="4"/>
  <c r="H944" i="4"/>
  <c r="H943" i="4"/>
  <c r="H942" i="4"/>
  <c r="H941" i="4"/>
  <c r="H940" i="4"/>
  <c r="H939" i="4"/>
  <c r="H938" i="4"/>
  <c r="H937" i="4"/>
  <c r="H936" i="4"/>
  <c r="H935" i="4"/>
  <c r="H934" i="4"/>
  <c r="H933" i="4"/>
  <c r="H932" i="4"/>
  <c r="H931" i="4"/>
  <c r="H930" i="4"/>
  <c r="H929" i="4"/>
  <c r="H928" i="4"/>
  <c r="H927" i="4"/>
  <c r="H926" i="4"/>
  <c r="H925" i="4"/>
  <c r="H924" i="4"/>
  <c r="H923" i="4"/>
  <c r="H922" i="4"/>
  <c r="H921" i="4"/>
  <c r="H920" i="4"/>
  <c r="H919" i="4"/>
  <c r="H918" i="4"/>
  <c r="H917" i="4"/>
  <c r="H916" i="4"/>
  <c r="H915" i="4"/>
  <c r="H914" i="4"/>
  <c r="H913" i="4"/>
  <c r="H912" i="4"/>
  <c r="H911" i="4"/>
  <c r="H910" i="4"/>
  <c r="H909" i="4"/>
  <c r="H908" i="4"/>
  <c r="H907" i="4"/>
  <c r="H906" i="4"/>
  <c r="H905" i="4"/>
  <c r="H904" i="4"/>
  <c r="H903" i="4"/>
  <c r="H902" i="4"/>
  <c r="H901" i="4"/>
  <c r="H900" i="4"/>
  <c r="H899" i="4"/>
  <c r="H898" i="4"/>
  <c r="H897" i="4"/>
  <c r="H896" i="4"/>
  <c r="H895" i="4"/>
  <c r="H894" i="4"/>
  <c r="H893" i="4"/>
  <c r="H892" i="4"/>
  <c r="H891" i="4"/>
  <c r="H890" i="4"/>
  <c r="H889" i="4"/>
  <c r="H888" i="4"/>
  <c r="H887" i="4"/>
  <c r="H886" i="4"/>
  <c r="H885" i="4"/>
  <c r="H884" i="4"/>
  <c r="H883" i="4"/>
  <c r="H882" i="4"/>
  <c r="H881" i="4"/>
  <c r="H880" i="4"/>
  <c r="H879" i="4"/>
  <c r="H878" i="4"/>
  <c r="H877" i="4"/>
  <c r="H876" i="4"/>
  <c r="H875" i="4"/>
  <c r="H874" i="4"/>
  <c r="H873" i="4"/>
  <c r="H872" i="4"/>
  <c r="H871" i="4"/>
  <c r="H870" i="4"/>
  <c r="H869" i="4"/>
  <c r="H868" i="4"/>
  <c r="H867" i="4"/>
  <c r="H866" i="4"/>
  <c r="H865" i="4"/>
  <c r="H864" i="4"/>
  <c r="H863" i="4"/>
  <c r="H862" i="4"/>
  <c r="H861" i="4"/>
  <c r="H860" i="4"/>
  <c r="H859" i="4"/>
  <c r="H858" i="4"/>
  <c r="H857" i="4"/>
  <c r="H856" i="4"/>
  <c r="H855" i="4"/>
  <c r="H854" i="4"/>
  <c r="H853" i="4"/>
  <c r="H852" i="4"/>
  <c r="H851" i="4"/>
  <c r="H850" i="4"/>
  <c r="H849" i="4"/>
  <c r="H848" i="4"/>
  <c r="H847" i="4"/>
  <c r="H846" i="4"/>
  <c r="H845" i="4"/>
  <c r="H844" i="4"/>
  <c r="H843" i="4"/>
  <c r="H842" i="4"/>
  <c r="H841" i="4"/>
  <c r="H840" i="4"/>
  <c r="H839" i="4"/>
  <c r="H838" i="4"/>
  <c r="H837" i="4"/>
  <c r="H836" i="4"/>
  <c r="H835" i="4"/>
  <c r="H834" i="4"/>
  <c r="H833" i="4"/>
  <c r="H832" i="4"/>
  <c r="H831" i="4"/>
  <c r="H830" i="4"/>
  <c r="H829" i="4"/>
  <c r="H828" i="4"/>
  <c r="H827" i="4"/>
  <c r="H826" i="4"/>
  <c r="H825" i="4"/>
  <c r="H824" i="4"/>
  <c r="H823" i="4"/>
  <c r="H822" i="4"/>
  <c r="H821" i="4"/>
  <c r="H820" i="4"/>
  <c r="H819" i="4"/>
  <c r="H818" i="4"/>
  <c r="H817" i="4"/>
  <c r="H816" i="4"/>
  <c r="H815" i="4"/>
  <c r="H814" i="4"/>
  <c r="H813" i="4"/>
  <c r="H812" i="4"/>
  <c r="H811" i="4"/>
  <c r="H810" i="4"/>
  <c r="H809" i="4"/>
  <c r="H808" i="4"/>
  <c r="H807" i="4"/>
  <c r="H806" i="4"/>
  <c r="H805" i="4"/>
  <c r="H804" i="4"/>
  <c r="H803" i="4"/>
  <c r="H802" i="4"/>
  <c r="H801" i="4"/>
  <c r="H800" i="4"/>
  <c r="H799" i="4"/>
  <c r="H798" i="4"/>
  <c r="H797" i="4"/>
  <c r="H796" i="4"/>
  <c r="H795" i="4"/>
  <c r="H794" i="4"/>
  <c r="H793" i="4"/>
  <c r="H792" i="4"/>
  <c r="H791" i="4"/>
  <c r="H790" i="4"/>
  <c r="H789" i="4"/>
  <c r="H788" i="4"/>
  <c r="H787" i="4"/>
  <c r="H786" i="4"/>
  <c r="H785" i="4"/>
  <c r="H784" i="4"/>
  <c r="H783" i="4"/>
  <c r="H782" i="4"/>
  <c r="H781" i="4"/>
  <c r="H780" i="4"/>
  <c r="H779" i="4"/>
  <c r="H778" i="4"/>
  <c r="H777" i="4"/>
  <c r="H776" i="4"/>
  <c r="H775" i="4"/>
  <c r="H774" i="4"/>
  <c r="H773" i="4"/>
  <c r="H772" i="4"/>
  <c r="H771" i="4"/>
  <c r="H770" i="4"/>
  <c r="H769" i="4"/>
  <c r="H768" i="4"/>
  <c r="H767" i="4"/>
  <c r="H766" i="4"/>
  <c r="H765" i="4"/>
  <c r="H764" i="4"/>
  <c r="H763" i="4"/>
  <c r="H762" i="4"/>
  <c r="H761" i="4"/>
  <c r="H760" i="4"/>
  <c r="H759" i="4"/>
  <c r="H758" i="4"/>
  <c r="H757" i="4"/>
  <c r="H756" i="4"/>
  <c r="H755" i="4"/>
  <c r="H754" i="4"/>
  <c r="H753" i="4"/>
  <c r="H752" i="4"/>
  <c r="H751" i="4"/>
  <c r="H750" i="4"/>
  <c r="H749" i="4"/>
  <c r="H748" i="4"/>
  <c r="H747" i="4"/>
  <c r="H746" i="4"/>
  <c r="H745" i="4"/>
  <c r="H744" i="4"/>
  <c r="H743" i="4"/>
  <c r="H742" i="4"/>
  <c r="H741" i="4"/>
  <c r="H740" i="4"/>
  <c r="H739" i="4"/>
  <c r="H738" i="4"/>
  <c r="H737" i="4"/>
  <c r="H736" i="4"/>
  <c r="H735" i="4"/>
  <c r="H734" i="4"/>
  <c r="H733" i="4"/>
  <c r="H732" i="4"/>
  <c r="H731" i="4"/>
  <c r="H730" i="4"/>
  <c r="H729" i="4"/>
  <c r="H728" i="4"/>
  <c r="H727" i="4"/>
  <c r="H726" i="4"/>
  <c r="H725" i="4"/>
  <c r="H724" i="4"/>
  <c r="H723" i="4"/>
  <c r="H722" i="4"/>
  <c r="H721" i="4"/>
  <c r="H720" i="4"/>
  <c r="H719" i="4"/>
  <c r="H718" i="4"/>
  <c r="H717" i="4"/>
  <c r="H716" i="4"/>
  <c r="H715" i="4"/>
  <c r="H714" i="4"/>
  <c r="H713" i="4"/>
  <c r="H712" i="4"/>
  <c r="H711" i="4"/>
  <c r="H710" i="4"/>
  <c r="H709" i="4"/>
  <c r="H708" i="4"/>
  <c r="H707" i="4"/>
  <c r="H706" i="4"/>
  <c r="H705" i="4"/>
  <c r="H704" i="4"/>
  <c r="H703" i="4"/>
  <c r="H702" i="4"/>
  <c r="H701" i="4"/>
  <c r="H700" i="4"/>
  <c r="H699" i="4"/>
  <c r="H698" i="4"/>
  <c r="H697" i="4"/>
  <c r="H696" i="4"/>
  <c r="H695" i="4"/>
  <c r="H694" i="4"/>
  <c r="H693" i="4"/>
  <c r="H692" i="4"/>
  <c r="H691" i="4"/>
  <c r="H690" i="4"/>
  <c r="H689" i="4"/>
  <c r="H688" i="4"/>
  <c r="H687" i="4"/>
  <c r="H686" i="4"/>
  <c r="H685" i="4"/>
  <c r="H684" i="4"/>
  <c r="H683" i="4"/>
  <c r="H682" i="4"/>
  <c r="H681" i="4"/>
  <c r="H680" i="4"/>
  <c r="H679" i="4"/>
  <c r="H678" i="4"/>
  <c r="H677" i="4"/>
  <c r="H676" i="4"/>
  <c r="H675" i="4"/>
  <c r="H674" i="4"/>
  <c r="H673" i="4"/>
  <c r="H672" i="4"/>
  <c r="H671" i="4"/>
  <c r="H670" i="4"/>
  <c r="H669" i="4"/>
  <c r="H668" i="4"/>
  <c r="H667" i="4"/>
  <c r="H666" i="4"/>
  <c r="H665" i="4"/>
  <c r="H664" i="4"/>
  <c r="H663" i="4"/>
  <c r="H662" i="4"/>
  <c r="H661" i="4"/>
  <c r="H660" i="4"/>
  <c r="H659" i="4"/>
  <c r="H658" i="4"/>
  <c r="H657" i="4"/>
  <c r="H656" i="4"/>
  <c r="H655" i="4"/>
  <c r="H654" i="4"/>
  <c r="H653" i="4"/>
  <c r="H652" i="4"/>
  <c r="H651" i="4"/>
  <c r="H650" i="4"/>
  <c r="H649" i="4"/>
  <c r="H648" i="4"/>
  <c r="H647" i="4"/>
  <c r="H646" i="4"/>
  <c r="H645" i="4"/>
  <c r="H644" i="4"/>
  <c r="H643" i="4"/>
  <c r="H642" i="4"/>
  <c r="H641" i="4"/>
  <c r="H640" i="4"/>
  <c r="H639" i="4"/>
  <c r="H638" i="4"/>
  <c r="H637" i="4"/>
  <c r="H636" i="4"/>
  <c r="H635" i="4"/>
  <c r="H634" i="4"/>
  <c r="H633" i="4"/>
  <c r="H632" i="4"/>
  <c r="H631" i="4"/>
  <c r="H630" i="4"/>
  <c r="H629" i="4"/>
  <c r="H628" i="4"/>
  <c r="H627" i="4"/>
  <c r="H626" i="4"/>
  <c r="H625" i="4"/>
  <c r="H624" i="4"/>
  <c r="H623" i="4"/>
  <c r="H622" i="4"/>
  <c r="H621" i="4"/>
  <c r="H620" i="4"/>
  <c r="H619" i="4"/>
  <c r="H618" i="4"/>
  <c r="H617" i="4"/>
  <c r="H616" i="4"/>
  <c r="H615" i="4"/>
  <c r="H614" i="4"/>
  <c r="H613" i="4"/>
  <c r="H612" i="4"/>
  <c r="H611" i="4"/>
  <c r="H610" i="4"/>
  <c r="H609" i="4"/>
  <c r="H608" i="4"/>
  <c r="H607" i="4"/>
  <c r="H606" i="4"/>
  <c r="H605" i="4"/>
  <c r="H604" i="4"/>
  <c r="H603" i="4"/>
  <c r="H602" i="4"/>
  <c r="H601" i="4"/>
  <c r="H600" i="4"/>
  <c r="H599" i="4"/>
  <c r="H598" i="4"/>
  <c r="H597" i="4"/>
  <c r="H596" i="4"/>
  <c r="H595" i="4"/>
  <c r="H594" i="4"/>
  <c r="H593" i="4"/>
  <c r="H592" i="4"/>
  <c r="H591" i="4"/>
  <c r="H590" i="4"/>
  <c r="H589" i="4"/>
  <c r="H588" i="4"/>
  <c r="H587" i="4"/>
  <c r="H586" i="4"/>
  <c r="H585" i="4"/>
  <c r="H584" i="4"/>
  <c r="H583" i="4"/>
  <c r="H582" i="4"/>
  <c r="H581" i="4"/>
  <c r="H580" i="4"/>
  <c r="H579" i="4"/>
  <c r="H578" i="4"/>
  <c r="H577" i="4"/>
  <c r="H576" i="4"/>
  <c r="H575" i="4"/>
  <c r="H574" i="4"/>
  <c r="H573" i="4"/>
  <c r="H572" i="4"/>
  <c r="H571" i="4"/>
  <c r="H570" i="4"/>
  <c r="H569" i="4"/>
  <c r="H568" i="4"/>
  <c r="H567" i="4"/>
  <c r="H566" i="4"/>
  <c r="H565" i="4"/>
  <c r="H564" i="4"/>
  <c r="H563" i="4"/>
  <c r="H562" i="4"/>
  <c r="H561" i="4"/>
  <c r="H560" i="4"/>
  <c r="H559" i="4"/>
  <c r="H558" i="4"/>
  <c r="H557" i="4"/>
  <c r="H556" i="4"/>
  <c r="H555" i="4"/>
  <c r="H554" i="4"/>
  <c r="H553" i="4"/>
  <c r="H552" i="4"/>
  <c r="H551" i="4"/>
  <c r="H550" i="4"/>
  <c r="H549" i="4"/>
  <c r="H548" i="4"/>
  <c r="H547" i="4"/>
  <c r="H546" i="4"/>
  <c r="H545" i="4"/>
  <c r="H544" i="4"/>
  <c r="H543" i="4"/>
  <c r="H542" i="4"/>
  <c r="H541" i="4"/>
  <c r="H540" i="4"/>
  <c r="H539" i="4"/>
  <c r="H538" i="4"/>
  <c r="H537" i="4"/>
  <c r="H536" i="4"/>
  <c r="H535" i="4"/>
  <c r="H534" i="4"/>
  <c r="H533" i="4"/>
  <c r="H532" i="4"/>
  <c r="H531" i="4"/>
  <c r="H530" i="4"/>
  <c r="H529" i="4"/>
  <c r="H528" i="4"/>
  <c r="H527" i="4"/>
  <c r="H526" i="4"/>
  <c r="H525" i="4"/>
  <c r="H524" i="4"/>
  <c r="H523" i="4"/>
  <c r="H522" i="4"/>
  <c r="H521" i="4"/>
  <c r="H520" i="4"/>
  <c r="H519" i="4"/>
  <c r="H518" i="4"/>
  <c r="H517" i="4"/>
  <c r="H516" i="4"/>
  <c r="H515" i="4"/>
  <c r="H514" i="4"/>
  <c r="H513" i="4"/>
  <c r="H512" i="4"/>
  <c r="H511" i="4"/>
  <c r="H510" i="4"/>
  <c r="H509" i="4"/>
  <c r="H508" i="4"/>
  <c r="H507" i="4"/>
  <c r="H506" i="4"/>
  <c r="H505" i="4"/>
  <c r="H504" i="4"/>
  <c r="H503" i="4"/>
  <c r="H502" i="4"/>
  <c r="H501" i="4"/>
  <c r="H500" i="4"/>
  <c r="H499" i="4"/>
  <c r="H498" i="4"/>
  <c r="H497" i="4"/>
  <c r="H496" i="4"/>
  <c r="H495" i="4"/>
  <c r="H494" i="4"/>
  <c r="H493" i="4"/>
  <c r="H492" i="4"/>
  <c r="H491" i="4"/>
  <c r="H490" i="4"/>
  <c r="H489" i="4"/>
  <c r="H488" i="4"/>
  <c r="H487" i="4"/>
  <c r="H486" i="4"/>
  <c r="H485" i="4"/>
  <c r="H484" i="4"/>
  <c r="H483" i="4"/>
  <c r="H482" i="4"/>
  <c r="H481" i="4"/>
  <c r="H480" i="4"/>
  <c r="H479" i="4"/>
  <c r="H478" i="4"/>
  <c r="H477" i="4"/>
  <c r="H476" i="4"/>
  <c r="H475" i="4"/>
  <c r="H474" i="4"/>
  <c r="H473" i="4"/>
  <c r="H472" i="4"/>
  <c r="H471" i="4"/>
  <c r="H470" i="4"/>
  <c r="H469" i="4"/>
  <c r="H468" i="4"/>
  <c r="H467" i="4"/>
  <c r="H466" i="4"/>
  <c r="H465" i="4"/>
  <c r="H464" i="4"/>
  <c r="H463" i="4"/>
  <c r="H462" i="4"/>
  <c r="H461" i="4"/>
  <c r="H460" i="4"/>
  <c r="H459" i="4"/>
  <c r="H458" i="4"/>
  <c r="H457" i="4"/>
  <c r="H456" i="4"/>
  <c r="H455" i="4"/>
  <c r="H454" i="4"/>
  <c r="H453" i="4"/>
  <c r="H452" i="4"/>
  <c r="H451" i="4"/>
  <c r="H450" i="4"/>
  <c r="H449" i="4"/>
  <c r="H448" i="4"/>
  <c r="H447" i="4"/>
  <c r="H446" i="4"/>
  <c r="H445" i="4"/>
  <c r="H444" i="4"/>
  <c r="H443" i="4"/>
  <c r="H442" i="4"/>
  <c r="H441" i="4"/>
  <c r="H440" i="4"/>
  <c r="H439" i="4"/>
  <c r="H438" i="4"/>
  <c r="H437" i="4"/>
  <c r="H436" i="4"/>
  <c r="H435" i="4"/>
  <c r="H434" i="4"/>
  <c r="H433" i="4"/>
  <c r="H432" i="4"/>
  <c r="H431" i="4"/>
  <c r="H430" i="4"/>
  <c r="H429" i="4"/>
  <c r="H428" i="4"/>
  <c r="H427" i="4"/>
  <c r="H426" i="4"/>
  <c r="H425" i="4"/>
  <c r="H424" i="4"/>
  <c r="H423" i="4"/>
  <c r="H422" i="4"/>
  <c r="H421" i="4"/>
  <c r="H420" i="4"/>
  <c r="H419" i="4"/>
  <c r="H418" i="4"/>
  <c r="H417" i="4"/>
  <c r="H416" i="4"/>
  <c r="H415" i="4"/>
  <c r="H414" i="4"/>
  <c r="H413" i="4"/>
  <c r="H412" i="4"/>
  <c r="H411" i="4"/>
  <c r="H410" i="4"/>
  <c r="H409" i="4"/>
  <c r="H408" i="4"/>
  <c r="H407" i="4"/>
  <c r="H406" i="4"/>
  <c r="H405" i="4"/>
  <c r="H404" i="4"/>
  <c r="H403" i="4"/>
  <c r="H402" i="4"/>
  <c r="H401" i="4"/>
  <c r="H400" i="4"/>
  <c r="H399" i="4"/>
  <c r="H398" i="4"/>
  <c r="H397" i="4"/>
  <c r="H396" i="4"/>
  <c r="H395" i="4"/>
  <c r="H394" i="4"/>
  <c r="H393" i="4"/>
  <c r="H392" i="4"/>
  <c r="H391" i="4"/>
  <c r="H390" i="4"/>
  <c r="H389" i="4"/>
  <c r="H388" i="4"/>
  <c r="H387" i="4"/>
  <c r="H386" i="4"/>
  <c r="H385" i="4"/>
  <c r="H384" i="4"/>
  <c r="H383" i="4"/>
  <c r="H382" i="4"/>
  <c r="H381" i="4"/>
  <c r="H380" i="4"/>
  <c r="H379" i="4"/>
  <c r="H378" i="4"/>
  <c r="H377" i="4"/>
  <c r="H376" i="4"/>
  <c r="H375" i="4"/>
  <c r="H374" i="4"/>
  <c r="H373" i="4"/>
  <c r="H372" i="4"/>
  <c r="H371" i="4"/>
  <c r="H370" i="4"/>
  <c r="H369" i="4"/>
  <c r="H368" i="4"/>
  <c r="H367" i="4"/>
  <c r="H366" i="4"/>
  <c r="H365" i="4"/>
  <c r="H364" i="4"/>
  <c r="H363" i="4"/>
  <c r="H362" i="4"/>
  <c r="H361" i="4"/>
  <c r="H360" i="4"/>
  <c r="H359" i="4"/>
  <c r="H358" i="4"/>
  <c r="H357" i="4"/>
  <c r="H356" i="4"/>
  <c r="H355" i="4"/>
  <c r="H354" i="4"/>
  <c r="H353" i="4"/>
  <c r="H352" i="4"/>
  <c r="H351" i="4"/>
  <c r="H350" i="4"/>
  <c r="H349" i="4"/>
  <c r="H348" i="4"/>
  <c r="H347" i="4"/>
  <c r="H346" i="4"/>
  <c r="H345" i="4"/>
  <c r="H344" i="4"/>
  <c r="H343" i="4"/>
  <c r="H342" i="4"/>
  <c r="H341" i="4"/>
  <c r="H340" i="4"/>
  <c r="H339" i="4"/>
  <c r="H338" i="4"/>
  <c r="H337" i="4"/>
  <c r="H336" i="4"/>
  <c r="H335" i="4"/>
  <c r="H334" i="4"/>
  <c r="H333" i="4"/>
  <c r="H332" i="4"/>
  <c r="H331" i="4"/>
  <c r="H330" i="4"/>
  <c r="H329" i="4"/>
  <c r="H328" i="4"/>
  <c r="H327" i="4"/>
  <c r="H326" i="4"/>
  <c r="H325" i="4"/>
  <c r="H324" i="4"/>
  <c r="H323" i="4"/>
  <c r="H322" i="4"/>
  <c r="H321" i="4"/>
  <c r="H320" i="4"/>
  <c r="H319" i="4"/>
  <c r="H318" i="4"/>
  <c r="H317" i="4"/>
  <c r="H316" i="4"/>
  <c r="H315" i="4"/>
  <c r="H314" i="4"/>
  <c r="H313" i="4"/>
  <c r="H312" i="4"/>
  <c r="H311" i="4"/>
  <c r="H310" i="4"/>
  <c r="H309" i="4"/>
  <c r="H308" i="4"/>
  <c r="H307" i="4"/>
  <c r="H306" i="4"/>
  <c r="H305" i="4"/>
  <c r="H304" i="4"/>
  <c r="H303" i="4"/>
  <c r="H302" i="4"/>
  <c r="H301" i="4"/>
  <c r="H300" i="4"/>
  <c r="H299" i="4"/>
  <c r="H298" i="4"/>
  <c r="H297" i="4"/>
  <c r="H296" i="4"/>
  <c r="H295" i="4"/>
  <c r="H294" i="4"/>
  <c r="H293" i="4"/>
  <c r="H292" i="4"/>
  <c r="H291" i="4"/>
  <c r="H290" i="4"/>
  <c r="H289" i="4"/>
  <c r="H288" i="4"/>
  <c r="H287" i="4"/>
  <c r="H286" i="4"/>
  <c r="H285" i="4"/>
  <c r="H284" i="4"/>
  <c r="H283" i="4"/>
  <c r="H282" i="4"/>
  <c r="H281" i="4"/>
  <c r="H280" i="4"/>
  <c r="H279" i="4"/>
  <c r="H278" i="4"/>
  <c r="H277" i="4"/>
  <c r="H276" i="4"/>
  <c r="H275" i="4"/>
  <c r="H274" i="4"/>
  <c r="H273" i="4"/>
  <c r="H272" i="4"/>
  <c r="H271" i="4"/>
  <c r="H270" i="4"/>
  <c r="H269" i="4"/>
  <c r="H268" i="4"/>
  <c r="H267" i="4"/>
  <c r="H266" i="4"/>
  <c r="H265" i="4"/>
  <c r="H264" i="4"/>
  <c r="H263" i="4"/>
  <c r="H262" i="4"/>
  <c r="H261" i="4"/>
  <c r="H260" i="4"/>
  <c r="H259" i="4"/>
  <c r="H258" i="4"/>
  <c r="H257" i="4"/>
  <c r="H256" i="4"/>
  <c r="H255" i="4"/>
  <c r="H254" i="4"/>
  <c r="H253" i="4"/>
  <c r="H252" i="4"/>
  <c r="H251" i="4"/>
  <c r="H250" i="4"/>
  <c r="H249" i="4"/>
  <c r="H248" i="4"/>
  <c r="H247" i="4"/>
  <c r="H246" i="4"/>
  <c r="H245" i="4"/>
  <c r="H244" i="4"/>
  <c r="H243" i="4"/>
  <c r="H242" i="4"/>
  <c r="H241" i="4"/>
  <c r="H240" i="4"/>
  <c r="H239" i="4"/>
  <c r="H238" i="4"/>
  <c r="H237" i="4"/>
  <c r="H236" i="4"/>
  <c r="H235" i="4"/>
  <c r="H234" i="4"/>
  <c r="H233" i="4"/>
  <c r="H232" i="4"/>
  <c r="H231" i="4"/>
  <c r="H230" i="4"/>
  <c r="H229" i="4"/>
  <c r="H228" i="4"/>
  <c r="H227" i="4"/>
  <c r="H226" i="4"/>
  <c r="H225" i="4"/>
  <c r="H224" i="4"/>
  <c r="H223" i="4"/>
  <c r="H222" i="4"/>
  <c r="H221" i="4"/>
  <c r="H220" i="4"/>
  <c r="H219" i="4"/>
  <c r="H218" i="4"/>
  <c r="H217" i="4"/>
  <c r="H216" i="4"/>
  <c r="H215" i="4"/>
  <c r="H214" i="4"/>
  <c r="H213" i="4"/>
  <c r="H212" i="4"/>
  <c r="H211" i="4"/>
  <c r="H210" i="4"/>
  <c r="H209" i="4"/>
  <c r="H208" i="4"/>
  <c r="H207" i="4"/>
  <c r="H206" i="4"/>
  <c r="H205" i="4"/>
  <c r="H204" i="4"/>
  <c r="H203" i="4"/>
  <c r="H202" i="4"/>
  <c r="H201" i="4"/>
  <c r="H200" i="4"/>
  <c r="H199" i="4"/>
  <c r="H198" i="4"/>
  <c r="H197" i="4"/>
  <c r="H196" i="4"/>
  <c r="H195" i="4"/>
  <c r="H194" i="4"/>
  <c r="H193" i="4"/>
  <c r="H192" i="4"/>
  <c r="H191" i="4"/>
  <c r="H190" i="4"/>
  <c r="H189" i="4"/>
  <c r="H188" i="4"/>
  <c r="H187" i="4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71" i="4"/>
  <c r="H170" i="4"/>
  <c r="H169" i="4"/>
  <c r="H168" i="4"/>
  <c r="H167" i="4"/>
  <c r="H166" i="4"/>
  <c r="H165" i="4"/>
  <c r="H164" i="4"/>
  <c r="H163" i="4"/>
  <c r="H162" i="4"/>
  <c r="H161" i="4"/>
  <c r="H160" i="4"/>
  <c r="H159" i="4"/>
  <c r="H158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H1585" i="3"/>
  <c r="H1584" i="3"/>
  <c r="H1583" i="3"/>
  <c r="H1582" i="3"/>
  <c r="H1581" i="3"/>
  <c r="H1580" i="3"/>
  <c r="H1579" i="3"/>
  <c r="H1578" i="3"/>
  <c r="H1577" i="3"/>
  <c r="H1576" i="3"/>
  <c r="H1575" i="3"/>
  <c r="H1574" i="3"/>
  <c r="H1573" i="3"/>
  <c r="H1572" i="3"/>
  <c r="H1571" i="3"/>
  <c r="H1570" i="3"/>
  <c r="H1569" i="3"/>
  <c r="H1568" i="3"/>
  <c r="H1567" i="3"/>
  <c r="H1566" i="3"/>
  <c r="H1565" i="3"/>
  <c r="H1564" i="3"/>
  <c r="H1563" i="3"/>
  <c r="H1562" i="3"/>
  <c r="H1561" i="3"/>
  <c r="H1560" i="3"/>
  <c r="H1559" i="3"/>
  <c r="H1558" i="3"/>
  <c r="H1557" i="3"/>
  <c r="H1556" i="3"/>
  <c r="H1555" i="3"/>
  <c r="H1554" i="3"/>
  <c r="H1553" i="3"/>
  <c r="H1552" i="3"/>
  <c r="H1551" i="3"/>
  <c r="H1550" i="3"/>
  <c r="H1549" i="3"/>
  <c r="H1548" i="3"/>
  <c r="H1547" i="3"/>
  <c r="H1546" i="3"/>
  <c r="H1545" i="3"/>
  <c r="H1544" i="3"/>
  <c r="H1543" i="3"/>
  <c r="H1542" i="3"/>
  <c r="H1541" i="3"/>
  <c r="H1540" i="3"/>
  <c r="H1539" i="3"/>
  <c r="H1538" i="3"/>
  <c r="H1537" i="3"/>
  <c r="H1536" i="3"/>
  <c r="H1535" i="3"/>
  <c r="H1534" i="3"/>
  <c r="H1533" i="3"/>
  <c r="H1532" i="3"/>
  <c r="H1531" i="3"/>
  <c r="H1530" i="3"/>
  <c r="H1529" i="3"/>
  <c r="H1528" i="3"/>
  <c r="H1527" i="3"/>
  <c r="H1526" i="3"/>
  <c r="H1525" i="3"/>
  <c r="H1524" i="3"/>
  <c r="H1523" i="3"/>
  <c r="H1522" i="3"/>
  <c r="H1521" i="3"/>
  <c r="H1520" i="3"/>
  <c r="H1519" i="3"/>
  <c r="H1518" i="3"/>
  <c r="H1517" i="3"/>
  <c r="H1516" i="3"/>
  <c r="H1515" i="3"/>
  <c r="H1514" i="3"/>
  <c r="H1513" i="3"/>
  <c r="H1512" i="3"/>
  <c r="H1511" i="3"/>
  <c r="H1510" i="3"/>
  <c r="H1509" i="3"/>
  <c r="H1508" i="3"/>
  <c r="H1507" i="3"/>
  <c r="H1506" i="3"/>
  <c r="H1505" i="3"/>
  <c r="H1504" i="3"/>
  <c r="H1503" i="3"/>
  <c r="H1502" i="3"/>
  <c r="H1501" i="3"/>
  <c r="H1500" i="3"/>
  <c r="H1499" i="3"/>
  <c r="H1498" i="3"/>
  <c r="H1497" i="3"/>
  <c r="H1496" i="3"/>
  <c r="H1495" i="3"/>
  <c r="H1494" i="3"/>
  <c r="H1493" i="3"/>
  <c r="H1492" i="3"/>
  <c r="H1491" i="3"/>
  <c r="H1490" i="3"/>
  <c r="H1489" i="3"/>
  <c r="H1488" i="3"/>
  <c r="H1487" i="3"/>
  <c r="H1486" i="3"/>
  <c r="H1485" i="3"/>
  <c r="H1484" i="3"/>
  <c r="H1483" i="3"/>
  <c r="H1482" i="3"/>
  <c r="H1481" i="3"/>
  <c r="H1480" i="3"/>
  <c r="H1479" i="3"/>
  <c r="H1478" i="3"/>
  <c r="H1477" i="3"/>
  <c r="H1476" i="3"/>
  <c r="H1475" i="3"/>
  <c r="H1474" i="3"/>
  <c r="H1473" i="3"/>
  <c r="H1472" i="3"/>
  <c r="H1471" i="3"/>
  <c r="H1470" i="3"/>
  <c r="H1469" i="3"/>
  <c r="H1468" i="3"/>
  <c r="H1467" i="3"/>
  <c r="H1466" i="3"/>
  <c r="H1465" i="3"/>
  <c r="H1464" i="3"/>
  <c r="H1463" i="3"/>
  <c r="H1462" i="3"/>
  <c r="H1461" i="3"/>
  <c r="H1460" i="3"/>
  <c r="H1459" i="3"/>
  <c r="H1458" i="3"/>
  <c r="H1457" i="3"/>
  <c r="H1456" i="3"/>
  <c r="H1455" i="3"/>
  <c r="H1454" i="3"/>
  <c r="H1453" i="3"/>
  <c r="H1452" i="3"/>
  <c r="H1451" i="3"/>
  <c r="H1450" i="3"/>
  <c r="H1449" i="3"/>
  <c r="H1448" i="3"/>
  <c r="H1447" i="3"/>
  <c r="H1446" i="3"/>
  <c r="H1445" i="3"/>
  <c r="H1444" i="3"/>
  <c r="H1443" i="3"/>
  <c r="H1442" i="3"/>
  <c r="H1441" i="3"/>
  <c r="H1440" i="3"/>
  <c r="H1439" i="3"/>
  <c r="H1438" i="3"/>
  <c r="H1437" i="3"/>
  <c r="H1436" i="3"/>
  <c r="H1435" i="3"/>
  <c r="H1434" i="3"/>
  <c r="H1433" i="3"/>
  <c r="H1432" i="3"/>
  <c r="H1431" i="3"/>
  <c r="H1430" i="3"/>
  <c r="H1429" i="3"/>
  <c r="H1428" i="3"/>
  <c r="H1427" i="3"/>
  <c r="H1426" i="3"/>
  <c r="H1425" i="3"/>
  <c r="H1424" i="3"/>
  <c r="H1423" i="3"/>
  <c r="H1422" i="3"/>
  <c r="H1421" i="3"/>
  <c r="H1420" i="3"/>
  <c r="H1419" i="3"/>
  <c r="H1418" i="3"/>
  <c r="H1417" i="3"/>
  <c r="H1416" i="3"/>
  <c r="H1415" i="3"/>
  <c r="H1414" i="3"/>
  <c r="H1413" i="3"/>
  <c r="H1412" i="3"/>
  <c r="H1411" i="3"/>
  <c r="H1410" i="3"/>
  <c r="H1409" i="3"/>
  <c r="H1408" i="3"/>
  <c r="H1407" i="3"/>
  <c r="H1406" i="3"/>
  <c r="H1405" i="3"/>
  <c r="H1404" i="3"/>
  <c r="H1403" i="3"/>
  <c r="H1402" i="3"/>
  <c r="H1401" i="3"/>
  <c r="H1400" i="3"/>
  <c r="H1399" i="3"/>
  <c r="H1398" i="3"/>
  <c r="H1397" i="3"/>
  <c r="H1396" i="3"/>
  <c r="H1395" i="3"/>
  <c r="H1394" i="3"/>
  <c r="H1393" i="3"/>
  <c r="H1392" i="3"/>
  <c r="H1391" i="3"/>
  <c r="H1390" i="3"/>
  <c r="H1389" i="3"/>
  <c r="H1388" i="3"/>
  <c r="H1387" i="3"/>
  <c r="H1386" i="3"/>
  <c r="H1385" i="3"/>
  <c r="H1384" i="3"/>
  <c r="H1383" i="3"/>
  <c r="H1382" i="3"/>
  <c r="H1381" i="3"/>
  <c r="H1380" i="3"/>
  <c r="H1379" i="3"/>
  <c r="H1378" i="3"/>
  <c r="H1377" i="3"/>
  <c r="H1376" i="3"/>
  <c r="H1375" i="3"/>
  <c r="H1374" i="3"/>
  <c r="H1373" i="3"/>
  <c r="H1372" i="3"/>
  <c r="H1371" i="3"/>
  <c r="H1370" i="3"/>
  <c r="H1369" i="3"/>
  <c r="H1368" i="3"/>
  <c r="H1367" i="3"/>
  <c r="H1366" i="3"/>
  <c r="H1365" i="3"/>
  <c r="H1364" i="3"/>
  <c r="H1363" i="3"/>
  <c r="H1362" i="3"/>
  <c r="H1361" i="3"/>
  <c r="H1360" i="3"/>
  <c r="H1359" i="3"/>
  <c r="H1358" i="3"/>
  <c r="H1357" i="3"/>
  <c r="H1356" i="3"/>
  <c r="H1355" i="3"/>
  <c r="H1354" i="3"/>
  <c r="H1353" i="3"/>
  <c r="H1352" i="3"/>
  <c r="H1351" i="3"/>
  <c r="H1350" i="3"/>
  <c r="H1349" i="3"/>
  <c r="H1348" i="3"/>
  <c r="H1347" i="3"/>
  <c r="H1346" i="3"/>
  <c r="H1345" i="3"/>
  <c r="H1344" i="3"/>
  <c r="H1343" i="3"/>
  <c r="H1342" i="3"/>
  <c r="H1341" i="3"/>
  <c r="H1340" i="3"/>
  <c r="H1339" i="3"/>
  <c r="H1338" i="3"/>
  <c r="H1337" i="3"/>
  <c r="H1336" i="3"/>
  <c r="H1335" i="3"/>
  <c r="H1334" i="3"/>
  <c r="H1333" i="3"/>
  <c r="H1332" i="3"/>
  <c r="H1331" i="3"/>
  <c r="H1330" i="3"/>
  <c r="H1329" i="3"/>
  <c r="H1328" i="3"/>
  <c r="H1327" i="3"/>
  <c r="H1326" i="3"/>
  <c r="H1325" i="3"/>
  <c r="H1324" i="3"/>
  <c r="H1323" i="3"/>
  <c r="H1322" i="3"/>
  <c r="H1321" i="3"/>
  <c r="H1320" i="3"/>
  <c r="H1319" i="3"/>
  <c r="H1318" i="3"/>
  <c r="H1317" i="3"/>
  <c r="H1316" i="3"/>
  <c r="H1315" i="3"/>
  <c r="H1314" i="3"/>
  <c r="H1313" i="3"/>
  <c r="H1312" i="3"/>
  <c r="H1311" i="3"/>
  <c r="H1310" i="3"/>
  <c r="H1309" i="3"/>
  <c r="H1308" i="3"/>
  <c r="H1307" i="3"/>
  <c r="H1306" i="3"/>
  <c r="H1305" i="3"/>
  <c r="H1304" i="3"/>
  <c r="H1303" i="3"/>
  <c r="H1302" i="3"/>
  <c r="H1301" i="3"/>
  <c r="H1300" i="3"/>
  <c r="H1299" i="3"/>
  <c r="H1298" i="3"/>
  <c r="H1297" i="3"/>
  <c r="H1296" i="3"/>
  <c r="H1295" i="3"/>
  <c r="H1294" i="3"/>
  <c r="H1293" i="3"/>
  <c r="H1292" i="3"/>
  <c r="H1291" i="3"/>
  <c r="H1290" i="3"/>
  <c r="H1289" i="3"/>
  <c r="H1288" i="3"/>
  <c r="H1287" i="3"/>
  <c r="H1286" i="3"/>
  <c r="H1285" i="3"/>
  <c r="H1284" i="3"/>
  <c r="H1283" i="3"/>
  <c r="H1282" i="3"/>
  <c r="H1281" i="3"/>
  <c r="H1280" i="3"/>
  <c r="H1279" i="3"/>
  <c r="H1278" i="3"/>
  <c r="H1277" i="3"/>
  <c r="H1276" i="3"/>
  <c r="H1275" i="3"/>
  <c r="H1274" i="3"/>
  <c r="H1273" i="3"/>
  <c r="H1272" i="3"/>
  <c r="H1271" i="3"/>
  <c r="H1270" i="3"/>
  <c r="H1269" i="3"/>
  <c r="H1268" i="3"/>
  <c r="H1267" i="3"/>
  <c r="H1266" i="3"/>
  <c r="H1265" i="3"/>
  <c r="H1264" i="3"/>
  <c r="H1263" i="3"/>
  <c r="H1262" i="3"/>
  <c r="H1261" i="3"/>
  <c r="H1260" i="3"/>
  <c r="H1259" i="3"/>
  <c r="H1258" i="3"/>
  <c r="H1257" i="3"/>
  <c r="H1256" i="3"/>
  <c r="H1255" i="3"/>
  <c r="H1254" i="3"/>
  <c r="H1253" i="3"/>
  <c r="H1252" i="3"/>
  <c r="H1251" i="3"/>
  <c r="H1250" i="3"/>
  <c r="H1249" i="3"/>
  <c r="H1248" i="3"/>
  <c r="H1247" i="3"/>
  <c r="H1246" i="3"/>
  <c r="H1245" i="3"/>
  <c r="H1244" i="3"/>
  <c r="H1243" i="3"/>
  <c r="H1242" i="3"/>
  <c r="H1241" i="3"/>
  <c r="H1240" i="3"/>
  <c r="H1239" i="3"/>
  <c r="H1238" i="3"/>
  <c r="H1237" i="3"/>
  <c r="H1236" i="3"/>
  <c r="H1235" i="3"/>
  <c r="H1234" i="3"/>
  <c r="H1233" i="3"/>
  <c r="H1232" i="3"/>
  <c r="H1231" i="3"/>
  <c r="H1230" i="3"/>
  <c r="H1229" i="3"/>
  <c r="H1228" i="3"/>
  <c r="H1227" i="3"/>
  <c r="H1226" i="3"/>
  <c r="H1225" i="3"/>
  <c r="H1224" i="3"/>
  <c r="H1223" i="3"/>
  <c r="H1222" i="3"/>
  <c r="H1221" i="3"/>
  <c r="H1220" i="3"/>
  <c r="H1219" i="3"/>
  <c r="H1218" i="3"/>
  <c r="H1217" i="3"/>
  <c r="H1216" i="3"/>
  <c r="H1215" i="3"/>
  <c r="H1214" i="3"/>
  <c r="H1213" i="3"/>
  <c r="H1212" i="3"/>
  <c r="H1211" i="3"/>
  <c r="H1210" i="3"/>
  <c r="H1209" i="3"/>
  <c r="H1208" i="3"/>
  <c r="H1207" i="3"/>
  <c r="H1206" i="3"/>
  <c r="H1205" i="3"/>
  <c r="H1204" i="3"/>
  <c r="H1203" i="3"/>
  <c r="H1202" i="3"/>
  <c r="H1201" i="3"/>
  <c r="H1200" i="3"/>
  <c r="H1199" i="3"/>
  <c r="H1198" i="3"/>
  <c r="H1197" i="3"/>
  <c r="H1196" i="3"/>
  <c r="H1195" i="3"/>
  <c r="H1194" i="3"/>
  <c r="H1193" i="3"/>
  <c r="H1192" i="3"/>
  <c r="H1191" i="3"/>
  <c r="H1190" i="3"/>
  <c r="H1189" i="3"/>
  <c r="H1188" i="3"/>
  <c r="H1187" i="3"/>
  <c r="H1186" i="3"/>
  <c r="H1185" i="3"/>
  <c r="H1184" i="3"/>
  <c r="H1183" i="3"/>
  <c r="H1182" i="3"/>
  <c r="H1181" i="3"/>
  <c r="H1180" i="3"/>
  <c r="H1179" i="3"/>
  <c r="H1178" i="3"/>
  <c r="H1177" i="3"/>
  <c r="H1176" i="3"/>
  <c r="H1175" i="3"/>
  <c r="H1174" i="3"/>
  <c r="H1173" i="3"/>
  <c r="H1172" i="3"/>
  <c r="H1171" i="3"/>
  <c r="H1170" i="3"/>
  <c r="H1169" i="3"/>
  <c r="H1168" i="3"/>
  <c r="H1167" i="3"/>
  <c r="H1166" i="3"/>
  <c r="H1165" i="3"/>
  <c r="H1164" i="3"/>
  <c r="H1163" i="3"/>
  <c r="H1162" i="3"/>
  <c r="H1161" i="3"/>
  <c r="H1160" i="3"/>
  <c r="H1159" i="3"/>
  <c r="H1158" i="3"/>
  <c r="H1157" i="3"/>
  <c r="H1156" i="3"/>
  <c r="H1155" i="3"/>
  <c r="H1154" i="3"/>
  <c r="H1153" i="3"/>
  <c r="H1152" i="3"/>
  <c r="H1151" i="3"/>
  <c r="H1150" i="3"/>
  <c r="H1149" i="3"/>
  <c r="H1148" i="3"/>
  <c r="H1147" i="3"/>
  <c r="H1146" i="3"/>
  <c r="H1145" i="3"/>
  <c r="H1144" i="3"/>
  <c r="H1143" i="3"/>
  <c r="H1142" i="3"/>
  <c r="H1141" i="3"/>
  <c r="H1140" i="3"/>
  <c r="H1139" i="3"/>
  <c r="H1138" i="3"/>
  <c r="H1137" i="3"/>
  <c r="H1136" i="3"/>
  <c r="H1135" i="3"/>
  <c r="H1134" i="3"/>
  <c r="H1133" i="3"/>
  <c r="H1132" i="3"/>
  <c r="H1131" i="3"/>
  <c r="H1130" i="3"/>
  <c r="H1129" i="3"/>
  <c r="H1128" i="3"/>
  <c r="H1127" i="3"/>
  <c r="H1126" i="3"/>
  <c r="H1125" i="3"/>
  <c r="H1124" i="3"/>
  <c r="H1123" i="3"/>
  <c r="H1122" i="3"/>
  <c r="H1121" i="3"/>
  <c r="H1120" i="3"/>
  <c r="H1119" i="3"/>
  <c r="H1118" i="3"/>
  <c r="H1117" i="3"/>
  <c r="H1116" i="3"/>
  <c r="H1115" i="3"/>
  <c r="H1114" i="3"/>
  <c r="H1113" i="3"/>
  <c r="H1112" i="3"/>
  <c r="H1111" i="3"/>
  <c r="H1110" i="3"/>
  <c r="H1109" i="3"/>
  <c r="H1108" i="3"/>
  <c r="H1107" i="3"/>
  <c r="H1106" i="3"/>
  <c r="H1105" i="3"/>
  <c r="H1104" i="3"/>
  <c r="H1103" i="3"/>
  <c r="H1102" i="3"/>
  <c r="H1101" i="3"/>
  <c r="H1100" i="3"/>
  <c r="H1099" i="3"/>
  <c r="H1098" i="3"/>
  <c r="H1097" i="3"/>
  <c r="H1096" i="3"/>
  <c r="H1095" i="3"/>
  <c r="H1094" i="3"/>
  <c r="H1093" i="3"/>
  <c r="H1092" i="3"/>
  <c r="H1091" i="3"/>
  <c r="H1090" i="3"/>
  <c r="H1089" i="3"/>
  <c r="H1088" i="3"/>
  <c r="H1087" i="3"/>
  <c r="H1086" i="3"/>
  <c r="H1085" i="3"/>
  <c r="H1084" i="3"/>
  <c r="H1083" i="3"/>
  <c r="H1082" i="3"/>
  <c r="H1081" i="3"/>
  <c r="H1080" i="3"/>
  <c r="H1079" i="3"/>
  <c r="H1078" i="3"/>
  <c r="H1077" i="3"/>
  <c r="H1076" i="3"/>
  <c r="H1075" i="3"/>
  <c r="H1074" i="3"/>
  <c r="H1073" i="3"/>
  <c r="H1072" i="3"/>
  <c r="H1071" i="3"/>
  <c r="H1070" i="3"/>
  <c r="H1069" i="3"/>
  <c r="H1068" i="3"/>
  <c r="H1067" i="3"/>
  <c r="H1066" i="3"/>
  <c r="H1065" i="3"/>
  <c r="H1064" i="3"/>
  <c r="H1063" i="3"/>
  <c r="H1062" i="3"/>
  <c r="H1061" i="3"/>
  <c r="H1060" i="3"/>
  <c r="H1059" i="3"/>
  <c r="H1058" i="3"/>
  <c r="H1057" i="3"/>
  <c r="H1056" i="3"/>
  <c r="H1055" i="3"/>
  <c r="H1054" i="3"/>
  <c r="H1053" i="3"/>
  <c r="H1052" i="3"/>
  <c r="H1051" i="3"/>
  <c r="H1050" i="3"/>
  <c r="H1049" i="3"/>
  <c r="H1048" i="3"/>
  <c r="H1047" i="3"/>
  <c r="H1046" i="3"/>
  <c r="H1045" i="3"/>
  <c r="H1044" i="3"/>
  <c r="H1043" i="3"/>
  <c r="H1042" i="3"/>
  <c r="H1041" i="3"/>
  <c r="H1040" i="3"/>
  <c r="H1039" i="3"/>
  <c r="H1038" i="3"/>
  <c r="H1037" i="3"/>
  <c r="H1036" i="3"/>
  <c r="H1035" i="3"/>
  <c r="H1034" i="3"/>
  <c r="H1033" i="3"/>
  <c r="H1032" i="3"/>
  <c r="H1031" i="3"/>
  <c r="H1030" i="3"/>
  <c r="H1029" i="3"/>
  <c r="H1028" i="3"/>
  <c r="H1027" i="3"/>
  <c r="H1026" i="3"/>
  <c r="H1025" i="3"/>
  <c r="H1024" i="3"/>
  <c r="H1023" i="3"/>
  <c r="H1022" i="3"/>
  <c r="H1021" i="3"/>
  <c r="H1020" i="3"/>
  <c r="H1019" i="3"/>
  <c r="H1018" i="3"/>
  <c r="H1017" i="3"/>
  <c r="H1016" i="3"/>
  <c r="H1015" i="3"/>
  <c r="H1014" i="3"/>
  <c r="H1013" i="3"/>
  <c r="H1012" i="3"/>
  <c r="H1011" i="3"/>
  <c r="H1010" i="3"/>
  <c r="H1009" i="3"/>
  <c r="H1008" i="3"/>
  <c r="H1007" i="3"/>
  <c r="H1006" i="3"/>
  <c r="H1005" i="3"/>
  <c r="H1004" i="3"/>
  <c r="H1003" i="3"/>
  <c r="H1002" i="3"/>
  <c r="H1001" i="3"/>
  <c r="H1000" i="3"/>
  <c r="H999" i="3"/>
  <c r="H998" i="3"/>
  <c r="H997" i="3"/>
  <c r="H996" i="3"/>
  <c r="H995" i="3"/>
  <c r="H994" i="3"/>
  <c r="H993" i="3"/>
  <c r="H992" i="3"/>
  <c r="H991" i="3"/>
  <c r="H990" i="3"/>
  <c r="H989" i="3"/>
  <c r="H988" i="3"/>
  <c r="H987" i="3"/>
  <c r="H986" i="3"/>
  <c r="H985" i="3"/>
  <c r="H984" i="3"/>
  <c r="H983" i="3"/>
  <c r="H982" i="3"/>
  <c r="H981" i="3"/>
  <c r="H980" i="3"/>
  <c r="H979" i="3"/>
  <c r="H978" i="3"/>
  <c r="H977" i="3"/>
  <c r="H976" i="3"/>
  <c r="H975" i="3"/>
  <c r="H974" i="3"/>
  <c r="H973" i="3"/>
  <c r="H972" i="3"/>
  <c r="H971" i="3"/>
  <c r="H970" i="3"/>
  <c r="H969" i="3"/>
  <c r="H968" i="3"/>
  <c r="H967" i="3"/>
  <c r="H966" i="3"/>
  <c r="H965" i="3"/>
  <c r="H964" i="3"/>
  <c r="H963" i="3"/>
  <c r="H962" i="3"/>
  <c r="H961" i="3"/>
  <c r="H960" i="3"/>
  <c r="H959" i="3"/>
  <c r="H958" i="3"/>
  <c r="H957" i="3"/>
  <c r="H956" i="3"/>
  <c r="H955" i="3"/>
  <c r="H954" i="3"/>
  <c r="H953" i="3"/>
  <c r="H952" i="3"/>
  <c r="H951" i="3"/>
  <c r="H950" i="3"/>
  <c r="H949" i="3"/>
  <c r="H948" i="3"/>
  <c r="H947" i="3"/>
  <c r="H946" i="3"/>
  <c r="H945" i="3"/>
  <c r="H944" i="3"/>
  <c r="H943" i="3"/>
  <c r="H942" i="3"/>
  <c r="H941" i="3"/>
  <c r="H940" i="3"/>
  <c r="H939" i="3"/>
  <c r="H938" i="3"/>
  <c r="H937" i="3"/>
  <c r="H936" i="3"/>
  <c r="H935" i="3"/>
  <c r="H934" i="3"/>
  <c r="H933" i="3"/>
  <c r="H932" i="3"/>
  <c r="H931" i="3"/>
  <c r="H930" i="3"/>
  <c r="H929" i="3"/>
  <c r="H928" i="3"/>
  <c r="H927" i="3"/>
  <c r="H926" i="3"/>
  <c r="H925" i="3"/>
  <c r="H924" i="3"/>
  <c r="H923" i="3"/>
  <c r="H922" i="3"/>
  <c r="H921" i="3"/>
  <c r="H920" i="3"/>
  <c r="H919" i="3"/>
  <c r="H918" i="3"/>
  <c r="H917" i="3"/>
  <c r="H916" i="3"/>
  <c r="H915" i="3"/>
  <c r="H914" i="3"/>
  <c r="H913" i="3"/>
  <c r="H912" i="3"/>
  <c r="H911" i="3"/>
  <c r="H910" i="3"/>
  <c r="H909" i="3"/>
  <c r="H908" i="3"/>
  <c r="H907" i="3"/>
  <c r="H906" i="3"/>
  <c r="H905" i="3"/>
  <c r="H904" i="3"/>
  <c r="H903" i="3"/>
  <c r="H902" i="3"/>
  <c r="H901" i="3"/>
  <c r="H900" i="3"/>
  <c r="H899" i="3"/>
  <c r="H898" i="3"/>
  <c r="H897" i="3"/>
  <c r="H896" i="3"/>
  <c r="H895" i="3"/>
  <c r="H894" i="3"/>
  <c r="H893" i="3"/>
  <c r="H892" i="3"/>
  <c r="H891" i="3"/>
  <c r="H890" i="3"/>
  <c r="H889" i="3"/>
  <c r="H888" i="3"/>
  <c r="H887" i="3"/>
  <c r="H886" i="3"/>
  <c r="H885" i="3"/>
  <c r="H884" i="3"/>
  <c r="H883" i="3"/>
  <c r="H882" i="3"/>
  <c r="H881" i="3"/>
  <c r="H880" i="3"/>
  <c r="H879" i="3"/>
  <c r="H878" i="3"/>
  <c r="H877" i="3"/>
  <c r="H876" i="3"/>
  <c r="H875" i="3"/>
  <c r="H874" i="3"/>
  <c r="H873" i="3"/>
  <c r="H872" i="3"/>
  <c r="H871" i="3"/>
  <c r="H870" i="3"/>
  <c r="H869" i="3"/>
  <c r="H868" i="3"/>
  <c r="H867" i="3"/>
  <c r="H866" i="3"/>
  <c r="H865" i="3"/>
  <c r="H864" i="3"/>
  <c r="H863" i="3"/>
  <c r="H862" i="3"/>
  <c r="H861" i="3"/>
  <c r="H860" i="3"/>
  <c r="H859" i="3"/>
  <c r="H858" i="3"/>
  <c r="H857" i="3"/>
  <c r="H856" i="3"/>
  <c r="H855" i="3"/>
  <c r="H854" i="3"/>
  <c r="H853" i="3"/>
  <c r="H852" i="3"/>
  <c r="H851" i="3"/>
  <c r="H850" i="3"/>
  <c r="H849" i="3"/>
  <c r="H848" i="3"/>
  <c r="H847" i="3"/>
  <c r="H846" i="3"/>
  <c r="H845" i="3"/>
  <c r="H844" i="3"/>
  <c r="H843" i="3"/>
  <c r="H842" i="3"/>
  <c r="H841" i="3"/>
  <c r="H840" i="3"/>
  <c r="H839" i="3"/>
  <c r="H838" i="3"/>
  <c r="H837" i="3"/>
  <c r="H836" i="3"/>
  <c r="H835" i="3"/>
  <c r="H834" i="3"/>
  <c r="H833" i="3"/>
  <c r="H832" i="3"/>
  <c r="H831" i="3"/>
  <c r="H830" i="3"/>
  <c r="H829" i="3"/>
  <c r="H828" i="3"/>
  <c r="H827" i="3"/>
  <c r="H826" i="3"/>
  <c r="H825" i="3"/>
  <c r="H824" i="3"/>
  <c r="H823" i="3"/>
  <c r="H822" i="3"/>
  <c r="H821" i="3"/>
  <c r="H820" i="3"/>
  <c r="H819" i="3"/>
  <c r="H818" i="3"/>
  <c r="H817" i="3"/>
  <c r="H816" i="3"/>
  <c r="H815" i="3"/>
  <c r="H814" i="3"/>
  <c r="H813" i="3"/>
  <c r="H812" i="3"/>
  <c r="H811" i="3"/>
  <c r="H810" i="3"/>
  <c r="H809" i="3"/>
  <c r="H808" i="3"/>
  <c r="H807" i="3"/>
  <c r="H806" i="3"/>
  <c r="H805" i="3"/>
  <c r="H804" i="3"/>
  <c r="H803" i="3"/>
  <c r="H802" i="3"/>
  <c r="H801" i="3"/>
  <c r="H800" i="3"/>
  <c r="H799" i="3"/>
  <c r="H798" i="3"/>
  <c r="H797" i="3"/>
  <c r="H796" i="3"/>
  <c r="H795" i="3"/>
  <c r="H794" i="3"/>
  <c r="H793" i="3"/>
  <c r="H792" i="3"/>
  <c r="H791" i="3"/>
  <c r="H790" i="3"/>
  <c r="H789" i="3"/>
  <c r="H788" i="3"/>
  <c r="H787" i="3"/>
  <c r="H786" i="3"/>
  <c r="H785" i="3"/>
  <c r="H784" i="3"/>
  <c r="H783" i="3"/>
  <c r="H782" i="3"/>
  <c r="H781" i="3"/>
  <c r="H780" i="3"/>
  <c r="H779" i="3"/>
  <c r="H778" i="3"/>
  <c r="H777" i="3"/>
  <c r="H776" i="3"/>
  <c r="H775" i="3"/>
  <c r="H774" i="3"/>
  <c r="H773" i="3"/>
  <c r="H772" i="3"/>
  <c r="H771" i="3"/>
  <c r="H770" i="3"/>
  <c r="H769" i="3"/>
  <c r="H768" i="3"/>
  <c r="H767" i="3"/>
  <c r="H766" i="3"/>
  <c r="H765" i="3"/>
  <c r="H764" i="3"/>
  <c r="H763" i="3"/>
  <c r="H762" i="3"/>
  <c r="H761" i="3"/>
  <c r="H760" i="3"/>
  <c r="H759" i="3"/>
  <c r="H758" i="3"/>
  <c r="H757" i="3"/>
  <c r="H756" i="3"/>
  <c r="H755" i="3"/>
  <c r="H754" i="3"/>
  <c r="H753" i="3"/>
  <c r="H752" i="3"/>
  <c r="H751" i="3"/>
  <c r="H750" i="3"/>
  <c r="H749" i="3"/>
  <c r="H748" i="3"/>
  <c r="H747" i="3"/>
  <c r="H746" i="3"/>
  <c r="H745" i="3"/>
  <c r="H744" i="3"/>
  <c r="H743" i="3"/>
  <c r="H742" i="3"/>
  <c r="H741" i="3"/>
  <c r="H740" i="3"/>
  <c r="H739" i="3"/>
  <c r="H738" i="3"/>
  <c r="H737" i="3"/>
  <c r="H736" i="3"/>
  <c r="H735" i="3"/>
  <c r="H734" i="3"/>
  <c r="H733" i="3"/>
  <c r="H732" i="3"/>
  <c r="H731" i="3"/>
  <c r="H730" i="3"/>
  <c r="H729" i="3"/>
  <c r="H728" i="3"/>
  <c r="H727" i="3"/>
  <c r="H726" i="3"/>
  <c r="H725" i="3"/>
  <c r="H724" i="3"/>
  <c r="H723" i="3"/>
  <c r="H722" i="3"/>
  <c r="H721" i="3"/>
  <c r="H720" i="3"/>
  <c r="H719" i="3"/>
  <c r="H718" i="3"/>
  <c r="H717" i="3"/>
  <c r="H716" i="3"/>
  <c r="H715" i="3"/>
  <c r="H714" i="3"/>
  <c r="H713" i="3"/>
  <c r="H712" i="3"/>
  <c r="H711" i="3"/>
  <c r="H710" i="3"/>
  <c r="H709" i="3"/>
  <c r="H708" i="3"/>
  <c r="H707" i="3"/>
  <c r="H706" i="3"/>
  <c r="H705" i="3"/>
  <c r="H704" i="3"/>
  <c r="H703" i="3"/>
  <c r="H702" i="3"/>
  <c r="H701" i="3"/>
  <c r="H700" i="3"/>
  <c r="H699" i="3"/>
  <c r="H698" i="3"/>
  <c r="H697" i="3"/>
  <c r="H696" i="3"/>
  <c r="H695" i="3"/>
  <c r="H694" i="3"/>
  <c r="H693" i="3"/>
  <c r="H692" i="3"/>
  <c r="H691" i="3"/>
  <c r="H690" i="3"/>
  <c r="H689" i="3"/>
  <c r="H688" i="3"/>
  <c r="H687" i="3"/>
  <c r="H686" i="3"/>
  <c r="H685" i="3"/>
  <c r="H684" i="3"/>
  <c r="H683" i="3"/>
  <c r="H682" i="3"/>
  <c r="H681" i="3"/>
  <c r="H680" i="3"/>
  <c r="H679" i="3"/>
  <c r="H678" i="3"/>
  <c r="H677" i="3"/>
  <c r="H676" i="3"/>
  <c r="H675" i="3"/>
  <c r="H674" i="3"/>
  <c r="H673" i="3"/>
  <c r="H672" i="3"/>
  <c r="H671" i="3"/>
  <c r="H670" i="3"/>
  <c r="H669" i="3"/>
  <c r="H668" i="3"/>
  <c r="H667" i="3"/>
  <c r="H666" i="3"/>
  <c r="H665" i="3"/>
  <c r="H664" i="3"/>
  <c r="H663" i="3"/>
  <c r="H662" i="3"/>
  <c r="H661" i="3"/>
  <c r="H660" i="3"/>
  <c r="H659" i="3"/>
  <c r="H658" i="3"/>
  <c r="H657" i="3"/>
  <c r="H656" i="3"/>
  <c r="H655" i="3"/>
  <c r="H654" i="3"/>
  <c r="H653" i="3"/>
  <c r="H652" i="3"/>
  <c r="H651" i="3"/>
  <c r="H650" i="3"/>
  <c r="H649" i="3"/>
  <c r="H648" i="3"/>
  <c r="H647" i="3"/>
  <c r="H646" i="3"/>
  <c r="H645" i="3"/>
  <c r="H644" i="3"/>
  <c r="H643" i="3"/>
  <c r="H642" i="3"/>
  <c r="H641" i="3"/>
  <c r="H640" i="3"/>
  <c r="H639" i="3"/>
  <c r="H638" i="3"/>
  <c r="H637" i="3"/>
  <c r="H636" i="3"/>
  <c r="H635" i="3"/>
  <c r="H634" i="3"/>
  <c r="H633" i="3"/>
  <c r="H632" i="3"/>
  <c r="H631" i="3"/>
  <c r="H630" i="3"/>
  <c r="H629" i="3"/>
  <c r="H628" i="3"/>
  <c r="H627" i="3"/>
  <c r="H626" i="3"/>
  <c r="H625" i="3"/>
  <c r="H624" i="3"/>
  <c r="H623" i="3"/>
  <c r="H622" i="3"/>
  <c r="H621" i="3"/>
  <c r="H620" i="3"/>
  <c r="H619" i="3"/>
  <c r="H618" i="3"/>
  <c r="H617" i="3"/>
  <c r="H616" i="3"/>
  <c r="H615" i="3"/>
  <c r="H614" i="3"/>
  <c r="H613" i="3"/>
  <c r="H612" i="3"/>
  <c r="H611" i="3"/>
  <c r="H610" i="3"/>
  <c r="H609" i="3"/>
  <c r="H608" i="3"/>
  <c r="H607" i="3"/>
  <c r="H606" i="3"/>
  <c r="H605" i="3"/>
  <c r="H604" i="3"/>
  <c r="H603" i="3"/>
  <c r="H602" i="3"/>
  <c r="H601" i="3"/>
  <c r="H600" i="3"/>
  <c r="H599" i="3"/>
  <c r="H598" i="3"/>
  <c r="H597" i="3"/>
  <c r="H596" i="3"/>
  <c r="H595" i="3"/>
  <c r="H594" i="3"/>
  <c r="H593" i="3"/>
  <c r="H592" i="3"/>
  <c r="H591" i="3"/>
  <c r="H590" i="3"/>
  <c r="H589" i="3"/>
  <c r="H588" i="3"/>
  <c r="H587" i="3"/>
  <c r="H586" i="3"/>
  <c r="H585" i="3"/>
  <c r="H584" i="3"/>
  <c r="H583" i="3"/>
  <c r="H582" i="3"/>
  <c r="H581" i="3"/>
  <c r="H580" i="3"/>
  <c r="H579" i="3"/>
  <c r="H578" i="3"/>
  <c r="H577" i="3"/>
  <c r="H576" i="3"/>
  <c r="H575" i="3"/>
  <c r="H574" i="3"/>
  <c r="H573" i="3"/>
  <c r="H572" i="3"/>
  <c r="H571" i="3"/>
  <c r="H570" i="3"/>
  <c r="H569" i="3"/>
  <c r="H568" i="3"/>
  <c r="H567" i="3"/>
  <c r="H566" i="3"/>
  <c r="H565" i="3"/>
  <c r="H564" i="3"/>
  <c r="H563" i="3"/>
  <c r="H562" i="3"/>
  <c r="H561" i="3"/>
  <c r="H560" i="3"/>
  <c r="H559" i="3"/>
  <c r="H558" i="3"/>
  <c r="H557" i="3"/>
  <c r="H556" i="3"/>
  <c r="H555" i="3"/>
  <c r="H554" i="3"/>
  <c r="H553" i="3"/>
  <c r="H552" i="3"/>
  <c r="H551" i="3"/>
  <c r="H550" i="3"/>
  <c r="H549" i="3"/>
  <c r="H548" i="3"/>
  <c r="H547" i="3"/>
  <c r="H546" i="3"/>
  <c r="H545" i="3"/>
  <c r="H544" i="3"/>
  <c r="H543" i="3"/>
  <c r="H542" i="3"/>
  <c r="H541" i="3"/>
  <c r="H540" i="3"/>
  <c r="H539" i="3"/>
  <c r="H538" i="3"/>
  <c r="H537" i="3"/>
  <c r="H536" i="3"/>
  <c r="H535" i="3"/>
  <c r="H534" i="3"/>
  <c r="H533" i="3"/>
  <c r="H532" i="3"/>
  <c r="H531" i="3"/>
  <c r="H530" i="3"/>
  <c r="H529" i="3"/>
  <c r="H528" i="3"/>
  <c r="H527" i="3"/>
  <c r="H526" i="3"/>
  <c r="H525" i="3"/>
  <c r="H524" i="3"/>
  <c r="H523" i="3"/>
  <c r="H522" i="3"/>
  <c r="H521" i="3"/>
  <c r="H520" i="3"/>
  <c r="H519" i="3"/>
  <c r="H518" i="3"/>
  <c r="H517" i="3"/>
  <c r="H516" i="3"/>
  <c r="H515" i="3"/>
  <c r="H514" i="3"/>
  <c r="H513" i="3"/>
  <c r="H512" i="3"/>
  <c r="H511" i="3"/>
  <c r="H510" i="3"/>
  <c r="H509" i="3"/>
  <c r="H508" i="3"/>
  <c r="H507" i="3"/>
  <c r="H506" i="3"/>
  <c r="H505" i="3"/>
  <c r="H504" i="3"/>
  <c r="H503" i="3"/>
  <c r="H502" i="3"/>
  <c r="H501" i="3"/>
  <c r="H500" i="3"/>
  <c r="H499" i="3"/>
  <c r="H498" i="3"/>
  <c r="H497" i="3"/>
  <c r="H496" i="3"/>
  <c r="H495" i="3"/>
  <c r="H494" i="3"/>
  <c r="H493" i="3"/>
  <c r="H492" i="3"/>
  <c r="H491" i="3"/>
  <c r="H490" i="3"/>
  <c r="H489" i="3"/>
  <c r="H488" i="3"/>
  <c r="H487" i="3"/>
  <c r="H486" i="3"/>
  <c r="H485" i="3"/>
  <c r="H484" i="3"/>
  <c r="H483" i="3"/>
  <c r="H482" i="3"/>
  <c r="H481" i="3"/>
  <c r="H480" i="3"/>
  <c r="H479" i="3"/>
  <c r="H478" i="3"/>
  <c r="H477" i="3"/>
  <c r="H476" i="3"/>
  <c r="H475" i="3"/>
  <c r="H474" i="3"/>
  <c r="H473" i="3"/>
  <c r="H472" i="3"/>
  <c r="H471" i="3"/>
  <c r="H470" i="3"/>
  <c r="H469" i="3"/>
  <c r="H468" i="3"/>
  <c r="H467" i="3"/>
  <c r="H466" i="3"/>
  <c r="H465" i="3"/>
  <c r="H464" i="3"/>
  <c r="H463" i="3"/>
  <c r="H462" i="3"/>
  <c r="H461" i="3"/>
  <c r="H460" i="3"/>
  <c r="H459" i="3"/>
  <c r="H458" i="3"/>
  <c r="H457" i="3"/>
  <c r="H456" i="3"/>
  <c r="H455" i="3"/>
  <c r="H454" i="3"/>
  <c r="H453" i="3"/>
  <c r="H452" i="3"/>
  <c r="H451" i="3"/>
  <c r="H450" i="3"/>
  <c r="H449" i="3"/>
  <c r="H448" i="3"/>
  <c r="H447" i="3"/>
  <c r="H446" i="3"/>
  <c r="H445" i="3"/>
  <c r="H444" i="3"/>
  <c r="H443" i="3"/>
  <c r="H442" i="3"/>
  <c r="H441" i="3"/>
  <c r="H440" i="3"/>
  <c r="H439" i="3"/>
  <c r="H438" i="3"/>
  <c r="H437" i="3"/>
  <c r="H436" i="3"/>
  <c r="H435" i="3"/>
  <c r="H434" i="3"/>
  <c r="H433" i="3"/>
  <c r="H432" i="3"/>
  <c r="H431" i="3"/>
  <c r="H430" i="3"/>
  <c r="H429" i="3"/>
  <c r="H428" i="3"/>
  <c r="H427" i="3"/>
  <c r="H426" i="3"/>
  <c r="H425" i="3"/>
  <c r="H424" i="3"/>
  <c r="H423" i="3"/>
  <c r="H422" i="3"/>
  <c r="H421" i="3"/>
  <c r="H420" i="3"/>
  <c r="H419" i="3"/>
  <c r="H418" i="3"/>
  <c r="H417" i="3"/>
  <c r="H416" i="3"/>
  <c r="H415" i="3"/>
  <c r="H414" i="3"/>
  <c r="H413" i="3"/>
  <c r="H412" i="3"/>
  <c r="H411" i="3"/>
  <c r="H410" i="3"/>
  <c r="H409" i="3"/>
  <c r="H408" i="3"/>
  <c r="H407" i="3"/>
  <c r="H406" i="3"/>
  <c r="H405" i="3"/>
  <c r="H404" i="3"/>
  <c r="H403" i="3"/>
  <c r="H402" i="3"/>
  <c r="H401" i="3"/>
  <c r="H400" i="3"/>
  <c r="H399" i="3"/>
  <c r="H398" i="3"/>
  <c r="H397" i="3"/>
  <c r="H396" i="3"/>
  <c r="H395" i="3"/>
  <c r="H394" i="3"/>
  <c r="H393" i="3"/>
  <c r="H392" i="3"/>
  <c r="H391" i="3"/>
  <c r="H390" i="3"/>
  <c r="H389" i="3"/>
  <c r="H388" i="3"/>
  <c r="H387" i="3"/>
  <c r="H386" i="3"/>
  <c r="H385" i="3"/>
  <c r="H384" i="3"/>
  <c r="H383" i="3"/>
  <c r="H382" i="3"/>
  <c r="H381" i="3"/>
  <c r="H380" i="3"/>
  <c r="H379" i="3"/>
  <c r="H378" i="3"/>
  <c r="H377" i="3"/>
  <c r="H376" i="3"/>
  <c r="H375" i="3"/>
  <c r="H374" i="3"/>
  <c r="H373" i="3"/>
  <c r="H372" i="3"/>
  <c r="H371" i="3"/>
  <c r="H370" i="3"/>
  <c r="H369" i="3"/>
  <c r="H368" i="3"/>
  <c r="H367" i="3"/>
  <c r="H366" i="3"/>
  <c r="H365" i="3"/>
  <c r="H364" i="3"/>
  <c r="H363" i="3"/>
  <c r="H362" i="3"/>
  <c r="H361" i="3"/>
  <c r="H360" i="3"/>
  <c r="H359" i="3"/>
  <c r="H358" i="3"/>
  <c r="H357" i="3"/>
  <c r="H356" i="3"/>
  <c r="H355" i="3"/>
  <c r="H354" i="3"/>
  <c r="H353" i="3"/>
  <c r="H352" i="3"/>
  <c r="H351" i="3"/>
  <c r="H350" i="3"/>
  <c r="H349" i="3"/>
  <c r="H348" i="3"/>
  <c r="H347" i="3"/>
  <c r="H346" i="3"/>
  <c r="H345" i="3"/>
  <c r="H344" i="3"/>
  <c r="H343" i="3"/>
  <c r="H342" i="3"/>
  <c r="H341" i="3"/>
  <c r="H340" i="3"/>
  <c r="H339" i="3"/>
  <c r="H338" i="3"/>
  <c r="H337" i="3"/>
  <c r="H336" i="3"/>
  <c r="H335" i="3"/>
  <c r="H334" i="3"/>
  <c r="H333" i="3"/>
  <c r="H332" i="3"/>
  <c r="H331" i="3"/>
  <c r="H330" i="3"/>
  <c r="H329" i="3"/>
  <c r="H328" i="3"/>
  <c r="H327" i="3"/>
  <c r="H326" i="3"/>
  <c r="H325" i="3"/>
  <c r="H324" i="3"/>
  <c r="H323" i="3"/>
  <c r="H322" i="3"/>
  <c r="H321" i="3"/>
  <c r="H320" i="3"/>
  <c r="H319" i="3"/>
  <c r="H318" i="3"/>
  <c r="H317" i="3"/>
  <c r="H316" i="3"/>
  <c r="H315" i="3"/>
  <c r="H314" i="3"/>
  <c r="H313" i="3"/>
  <c r="H312" i="3"/>
  <c r="H311" i="3"/>
  <c r="H310" i="3"/>
  <c r="H309" i="3"/>
  <c r="H308" i="3"/>
  <c r="H307" i="3"/>
  <c r="H306" i="3"/>
  <c r="H305" i="3"/>
  <c r="H304" i="3"/>
  <c r="H303" i="3"/>
  <c r="H302" i="3"/>
  <c r="H301" i="3"/>
  <c r="H300" i="3"/>
  <c r="H299" i="3"/>
  <c r="H298" i="3"/>
  <c r="H297" i="3"/>
  <c r="H296" i="3"/>
  <c r="H295" i="3"/>
  <c r="H294" i="3"/>
  <c r="H293" i="3"/>
  <c r="H292" i="3"/>
  <c r="H291" i="3"/>
  <c r="H290" i="3"/>
  <c r="H289" i="3"/>
  <c r="H288" i="3"/>
  <c r="H287" i="3"/>
  <c r="H286" i="3"/>
  <c r="H285" i="3"/>
  <c r="H284" i="3"/>
  <c r="H283" i="3"/>
  <c r="H282" i="3"/>
  <c r="H281" i="3"/>
  <c r="H280" i="3"/>
  <c r="H279" i="3"/>
  <c r="H278" i="3"/>
  <c r="H277" i="3"/>
  <c r="H276" i="3"/>
  <c r="H275" i="3"/>
  <c r="H274" i="3"/>
  <c r="H273" i="3"/>
  <c r="H272" i="3"/>
  <c r="H271" i="3"/>
  <c r="H270" i="3"/>
  <c r="H269" i="3"/>
  <c r="H268" i="3"/>
  <c r="H267" i="3"/>
  <c r="H266" i="3"/>
  <c r="H265" i="3"/>
  <c r="H264" i="3"/>
  <c r="H263" i="3"/>
  <c r="H262" i="3"/>
  <c r="H261" i="3"/>
  <c r="H260" i="3"/>
  <c r="H259" i="3"/>
  <c r="H258" i="3"/>
  <c r="H257" i="3"/>
  <c r="H256" i="3"/>
  <c r="H255" i="3"/>
  <c r="H254" i="3"/>
  <c r="H253" i="3"/>
  <c r="H252" i="3"/>
  <c r="H251" i="3"/>
  <c r="H250" i="3"/>
  <c r="H249" i="3"/>
  <c r="H248" i="3"/>
  <c r="H247" i="3"/>
  <c r="H246" i="3"/>
  <c r="H245" i="3"/>
  <c r="H244" i="3"/>
  <c r="H243" i="3"/>
  <c r="H242" i="3"/>
  <c r="H241" i="3"/>
  <c r="H240" i="3"/>
  <c r="H239" i="3"/>
  <c r="H238" i="3"/>
  <c r="H237" i="3"/>
  <c r="H236" i="3"/>
  <c r="H235" i="3"/>
  <c r="H234" i="3"/>
  <c r="H233" i="3"/>
  <c r="H232" i="3"/>
  <c r="H231" i="3"/>
  <c r="H230" i="3"/>
  <c r="H229" i="3"/>
  <c r="H228" i="3"/>
  <c r="H227" i="3"/>
  <c r="H226" i="3"/>
  <c r="H225" i="3"/>
  <c r="H224" i="3"/>
  <c r="H223" i="3"/>
  <c r="H222" i="3"/>
  <c r="H221" i="3"/>
  <c r="H220" i="3"/>
  <c r="H219" i="3"/>
  <c r="H218" i="3"/>
  <c r="H217" i="3"/>
  <c r="H216" i="3"/>
  <c r="H215" i="3"/>
  <c r="H214" i="3"/>
  <c r="H213" i="3"/>
  <c r="H212" i="3"/>
  <c r="H211" i="3"/>
  <c r="H210" i="3"/>
  <c r="H209" i="3"/>
  <c r="H208" i="3"/>
  <c r="H207" i="3"/>
  <c r="H206" i="3"/>
  <c r="H205" i="3"/>
  <c r="H204" i="3"/>
  <c r="H203" i="3"/>
  <c r="H202" i="3"/>
  <c r="H201" i="3"/>
  <c r="H200" i="3"/>
  <c r="H199" i="3"/>
  <c r="H198" i="3"/>
  <c r="H197" i="3"/>
  <c r="H196" i="3"/>
  <c r="H195" i="3"/>
  <c r="H194" i="3"/>
  <c r="H193" i="3"/>
  <c r="H192" i="3"/>
  <c r="H191" i="3"/>
  <c r="H190" i="3"/>
  <c r="H189" i="3"/>
  <c r="H188" i="3"/>
  <c r="H187" i="3"/>
  <c r="H186" i="3"/>
  <c r="H185" i="3"/>
  <c r="H184" i="3"/>
  <c r="H183" i="3"/>
  <c r="H182" i="3"/>
  <c r="H181" i="3"/>
  <c r="H180" i="3"/>
  <c r="H179" i="3"/>
  <c r="H178" i="3"/>
  <c r="H177" i="3"/>
  <c r="H176" i="3"/>
  <c r="H175" i="3"/>
  <c r="H174" i="3"/>
  <c r="H173" i="3"/>
  <c r="H172" i="3"/>
  <c r="H171" i="3"/>
  <c r="H170" i="3"/>
  <c r="H169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2" i="2"/>
  <c r="E26" i="15"/>
  <c r="E15" i="15"/>
  <c r="D16" i="15"/>
  <c r="E16" i="15" s="1"/>
  <c r="E39" i="15"/>
  <c r="J5" i="11"/>
  <c r="J20" i="11"/>
  <c r="J15" i="11"/>
  <c r="J10" i="11"/>
  <c r="D7" i="11"/>
  <c r="D11" i="15" s="1"/>
  <c r="D6" i="11"/>
  <c r="C4" i="11"/>
  <c r="C7" i="11"/>
  <c r="J7" i="11" s="1"/>
  <c r="J4" i="11"/>
  <c r="B34" i="11" l="1"/>
  <c r="C32" i="11"/>
  <c r="C34" i="11"/>
  <c r="B32" i="11"/>
  <c r="D32" i="11" s="1"/>
  <c r="L6" i="11"/>
  <c r="L10" i="11"/>
  <c r="L15" i="11"/>
  <c r="L16" i="11"/>
  <c r="L17" i="11"/>
  <c r="L12" i="11"/>
  <c r="L21" i="11"/>
  <c r="L22" i="11"/>
  <c r="L20" i="11"/>
  <c r="L11" i="11"/>
  <c r="L7" i="11"/>
  <c r="L5" i="11"/>
  <c r="D28" i="15"/>
  <c r="E28" i="15" s="1"/>
  <c r="D30" i="15"/>
  <c r="E30" i="15" s="1"/>
  <c r="D45" i="15"/>
  <c r="E45" i="15" s="1"/>
  <c r="D4" i="15"/>
  <c r="E4" i="15" s="1"/>
  <c r="D18" i="15"/>
  <c r="E18" i="15" s="1"/>
  <c r="D17" i="15"/>
  <c r="E2" i="15"/>
  <c r="E14" i="15"/>
  <c r="E27" i="15"/>
  <c r="D40" i="15"/>
  <c r="E40" i="15" s="1"/>
  <c r="D36" i="15"/>
  <c r="E36" i="15" s="1"/>
  <c r="D35" i="15"/>
  <c r="E35" i="15" s="1"/>
  <c r="D32" i="15"/>
  <c r="E32" i="15" s="1"/>
  <c r="D44" i="15"/>
  <c r="E44" i="15" s="1"/>
  <c r="E11" i="15"/>
  <c r="D13" i="15"/>
  <c r="E13" i="15" s="1"/>
  <c r="D47" i="15"/>
  <c r="D5" i="15"/>
  <c r="E5" i="15" s="1"/>
  <c r="D29" i="15"/>
  <c r="D41" i="15"/>
  <c r="D10" i="15"/>
  <c r="E10" i="15" s="1"/>
  <c r="D22" i="15"/>
  <c r="E22" i="15" s="1"/>
  <c r="D25" i="15"/>
  <c r="E25" i="15" s="1"/>
  <c r="D34" i="11" l="1"/>
  <c r="E17" i="15"/>
  <c r="D19" i="15"/>
  <c r="E19" i="15" s="1"/>
  <c r="D37" i="15"/>
  <c r="E37" i="15" s="1"/>
  <c r="D34" i="15"/>
  <c r="E34" i="15" s="1"/>
  <c r="D46" i="15"/>
  <c r="E46" i="15" s="1"/>
  <c r="D7" i="15"/>
  <c r="E7" i="15" s="1"/>
  <c r="E41" i="15"/>
  <c r="D43" i="15"/>
  <c r="E43" i="15" s="1"/>
  <c r="D31" i="15"/>
  <c r="E31" i="15" s="1"/>
  <c r="E29" i="15"/>
  <c r="D49" i="15"/>
  <c r="E49" i="15" s="1"/>
  <c r="E47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Christina Drotenko</author>
  </authors>
  <commentList>
    <comment ref="E1" authorId="0" shapeId="0" xr:uid="{BAF1525F-A808-4219-BD71-6D81A84249AA}">
      <text>
        <r>
          <rPr>
            <b/>
            <sz val="9"/>
            <color indexed="81"/>
            <rFont val="Tahoma"/>
            <family val="2"/>
          </rPr>
          <t>Christina Drotenko:</t>
        </r>
        <r>
          <rPr>
            <sz val="9"/>
            <color indexed="81"/>
            <rFont val="Tahoma"/>
            <family val="2"/>
          </rPr>
          <t xml:space="preserve">
Rounded to 3 sig figs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Christina Drotenko</author>
  </authors>
  <commentList>
    <comment ref="G1" authorId="0" shapeId="0" xr:uid="{6BC77721-4A96-4A44-A2F3-5DA96426068C}">
      <text>
        <r>
          <rPr>
            <b/>
            <sz val="9"/>
            <color indexed="81"/>
            <rFont val="Tahoma"/>
            <family val="2"/>
          </rPr>
          <t>Christina Drotenko:</t>
        </r>
        <r>
          <rPr>
            <sz val="9"/>
            <color indexed="81"/>
            <rFont val="Tahoma"/>
            <family val="2"/>
          </rPr>
          <t xml:space="preserve">
These are divided by 1,000 for the percentage calculation to make the units identical</t>
        </r>
      </text>
    </comment>
    <comment ref="J1" authorId="0" shapeId="0" xr:uid="{FA51D1F9-CE13-41CB-B3BC-662744446C8F}">
      <text>
        <r>
          <rPr>
            <b/>
            <sz val="9"/>
            <color indexed="81"/>
            <rFont val="Tahoma"/>
            <family val="2"/>
          </rPr>
          <t>Christina Drotenko:</t>
        </r>
        <r>
          <rPr>
            <sz val="9"/>
            <color indexed="81"/>
            <rFont val="Tahoma"/>
            <family val="2"/>
          </rPr>
          <t xml:space="preserve">
These are divided by 1,000 for the percentage calculation to make the units identical</t>
        </r>
      </text>
    </comment>
    <comment ref="A29" authorId="0" shapeId="0" xr:uid="{69D6AD4E-6B8A-4976-9A9E-31CA2C0DA4FF}">
      <text>
        <r>
          <rPr>
            <b/>
            <sz val="9"/>
            <color indexed="81"/>
            <rFont val="Tahoma"/>
            <family val="2"/>
          </rPr>
          <t>Christina Drotenko:</t>
        </r>
        <r>
          <rPr>
            <sz val="9"/>
            <color indexed="81"/>
            <rFont val="Tahoma"/>
            <family val="2"/>
          </rPr>
          <t xml:space="preserve">
These are divided by 1,000 for the percentage calculation to make the units identical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Christina Drotenko</author>
  </authors>
  <commentList>
    <comment ref="H1" authorId="0" shapeId="0" xr:uid="{A96B9EA0-9DB5-4EB6-B093-01F6944D12E5}">
      <text>
        <r>
          <rPr>
            <b/>
            <sz val="9"/>
            <color indexed="81"/>
            <rFont val="Tahoma"/>
            <family val="2"/>
          </rPr>
          <t>Christina Drotenko:</t>
        </r>
        <r>
          <rPr>
            <sz val="9"/>
            <color indexed="81"/>
            <rFont val="Tahoma"/>
            <family val="2"/>
          </rPr>
          <t xml:space="preserve">
Rounded to 3 significant digits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Christina Drotenko</author>
  </authors>
  <commentList>
    <comment ref="H1" authorId="0" shapeId="0" xr:uid="{FA3D4DC8-79EE-4F55-825D-03C538FDDB80}">
      <text>
        <r>
          <rPr>
            <b/>
            <sz val="9"/>
            <color indexed="81"/>
            <rFont val="Tahoma"/>
            <family val="2"/>
          </rPr>
          <t>Christina Drotenko:</t>
        </r>
        <r>
          <rPr>
            <sz val="9"/>
            <color indexed="81"/>
            <rFont val="Tahoma"/>
            <family val="2"/>
          </rPr>
          <t xml:space="preserve">
Rounded to 3 significant digits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Christina Drotenko</author>
  </authors>
  <commentList>
    <comment ref="H1" authorId="0" shapeId="0" xr:uid="{785A4EA2-65CC-403A-BA37-A43C04BB6B27}">
      <text>
        <r>
          <rPr>
            <b/>
            <sz val="9"/>
            <color indexed="81"/>
            <rFont val="Tahoma"/>
            <family val="2"/>
          </rPr>
          <t>Christina Drotenko:</t>
        </r>
        <r>
          <rPr>
            <sz val="9"/>
            <color indexed="81"/>
            <rFont val="Tahoma"/>
            <family val="2"/>
          </rPr>
          <t xml:space="preserve">
Rounded to 3 significant digits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Christina Drotenko</author>
  </authors>
  <commentList>
    <comment ref="H1" authorId="0" shapeId="0" xr:uid="{8FF7C0CD-C403-4836-A251-C5EFCFF8EE2B}">
      <text>
        <r>
          <rPr>
            <b/>
            <sz val="9"/>
            <color indexed="81"/>
            <rFont val="Tahoma"/>
            <family val="2"/>
          </rPr>
          <t>Christina Drotenko:</t>
        </r>
        <r>
          <rPr>
            <sz val="9"/>
            <color indexed="81"/>
            <rFont val="Tahoma"/>
            <family val="2"/>
          </rPr>
          <t xml:space="preserve">
Rounded to 3 significant digits</t>
        </r>
      </text>
    </comment>
  </commentList>
</comments>
</file>

<file path=xl/sharedStrings.xml><?xml version="1.0" encoding="utf-8"?>
<sst xmlns="http://schemas.openxmlformats.org/spreadsheetml/2006/main" count="74271" uniqueCount="146">
  <si>
    <t>Company</t>
  </si>
  <si>
    <t>Land type</t>
  </si>
  <si>
    <t>Region</t>
  </si>
  <si>
    <t>Footprint amount</t>
  </si>
  <si>
    <t>Animal product</t>
  </si>
  <si>
    <t>Footprint</t>
  </si>
  <si>
    <t>Unit</t>
  </si>
  <si>
    <t>Bigard</t>
  </si>
  <si>
    <t>Grazing</t>
  </si>
  <si>
    <t>East Asia and Southeast Asia</t>
  </si>
  <si>
    <t>Bovine Meat</t>
  </si>
  <si>
    <t>Land use</t>
  </si>
  <si>
    <t>(kha)</t>
  </si>
  <si>
    <t>Eastern Europe</t>
  </si>
  <si>
    <t>Latin America and the Caribbean</t>
  </si>
  <si>
    <t>Near East and North Africa</t>
  </si>
  <si>
    <t>North America</t>
  </si>
  <si>
    <t>Oceania</t>
  </si>
  <si>
    <t>RoW</t>
  </si>
  <si>
    <t>Russian Federation</t>
  </si>
  <si>
    <t>South Asia</t>
  </si>
  <si>
    <t>Sub-Saharan Africa</t>
  </si>
  <si>
    <t>Western Europe</t>
  </si>
  <si>
    <t>Croplands</t>
  </si>
  <si>
    <t>Cargill</t>
  </si>
  <si>
    <t>Danish Crown</t>
  </si>
  <si>
    <t>Gruppo Cremonini</t>
  </si>
  <si>
    <t>JBS</t>
  </si>
  <si>
    <t>Marfrig</t>
  </si>
  <si>
    <t>Minerva</t>
  </si>
  <si>
    <t>NH Foods</t>
  </si>
  <si>
    <t xml:space="preserve">Teys </t>
  </si>
  <si>
    <t>Tönnies Group</t>
  </si>
  <si>
    <t>Tyson</t>
  </si>
  <si>
    <t>Vion Food Group</t>
  </si>
  <si>
    <t>Westfleisch</t>
  </si>
  <si>
    <t>Blue water</t>
  </si>
  <si>
    <t>(1,000 m³)</t>
  </si>
  <si>
    <t>Green water</t>
  </si>
  <si>
    <t>Nitrogen application</t>
  </si>
  <si>
    <t>(t)</t>
  </si>
  <si>
    <t>Arab Company for Livestock Development (ACOLID)</t>
  </si>
  <si>
    <t>Poultry Meat</t>
  </si>
  <si>
    <t>Aurora Alimentos</t>
  </si>
  <si>
    <t>BRF</t>
  </si>
  <si>
    <t>Charoen Pokphand</t>
  </si>
  <si>
    <t>Continental Grain Company</t>
  </si>
  <si>
    <t>Fuijan Sunner Development</t>
  </si>
  <si>
    <t>Industrias Bachoco</t>
  </si>
  <si>
    <t>Japfa</t>
  </si>
  <si>
    <t>Koch Foods</t>
  </si>
  <si>
    <t>MHP</t>
  </si>
  <si>
    <t>New Hope Group</t>
  </si>
  <si>
    <t>Perdue Farms</t>
  </si>
  <si>
    <t>Wellhope Agritech</t>
  </si>
  <si>
    <t>Wen's Food Group</t>
  </si>
  <si>
    <t>WH Group</t>
  </si>
  <si>
    <t>Pigmeat</t>
  </si>
  <si>
    <t>Clemens Food Group</t>
  </si>
  <si>
    <t>COFCO Group</t>
  </si>
  <si>
    <t>Cooperl Arc Atlantique</t>
  </si>
  <si>
    <t>Grupo Jorges</t>
  </si>
  <si>
    <t>Grupo Vall</t>
  </si>
  <si>
    <t>Muyuan Foodstuff</t>
  </si>
  <si>
    <t>Seaboard</t>
  </si>
  <si>
    <t>Triumph Foods</t>
  </si>
  <si>
    <t>Zhengbang Group</t>
  </si>
  <si>
    <t>Dairy Farmers of America</t>
  </si>
  <si>
    <t>Milk - Excluding Butter</t>
  </si>
  <si>
    <t>Lactalis</t>
  </si>
  <si>
    <t>Fonterra</t>
  </si>
  <si>
    <t>Arla</t>
  </si>
  <si>
    <t>Nestlé</t>
  </si>
  <si>
    <t>Saputo</t>
  </si>
  <si>
    <t>FrieslandCampina</t>
  </si>
  <si>
    <t xml:space="preserve">Yili </t>
  </si>
  <si>
    <t>China Mengniu Dairy</t>
  </si>
  <si>
    <t>Amul</t>
  </si>
  <si>
    <t>Glanbia</t>
  </si>
  <si>
    <t>California Diaries</t>
  </si>
  <si>
    <t>Müller</t>
  </si>
  <si>
    <t>Danone-IFCN</t>
  </si>
  <si>
    <t>Agropur</t>
  </si>
  <si>
    <t>DMK</t>
  </si>
  <si>
    <t>Sum of Footprint amount</t>
  </si>
  <si>
    <t>Row Labels</t>
  </si>
  <si>
    <t>Grand Total</t>
  </si>
  <si>
    <t>Animal_product</t>
  </si>
  <si>
    <t>Footprint_type</t>
  </si>
  <si>
    <t>Land Use Footprint (ha)</t>
  </si>
  <si>
    <t>Blue Water Footprint (m³)</t>
  </si>
  <si>
    <t>Green Water Footprint (m³)</t>
  </si>
  <si>
    <t>Nitrogen Application (kg)</t>
  </si>
  <si>
    <t>Sum of Footprint</t>
  </si>
  <si>
    <t>1000 m³</t>
  </si>
  <si>
    <t>kha</t>
  </si>
  <si>
    <t>t</t>
  </si>
  <si>
    <t>chickens</t>
  </si>
  <si>
    <t>Profundo data</t>
  </si>
  <si>
    <t>pigs</t>
  </si>
  <si>
    <t>cattle</t>
  </si>
  <si>
    <t>Blue and green water footprint</t>
  </si>
  <si>
    <t>Poultry</t>
  </si>
  <si>
    <t>Pork</t>
  </si>
  <si>
    <t>Dairy</t>
  </si>
  <si>
    <t>Beef</t>
  </si>
  <si>
    <t>Companies</t>
  </si>
  <si>
    <t>Global</t>
  </si>
  <si>
    <t>Percentage</t>
  </si>
  <si>
    <t>Category</t>
  </si>
  <si>
    <t>Amount</t>
  </si>
  <si>
    <t>Impact or count</t>
  </si>
  <si>
    <t>Blue and green water use (km³)</t>
  </si>
  <si>
    <t>Land use (Mha)</t>
  </si>
  <si>
    <t>Processed (Mt)</t>
  </si>
  <si>
    <t>Slaughtered (million heads)</t>
  </si>
  <si>
    <t>Nitrogen application (kt)</t>
  </si>
  <si>
    <t>Amount (rounded)</t>
  </si>
  <si>
    <t>Footprint amount (rounded)</t>
  </si>
  <si>
    <t>FAOStat global total</t>
  </si>
  <si>
    <t>All TNC Impacts</t>
  </si>
  <si>
    <t>Combination of the following four tabs</t>
  </si>
  <si>
    <t>Description</t>
  </si>
  <si>
    <t>Tab Name</t>
  </si>
  <si>
    <t>Directly from Results_all_impacts.xlsx and including 3 significant digits rounding</t>
  </si>
  <si>
    <t>Global Impacts</t>
  </si>
  <si>
    <t>Calculated global impacts across all animal products from FABIO</t>
  </si>
  <si>
    <t>Production of animal products relative to world in weight</t>
  </si>
  <si>
    <t>Relative Impacts</t>
  </si>
  <si>
    <t>Environmental impacts of TNCs' animal products relative to world</t>
  </si>
  <si>
    <t>Summary for Figures</t>
  </si>
  <si>
    <t>Pivot Table</t>
  </si>
  <si>
    <t>Animal product and impact type</t>
  </si>
  <si>
    <t>Combined blue and green water impacts</t>
  </si>
  <si>
    <t>Relative Percentage</t>
  </si>
  <si>
    <t>All TNC Impacts Relative to Global Impacts (Combined Blue &amp; Green Water)</t>
  </si>
  <si>
    <t>dairy</t>
  </si>
  <si>
    <t>Impact type</t>
  </si>
  <si>
    <t>Blue and green water</t>
  </si>
  <si>
    <t>TNC impacts</t>
  </si>
  <si>
    <t>Relative percentage</t>
  </si>
  <si>
    <t>Global impacts</t>
  </si>
  <si>
    <t>All TNC Impacts Relative to Global Impacts (Combined Blue &amp; Green Water) Across Combined Animal Products</t>
  </si>
  <si>
    <t>Relative Processing</t>
  </si>
  <si>
    <t>Processing of animal products relative to world in weight</t>
  </si>
  <si>
    <t>Summary of the relative processing and relative impacts of the TNCs to the world for use in the figures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</si>
</sst>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 * #,##0_ ;_ * \-#,##0_ ;_ * &quot;-&quot;??_ ;_ @_ "/>
    <numFmt numFmtId="165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4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0" fillId="0" borderId="0" xfId="0" applyNumberFormat="1"/>
    <xf numFmtId="0" fontId="4" fillId="0" borderId="0" xfId="3"/>
    <xf numFmtId="164" fontId="0" fillId="0" borderId="0" xfId="1" applyNumberFormat="1" applyFont="1"/>
    <xf numFmtId="9" fontId="0" fillId="0" borderId="0" xfId="2" applyFont="1"/>
    <xf numFmtId="3" fontId="0" fillId="0" borderId="0" xfId="0" applyNumberFormat="1"/>
    <xf numFmtId="0" fontId="5" fillId="0" borderId="0" xfId="0" applyFont="1"/>
    <xf numFmtId="0" fontId="6" fillId="0" borderId="0" xfId="0" applyFont="1"/>
    <xf numFmtId="9" fontId="2" fillId="0" borderId="0" xfId="0" applyNumberFormat="1" applyFont="1"/>
    <xf numFmtId="165" fontId="0" fillId="0" borderId="0" xfId="1" applyNumberFormat="1" applyFont="1"/>
    <xf numFmtId="165" fontId="3" fillId="0" borderId="0" xfId="1" applyNumberFormat="1" applyFont="1"/>
    <xf numFmtId="165" fontId="0" fillId="0" borderId="0" xfId="0" applyNumberFormat="1"/>
    <xf numFmtId="9" fontId="3" fillId="0" borderId="0" xfId="2" applyFont="1"/>
    <xf numFmtId="0" fontId="0" fillId="0" borderId="4" xfId="0" pivotButton="1" applyBorder="1"/>
    <xf numFmtId="164" fontId="0" fillId="0" borderId="5" xfId="0" applyNumberFormat="1" applyBorder="1"/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left" indent="1"/>
    </xf>
    <xf numFmtId="0" fontId="0" fillId="0" borderId="6" xfId="0" applyBorder="1" applyAlignment="1">
      <alignment horizontal="left"/>
    </xf>
    <xf numFmtId="164" fontId="0" fillId="0" borderId="7" xfId="0" applyNumberFormat="1" applyBorder="1"/>
    <xf numFmtId="0" fontId="0" fillId="0" borderId="4" xfId="0" applyBorder="1"/>
    <xf numFmtId="0" fontId="0" fillId="0" borderId="5" xfId="0" applyBorder="1"/>
    <xf numFmtId="0" fontId="2" fillId="0" borderId="4" xfId="0" applyFont="1" applyBorder="1"/>
    <xf numFmtId="0" fontId="0" fillId="0" borderId="6" xfId="0" applyBorder="1"/>
    <xf numFmtId="0" fontId="0" fillId="0" borderId="9" xfId="0" applyBorder="1"/>
    <xf numFmtId="0" fontId="0" fillId="0" borderId="7" xfId="0" applyBorder="1"/>
    <xf numFmtId="164" fontId="0" fillId="0" borderId="9" xfId="0" applyNumberFormat="1" applyBorder="1"/>
    <xf numFmtId="0" fontId="9" fillId="2" borderId="0" xfId="0" applyFont="1" applyFill="1"/>
    <xf numFmtId="0" fontId="10" fillId="2" borderId="0" xfId="0" applyFont="1" applyFill="1"/>
    <xf numFmtId="0" fontId="9" fillId="2" borderId="2" xfId="0" applyFont="1" applyFill="1" applyBorder="1"/>
    <xf numFmtId="0" fontId="10" fillId="2" borderId="8" xfId="0" applyFont="1" applyFill="1" applyBorder="1"/>
    <xf numFmtId="0" fontId="10" fillId="2" borderId="3" xfId="0" applyFont="1" applyFill="1" applyBorder="1"/>
    <xf numFmtId="0" fontId="9" fillId="3" borderId="10" xfId="0" applyFont="1" applyFill="1" applyBorder="1"/>
    <xf numFmtId="0" fontId="10" fillId="3" borderId="11" xfId="0" applyFont="1" applyFill="1" applyBorder="1"/>
    <xf numFmtId="0" fontId="10" fillId="3" borderId="12" xfId="0" applyFont="1" applyFill="1" applyBorder="1"/>
    <xf numFmtId="0" fontId="9" fillId="3" borderId="12" xfId="0" applyFont="1" applyFill="1" applyBorder="1"/>
    <xf numFmtId="0" fontId="9" fillId="3" borderId="11" xfId="0" applyFont="1" applyFill="1" applyBorder="1"/>
    <xf numFmtId="9" fontId="0" fillId="0" borderId="0" xfId="2" applyFont="1" applyBorder="1"/>
    <xf numFmtId="9" fontId="0" fillId="0" borderId="9" xfId="2" applyFont="1" applyBorder="1"/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32"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4" formatCode="_ * #,##0_ ;_ * \-#,##0_ ;_ * &quot;-&quot;??_ ;_ @_ "/>
    </dxf>
    <dxf>
      <numFmt numFmtId="164" formatCode="_ * #,##0_ ;_ * \-#,##0_ ;_ * &quot;-&quot;??_ ;_ @_ 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ina Drotenko" refreshedDate="46056.730376041669" createdVersion="8" refreshedVersion="8" minRefreshableVersion="3" recordCount="6160" xr:uid="{475BD802-D191-4E12-BA90-80A173CB7736}">
  <cacheSource type="worksheet">
    <worksheetSource ref="A1:G6161" sheet="All TNC Impacts"/>
  </cacheSource>
  <cacheFields count="7">
    <cacheField name="Company" numFmtId="0">
      <sharedItems/>
    </cacheField>
    <cacheField name="Land type" numFmtId="0">
      <sharedItems/>
    </cacheField>
    <cacheField name="Region" numFmtId="0">
      <sharedItems/>
    </cacheField>
    <cacheField name="Footprint amount" numFmtId="0">
      <sharedItems containsSemiMixedTypes="0" containsString="0" containsNumber="1" containsInteger="1" minValue="0" maxValue="75583784"/>
    </cacheField>
    <cacheField name="Animal product" numFmtId="0">
      <sharedItems count="4">
        <s v="Bovine Meat"/>
        <s v="Poultry Meat"/>
        <s v="Pigmeat"/>
        <s v="Milk - Excluding Butter"/>
      </sharedItems>
    </cacheField>
    <cacheField name="Footprint" numFmtId="0">
      <sharedItems count="5">
        <s v="Land use"/>
        <s v="Blue water"/>
        <s v="Green water"/>
        <s v="Nitrogen application"/>
        <s v="Phosphorus application" u="1"/>
      </sharedItems>
    </cacheField>
    <cacheField name="Unit" numFmtId="0">
      <sharedItems count="3">
        <s v="(kha)"/>
        <s v="(1,000 m³)"/>
        <s v="(t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ina Drotenko" refreshedDate="46056.747171759256" createdVersion="8" refreshedVersion="8" minRefreshableVersion="3" recordCount="20" xr:uid="{B0284D50-C0F2-4F5A-96EF-AE74DB62B898}">
  <cacheSource type="worksheet">
    <worksheetSource ref="B1:D21" sheet="Global Impacts"/>
  </cacheSource>
  <cacheFields count="3">
    <cacheField name="Footprint" numFmtId="0">
      <sharedItems containsString="0" containsBlank="1" containsNumber="1" minValue="70313745.991088897" maxValue="1423160312954.8101"/>
    </cacheField>
    <cacheField name="Animal_product" numFmtId="0">
      <sharedItems containsBlank="1" count="5">
        <s v="Poultry Meat"/>
        <s v="Bovine Meat"/>
        <s v="Pigmeat"/>
        <s v="Milk - Excluding Butter"/>
        <m/>
      </sharedItems>
    </cacheField>
    <cacheField name="Footprint_type" numFmtId="0">
      <sharedItems containsBlank="1" count="6">
        <s v="Land Use Footprint (ha)"/>
        <s v="Blue Water Footprint (m³)"/>
        <s v="Green Water Footprint (m³)"/>
        <s v="Nitrogen Application (kg)"/>
        <m/>
        <s v="Phosphorus Application (kg)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60">
  <r>
    <s v="Bigard"/>
    <s v="Grazing"/>
    <s v="East Asia and Southeast Asia"/>
    <n v="0"/>
    <x v="0"/>
    <x v="0"/>
    <x v="0"/>
  </r>
  <r>
    <s v="Bigard"/>
    <s v="Grazing"/>
    <s v="Eastern Europe"/>
    <n v="18"/>
    <x v="0"/>
    <x v="0"/>
    <x v="0"/>
  </r>
  <r>
    <s v="Bigard"/>
    <s v="Grazing"/>
    <s v="Latin America and the Caribbean"/>
    <n v="0"/>
    <x v="0"/>
    <x v="0"/>
    <x v="0"/>
  </r>
  <r>
    <s v="Bigard"/>
    <s v="Grazing"/>
    <s v="Near East and North Africa"/>
    <n v="0"/>
    <x v="0"/>
    <x v="0"/>
    <x v="0"/>
  </r>
  <r>
    <s v="Bigard"/>
    <s v="Grazing"/>
    <s v="North America"/>
    <n v="0"/>
    <x v="0"/>
    <x v="0"/>
    <x v="0"/>
  </r>
  <r>
    <s v="Bigard"/>
    <s v="Grazing"/>
    <s v="Oceania"/>
    <n v="0"/>
    <x v="0"/>
    <x v="0"/>
    <x v="0"/>
  </r>
  <r>
    <s v="Bigard"/>
    <s v="Grazing"/>
    <s v="RoW"/>
    <n v="0"/>
    <x v="0"/>
    <x v="0"/>
    <x v="0"/>
  </r>
  <r>
    <s v="Bigard"/>
    <s v="Grazing"/>
    <s v="Russian Federation"/>
    <n v="0"/>
    <x v="0"/>
    <x v="0"/>
    <x v="0"/>
  </r>
  <r>
    <s v="Bigard"/>
    <s v="Grazing"/>
    <s v="South Asia"/>
    <n v="0"/>
    <x v="0"/>
    <x v="0"/>
    <x v="0"/>
  </r>
  <r>
    <s v="Bigard"/>
    <s v="Grazing"/>
    <s v="Sub-Saharan Africa"/>
    <n v="0"/>
    <x v="0"/>
    <x v="0"/>
    <x v="0"/>
  </r>
  <r>
    <s v="Bigard"/>
    <s v="Grazing"/>
    <s v="Western Europe"/>
    <n v="1605"/>
    <x v="0"/>
    <x v="0"/>
    <x v="0"/>
  </r>
  <r>
    <s v="Bigard"/>
    <s v="Croplands"/>
    <s v="East Asia and Southeast Asia"/>
    <n v="3"/>
    <x v="0"/>
    <x v="0"/>
    <x v="0"/>
  </r>
  <r>
    <s v="Bigard"/>
    <s v="Croplands"/>
    <s v="Eastern Europe"/>
    <n v="48"/>
    <x v="0"/>
    <x v="0"/>
    <x v="0"/>
  </r>
  <r>
    <s v="Bigard"/>
    <s v="Croplands"/>
    <s v="Latin America and the Caribbean"/>
    <n v="36"/>
    <x v="0"/>
    <x v="0"/>
    <x v="0"/>
  </r>
  <r>
    <s v="Bigard"/>
    <s v="Croplands"/>
    <s v="Near East and North Africa"/>
    <n v="3"/>
    <x v="0"/>
    <x v="0"/>
    <x v="0"/>
  </r>
  <r>
    <s v="Bigard"/>
    <s v="Croplands"/>
    <s v="North America"/>
    <n v="18"/>
    <x v="0"/>
    <x v="0"/>
    <x v="0"/>
  </r>
  <r>
    <s v="Bigard"/>
    <s v="Croplands"/>
    <s v="Oceania"/>
    <n v="3"/>
    <x v="0"/>
    <x v="0"/>
    <x v="0"/>
  </r>
  <r>
    <s v="Bigard"/>
    <s v="Croplands"/>
    <s v="RoW"/>
    <n v="0"/>
    <x v="0"/>
    <x v="0"/>
    <x v="0"/>
  </r>
  <r>
    <s v="Bigard"/>
    <s v="Croplands"/>
    <s v="Russian Federation"/>
    <n v="7"/>
    <x v="0"/>
    <x v="0"/>
    <x v="0"/>
  </r>
  <r>
    <s v="Bigard"/>
    <s v="Croplands"/>
    <s v="South Asia"/>
    <n v="3"/>
    <x v="0"/>
    <x v="0"/>
    <x v="0"/>
  </r>
  <r>
    <s v="Bigard"/>
    <s v="Croplands"/>
    <s v="Sub-Saharan Africa"/>
    <n v="1"/>
    <x v="0"/>
    <x v="0"/>
    <x v="0"/>
  </r>
  <r>
    <s v="Bigard"/>
    <s v="Croplands"/>
    <s v="Western Europe"/>
    <n v="338"/>
    <x v="0"/>
    <x v="0"/>
    <x v="0"/>
  </r>
  <r>
    <s v="Cargill"/>
    <s v="Grazing"/>
    <s v="East Asia and Southeast Asia"/>
    <n v="2"/>
    <x v="0"/>
    <x v="0"/>
    <x v="0"/>
  </r>
  <r>
    <s v="Cargill"/>
    <s v="Grazing"/>
    <s v="Eastern Europe"/>
    <n v="0"/>
    <x v="0"/>
    <x v="0"/>
    <x v="0"/>
  </r>
  <r>
    <s v="Cargill"/>
    <s v="Grazing"/>
    <s v="Latin America and the Caribbean"/>
    <n v="892"/>
    <x v="0"/>
    <x v="0"/>
    <x v="0"/>
  </r>
  <r>
    <s v="Cargill"/>
    <s v="Grazing"/>
    <s v="Near East and North Africa"/>
    <n v="0"/>
    <x v="0"/>
    <x v="0"/>
    <x v="0"/>
  </r>
  <r>
    <s v="Cargill"/>
    <s v="Grazing"/>
    <s v="North America"/>
    <n v="37025"/>
    <x v="0"/>
    <x v="0"/>
    <x v="0"/>
  </r>
  <r>
    <s v="Cargill"/>
    <s v="Grazing"/>
    <s v="Oceania"/>
    <n v="11407"/>
    <x v="0"/>
    <x v="0"/>
    <x v="0"/>
  </r>
  <r>
    <s v="Cargill"/>
    <s v="Grazing"/>
    <s v="RoW"/>
    <n v="0"/>
    <x v="0"/>
    <x v="0"/>
    <x v="0"/>
  </r>
  <r>
    <s v="Cargill"/>
    <s v="Grazing"/>
    <s v="Russian Federation"/>
    <n v="0"/>
    <x v="0"/>
    <x v="0"/>
    <x v="0"/>
  </r>
  <r>
    <s v="Cargill"/>
    <s v="Grazing"/>
    <s v="South Asia"/>
    <n v="0"/>
    <x v="0"/>
    <x v="0"/>
    <x v="0"/>
  </r>
  <r>
    <s v="Cargill"/>
    <s v="Grazing"/>
    <s v="Sub-Saharan Africa"/>
    <n v="0"/>
    <x v="0"/>
    <x v="0"/>
    <x v="0"/>
  </r>
  <r>
    <s v="Cargill"/>
    <s v="Grazing"/>
    <s v="Western Europe"/>
    <n v="0"/>
    <x v="0"/>
    <x v="0"/>
    <x v="0"/>
  </r>
  <r>
    <s v="Cargill"/>
    <s v="Croplands"/>
    <s v="East Asia and Southeast Asia"/>
    <n v="4"/>
    <x v="0"/>
    <x v="0"/>
    <x v="0"/>
  </r>
  <r>
    <s v="Cargill"/>
    <s v="Croplands"/>
    <s v="Eastern Europe"/>
    <n v="2"/>
    <x v="0"/>
    <x v="0"/>
    <x v="0"/>
  </r>
  <r>
    <s v="Cargill"/>
    <s v="Croplands"/>
    <s v="Latin America and the Caribbean"/>
    <n v="32"/>
    <x v="0"/>
    <x v="0"/>
    <x v="0"/>
  </r>
  <r>
    <s v="Cargill"/>
    <s v="Croplands"/>
    <s v="Near East and North Africa"/>
    <n v="0"/>
    <x v="0"/>
    <x v="0"/>
    <x v="0"/>
  </r>
  <r>
    <s v="Cargill"/>
    <s v="Croplands"/>
    <s v="North America"/>
    <n v="3103"/>
    <x v="0"/>
    <x v="0"/>
    <x v="0"/>
  </r>
  <r>
    <s v="Cargill"/>
    <s v="Croplands"/>
    <s v="Oceania"/>
    <n v="115"/>
    <x v="0"/>
    <x v="0"/>
    <x v="0"/>
  </r>
  <r>
    <s v="Cargill"/>
    <s v="Croplands"/>
    <s v="RoW"/>
    <n v="0"/>
    <x v="0"/>
    <x v="0"/>
    <x v="0"/>
  </r>
  <r>
    <s v="Cargill"/>
    <s v="Croplands"/>
    <s v="Russian Federation"/>
    <n v="0"/>
    <x v="0"/>
    <x v="0"/>
    <x v="0"/>
  </r>
  <r>
    <s v="Cargill"/>
    <s v="Croplands"/>
    <s v="South Asia"/>
    <n v="7"/>
    <x v="0"/>
    <x v="0"/>
    <x v="0"/>
  </r>
  <r>
    <s v="Cargill"/>
    <s v="Croplands"/>
    <s v="Sub-Saharan Africa"/>
    <n v="0"/>
    <x v="0"/>
    <x v="0"/>
    <x v="0"/>
  </r>
  <r>
    <s v="Cargill"/>
    <s v="Croplands"/>
    <s v="Western Europe"/>
    <n v="2"/>
    <x v="0"/>
    <x v="0"/>
    <x v="0"/>
  </r>
  <r>
    <s v="Danish Crown"/>
    <s v="Grazing"/>
    <s v="East Asia and Southeast Asia"/>
    <n v="0"/>
    <x v="0"/>
    <x v="0"/>
    <x v="0"/>
  </r>
  <r>
    <s v="Danish Crown"/>
    <s v="Grazing"/>
    <s v="Eastern Europe"/>
    <n v="7"/>
    <x v="0"/>
    <x v="0"/>
    <x v="0"/>
  </r>
  <r>
    <s v="Danish Crown"/>
    <s v="Grazing"/>
    <s v="Latin America and the Caribbean"/>
    <n v="0"/>
    <x v="0"/>
    <x v="0"/>
    <x v="0"/>
  </r>
  <r>
    <s v="Danish Crown"/>
    <s v="Grazing"/>
    <s v="Near East and North Africa"/>
    <n v="0"/>
    <x v="0"/>
    <x v="0"/>
    <x v="0"/>
  </r>
  <r>
    <s v="Danish Crown"/>
    <s v="Grazing"/>
    <s v="North America"/>
    <n v="0"/>
    <x v="0"/>
    <x v="0"/>
    <x v="0"/>
  </r>
  <r>
    <s v="Danish Crown"/>
    <s v="Grazing"/>
    <s v="Oceania"/>
    <n v="0"/>
    <x v="0"/>
    <x v="0"/>
    <x v="0"/>
  </r>
  <r>
    <s v="Danish Crown"/>
    <s v="Grazing"/>
    <s v="RoW"/>
    <n v="0"/>
    <x v="0"/>
    <x v="0"/>
    <x v="0"/>
  </r>
  <r>
    <s v="Danish Crown"/>
    <s v="Grazing"/>
    <s v="Russian Federation"/>
    <n v="0"/>
    <x v="0"/>
    <x v="0"/>
    <x v="0"/>
  </r>
  <r>
    <s v="Danish Crown"/>
    <s v="Grazing"/>
    <s v="South Asia"/>
    <n v="0"/>
    <x v="0"/>
    <x v="0"/>
    <x v="0"/>
  </r>
  <r>
    <s v="Danish Crown"/>
    <s v="Grazing"/>
    <s v="Sub-Saharan Africa"/>
    <n v="0"/>
    <x v="0"/>
    <x v="0"/>
    <x v="0"/>
  </r>
  <r>
    <s v="Danish Crown"/>
    <s v="Grazing"/>
    <s v="Western Europe"/>
    <n v="665"/>
    <x v="0"/>
    <x v="0"/>
    <x v="0"/>
  </r>
  <r>
    <s v="Danish Crown"/>
    <s v="Croplands"/>
    <s v="East Asia and Southeast Asia"/>
    <n v="1"/>
    <x v="0"/>
    <x v="0"/>
    <x v="0"/>
  </r>
  <r>
    <s v="Danish Crown"/>
    <s v="Croplands"/>
    <s v="Eastern Europe"/>
    <n v="20"/>
    <x v="0"/>
    <x v="0"/>
    <x v="0"/>
  </r>
  <r>
    <s v="Danish Crown"/>
    <s v="Croplands"/>
    <s v="Latin America and the Caribbean"/>
    <n v="15"/>
    <x v="0"/>
    <x v="0"/>
    <x v="0"/>
  </r>
  <r>
    <s v="Danish Crown"/>
    <s v="Croplands"/>
    <s v="Near East and North Africa"/>
    <n v="1"/>
    <x v="0"/>
    <x v="0"/>
    <x v="0"/>
  </r>
  <r>
    <s v="Danish Crown"/>
    <s v="Croplands"/>
    <s v="North America"/>
    <n v="8"/>
    <x v="0"/>
    <x v="0"/>
    <x v="0"/>
  </r>
  <r>
    <s v="Danish Crown"/>
    <s v="Croplands"/>
    <s v="Oceania"/>
    <n v="1"/>
    <x v="0"/>
    <x v="0"/>
    <x v="0"/>
  </r>
  <r>
    <s v="Danish Crown"/>
    <s v="Croplands"/>
    <s v="RoW"/>
    <n v="0"/>
    <x v="0"/>
    <x v="0"/>
    <x v="0"/>
  </r>
  <r>
    <s v="Danish Crown"/>
    <s v="Croplands"/>
    <s v="Russian Federation"/>
    <n v="3"/>
    <x v="0"/>
    <x v="0"/>
    <x v="0"/>
  </r>
  <r>
    <s v="Danish Crown"/>
    <s v="Croplands"/>
    <s v="South Asia"/>
    <n v="1"/>
    <x v="0"/>
    <x v="0"/>
    <x v="0"/>
  </r>
  <r>
    <s v="Danish Crown"/>
    <s v="Croplands"/>
    <s v="Sub-Saharan Africa"/>
    <n v="0"/>
    <x v="0"/>
    <x v="0"/>
    <x v="0"/>
  </r>
  <r>
    <s v="Danish Crown"/>
    <s v="Croplands"/>
    <s v="Western Europe"/>
    <n v="140"/>
    <x v="0"/>
    <x v="0"/>
    <x v="0"/>
  </r>
  <r>
    <s v="Gruppo Cremonini"/>
    <s v="Grazing"/>
    <s v="East Asia and Southeast Asia"/>
    <n v="0"/>
    <x v="0"/>
    <x v="0"/>
    <x v="0"/>
  </r>
  <r>
    <s v="Gruppo Cremonini"/>
    <s v="Grazing"/>
    <s v="Eastern Europe"/>
    <n v="17"/>
    <x v="0"/>
    <x v="0"/>
    <x v="0"/>
  </r>
  <r>
    <s v="Gruppo Cremonini"/>
    <s v="Grazing"/>
    <s v="Latin America and the Caribbean"/>
    <n v="0"/>
    <x v="0"/>
    <x v="0"/>
    <x v="0"/>
  </r>
  <r>
    <s v="Gruppo Cremonini"/>
    <s v="Grazing"/>
    <s v="Near East and North Africa"/>
    <n v="0"/>
    <x v="0"/>
    <x v="0"/>
    <x v="0"/>
  </r>
  <r>
    <s v="Gruppo Cremonini"/>
    <s v="Grazing"/>
    <s v="North America"/>
    <n v="0"/>
    <x v="0"/>
    <x v="0"/>
    <x v="0"/>
  </r>
  <r>
    <s v="Gruppo Cremonini"/>
    <s v="Grazing"/>
    <s v="Oceania"/>
    <n v="0"/>
    <x v="0"/>
    <x v="0"/>
    <x v="0"/>
  </r>
  <r>
    <s v="Gruppo Cremonini"/>
    <s v="Grazing"/>
    <s v="RoW"/>
    <n v="0"/>
    <x v="0"/>
    <x v="0"/>
    <x v="0"/>
  </r>
  <r>
    <s v="Gruppo Cremonini"/>
    <s v="Grazing"/>
    <s v="Russian Federation"/>
    <n v="0"/>
    <x v="0"/>
    <x v="0"/>
    <x v="0"/>
  </r>
  <r>
    <s v="Gruppo Cremonini"/>
    <s v="Grazing"/>
    <s v="South Asia"/>
    <n v="0"/>
    <x v="0"/>
    <x v="0"/>
    <x v="0"/>
  </r>
  <r>
    <s v="Gruppo Cremonini"/>
    <s v="Grazing"/>
    <s v="Sub-Saharan Africa"/>
    <n v="0"/>
    <x v="0"/>
    <x v="0"/>
    <x v="0"/>
  </r>
  <r>
    <s v="Gruppo Cremonini"/>
    <s v="Grazing"/>
    <s v="Western Europe"/>
    <n v="1549"/>
    <x v="0"/>
    <x v="0"/>
    <x v="0"/>
  </r>
  <r>
    <s v="Gruppo Cremonini"/>
    <s v="Croplands"/>
    <s v="East Asia and Southeast Asia"/>
    <n v="3"/>
    <x v="0"/>
    <x v="0"/>
    <x v="0"/>
  </r>
  <r>
    <s v="Gruppo Cremonini"/>
    <s v="Croplands"/>
    <s v="Eastern Europe"/>
    <n v="47"/>
    <x v="0"/>
    <x v="0"/>
    <x v="0"/>
  </r>
  <r>
    <s v="Gruppo Cremonini"/>
    <s v="Croplands"/>
    <s v="Latin America and the Caribbean"/>
    <n v="34"/>
    <x v="0"/>
    <x v="0"/>
    <x v="0"/>
  </r>
  <r>
    <s v="Gruppo Cremonini"/>
    <s v="Croplands"/>
    <s v="Near East and North Africa"/>
    <n v="3"/>
    <x v="0"/>
    <x v="0"/>
    <x v="0"/>
  </r>
  <r>
    <s v="Gruppo Cremonini"/>
    <s v="Croplands"/>
    <s v="North America"/>
    <n v="18"/>
    <x v="0"/>
    <x v="0"/>
    <x v="0"/>
  </r>
  <r>
    <s v="Gruppo Cremonini"/>
    <s v="Croplands"/>
    <s v="Oceania"/>
    <n v="3"/>
    <x v="0"/>
    <x v="0"/>
    <x v="0"/>
  </r>
  <r>
    <s v="Gruppo Cremonini"/>
    <s v="Croplands"/>
    <s v="RoW"/>
    <n v="0"/>
    <x v="0"/>
    <x v="0"/>
    <x v="0"/>
  </r>
  <r>
    <s v="Gruppo Cremonini"/>
    <s v="Croplands"/>
    <s v="Russian Federation"/>
    <n v="7"/>
    <x v="0"/>
    <x v="0"/>
    <x v="0"/>
  </r>
  <r>
    <s v="Gruppo Cremonini"/>
    <s v="Croplands"/>
    <s v="South Asia"/>
    <n v="3"/>
    <x v="0"/>
    <x v="0"/>
    <x v="0"/>
  </r>
  <r>
    <s v="Gruppo Cremonini"/>
    <s v="Croplands"/>
    <s v="Sub-Saharan Africa"/>
    <n v="1"/>
    <x v="0"/>
    <x v="0"/>
    <x v="0"/>
  </r>
  <r>
    <s v="Gruppo Cremonini"/>
    <s v="Croplands"/>
    <s v="Western Europe"/>
    <n v="326"/>
    <x v="0"/>
    <x v="0"/>
    <x v="0"/>
  </r>
  <r>
    <s v="JBS"/>
    <s v="Grazing"/>
    <s v="East Asia and Southeast Asia"/>
    <n v="3"/>
    <x v="0"/>
    <x v="0"/>
    <x v="0"/>
  </r>
  <r>
    <s v="JBS"/>
    <s v="Grazing"/>
    <s v="Eastern Europe"/>
    <n v="0"/>
    <x v="0"/>
    <x v="0"/>
    <x v="0"/>
  </r>
  <r>
    <s v="JBS"/>
    <s v="Grazing"/>
    <s v="Latin America and the Caribbean"/>
    <n v="71166"/>
    <x v="0"/>
    <x v="0"/>
    <x v="0"/>
  </r>
  <r>
    <s v="JBS"/>
    <s v="Grazing"/>
    <s v="Near East and North Africa"/>
    <n v="0"/>
    <x v="0"/>
    <x v="0"/>
    <x v="0"/>
  </r>
  <r>
    <s v="JBS"/>
    <s v="Grazing"/>
    <s v="North America"/>
    <n v="47403"/>
    <x v="0"/>
    <x v="0"/>
    <x v="0"/>
  </r>
  <r>
    <s v="JBS"/>
    <s v="Grazing"/>
    <s v="Oceania"/>
    <n v="40074"/>
    <x v="0"/>
    <x v="0"/>
    <x v="0"/>
  </r>
  <r>
    <s v="JBS"/>
    <s v="Grazing"/>
    <s v="RoW"/>
    <n v="0"/>
    <x v="0"/>
    <x v="0"/>
    <x v="0"/>
  </r>
  <r>
    <s v="JBS"/>
    <s v="Grazing"/>
    <s v="Russian Federation"/>
    <n v="0"/>
    <x v="0"/>
    <x v="0"/>
    <x v="0"/>
  </r>
  <r>
    <s v="JBS"/>
    <s v="Grazing"/>
    <s v="South Asia"/>
    <n v="0"/>
    <x v="0"/>
    <x v="0"/>
    <x v="0"/>
  </r>
  <r>
    <s v="JBS"/>
    <s v="Grazing"/>
    <s v="Sub-Saharan Africa"/>
    <n v="1"/>
    <x v="0"/>
    <x v="0"/>
    <x v="0"/>
  </r>
  <r>
    <s v="JBS"/>
    <s v="Grazing"/>
    <s v="Western Europe"/>
    <n v="2"/>
    <x v="0"/>
    <x v="0"/>
    <x v="0"/>
  </r>
  <r>
    <s v="JBS"/>
    <s v="Croplands"/>
    <s v="East Asia and Southeast Asia"/>
    <n v="13"/>
    <x v="0"/>
    <x v="0"/>
    <x v="0"/>
  </r>
  <r>
    <s v="JBS"/>
    <s v="Croplands"/>
    <s v="Eastern Europe"/>
    <n v="4"/>
    <x v="0"/>
    <x v="0"/>
    <x v="0"/>
  </r>
  <r>
    <s v="JBS"/>
    <s v="Croplands"/>
    <s v="Latin America and the Caribbean"/>
    <n v="1684"/>
    <x v="0"/>
    <x v="0"/>
    <x v="0"/>
  </r>
  <r>
    <s v="JBS"/>
    <s v="Croplands"/>
    <s v="Near East and North Africa"/>
    <n v="3"/>
    <x v="0"/>
    <x v="0"/>
    <x v="0"/>
  </r>
  <r>
    <s v="JBS"/>
    <s v="Croplands"/>
    <s v="North America"/>
    <n v="4076"/>
    <x v="0"/>
    <x v="0"/>
    <x v="0"/>
  </r>
  <r>
    <s v="JBS"/>
    <s v="Croplands"/>
    <s v="Oceania"/>
    <n v="404"/>
    <x v="0"/>
    <x v="0"/>
    <x v="0"/>
  </r>
  <r>
    <s v="JBS"/>
    <s v="Croplands"/>
    <s v="RoW"/>
    <n v="0"/>
    <x v="0"/>
    <x v="0"/>
    <x v="0"/>
  </r>
  <r>
    <s v="JBS"/>
    <s v="Croplands"/>
    <s v="Russian Federation"/>
    <n v="3"/>
    <x v="0"/>
    <x v="0"/>
    <x v="0"/>
  </r>
  <r>
    <s v="JBS"/>
    <s v="Croplands"/>
    <s v="South Asia"/>
    <n v="11"/>
    <x v="0"/>
    <x v="0"/>
    <x v="0"/>
  </r>
  <r>
    <s v="JBS"/>
    <s v="Croplands"/>
    <s v="Sub-Saharan Africa"/>
    <n v="8"/>
    <x v="0"/>
    <x v="0"/>
    <x v="0"/>
  </r>
  <r>
    <s v="JBS"/>
    <s v="Croplands"/>
    <s v="Western Europe"/>
    <n v="5"/>
    <x v="0"/>
    <x v="0"/>
    <x v="0"/>
  </r>
  <r>
    <s v="Marfrig"/>
    <s v="Grazing"/>
    <s v="East Asia and Southeast Asia"/>
    <n v="1"/>
    <x v="0"/>
    <x v="0"/>
    <x v="0"/>
  </r>
  <r>
    <s v="Marfrig"/>
    <s v="Grazing"/>
    <s v="Eastern Europe"/>
    <n v="0"/>
    <x v="0"/>
    <x v="0"/>
    <x v="0"/>
  </r>
  <r>
    <s v="Marfrig"/>
    <s v="Grazing"/>
    <s v="Latin America and the Caribbean"/>
    <n v="35737"/>
    <x v="0"/>
    <x v="0"/>
    <x v="0"/>
  </r>
  <r>
    <s v="Marfrig"/>
    <s v="Grazing"/>
    <s v="Near East and North Africa"/>
    <n v="0"/>
    <x v="0"/>
    <x v="0"/>
    <x v="0"/>
  </r>
  <r>
    <s v="Marfrig"/>
    <s v="Grazing"/>
    <s v="North America"/>
    <n v="19051"/>
    <x v="0"/>
    <x v="0"/>
    <x v="0"/>
  </r>
  <r>
    <s v="Marfrig"/>
    <s v="Grazing"/>
    <s v="Oceania"/>
    <n v="11"/>
    <x v="0"/>
    <x v="0"/>
    <x v="0"/>
  </r>
  <r>
    <s v="Marfrig"/>
    <s v="Grazing"/>
    <s v="RoW"/>
    <n v="0"/>
    <x v="0"/>
    <x v="0"/>
    <x v="0"/>
  </r>
  <r>
    <s v="Marfrig"/>
    <s v="Grazing"/>
    <s v="Russian Federation"/>
    <n v="0"/>
    <x v="0"/>
    <x v="0"/>
    <x v="0"/>
  </r>
  <r>
    <s v="Marfrig"/>
    <s v="Grazing"/>
    <s v="South Asia"/>
    <n v="0"/>
    <x v="0"/>
    <x v="0"/>
    <x v="0"/>
  </r>
  <r>
    <s v="Marfrig"/>
    <s v="Grazing"/>
    <s v="Sub-Saharan Africa"/>
    <n v="0"/>
    <x v="0"/>
    <x v="0"/>
    <x v="0"/>
  </r>
  <r>
    <s v="Marfrig"/>
    <s v="Grazing"/>
    <s v="Western Europe"/>
    <n v="0"/>
    <x v="0"/>
    <x v="0"/>
    <x v="0"/>
  </r>
  <r>
    <s v="Marfrig"/>
    <s v="Croplands"/>
    <s v="East Asia and Southeast Asia"/>
    <n v="1"/>
    <x v="0"/>
    <x v="0"/>
    <x v="0"/>
  </r>
  <r>
    <s v="Marfrig"/>
    <s v="Croplands"/>
    <s v="Eastern Europe"/>
    <n v="1"/>
    <x v="0"/>
    <x v="0"/>
    <x v="0"/>
  </r>
  <r>
    <s v="Marfrig"/>
    <s v="Croplands"/>
    <s v="Latin America and the Caribbean"/>
    <n v="831"/>
    <x v="0"/>
    <x v="0"/>
    <x v="0"/>
  </r>
  <r>
    <s v="Marfrig"/>
    <s v="Croplands"/>
    <s v="Near East and North Africa"/>
    <n v="1"/>
    <x v="0"/>
    <x v="0"/>
    <x v="0"/>
  </r>
  <r>
    <s v="Marfrig"/>
    <s v="Croplands"/>
    <s v="North America"/>
    <n v="1647"/>
    <x v="0"/>
    <x v="0"/>
    <x v="0"/>
  </r>
  <r>
    <s v="Marfrig"/>
    <s v="Croplands"/>
    <s v="Oceania"/>
    <n v="0"/>
    <x v="0"/>
    <x v="0"/>
    <x v="0"/>
  </r>
  <r>
    <s v="Marfrig"/>
    <s v="Croplands"/>
    <s v="RoW"/>
    <n v="0"/>
    <x v="0"/>
    <x v="0"/>
    <x v="0"/>
  </r>
  <r>
    <s v="Marfrig"/>
    <s v="Croplands"/>
    <s v="Russian Federation"/>
    <n v="1"/>
    <x v="0"/>
    <x v="0"/>
    <x v="0"/>
  </r>
  <r>
    <s v="Marfrig"/>
    <s v="Croplands"/>
    <s v="South Asia"/>
    <n v="4"/>
    <x v="0"/>
    <x v="0"/>
    <x v="0"/>
  </r>
  <r>
    <s v="Marfrig"/>
    <s v="Croplands"/>
    <s v="Sub-Saharan Africa"/>
    <n v="4"/>
    <x v="0"/>
    <x v="0"/>
    <x v="0"/>
  </r>
  <r>
    <s v="Marfrig"/>
    <s v="Croplands"/>
    <s v="Western Europe"/>
    <n v="2"/>
    <x v="0"/>
    <x v="0"/>
    <x v="0"/>
  </r>
  <r>
    <s v="Minerva"/>
    <s v="Grazing"/>
    <s v="East Asia and Southeast Asia"/>
    <n v="0"/>
    <x v="0"/>
    <x v="0"/>
    <x v="0"/>
  </r>
  <r>
    <s v="Minerva"/>
    <s v="Grazing"/>
    <s v="Eastern Europe"/>
    <n v="0"/>
    <x v="0"/>
    <x v="0"/>
    <x v="0"/>
  </r>
  <r>
    <s v="Minerva"/>
    <s v="Grazing"/>
    <s v="Latin America and the Caribbean"/>
    <n v="29425"/>
    <x v="0"/>
    <x v="0"/>
    <x v="0"/>
  </r>
  <r>
    <s v="Minerva"/>
    <s v="Grazing"/>
    <s v="Near East and North Africa"/>
    <n v="0"/>
    <x v="0"/>
    <x v="0"/>
    <x v="0"/>
  </r>
  <r>
    <s v="Minerva"/>
    <s v="Grazing"/>
    <s v="North America"/>
    <n v="8"/>
    <x v="0"/>
    <x v="0"/>
    <x v="0"/>
  </r>
  <r>
    <s v="Minerva"/>
    <s v="Grazing"/>
    <s v="Oceania"/>
    <n v="0"/>
    <x v="0"/>
    <x v="0"/>
    <x v="0"/>
  </r>
  <r>
    <s v="Minerva"/>
    <s v="Grazing"/>
    <s v="RoW"/>
    <n v="0"/>
    <x v="0"/>
    <x v="0"/>
    <x v="0"/>
  </r>
  <r>
    <s v="Minerva"/>
    <s v="Grazing"/>
    <s v="Russian Federation"/>
    <n v="0"/>
    <x v="0"/>
    <x v="0"/>
    <x v="0"/>
  </r>
  <r>
    <s v="Minerva"/>
    <s v="Grazing"/>
    <s v="South Asia"/>
    <n v="0"/>
    <x v="0"/>
    <x v="0"/>
    <x v="0"/>
  </r>
  <r>
    <s v="Minerva"/>
    <s v="Grazing"/>
    <s v="Sub-Saharan Africa"/>
    <n v="0"/>
    <x v="0"/>
    <x v="0"/>
    <x v="0"/>
  </r>
  <r>
    <s v="Minerva"/>
    <s v="Grazing"/>
    <s v="Western Europe"/>
    <n v="0"/>
    <x v="0"/>
    <x v="0"/>
    <x v="0"/>
  </r>
  <r>
    <s v="Minerva"/>
    <s v="Croplands"/>
    <s v="East Asia and Southeast Asia"/>
    <n v="0"/>
    <x v="0"/>
    <x v="0"/>
    <x v="0"/>
  </r>
  <r>
    <s v="Minerva"/>
    <s v="Croplands"/>
    <s v="Eastern Europe"/>
    <n v="0"/>
    <x v="0"/>
    <x v="0"/>
    <x v="0"/>
  </r>
  <r>
    <s v="Minerva"/>
    <s v="Croplands"/>
    <s v="Latin America and the Caribbean"/>
    <n v="683"/>
    <x v="0"/>
    <x v="0"/>
    <x v="0"/>
  </r>
  <r>
    <s v="Minerva"/>
    <s v="Croplands"/>
    <s v="Near East and North Africa"/>
    <n v="0"/>
    <x v="0"/>
    <x v="0"/>
    <x v="0"/>
  </r>
  <r>
    <s v="Minerva"/>
    <s v="Croplands"/>
    <s v="North America"/>
    <n v="43"/>
    <x v="0"/>
    <x v="0"/>
    <x v="0"/>
  </r>
  <r>
    <s v="Minerva"/>
    <s v="Croplands"/>
    <s v="Oceania"/>
    <n v="0"/>
    <x v="0"/>
    <x v="0"/>
    <x v="0"/>
  </r>
  <r>
    <s v="Minerva"/>
    <s v="Croplands"/>
    <s v="RoW"/>
    <n v="0"/>
    <x v="0"/>
    <x v="0"/>
    <x v="0"/>
  </r>
  <r>
    <s v="Minerva"/>
    <s v="Croplands"/>
    <s v="Russian Federation"/>
    <n v="0"/>
    <x v="0"/>
    <x v="0"/>
    <x v="0"/>
  </r>
  <r>
    <s v="Minerva"/>
    <s v="Croplands"/>
    <s v="South Asia"/>
    <n v="0"/>
    <x v="0"/>
    <x v="0"/>
    <x v="0"/>
  </r>
  <r>
    <s v="Minerva"/>
    <s v="Croplands"/>
    <s v="Sub-Saharan Africa"/>
    <n v="3"/>
    <x v="0"/>
    <x v="0"/>
    <x v="0"/>
  </r>
  <r>
    <s v="Minerva"/>
    <s v="Croplands"/>
    <s v="Western Europe"/>
    <n v="0"/>
    <x v="0"/>
    <x v="0"/>
    <x v="0"/>
  </r>
  <r>
    <s v="NH Foods"/>
    <s v="Grazing"/>
    <s v="East Asia and Southeast Asia"/>
    <n v="0"/>
    <x v="0"/>
    <x v="0"/>
    <x v="0"/>
  </r>
  <r>
    <s v="NH Foods"/>
    <s v="Grazing"/>
    <s v="Eastern Europe"/>
    <n v="0"/>
    <x v="0"/>
    <x v="0"/>
    <x v="0"/>
  </r>
  <r>
    <s v="NH Foods"/>
    <s v="Grazing"/>
    <s v="Latin America and the Caribbean"/>
    <n v="0"/>
    <x v="0"/>
    <x v="0"/>
    <x v="0"/>
  </r>
  <r>
    <s v="NH Foods"/>
    <s v="Grazing"/>
    <s v="Near East and North Africa"/>
    <n v="0"/>
    <x v="0"/>
    <x v="0"/>
    <x v="0"/>
  </r>
  <r>
    <s v="NH Foods"/>
    <s v="Grazing"/>
    <s v="North America"/>
    <n v="0"/>
    <x v="0"/>
    <x v="0"/>
    <x v="0"/>
  </r>
  <r>
    <s v="NH Foods"/>
    <s v="Grazing"/>
    <s v="Oceania"/>
    <n v="5114"/>
    <x v="0"/>
    <x v="0"/>
    <x v="0"/>
  </r>
  <r>
    <s v="NH Foods"/>
    <s v="Grazing"/>
    <s v="RoW"/>
    <n v="0"/>
    <x v="0"/>
    <x v="0"/>
    <x v="0"/>
  </r>
  <r>
    <s v="NH Foods"/>
    <s v="Grazing"/>
    <s v="Russian Federation"/>
    <n v="0"/>
    <x v="0"/>
    <x v="0"/>
    <x v="0"/>
  </r>
  <r>
    <s v="NH Foods"/>
    <s v="Grazing"/>
    <s v="South Asia"/>
    <n v="0"/>
    <x v="0"/>
    <x v="0"/>
    <x v="0"/>
  </r>
  <r>
    <s v="NH Foods"/>
    <s v="Grazing"/>
    <s v="Sub-Saharan Africa"/>
    <n v="0"/>
    <x v="0"/>
    <x v="0"/>
    <x v="0"/>
  </r>
  <r>
    <s v="NH Foods"/>
    <s v="Grazing"/>
    <s v="Western Europe"/>
    <n v="0"/>
    <x v="0"/>
    <x v="0"/>
    <x v="0"/>
  </r>
  <r>
    <s v="NH Foods"/>
    <s v="Croplands"/>
    <s v="East Asia and Southeast Asia"/>
    <n v="1"/>
    <x v="0"/>
    <x v="0"/>
    <x v="0"/>
  </r>
  <r>
    <s v="NH Foods"/>
    <s v="Croplands"/>
    <s v="Eastern Europe"/>
    <n v="0"/>
    <x v="0"/>
    <x v="0"/>
    <x v="0"/>
  </r>
  <r>
    <s v="NH Foods"/>
    <s v="Croplands"/>
    <s v="Latin America and the Caribbean"/>
    <n v="3"/>
    <x v="0"/>
    <x v="0"/>
    <x v="0"/>
  </r>
  <r>
    <s v="NH Foods"/>
    <s v="Croplands"/>
    <s v="Near East and North Africa"/>
    <n v="0"/>
    <x v="0"/>
    <x v="0"/>
    <x v="0"/>
  </r>
  <r>
    <s v="NH Foods"/>
    <s v="Croplands"/>
    <s v="North America"/>
    <n v="0"/>
    <x v="0"/>
    <x v="0"/>
    <x v="0"/>
  </r>
  <r>
    <s v="NH Foods"/>
    <s v="Croplands"/>
    <s v="Oceania"/>
    <n v="51"/>
    <x v="0"/>
    <x v="0"/>
    <x v="0"/>
  </r>
  <r>
    <s v="NH Foods"/>
    <s v="Croplands"/>
    <s v="RoW"/>
    <n v="0"/>
    <x v="0"/>
    <x v="0"/>
    <x v="0"/>
  </r>
  <r>
    <s v="NH Foods"/>
    <s v="Croplands"/>
    <s v="Russian Federation"/>
    <n v="0"/>
    <x v="0"/>
    <x v="0"/>
    <x v="0"/>
  </r>
  <r>
    <s v="NH Foods"/>
    <s v="Croplands"/>
    <s v="South Asia"/>
    <n v="0"/>
    <x v="0"/>
    <x v="0"/>
    <x v="0"/>
  </r>
  <r>
    <s v="NH Foods"/>
    <s v="Croplands"/>
    <s v="Sub-Saharan Africa"/>
    <n v="0"/>
    <x v="0"/>
    <x v="0"/>
    <x v="0"/>
  </r>
  <r>
    <s v="NH Foods"/>
    <s v="Croplands"/>
    <s v="Western Europe"/>
    <n v="0"/>
    <x v="0"/>
    <x v="0"/>
    <x v="0"/>
  </r>
  <r>
    <s v="Teys "/>
    <s v="Grazing"/>
    <s v="East Asia and Southeast Asia"/>
    <n v="0"/>
    <x v="0"/>
    <x v="0"/>
    <x v="0"/>
  </r>
  <r>
    <s v="Teys "/>
    <s v="Grazing"/>
    <s v="Eastern Europe"/>
    <n v="0"/>
    <x v="0"/>
    <x v="0"/>
    <x v="0"/>
  </r>
  <r>
    <s v="Teys "/>
    <s v="Grazing"/>
    <s v="Latin America and the Caribbean"/>
    <n v="0"/>
    <x v="0"/>
    <x v="0"/>
    <x v="0"/>
  </r>
  <r>
    <s v="Teys "/>
    <s v="Grazing"/>
    <s v="Near East and North Africa"/>
    <n v="0"/>
    <x v="0"/>
    <x v="0"/>
    <x v="0"/>
  </r>
  <r>
    <s v="Teys "/>
    <s v="Grazing"/>
    <s v="North America"/>
    <n v="0"/>
    <x v="0"/>
    <x v="0"/>
    <x v="0"/>
  </r>
  <r>
    <s v="Teys "/>
    <s v="Grazing"/>
    <s v="Oceania"/>
    <n v="11387"/>
    <x v="0"/>
    <x v="0"/>
    <x v="0"/>
  </r>
  <r>
    <s v="Teys "/>
    <s v="Grazing"/>
    <s v="RoW"/>
    <n v="0"/>
    <x v="0"/>
    <x v="0"/>
    <x v="0"/>
  </r>
  <r>
    <s v="Teys "/>
    <s v="Grazing"/>
    <s v="Russian Federation"/>
    <n v="0"/>
    <x v="0"/>
    <x v="0"/>
    <x v="0"/>
  </r>
  <r>
    <s v="Teys "/>
    <s v="Grazing"/>
    <s v="South Asia"/>
    <n v="0"/>
    <x v="0"/>
    <x v="0"/>
    <x v="0"/>
  </r>
  <r>
    <s v="Teys "/>
    <s v="Grazing"/>
    <s v="Sub-Saharan Africa"/>
    <n v="0"/>
    <x v="0"/>
    <x v="0"/>
    <x v="0"/>
  </r>
  <r>
    <s v="Teys "/>
    <s v="Grazing"/>
    <s v="Western Europe"/>
    <n v="0"/>
    <x v="0"/>
    <x v="0"/>
    <x v="0"/>
  </r>
  <r>
    <s v="Teys "/>
    <s v="Croplands"/>
    <s v="East Asia and Southeast Asia"/>
    <n v="3"/>
    <x v="0"/>
    <x v="0"/>
    <x v="0"/>
  </r>
  <r>
    <s v="Teys "/>
    <s v="Croplands"/>
    <s v="Eastern Europe"/>
    <n v="0"/>
    <x v="0"/>
    <x v="0"/>
    <x v="0"/>
  </r>
  <r>
    <s v="Teys "/>
    <s v="Croplands"/>
    <s v="Latin America and the Caribbean"/>
    <n v="8"/>
    <x v="0"/>
    <x v="0"/>
    <x v="0"/>
  </r>
  <r>
    <s v="Teys "/>
    <s v="Croplands"/>
    <s v="Near East and North Africa"/>
    <n v="0"/>
    <x v="0"/>
    <x v="0"/>
    <x v="0"/>
  </r>
  <r>
    <s v="Teys "/>
    <s v="Croplands"/>
    <s v="North America"/>
    <n v="1"/>
    <x v="0"/>
    <x v="0"/>
    <x v="0"/>
  </r>
  <r>
    <s v="Teys "/>
    <s v="Croplands"/>
    <s v="Oceania"/>
    <n v="115"/>
    <x v="0"/>
    <x v="0"/>
    <x v="0"/>
  </r>
  <r>
    <s v="Teys "/>
    <s v="Croplands"/>
    <s v="RoW"/>
    <n v="0"/>
    <x v="0"/>
    <x v="0"/>
    <x v="0"/>
  </r>
  <r>
    <s v="Teys "/>
    <s v="Croplands"/>
    <s v="Russian Federation"/>
    <n v="0"/>
    <x v="0"/>
    <x v="0"/>
    <x v="0"/>
  </r>
  <r>
    <s v="Teys "/>
    <s v="Croplands"/>
    <s v="South Asia"/>
    <n v="0"/>
    <x v="0"/>
    <x v="0"/>
    <x v="0"/>
  </r>
  <r>
    <s v="Teys "/>
    <s v="Croplands"/>
    <s v="Sub-Saharan Africa"/>
    <n v="0"/>
    <x v="0"/>
    <x v="0"/>
    <x v="0"/>
  </r>
  <r>
    <s v="Teys "/>
    <s v="Croplands"/>
    <s v="Western Europe"/>
    <n v="0"/>
    <x v="0"/>
    <x v="0"/>
    <x v="0"/>
  </r>
  <r>
    <s v="Tönnies Group"/>
    <s v="Grazing"/>
    <s v="East Asia and Southeast Asia"/>
    <n v="0"/>
    <x v="0"/>
    <x v="0"/>
    <x v="0"/>
  </r>
  <r>
    <s v="Tönnies Group"/>
    <s v="Grazing"/>
    <s v="Eastern Europe"/>
    <n v="3"/>
    <x v="0"/>
    <x v="0"/>
    <x v="0"/>
  </r>
  <r>
    <s v="Tönnies Group"/>
    <s v="Grazing"/>
    <s v="Latin America and the Caribbean"/>
    <n v="0"/>
    <x v="0"/>
    <x v="0"/>
    <x v="0"/>
  </r>
  <r>
    <s v="Tönnies Group"/>
    <s v="Grazing"/>
    <s v="Near East and North Africa"/>
    <n v="0"/>
    <x v="0"/>
    <x v="0"/>
    <x v="0"/>
  </r>
  <r>
    <s v="Tönnies Group"/>
    <s v="Grazing"/>
    <s v="North America"/>
    <n v="0"/>
    <x v="0"/>
    <x v="0"/>
    <x v="0"/>
  </r>
  <r>
    <s v="Tönnies Group"/>
    <s v="Grazing"/>
    <s v="Oceania"/>
    <n v="0"/>
    <x v="0"/>
    <x v="0"/>
    <x v="0"/>
  </r>
  <r>
    <s v="Tönnies Group"/>
    <s v="Grazing"/>
    <s v="RoW"/>
    <n v="0"/>
    <x v="0"/>
    <x v="0"/>
    <x v="0"/>
  </r>
  <r>
    <s v="Tönnies Group"/>
    <s v="Grazing"/>
    <s v="Russian Federation"/>
    <n v="0"/>
    <x v="0"/>
    <x v="0"/>
    <x v="0"/>
  </r>
  <r>
    <s v="Tönnies Group"/>
    <s v="Grazing"/>
    <s v="South Asia"/>
    <n v="0"/>
    <x v="0"/>
    <x v="0"/>
    <x v="0"/>
  </r>
  <r>
    <s v="Tönnies Group"/>
    <s v="Grazing"/>
    <s v="Sub-Saharan Africa"/>
    <n v="0"/>
    <x v="0"/>
    <x v="0"/>
    <x v="0"/>
  </r>
  <r>
    <s v="Tönnies Group"/>
    <s v="Grazing"/>
    <s v="Western Europe"/>
    <n v="302"/>
    <x v="0"/>
    <x v="0"/>
    <x v="0"/>
  </r>
  <r>
    <s v="Tönnies Group"/>
    <s v="Croplands"/>
    <s v="East Asia and Southeast Asia"/>
    <n v="0"/>
    <x v="0"/>
    <x v="0"/>
    <x v="0"/>
  </r>
  <r>
    <s v="Tönnies Group"/>
    <s v="Croplands"/>
    <s v="Eastern Europe"/>
    <n v="9"/>
    <x v="0"/>
    <x v="0"/>
    <x v="0"/>
  </r>
  <r>
    <s v="Tönnies Group"/>
    <s v="Croplands"/>
    <s v="Latin America and the Caribbean"/>
    <n v="7"/>
    <x v="0"/>
    <x v="0"/>
    <x v="0"/>
  </r>
  <r>
    <s v="Tönnies Group"/>
    <s v="Croplands"/>
    <s v="Near East and North Africa"/>
    <n v="0"/>
    <x v="0"/>
    <x v="0"/>
    <x v="0"/>
  </r>
  <r>
    <s v="Tönnies Group"/>
    <s v="Croplands"/>
    <s v="North America"/>
    <n v="3"/>
    <x v="0"/>
    <x v="0"/>
    <x v="0"/>
  </r>
  <r>
    <s v="Tönnies Group"/>
    <s v="Croplands"/>
    <s v="Oceania"/>
    <n v="0"/>
    <x v="0"/>
    <x v="0"/>
    <x v="0"/>
  </r>
  <r>
    <s v="Tönnies Group"/>
    <s v="Croplands"/>
    <s v="RoW"/>
    <n v="0"/>
    <x v="0"/>
    <x v="0"/>
    <x v="0"/>
  </r>
  <r>
    <s v="Tönnies Group"/>
    <s v="Croplands"/>
    <s v="Russian Federation"/>
    <n v="1"/>
    <x v="0"/>
    <x v="0"/>
    <x v="0"/>
  </r>
  <r>
    <s v="Tönnies Group"/>
    <s v="Croplands"/>
    <s v="South Asia"/>
    <n v="0"/>
    <x v="0"/>
    <x v="0"/>
    <x v="0"/>
  </r>
  <r>
    <s v="Tönnies Group"/>
    <s v="Croplands"/>
    <s v="Sub-Saharan Africa"/>
    <n v="0"/>
    <x v="0"/>
    <x v="0"/>
    <x v="0"/>
  </r>
  <r>
    <s v="Tönnies Group"/>
    <s v="Croplands"/>
    <s v="Western Europe"/>
    <n v="64"/>
    <x v="0"/>
    <x v="0"/>
    <x v="0"/>
  </r>
  <r>
    <s v="Tyson"/>
    <s v="Grazing"/>
    <s v="East Asia and Southeast Asia"/>
    <n v="2"/>
    <x v="0"/>
    <x v="0"/>
    <x v="0"/>
  </r>
  <r>
    <s v="Tyson"/>
    <s v="Grazing"/>
    <s v="Eastern Europe"/>
    <n v="0"/>
    <x v="0"/>
    <x v="0"/>
    <x v="0"/>
  </r>
  <r>
    <s v="Tyson"/>
    <s v="Grazing"/>
    <s v="Latin America and the Caribbean"/>
    <n v="753"/>
    <x v="0"/>
    <x v="0"/>
    <x v="0"/>
  </r>
  <r>
    <s v="Tyson"/>
    <s v="Grazing"/>
    <s v="Near East and North Africa"/>
    <n v="0"/>
    <x v="0"/>
    <x v="0"/>
    <x v="0"/>
  </r>
  <r>
    <s v="Tyson"/>
    <s v="Grazing"/>
    <s v="North America"/>
    <n v="31273"/>
    <x v="0"/>
    <x v="0"/>
    <x v="0"/>
  </r>
  <r>
    <s v="Tyson"/>
    <s v="Grazing"/>
    <s v="Oceania"/>
    <n v="6923"/>
    <x v="0"/>
    <x v="0"/>
    <x v="0"/>
  </r>
  <r>
    <s v="Tyson"/>
    <s v="Grazing"/>
    <s v="RoW"/>
    <n v="0"/>
    <x v="0"/>
    <x v="0"/>
    <x v="0"/>
  </r>
  <r>
    <s v="Tyson"/>
    <s v="Grazing"/>
    <s v="Russian Federation"/>
    <n v="0"/>
    <x v="0"/>
    <x v="0"/>
    <x v="0"/>
  </r>
  <r>
    <s v="Tyson"/>
    <s v="Grazing"/>
    <s v="South Asia"/>
    <n v="0"/>
    <x v="0"/>
    <x v="0"/>
    <x v="0"/>
  </r>
  <r>
    <s v="Tyson"/>
    <s v="Grazing"/>
    <s v="Sub-Saharan Africa"/>
    <n v="0"/>
    <x v="0"/>
    <x v="0"/>
    <x v="0"/>
  </r>
  <r>
    <s v="Tyson"/>
    <s v="Grazing"/>
    <s v="Western Europe"/>
    <n v="0"/>
    <x v="0"/>
    <x v="0"/>
    <x v="0"/>
  </r>
  <r>
    <s v="Tyson"/>
    <s v="Croplands"/>
    <s v="East Asia and Southeast Asia"/>
    <n v="3"/>
    <x v="0"/>
    <x v="0"/>
    <x v="0"/>
  </r>
  <r>
    <s v="Tyson"/>
    <s v="Croplands"/>
    <s v="Eastern Europe"/>
    <n v="2"/>
    <x v="0"/>
    <x v="0"/>
    <x v="0"/>
  </r>
  <r>
    <s v="Tyson"/>
    <s v="Croplands"/>
    <s v="Latin America and the Caribbean"/>
    <n v="25"/>
    <x v="0"/>
    <x v="0"/>
    <x v="0"/>
  </r>
  <r>
    <s v="Tyson"/>
    <s v="Croplands"/>
    <s v="Near East and North Africa"/>
    <n v="0"/>
    <x v="0"/>
    <x v="0"/>
    <x v="0"/>
  </r>
  <r>
    <s v="Tyson"/>
    <s v="Croplands"/>
    <s v="North America"/>
    <n v="2621"/>
    <x v="0"/>
    <x v="0"/>
    <x v="0"/>
  </r>
  <r>
    <s v="Tyson"/>
    <s v="Croplands"/>
    <s v="Oceania"/>
    <n v="70"/>
    <x v="0"/>
    <x v="0"/>
    <x v="0"/>
  </r>
  <r>
    <s v="Tyson"/>
    <s v="Croplands"/>
    <s v="RoW"/>
    <n v="0"/>
    <x v="0"/>
    <x v="0"/>
    <x v="0"/>
  </r>
  <r>
    <s v="Tyson"/>
    <s v="Croplands"/>
    <s v="Russian Federation"/>
    <n v="0"/>
    <x v="0"/>
    <x v="0"/>
    <x v="0"/>
  </r>
  <r>
    <s v="Tyson"/>
    <s v="Croplands"/>
    <s v="South Asia"/>
    <n v="6"/>
    <x v="0"/>
    <x v="0"/>
    <x v="0"/>
  </r>
  <r>
    <s v="Tyson"/>
    <s v="Croplands"/>
    <s v="Sub-Saharan Africa"/>
    <n v="0"/>
    <x v="0"/>
    <x v="0"/>
    <x v="0"/>
  </r>
  <r>
    <s v="Tyson"/>
    <s v="Croplands"/>
    <s v="Western Europe"/>
    <n v="2"/>
    <x v="0"/>
    <x v="0"/>
    <x v="0"/>
  </r>
  <r>
    <s v="Vion Food Group"/>
    <s v="Grazing"/>
    <s v="East Asia and Southeast Asia"/>
    <n v="0"/>
    <x v="0"/>
    <x v="0"/>
    <x v="0"/>
  </r>
  <r>
    <s v="Vion Food Group"/>
    <s v="Grazing"/>
    <s v="Eastern Europe"/>
    <n v="8"/>
    <x v="0"/>
    <x v="0"/>
    <x v="0"/>
  </r>
  <r>
    <s v="Vion Food Group"/>
    <s v="Grazing"/>
    <s v="Latin America and the Caribbean"/>
    <n v="0"/>
    <x v="0"/>
    <x v="0"/>
    <x v="0"/>
  </r>
  <r>
    <s v="Vion Food Group"/>
    <s v="Grazing"/>
    <s v="Near East and North Africa"/>
    <n v="0"/>
    <x v="0"/>
    <x v="0"/>
    <x v="0"/>
  </r>
  <r>
    <s v="Vion Food Group"/>
    <s v="Grazing"/>
    <s v="North America"/>
    <n v="0"/>
    <x v="0"/>
    <x v="0"/>
    <x v="0"/>
  </r>
  <r>
    <s v="Vion Food Group"/>
    <s v="Grazing"/>
    <s v="Oceania"/>
    <n v="0"/>
    <x v="0"/>
    <x v="0"/>
    <x v="0"/>
  </r>
  <r>
    <s v="Vion Food Group"/>
    <s v="Grazing"/>
    <s v="RoW"/>
    <n v="0"/>
    <x v="0"/>
    <x v="0"/>
    <x v="0"/>
  </r>
  <r>
    <s v="Vion Food Group"/>
    <s v="Grazing"/>
    <s v="Russian Federation"/>
    <n v="0"/>
    <x v="0"/>
    <x v="0"/>
    <x v="0"/>
  </r>
  <r>
    <s v="Vion Food Group"/>
    <s v="Grazing"/>
    <s v="South Asia"/>
    <n v="0"/>
    <x v="0"/>
    <x v="0"/>
    <x v="0"/>
  </r>
  <r>
    <s v="Vion Food Group"/>
    <s v="Grazing"/>
    <s v="Sub-Saharan Africa"/>
    <n v="0"/>
    <x v="0"/>
    <x v="0"/>
    <x v="0"/>
  </r>
  <r>
    <s v="Vion Food Group"/>
    <s v="Grazing"/>
    <s v="Western Europe"/>
    <n v="756"/>
    <x v="0"/>
    <x v="0"/>
    <x v="0"/>
  </r>
  <r>
    <s v="Vion Food Group"/>
    <s v="Croplands"/>
    <s v="East Asia and Southeast Asia"/>
    <n v="2"/>
    <x v="0"/>
    <x v="0"/>
    <x v="0"/>
  </r>
  <r>
    <s v="Vion Food Group"/>
    <s v="Croplands"/>
    <s v="Eastern Europe"/>
    <n v="23"/>
    <x v="0"/>
    <x v="0"/>
    <x v="0"/>
  </r>
  <r>
    <s v="Vion Food Group"/>
    <s v="Croplands"/>
    <s v="Latin America and the Caribbean"/>
    <n v="17"/>
    <x v="0"/>
    <x v="0"/>
    <x v="0"/>
  </r>
  <r>
    <s v="Vion Food Group"/>
    <s v="Croplands"/>
    <s v="Near East and North Africa"/>
    <n v="1"/>
    <x v="0"/>
    <x v="0"/>
    <x v="0"/>
  </r>
  <r>
    <s v="Vion Food Group"/>
    <s v="Croplands"/>
    <s v="North America"/>
    <n v="9"/>
    <x v="0"/>
    <x v="0"/>
    <x v="0"/>
  </r>
  <r>
    <s v="Vion Food Group"/>
    <s v="Croplands"/>
    <s v="Oceania"/>
    <n v="1"/>
    <x v="0"/>
    <x v="0"/>
    <x v="0"/>
  </r>
  <r>
    <s v="Vion Food Group"/>
    <s v="Croplands"/>
    <s v="RoW"/>
    <n v="0"/>
    <x v="0"/>
    <x v="0"/>
    <x v="0"/>
  </r>
  <r>
    <s v="Vion Food Group"/>
    <s v="Croplands"/>
    <s v="Russian Federation"/>
    <n v="3"/>
    <x v="0"/>
    <x v="0"/>
    <x v="0"/>
  </r>
  <r>
    <s v="Vion Food Group"/>
    <s v="Croplands"/>
    <s v="South Asia"/>
    <n v="2"/>
    <x v="0"/>
    <x v="0"/>
    <x v="0"/>
  </r>
  <r>
    <s v="Vion Food Group"/>
    <s v="Croplands"/>
    <s v="Sub-Saharan Africa"/>
    <n v="0"/>
    <x v="0"/>
    <x v="0"/>
    <x v="0"/>
  </r>
  <r>
    <s v="Vion Food Group"/>
    <s v="Croplands"/>
    <s v="Western Europe"/>
    <n v="159"/>
    <x v="0"/>
    <x v="0"/>
    <x v="0"/>
  </r>
  <r>
    <s v="Westfleisch"/>
    <s v="Grazing"/>
    <s v="East Asia and Southeast Asia"/>
    <n v="0"/>
    <x v="0"/>
    <x v="0"/>
    <x v="0"/>
  </r>
  <r>
    <s v="Westfleisch"/>
    <s v="Grazing"/>
    <s v="Eastern Europe"/>
    <n v="3"/>
    <x v="0"/>
    <x v="0"/>
    <x v="0"/>
  </r>
  <r>
    <s v="Westfleisch"/>
    <s v="Grazing"/>
    <s v="Latin America and the Caribbean"/>
    <n v="0"/>
    <x v="0"/>
    <x v="0"/>
    <x v="0"/>
  </r>
  <r>
    <s v="Westfleisch"/>
    <s v="Grazing"/>
    <s v="Near East and North Africa"/>
    <n v="0"/>
    <x v="0"/>
    <x v="0"/>
    <x v="0"/>
  </r>
  <r>
    <s v="Westfleisch"/>
    <s v="Grazing"/>
    <s v="North America"/>
    <n v="0"/>
    <x v="0"/>
    <x v="0"/>
    <x v="0"/>
  </r>
  <r>
    <s v="Westfleisch"/>
    <s v="Grazing"/>
    <s v="Oceania"/>
    <n v="0"/>
    <x v="0"/>
    <x v="0"/>
    <x v="0"/>
  </r>
  <r>
    <s v="Westfleisch"/>
    <s v="Grazing"/>
    <s v="RoW"/>
    <n v="0"/>
    <x v="0"/>
    <x v="0"/>
    <x v="0"/>
  </r>
  <r>
    <s v="Westfleisch"/>
    <s v="Grazing"/>
    <s v="Russian Federation"/>
    <n v="0"/>
    <x v="0"/>
    <x v="0"/>
    <x v="0"/>
  </r>
  <r>
    <s v="Westfleisch"/>
    <s v="Grazing"/>
    <s v="South Asia"/>
    <n v="0"/>
    <x v="0"/>
    <x v="0"/>
    <x v="0"/>
  </r>
  <r>
    <s v="Westfleisch"/>
    <s v="Grazing"/>
    <s v="Sub-Saharan Africa"/>
    <n v="0"/>
    <x v="0"/>
    <x v="0"/>
    <x v="0"/>
  </r>
  <r>
    <s v="Westfleisch"/>
    <s v="Grazing"/>
    <s v="Western Europe"/>
    <n v="316"/>
    <x v="0"/>
    <x v="0"/>
    <x v="0"/>
  </r>
  <r>
    <s v="Westfleisch"/>
    <s v="Croplands"/>
    <s v="East Asia and Southeast Asia"/>
    <n v="0"/>
    <x v="0"/>
    <x v="0"/>
    <x v="0"/>
  </r>
  <r>
    <s v="Westfleisch"/>
    <s v="Croplands"/>
    <s v="Eastern Europe"/>
    <n v="10"/>
    <x v="0"/>
    <x v="0"/>
    <x v="0"/>
  </r>
  <r>
    <s v="Westfleisch"/>
    <s v="Croplands"/>
    <s v="Latin America and the Caribbean"/>
    <n v="7"/>
    <x v="0"/>
    <x v="0"/>
    <x v="0"/>
  </r>
  <r>
    <s v="Westfleisch"/>
    <s v="Croplands"/>
    <s v="Near East and North Africa"/>
    <n v="0"/>
    <x v="0"/>
    <x v="0"/>
    <x v="0"/>
  </r>
  <r>
    <s v="Westfleisch"/>
    <s v="Croplands"/>
    <s v="North America"/>
    <n v="4"/>
    <x v="0"/>
    <x v="0"/>
    <x v="0"/>
  </r>
  <r>
    <s v="Westfleisch"/>
    <s v="Croplands"/>
    <s v="Oceania"/>
    <n v="0"/>
    <x v="0"/>
    <x v="0"/>
    <x v="0"/>
  </r>
  <r>
    <s v="Westfleisch"/>
    <s v="Croplands"/>
    <s v="RoW"/>
    <n v="0"/>
    <x v="0"/>
    <x v="0"/>
    <x v="0"/>
  </r>
  <r>
    <s v="Westfleisch"/>
    <s v="Croplands"/>
    <s v="Russian Federation"/>
    <n v="1"/>
    <x v="0"/>
    <x v="0"/>
    <x v="0"/>
  </r>
  <r>
    <s v="Westfleisch"/>
    <s v="Croplands"/>
    <s v="South Asia"/>
    <n v="0"/>
    <x v="0"/>
    <x v="0"/>
    <x v="0"/>
  </r>
  <r>
    <s v="Westfleisch"/>
    <s v="Croplands"/>
    <s v="Sub-Saharan Africa"/>
    <n v="0"/>
    <x v="0"/>
    <x v="0"/>
    <x v="0"/>
  </r>
  <r>
    <s v="Westfleisch"/>
    <s v="Croplands"/>
    <s v="Western Europe"/>
    <n v="67"/>
    <x v="0"/>
    <x v="0"/>
    <x v="0"/>
  </r>
  <r>
    <s v="Bigard"/>
    <s v="Grazing"/>
    <s v="East Asia and Southeast Asia"/>
    <n v="0"/>
    <x v="0"/>
    <x v="1"/>
    <x v="1"/>
  </r>
  <r>
    <s v="Bigard"/>
    <s v="Grazing"/>
    <s v="Eastern Europe"/>
    <n v="0"/>
    <x v="0"/>
    <x v="1"/>
    <x v="1"/>
  </r>
  <r>
    <s v="Bigard"/>
    <s v="Grazing"/>
    <s v="Latin America and the Caribbean"/>
    <n v="0"/>
    <x v="0"/>
    <x v="1"/>
    <x v="1"/>
  </r>
  <r>
    <s v="Bigard"/>
    <s v="Grazing"/>
    <s v="Near East and North Africa"/>
    <n v="0"/>
    <x v="0"/>
    <x v="1"/>
    <x v="1"/>
  </r>
  <r>
    <s v="Bigard"/>
    <s v="Grazing"/>
    <s v="North America"/>
    <n v="0"/>
    <x v="0"/>
    <x v="1"/>
    <x v="1"/>
  </r>
  <r>
    <s v="Bigard"/>
    <s v="Grazing"/>
    <s v="Oceania"/>
    <n v="0"/>
    <x v="0"/>
    <x v="1"/>
    <x v="1"/>
  </r>
  <r>
    <s v="Bigard"/>
    <s v="Grazing"/>
    <s v="RoW"/>
    <n v="0"/>
    <x v="0"/>
    <x v="1"/>
    <x v="1"/>
  </r>
  <r>
    <s v="Bigard"/>
    <s v="Grazing"/>
    <s v="Russian Federation"/>
    <n v="0"/>
    <x v="0"/>
    <x v="1"/>
    <x v="1"/>
  </r>
  <r>
    <s v="Bigard"/>
    <s v="Grazing"/>
    <s v="South Asia"/>
    <n v="0"/>
    <x v="0"/>
    <x v="1"/>
    <x v="1"/>
  </r>
  <r>
    <s v="Bigard"/>
    <s v="Grazing"/>
    <s v="Sub-Saharan Africa"/>
    <n v="0"/>
    <x v="0"/>
    <x v="1"/>
    <x v="1"/>
  </r>
  <r>
    <s v="Bigard"/>
    <s v="Grazing"/>
    <s v="Western Europe"/>
    <n v="0"/>
    <x v="0"/>
    <x v="1"/>
    <x v="1"/>
  </r>
  <r>
    <s v="Bigard"/>
    <s v="Croplands"/>
    <s v="East Asia and Southeast Asia"/>
    <n v="784"/>
    <x v="0"/>
    <x v="1"/>
    <x v="1"/>
  </r>
  <r>
    <s v="Bigard"/>
    <s v="Croplands"/>
    <s v="Eastern Europe"/>
    <n v="8492"/>
    <x v="0"/>
    <x v="1"/>
    <x v="1"/>
  </r>
  <r>
    <s v="Bigard"/>
    <s v="Croplands"/>
    <s v="Latin America and the Caribbean"/>
    <n v="593"/>
    <x v="0"/>
    <x v="1"/>
    <x v="1"/>
  </r>
  <r>
    <s v="Bigard"/>
    <s v="Croplands"/>
    <s v="Near East and North Africa"/>
    <n v="4141"/>
    <x v="0"/>
    <x v="1"/>
    <x v="1"/>
  </r>
  <r>
    <s v="Bigard"/>
    <s v="Croplands"/>
    <s v="North America"/>
    <n v="2806"/>
    <x v="0"/>
    <x v="1"/>
    <x v="1"/>
  </r>
  <r>
    <s v="Bigard"/>
    <s v="Croplands"/>
    <s v="Oceania"/>
    <n v="28"/>
    <x v="0"/>
    <x v="1"/>
    <x v="1"/>
  </r>
  <r>
    <s v="Bigard"/>
    <s v="Croplands"/>
    <s v="RoW"/>
    <n v="0"/>
    <x v="0"/>
    <x v="1"/>
    <x v="1"/>
  </r>
  <r>
    <s v="Bigard"/>
    <s v="Croplands"/>
    <s v="Russian Federation"/>
    <n v="1349"/>
    <x v="0"/>
    <x v="1"/>
    <x v="1"/>
  </r>
  <r>
    <s v="Bigard"/>
    <s v="Croplands"/>
    <s v="South Asia"/>
    <n v="2548"/>
    <x v="0"/>
    <x v="1"/>
    <x v="1"/>
  </r>
  <r>
    <s v="Bigard"/>
    <s v="Croplands"/>
    <s v="Sub-Saharan Africa"/>
    <n v="195"/>
    <x v="0"/>
    <x v="1"/>
    <x v="1"/>
  </r>
  <r>
    <s v="Bigard"/>
    <s v="Croplands"/>
    <s v="Western Europe"/>
    <n v="255837"/>
    <x v="0"/>
    <x v="1"/>
    <x v="1"/>
  </r>
  <r>
    <s v="Cargill"/>
    <s v="Grazing"/>
    <s v="East Asia and Southeast Asia"/>
    <n v="0"/>
    <x v="0"/>
    <x v="1"/>
    <x v="1"/>
  </r>
  <r>
    <s v="Cargill"/>
    <s v="Grazing"/>
    <s v="Eastern Europe"/>
    <n v="0"/>
    <x v="0"/>
    <x v="1"/>
    <x v="1"/>
  </r>
  <r>
    <s v="Cargill"/>
    <s v="Grazing"/>
    <s v="Latin America and the Caribbean"/>
    <n v="0"/>
    <x v="0"/>
    <x v="1"/>
    <x v="1"/>
  </r>
  <r>
    <s v="Cargill"/>
    <s v="Grazing"/>
    <s v="Near East and North Africa"/>
    <n v="0"/>
    <x v="0"/>
    <x v="1"/>
    <x v="1"/>
  </r>
  <r>
    <s v="Cargill"/>
    <s v="Grazing"/>
    <s v="North America"/>
    <n v="0"/>
    <x v="0"/>
    <x v="1"/>
    <x v="1"/>
  </r>
  <r>
    <s v="Cargill"/>
    <s v="Grazing"/>
    <s v="Oceania"/>
    <n v="0"/>
    <x v="0"/>
    <x v="1"/>
    <x v="1"/>
  </r>
  <r>
    <s v="Cargill"/>
    <s v="Grazing"/>
    <s v="RoW"/>
    <n v="0"/>
    <x v="0"/>
    <x v="1"/>
    <x v="1"/>
  </r>
  <r>
    <s v="Cargill"/>
    <s v="Grazing"/>
    <s v="Russian Federation"/>
    <n v="0"/>
    <x v="0"/>
    <x v="1"/>
    <x v="1"/>
  </r>
  <r>
    <s v="Cargill"/>
    <s v="Grazing"/>
    <s v="South Asia"/>
    <n v="0"/>
    <x v="0"/>
    <x v="1"/>
    <x v="1"/>
  </r>
  <r>
    <s v="Cargill"/>
    <s v="Grazing"/>
    <s v="Sub-Saharan Africa"/>
    <n v="0"/>
    <x v="0"/>
    <x v="1"/>
    <x v="1"/>
  </r>
  <r>
    <s v="Cargill"/>
    <s v="Grazing"/>
    <s v="Western Europe"/>
    <n v="0"/>
    <x v="0"/>
    <x v="1"/>
    <x v="1"/>
  </r>
  <r>
    <s v="Cargill"/>
    <s v="Croplands"/>
    <s v="East Asia and Southeast Asia"/>
    <n v="1000"/>
    <x v="0"/>
    <x v="1"/>
    <x v="1"/>
  </r>
  <r>
    <s v="Cargill"/>
    <s v="Croplands"/>
    <s v="Eastern Europe"/>
    <n v="156"/>
    <x v="0"/>
    <x v="1"/>
    <x v="1"/>
  </r>
  <r>
    <s v="Cargill"/>
    <s v="Croplands"/>
    <s v="Latin America and the Caribbean"/>
    <n v="39338"/>
    <x v="0"/>
    <x v="1"/>
    <x v="1"/>
  </r>
  <r>
    <s v="Cargill"/>
    <s v="Croplands"/>
    <s v="Near East and North Africa"/>
    <n v="463"/>
    <x v="0"/>
    <x v="1"/>
    <x v="1"/>
  </r>
  <r>
    <s v="Cargill"/>
    <s v="Croplands"/>
    <s v="North America"/>
    <n v="2729221"/>
    <x v="0"/>
    <x v="1"/>
    <x v="1"/>
  </r>
  <r>
    <s v="Cargill"/>
    <s v="Croplands"/>
    <s v="Oceania"/>
    <n v="119132"/>
    <x v="0"/>
    <x v="1"/>
    <x v="1"/>
  </r>
  <r>
    <s v="Cargill"/>
    <s v="Croplands"/>
    <s v="RoW"/>
    <n v="0"/>
    <x v="0"/>
    <x v="1"/>
    <x v="1"/>
  </r>
  <r>
    <s v="Cargill"/>
    <s v="Croplands"/>
    <s v="Russian Federation"/>
    <n v="64"/>
    <x v="0"/>
    <x v="1"/>
    <x v="1"/>
  </r>
  <r>
    <s v="Cargill"/>
    <s v="Croplands"/>
    <s v="South Asia"/>
    <n v="2547"/>
    <x v="0"/>
    <x v="1"/>
    <x v="1"/>
  </r>
  <r>
    <s v="Cargill"/>
    <s v="Croplands"/>
    <s v="Sub-Saharan Africa"/>
    <n v="675"/>
    <x v="0"/>
    <x v="1"/>
    <x v="1"/>
  </r>
  <r>
    <s v="Cargill"/>
    <s v="Croplands"/>
    <s v="Western Europe"/>
    <n v="592"/>
    <x v="0"/>
    <x v="1"/>
    <x v="1"/>
  </r>
  <r>
    <s v="Danish Crown"/>
    <s v="Grazing"/>
    <s v="East Asia and Southeast Asia"/>
    <n v="0"/>
    <x v="0"/>
    <x v="1"/>
    <x v="1"/>
  </r>
  <r>
    <s v="Danish Crown"/>
    <s v="Grazing"/>
    <s v="Eastern Europe"/>
    <n v="0"/>
    <x v="0"/>
    <x v="1"/>
    <x v="1"/>
  </r>
  <r>
    <s v="Danish Crown"/>
    <s v="Grazing"/>
    <s v="Latin America and the Caribbean"/>
    <n v="0"/>
    <x v="0"/>
    <x v="1"/>
    <x v="1"/>
  </r>
  <r>
    <s v="Danish Crown"/>
    <s v="Grazing"/>
    <s v="Near East and North Africa"/>
    <n v="0"/>
    <x v="0"/>
    <x v="1"/>
    <x v="1"/>
  </r>
  <r>
    <s v="Danish Crown"/>
    <s v="Grazing"/>
    <s v="North America"/>
    <n v="0"/>
    <x v="0"/>
    <x v="1"/>
    <x v="1"/>
  </r>
  <r>
    <s v="Danish Crown"/>
    <s v="Grazing"/>
    <s v="Oceania"/>
    <n v="0"/>
    <x v="0"/>
    <x v="1"/>
    <x v="1"/>
  </r>
  <r>
    <s v="Danish Crown"/>
    <s v="Grazing"/>
    <s v="RoW"/>
    <n v="0"/>
    <x v="0"/>
    <x v="1"/>
    <x v="1"/>
  </r>
  <r>
    <s v="Danish Crown"/>
    <s v="Grazing"/>
    <s v="Russian Federation"/>
    <n v="0"/>
    <x v="0"/>
    <x v="1"/>
    <x v="1"/>
  </r>
  <r>
    <s v="Danish Crown"/>
    <s v="Grazing"/>
    <s v="South Asia"/>
    <n v="0"/>
    <x v="0"/>
    <x v="1"/>
    <x v="1"/>
  </r>
  <r>
    <s v="Danish Crown"/>
    <s v="Grazing"/>
    <s v="Sub-Saharan Africa"/>
    <n v="0"/>
    <x v="0"/>
    <x v="1"/>
    <x v="1"/>
  </r>
  <r>
    <s v="Danish Crown"/>
    <s v="Grazing"/>
    <s v="Western Europe"/>
    <n v="0"/>
    <x v="0"/>
    <x v="1"/>
    <x v="1"/>
  </r>
  <r>
    <s v="Danish Crown"/>
    <s v="Croplands"/>
    <s v="East Asia and Southeast Asia"/>
    <n v="325"/>
    <x v="0"/>
    <x v="1"/>
    <x v="1"/>
  </r>
  <r>
    <s v="Danish Crown"/>
    <s v="Croplands"/>
    <s v="Eastern Europe"/>
    <n v="3518"/>
    <x v="0"/>
    <x v="1"/>
    <x v="1"/>
  </r>
  <r>
    <s v="Danish Crown"/>
    <s v="Croplands"/>
    <s v="Latin America and the Caribbean"/>
    <n v="246"/>
    <x v="0"/>
    <x v="1"/>
    <x v="1"/>
  </r>
  <r>
    <s v="Danish Crown"/>
    <s v="Croplands"/>
    <s v="Near East and North Africa"/>
    <n v="1716"/>
    <x v="0"/>
    <x v="1"/>
    <x v="1"/>
  </r>
  <r>
    <s v="Danish Crown"/>
    <s v="Croplands"/>
    <s v="North America"/>
    <n v="1162"/>
    <x v="0"/>
    <x v="1"/>
    <x v="1"/>
  </r>
  <r>
    <s v="Danish Crown"/>
    <s v="Croplands"/>
    <s v="Oceania"/>
    <n v="12"/>
    <x v="0"/>
    <x v="1"/>
    <x v="1"/>
  </r>
  <r>
    <s v="Danish Crown"/>
    <s v="Croplands"/>
    <s v="RoW"/>
    <n v="0"/>
    <x v="0"/>
    <x v="1"/>
    <x v="1"/>
  </r>
  <r>
    <s v="Danish Crown"/>
    <s v="Croplands"/>
    <s v="Russian Federation"/>
    <n v="559"/>
    <x v="0"/>
    <x v="1"/>
    <x v="1"/>
  </r>
  <r>
    <s v="Danish Crown"/>
    <s v="Croplands"/>
    <s v="South Asia"/>
    <n v="1056"/>
    <x v="0"/>
    <x v="1"/>
    <x v="1"/>
  </r>
  <r>
    <s v="Danish Crown"/>
    <s v="Croplands"/>
    <s v="Sub-Saharan Africa"/>
    <n v="81"/>
    <x v="0"/>
    <x v="1"/>
    <x v="1"/>
  </r>
  <r>
    <s v="Danish Crown"/>
    <s v="Croplands"/>
    <s v="Western Europe"/>
    <n v="105983"/>
    <x v="0"/>
    <x v="1"/>
    <x v="1"/>
  </r>
  <r>
    <s v="Gruppo Cremonini"/>
    <s v="Grazing"/>
    <s v="East Asia and Southeast Asia"/>
    <n v="0"/>
    <x v="0"/>
    <x v="1"/>
    <x v="1"/>
  </r>
  <r>
    <s v="Gruppo Cremonini"/>
    <s v="Grazing"/>
    <s v="Eastern Europe"/>
    <n v="0"/>
    <x v="0"/>
    <x v="1"/>
    <x v="1"/>
  </r>
  <r>
    <s v="Gruppo Cremonini"/>
    <s v="Grazing"/>
    <s v="Latin America and the Caribbean"/>
    <n v="0"/>
    <x v="0"/>
    <x v="1"/>
    <x v="1"/>
  </r>
  <r>
    <s v="Gruppo Cremonini"/>
    <s v="Grazing"/>
    <s v="Near East and North Africa"/>
    <n v="0"/>
    <x v="0"/>
    <x v="1"/>
    <x v="1"/>
  </r>
  <r>
    <s v="Gruppo Cremonini"/>
    <s v="Grazing"/>
    <s v="North America"/>
    <n v="0"/>
    <x v="0"/>
    <x v="1"/>
    <x v="1"/>
  </r>
  <r>
    <s v="Gruppo Cremonini"/>
    <s v="Grazing"/>
    <s v="Oceania"/>
    <n v="0"/>
    <x v="0"/>
    <x v="1"/>
    <x v="1"/>
  </r>
  <r>
    <s v="Gruppo Cremonini"/>
    <s v="Grazing"/>
    <s v="RoW"/>
    <n v="0"/>
    <x v="0"/>
    <x v="1"/>
    <x v="1"/>
  </r>
  <r>
    <s v="Gruppo Cremonini"/>
    <s v="Grazing"/>
    <s v="Russian Federation"/>
    <n v="0"/>
    <x v="0"/>
    <x v="1"/>
    <x v="1"/>
  </r>
  <r>
    <s v="Gruppo Cremonini"/>
    <s v="Grazing"/>
    <s v="South Asia"/>
    <n v="0"/>
    <x v="0"/>
    <x v="1"/>
    <x v="1"/>
  </r>
  <r>
    <s v="Gruppo Cremonini"/>
    <s v="Grazing"/>
    <s v="Sub-Saharan Africa"/>
    <n v="0"/>
    <x v="0"/>
    <x v="1"/>
    <x v="1"/>
  </r>
  <r>
    <s v="Gruppo Cremonini"/>
    <s v="Grazing"/>
    <s v="Western Europe"/>
    <n v="0"/>
    <x v="0"/>
    <x v="1"/>
    <x v="1"/>
  </r>
  <r>
    <s v="Gruppo Cremonini"/>
    <s v="Croplands"/>
    <s v="East Asia and Southeast Asia"/>
    <n v="757"/>
    <x v="0"/>
    <x v="1"/>
    <x v="1"/>
  </r>
  <r>
    <s v="Gruppo Cremonini"/>
    <s v="Croplands"/>
    <s v="Eastern Europe"/>
    <n v="8197"/>
    <x v="0"/>
    <x v="1"/>
    <x v="1"/>
  </r>
  <r>
    <s v="Gruppo Cremonini"/>
    <s v="Croplands"/>
    <s v="Latin America and the Caribbean"/>
    <n v="573"/>
    <x v="0"/>
    <x v="1"/>
    <x v="1"/>
  </r>
  <r>
    <s v="Gruppo Cremonini"/>
    <s v="Croplands"/>
    <s v="Near East and North Africa"/>
    <n v="3998"/>
    <x v="0"/>
    <x v="1"/>
    <x v="1"/>
  </r>
  <r>
    <s v="Gruppo Cremonini"/>
    <s v="Croplands"/>
    <s v="North America"/>
    <n v="2708"/>
    <x v="0"/>
    <x v="1"/>
    <x v="1"/>
  </r>
  <r>
    <s v="Gruppo Cremonini"/>
    <s v="Croplands"/>
    <s v="Oceania"/>
    <n v="27"/>
    <x v="0"/>
    <x v="1"/>
    <x v="1"/>
  </r>
  <r>
    <s v="Gruppo Cremonini"/>
    <s v="Croplands"/>
    <s v="RoW"/>
    <n v="0"/>
    <x v="0"/>
    <x v="1"/>
    <x v="1"/>
  </r>
  <r>
    <s v="Gruppo Cremonini"/>
    <s v="Croplands"/>
    <s v="Russian Federation"/>
    <n v="1303"/>
    <x v="0"/>
    <x v="1"/>
    <x v="1"/>
  </r>
  <r>
    <s v="Gruppo Cremonini"/>
    <s v="Croplands"/>
    <s v="South Asia"/>
    <n v="2460"/>
    <x v="0"/>
    <x v="1"/>
    <x v="1"/>
  </r>
  <r>
    <s v="Gruppo Cremonini"/>
    <s v="Croplands"/>
    <s v="Sub-Saharan Africa"/>
    <n v="188"/>
    <x v="0"/>
    <x v="1"/>
    <x v="1"/>
  </r>
  <r>
    <s v="Gruppo Cremonini"/>
    <s v="Croplands"/>
    <s v="Western Europe"/>
    <n v="246960"/>
    <x v="0"/>
    <x v="1"/>
    <x v="1"/>
  </r>
  <r>
    <s v="JBS"/>
    <s v="Grazing"/>
    <s v="East Asia and Southeast Asia"/>
    <n v="0"/>
    <x v="0"/>
    <x v="1"/>
    <x v="1"/>
  </r>
  <r>
    <s v="JBS"/>
    <s v="Grazing"/>
    <s v="Eastern Europe"/>
    <n v="0"/>
    <x v="0"/>
    <x v="1"/>
    <x v="1"/>
  </r>
  <r>
    <s v="JBS"/>
    <s v="Grazing"/>
    <s v="Latin America and the Caribbean"/>
    <n v="0"/>
    <x v="0"/>
    <x v="1"/>
    <x v="1"/>
  </r>
  <r>
    <s v="JBS"/>
    <s v="Grazing"/>
    <s v="Near East and North Africa"/>
    <n v="0"/>
    <x v="0"/>
    <x v="1"/>
    <x v="1"/>
  </r>
  <r>
    <s v="JBS"/>
    <s v="Grazing"/>
    <s v="North America"/>
    <n v="0"/>
    <x v="0"/>
    <x v="1"/>
    <x v="1"/>
  </r>
  <r>
    <s v="JBS"/>
    <s v="Grazing"/>
    <s v="Oceania"/>
    <n v="0"/>
    <x v="0"/>
    <x v="1"/>
    <x v="1"/>
  </r>
  <r>
    <s v="JBS"/>
    <s v="Grazing"/>
    <s v="RoW"/>
    <n v="0"/>
    <x v="0"/>
    <x v="1"/>
    <x v="1"/>
  </r>
  <r>
    <s v="JBS"/>
    <s v="Grazing"/>
    <s v="Russian Federation"/>
    <n v="0"/>
    <x v="0"/>
    <x v="1"/>
    <x v="1"/>
  </r>
  <r>
    <s v="JBS"/>
    <s v="Grazing"/>
    <s v="South Asia"/>
    <n v="0"/>
    <x v="0"/>
    <x v="1"/>
    <x v="1"/>
  </r>
  <r>
    <s v="JBS"/>
    <s v="Grazing"/>
    <s v="Sub-Saharan Africa"/>
    <n v="0"/>
    <x v="0"/>
    <x v="1"/>
    <x v="1"/>
  </r>
  <r>
    <s v="JBS"/>
    <s v="Grazing"/>
    <s v="Western Europe"/>
    <n v="0"/>
    <x v="0"/>
    <x v="1"/>
    <x v="1"/>
  </r>
  <r>
    <s v="JBS"/>
    <s v="Croplands"/>
    <s v="East Asia and Southeast Asia"/>
    <n v="1746"/>
    <x v="0"/>
    <x v="1"/>
    <x v="1"/>
  </r>
  <r>
    <s v="JBS"/>
    <s v="Croplands"/>
    <s v="Eastern Europe"/>
    <n v="318"/>
    <x v="0"/>
    <x v="1"/>
    <x v="1"/>
  </r>
  <r>
    <s v="JBS"/>
    <s v="Croplands"/>
    <s v="Latin America and the Caribbean"/>
    <n v="2349078"/>
    <x v="0"/>
    <x v="1"/>
    <x v="1"/>
  </r>
  <r>
    <s v="JBS"/>
    <s v="Croplands"/>
    <s v="Near East and North Africa"/>
    <n v="7097"/>
    <x v="0"/>
    <x v="1"/>
    <x v="1"/>
  </r>
  <r>
    <s v="JBS"/>
    <s v="Croplands"/>
    <s v="North America"/>
    <n v="3534499"/>
    <x v="0"/>
    <x v="1"/>
    <x v="1"/>
  </r>
  <r>
    <s v="JBS"/>
    <s v="Croplands"/>
    <s v="Oceania"/>
    <n v="418502"/>
    <x v="0"/>
    <x v="1"/>
    <x v="1"/>
  </r>
  <r>
    <s v="JBS"/>
    <s v="Croplands"/>
    <s v="RoW"/>
    <n v="0"/>
    <x v="0"/>
    <x v="1"/>
    <x v="1"/>
  </r>
  <r>
    <s v="JBS"/>
    <s v="Croplands"/>
    <s v="Russian Federation"/>
    <n v="335"/>
    <x v="0"/>
    <x v="1"/>
    <x v="1"/>
  </r>
  <r>
    <s v="JBS"/>
    <s v="Croplands"/>
    <s v="South Asia"/>
    <n v="5364"/>
    <x v="0"/>
    <x v="1"/>
    <x v="1"/>
  </r>
  <r>
    <s v="JBS"/>
    <s v="Croplands"/>
    <s v="Sub-Saharan Africa"/>
    <n v="1082"/>
    <x v="0"/>
    <x v="1"/>
    <x v="1"/>
  </r>
  <r>
    <s v="JBS"/>
    <s v="Croplands"/>
    <s v="Western Europe"/>
    <n v="1331"/>
    <x v="0"/>
    <x v="1"/>
    <x v="1"/>
  </r>
  <r>
    <s v="Marfrig"/>
    <s v="Grazing"/>
    <s v="East Asia and Southeast Asia"/>
    <n v="0"/>
    <x v="0"/>
    <x v="1"/>
    <x v="1"/>
  </r>
  <r>
    <s v="Marfrig"/>
    <s v="Grazing"/>
    <s v="Eastern Europe"/>
    <n v="0"/>
    <x v="0"/>
    <x v="1"/>
    <x v="1"/>
  </r>
  <r>
    <s v="Marfrig"/>
    <s v="Grazing"/>
    <s v="Latin America and the Caribbean"/>
    <n v="0"/>
    <x v="0"/>
    <x v="1"/>
    <x v="1"/>
  </r>
  <r>
    <s v="Marfrig"/>
    <s v="Grazing"/>
    <s v="Near East and North Africa"/>
    <n v="0"/>
    <x v="0"/>
    <x v="1"/>
    <x v="1"/>
  </r>
  <r>
    <s v="Marfrig"/>
    <s v="Grazing"/>
    <s v="North America"/>
    <n v="0"/>
    <x v="0"/>
    <x v="1"/>
    <x v="1"/>
  </r>
  <r>
    <s v="Marfrig"/>
    <s v="Grazing"/>
    <s v="Oceania"/>
    <n v="0"/>
    <x v="0"/>
    <x v="1"/>
    <x v="1"/>
  </r>
  <r>
    <s v="Marfrig"/>
    <s v="Grazing"/>
    <s v="RoW"/>
    <n v="0"/>
    <x v="0"/>
    <x v="1"/>
    <x v="1"/>
  </r>
  <r>
    <s v="Marfrig"/>
    <s v="Grazing"/>
    <s v="Russian Federation"/>
    <n v="0"/>
    <x v="0"/>
    <x v="1"/>
    <x v="1"/>
  </r>
  <r>
    <s v="Marfrig"/>
    <s v="Grazing"/>
    <s v="South Asia"/>
    <n v="0"/>
    <x v="0"/>
    <x v="1"/>
    <x v="1"/>
  </r>
  <r>
    <s v="Marfrig"/>
    <s v="Grazing"/>
    <s v="Sub-Saharan Africa"/>
    <n v="0"/>
    <x v="0"/>
    <x v="1"/>
    <x v="1"/>
  </r>
  <r>
    <s v="Marfrig"/>
    <s v="Grazing"/>
    <s v="Western Europe"/>
    <n v="0"/>
    <x v="0"/>
    <x v="1"/>
    <x v="1"/>
  </r>
  <r>
    <s v="Marfrig"/>
    <s v="Croplands"/>
    <s v="East Asia and Southeast Asia"/>
    <n v="646"/>
    <x v="0"/>
    <x v="1"/>
    <x v="1"/>
  </r>
  <r>
    <s v="Marfrig"/>
    <s v="Croplands"/>
    <s v="Eastern Europe"/>
    <n v="111"/>
    <x v="0"/>
    <x v="1"/>
    <x v="1"/>
  </r>
  <r>
    <s v="Marfrig"/>
    <s v="Croplands"/>
    <s v="Latin America and the Caribbean"/>
    <n v="1178155"/>
    <x v="0"/>
    <x v="1"/>
    <x v="1"/>
  </r>
  <r>
    <s v="Marfrig"/>
    <s v="Croplands"/>
    <s v="Near East and North Africa"/>
    <n v="3440"/>
    <x v="0"/>
    <x v="1"/>
    <x v="1"/>
  </r>
  <r>
    <s v="Marfrig"/>
    <s v="Croplands"/>
    <s v="North America"/>
    <n v="1424335"/>
    <x v="0"/>
    <x v="1"/>
    <x v="1"/>
  </r>
  <r>
    <s v="Marfrig"/>
    <s v="Croplands"/>
    <s v="Oceania"/>
    <n v="153"/>
    <x v="0"/>
    <x v="1"/>
    <x v="1"/>
  </r>
  <r>
    <s v="Marfrig"/>
    <s v="Croplands"/>
    <s v="RoW"/>
    <n v="0"/>
    <x v="0"/>
    <x v="1"/>
    <x v="1"/>
  </r>
  <r>
    <s v="Marfrig"/>
    <s v="Croplands"/>
    <s v="Russian Federation"/>
    <n v="152"/>
    <x v="0"/>
    <x v="1"/>
    <x v="1"/>
  </r>
  <r>
    <s v="Marfrig"/>
    <s v="Croplands"/>
    <s v="South Asia"/>
    <n v="1934"/>
    <x v="0"/>
    <x v="1"/>
    <x v="1"/>
  </r>
  <r>
    <s v="Marfrig"/>
    <s v="Croplands"/>
    <s v="Sub-Saharan Africa"/>
    <n v="450"/>
    <x v="0"/>
    <x v="1"/>
    <x v="1"/>
  </r>
  <r>
    <s v="Marfrig"/>
    <s v="Croplands"/>
    <s v="Western Europe"/>
    <n v="570"/>
    <x v="0"/>
    <x v="1"/>
    <x v="1"/>
  </r>
  <r>
    <s v="Minerva"/>
    <s v="Grazing"/>
    <s v="East Asia and Southeast Asia"/>
    <n v="0"/>
    <x v="0"/>
    <x v="1"/>
    <x v="1"/>
  </r>
  <r>
    <s v="Minerva"/>
    <s v="Grazing"/>
    <s v="Eastern Europe"/>
    <n v="0"/>
    <x v="0"/>
    <x v="1"/>
    <x v="1"/>
  </r>
  <r>
    <s v="Minerva"/>
    <s v="Grazing"/>
    <s v="Latin America and the Caribbean"/>
    <n v="0"/>
    <x v="0"/>
    <x v="1"/>
    <x v="1"/>
  </r>
  <r>
    <s v="Minerva"/>
    <s v="Grazing"/>
    <s v="Near East and North Africa"/>
    <n v="0"/>
    <x v="0"/>
    <x v="1"/>
    <x v="1"/>
  </r>
  <r>
    <s v="Minerva"/>
    <s v="Grazing"/>
    <s v="North America"/>
    <n v="0"/>
    <x v="0"/>
    <x v="1"/>
    <x v="1"/>
  </r>
  <r>
    <s v="Minerva"/>
    <s v="Grazing"/>
    <s v="Oceania"/>
    <n v="0"/>
    <x v="0"/>
    <x v="1"/>
    <x v="1"/>
  </r>
  <r>
    <s v="Minerva"/>
    <s v="Grazing"/>
    <s v="RoW"/>
    <n v="0"/>
    <x v="0"/>
    <x v="1"/>
    <x v="1"/>
  </r>
  <r>
    <s v="Minerva"/>
    <s v="Grazing"/>
    <s v="Russian Federation"/>
    <n v="0"/>
    <x v="0"/>
    <x v="1"/>
    <x v="1"/>
  </r>
  <r>
    <s v="Minerva"/>
    <s v="Grazing"/>
    <s v="South Asia"/>
    <n v="0"/>
    <x v="0"/>
    <x v="1"/>
    <x v="1"/>
  </r>
  <r>
    <s v="Minerva"/>
    <s v="Grazing"/>
    <s v="Sub-Saharan Africa"/>
    <n v="0"/>
    <x v="0"/>
    <x v="1"/>
    <x v="1"/>
  </r>
  <r>
    <s v="Minerva"/>
    <s v="Grazing"/>
    <s v="Western Europe"/>
    <n v="0"/>
    <x v="0"/>
    <x v="1"/>
    <x v="1"/>
  </r>
  <r>
    <s v="Minerva"/>
    <s v="Croplands"/>
    <s v="East Asia and Southeast Asia"/>
    <n v="137"/>
    <x v="0"/>
    <x v="1"/>
    <x v="1"/>
  </r>
  <r>
    <s v="Minerva"/>
    <s v="Croplands"/>
    <s v="Eastern Europe"/>
    <n v="33"/>
    <x v="0"/>
    <x v="1"/>
    <x v="1"/>
  </r>
  <r>
    <s v="Minerva"/>
    <s v="Croplands"/>
    <s v="Latin America and the Caribbean"/>
    <n v="965835"/>
    <x v="0"/>
    <x v="1"/>
    <x v="1"/>
  </r>
  <r>
    <s v="Minerva"/>
    <s v="Croplands"/>
    <s v="Near East and North Africa"/>
    <n v="2690"/>
    <x v="0"/>
    <x v="1"/>
    <x v="1"/>
  </r>
  <r>
    <s v="Minerva"/>
    <s v="Croplands"/>
    <s v="North America"/>
    <n v="17328"/>
    <x v="0"/>
    <x v="1"/>
    <x v="1"/>
  </r>
  <r>
    <s v="Minerva"/>
    <s v="Croplands"/>
    <s v="Oceania"/>
    <n v="25"/>
    <x v="0"/>
    <x v="1"/>
    <x v="1"/>
  </r>
  <r>
    <s v="Minerva"/>
    <s v="Croplands"/>
    <s v="RoW"/>
    <n v="0"/>
    <x v="0"/>
    <x v="1"/>
    <x v="1"/>
  </r>
  <r>
    <s v="Minerva"/>
    <s v="Croplands"/>
    <s v="Russian Federation"/>
    <n v="102"/>
    <x v="0"/>
    <x v="1"/>
    <x v="1"/>
  </r>
  <r>
    <s v="Minerva"/>
    <s v="Croplands"/>
    <s v="South Asia"/>
    <n v="634"/>
    <x v="0"/>
    <x v="1"/>
    <x v="1"/>
  </r>
  <r>
    <s v="Minerva"/>
    <s v="Croplands"/>
    <s v="Sub-Saharan Africa"/>
    <n v="87"/>
    <x v="0"/>
    <x v="1"/>
    <x v="1"/>
  </r>
  <r>
    <s v="Minerva"/>
    <s v="Croplands"/>
    <s v="Western Europe"/>
    <n v="228"/>
    <x v="0"/>
    <x v="1"/>
    <x v="1"/>
  </r>
  <r>
    <s v="NH Foods"/>
    <s v="Grazing"/>
    <s v="East Asia and Southeast Asia"/>
    <n v="0"/>
    <x v="0"/>
    <x v="1"/>
    <x v="1"/>
  </r>
  <r>
    <s v="NH Foods"/>
    <s v="Grazing"/>
    <s v="Eastern Europe"/>
    <n v="0"/>
    <x v="0"/>
    <x v="1"/>
    <x v="1"/>
  </r>
  <r>
    <s v="NH Foods"/>
    <s v="Grazing"/>
    <s v="Latin America and the Caribbean"/>
    <n v="0"/>
    <x v="0"/>
    <x v="1"/>
    <x v="1"/>
  </r>
  <r>
    <s v="NH Foods"/>
    <s v="Grazing"/>
    <s v="Near East and North Africa"/>
    <n v="0"/>
    <x v="0"/>
    <x v="1"/>
    <x v="1"/>
  </r>
  <r>
    <s v="NH Foods"/>
    <s v="Grazing"/>
    <s v="North America"/>
    <n v="0"/>
    <x v="0"/>
    <x v="1"/>
    <x v="1"/>
  </r>
  <r>
    <s v="NH Foods"/>
    <s v="Grazing"/>
    <s v="Oceania"/>
    <n v="0"/>
    <x v="0"/>
    <x v="1"/>
    <x v="1"/>
  </r>
  <r>
    <s v="NH Foods"/>
    <s v="Grazing"/>
    <s v="RoW"/>
    <n v="0"/>
    <x v="0"/>
    <x v="1"/>
    <x v="1"/>
  </r>
  <r>
    <s v="NH Foods"/>
    <s v="Grazing"/>
    <s v="Russian Federation"/>
    <n v="0"/>
    <x v="0"/>
    <x v="1"/>
    <x v="1"/>
  </r>
  <r>
    <s v="NH Foods"/>
    <s v="Grazing"/>
    <s v="South Asia"/>
    <n v="0"/>
    <x v="0"/>
    <x v="1"/>
    <x v="1"/>
  </r>
  <r>
    <s v="NH Foods"/>
    <s v="Grazing"/>
    <s v="Sub-Saharan Africa"/>
    <n v="0"/>
    <x v="0"/>
    <x v="1"/>
    <x v="1"/>
  </r>
  <r>
    <s v="NH Foods"/>
    <s v="Grazing"/>
    <s v="Western Europe"/>
    <n v="0"/>
    <x v="0"/>
    <x v="1"/>
    <x v="1"/>
  </r>
  <r>
    <s v="NH Foods"/>
    <s v="Croplands"/>
    <s v="East Asia and Southeast Asia"/>
    <n v="28"/>
    <x v="0"/>
    <x v="1"/>
    <x v="1"/>
  </r>
  <r>
    <s v="NH Foods"/>
    <s v="Croplands"/>
    <s v="Eastern Europe"/>
    <n v="8"/>
    <x v="0"/>
    <x v="1"/>
    <x v="1"/>
  </r>
  <r>
    <s v="NH Foods"/>
    <s v="Croplands"/>
    <s v="Latin America and the Caribbean"/>
    <n v="50"/>
    <x v="0"/>
    <x v="1"/>
    <x v="1"/>
  </r>
  <r>
    <s v="NH Foods"/>
    <s v="Croplands"/>
    <s v="Near East and North Africa"/>
    <n v="20"/>
    <x v="0"/>
    <x v="1"/>
    <x v="1"/>
  </r>
  <r>
    <s v="NH Foods"/>
    <s v="Croplands"/>
    <s v="North America"/>
    <n v="83"/>
    <x v="0"/>
    <x v="1"/>
    <x v="1"/>
  </r>
  <r>
    <s v="NH Foods"/>
    <s v="Croplands"/>
    <s v="Oceania"/>
    <n v="53399"/>
    <x v="0"/>
    <x v="1"/>
    <x v="1"/>
  </r>
  <r>
    <s v="NH Foods"/>
    <s v="Croplands"/>
    <s v="RoW"/>
    <n v="0"/>
    <x v="0"/>
    <x v="1"/>
    <x v="1"/>
  </r>
  <r>
    <s v="NH Foods"/>
    <s v="Croplands"/>
    <s v="Russian Federation"/>
    <n v="2"/>
    <x v="0"/>
    <x v="1"/>
    <x v="1"/>
  </r>
  <r>
    <s v="NH Foods"/>
    <s v="Croplands"/>
    <s v="South Asia"/>
    <n v="119"/>
    <x v="0"/>
    <x v="1"/>
    <x v="1"/>
  </r>
  <r>
    <s v="NH Foods"/>
    <s v="Croplands"/>
    <s v="Sub-Saharan Africa"/>
    <n v="2"/>
    <x v="0"/>
    <x v="1"/>
    <x v="1"/>
  </r>
  <r>
    <s v="NH Foods"/>
    <s v="Croplands"/>
    <s v="Western Europe"/>
    <n v="6"/>
    <x v="0"/>
    <x v="1"/>
    <x v="1"/>
  </r>
  <r>
    <s v="Teys "/>
    <s v="Grazing"/>
    <s v="East Asia and Southeast Asia"/>
    <n v="0"/>
    <x v="0"/>
    <x v="1"/>
    <x v="1"/>
  </r>
  <r>
    <s v="Teys "/>
    <s v="Grazing"/>
    <s v="Eastern Europe"/>
    <n v="0"/>
    <x v="0"/>
    <x v="1"/>
    <x v="1"/>
  </r>
  <r>
    <s v="Teys "/>
    <s v="Grazing"/>
    <s v="Latin America and the Caribbean"/>
    <n v="0"/>
    <x v="0"/>
    <x v="1"/>
    <x v="1"/>
  </r>
  <r>
    <s v="Teys "/>
    <s v="Grazing"/>
    <s v="Near East and North Africa"/>
    <n v="0"/>
    <x v="0"/>
    <x v="1"/>
    <x v="1"/>
  </r>
  <r>
    <s v="Teys "/>
    <s v="Grazing"/>
    <s v="North America"/>
    <n v="0"/>
    <x v="0"/>
    <x v="1"/>
    <x v="1"/>
  </r>
  <r>
    <s v="Teys "/>
    <s v="Grazing"/>
    <s v="Oceania"/>
    <n v="0"/>
    <x v="0"/>
    <x v="1"/>
    <x v="1"/>
  </r>
  <r>
    <s v="Teys "/>
    <s v="Grazing"/>
    <s v="RoW"/>
    <n v="0"/>
    <x v="0"/>
    <x v="1"/>
    <x v="1"/>
  </r>
  <r>
    <s v="Teys "/>
    <s v="Grazing"/>
    <s v="Russian Federation"/>
    <n v="0"/>
    <x v="0"/>
    <x v="1"/>
    <x v="1"/>
  </r>
  <r>
    <s v="Teys "/>
    <s v="Grazing"/>
    <s v="South Asia"/>
    <n v="0"/>
    <x v="0"/>
    <x v="1"/>
    <x v="1"/>
  </r>
  <r>
    <s v="Teys "/>
    <s v="Grazing"/>
    <s v="Sub-Saharan Africa"/>
    <n v="0"/>
    <x v="0"/>
    <x v="1"/>
    <x v="1"/>
  </r>
  <r>
    <s v="Teys "/>
    <s v="Grazing"/>
    <s v="Western Europe"/>
    <n v="0"/>
    <x v="0"/>
    <x v="1"/>
    <x v="1"/>
  </r>
  <r>
    <s v="Teys "/>
    <s v="Croplands"/>
    <s v="East Asia and Southeast Asia"/>
    <n v="63"/>
    <x v="0"/>
    <x v="1"/>
    <x v="1"/>
  </r>
  <r>
    <s v="Teys "/>
    <s v="Croplands"/>
    <s v="Eastern Europe"/>
    <n v="18"/>
    <x v="0"/>
    <x v="1"/>
    <x v="1"/>
  </r>
  <r>
    <s v="Teys "/>
    <s v="Croplands"/>
    <s v="Latin America and the Caribbean"/>
    <n v="110"/>
    <x v="0"/>
    <x v="1"/>
    <x v="1"/>
  </r>
  <r>
    <s v="Teys "/>
    <s v="Croplands"/>
    <s v="Near East and North Africa"/>
    <n v="45"/>
    <x v="0"/>
    <x v="1"/>
    <x v="1"/>
  </r>
  <r>
    <s v="Teys "/>
    <s v="Croplands"/>
    <s v="North America"/>
    <n v="184"/>
    <x v="0"/>
    <x v="1"/>
    <x v="1"/>
  </r>
  <r>
    <s v="Teys "/>
    <s v="Croplands"/>
    <s v="Oceania"/>
    <n v="118891"/>
    <x v="0"/>
    <x v="1"/>
    <x v="1"/>
  </r>
  <r>
    <s v="Teys "/>
    <s v="Croplands"/>
    <s v="RoW"/>
    <n v="0"/>
    <x v="0"/>
    <x v="1"/>
    <x v="1"/>
  </r>
  <r>
    <s v="Teys "/>
    <s v="Croplands"/>
    <s v="Russian Federation"/>
    <n v="5"/>
    <x v="0"/>
    <x v="1"/>
    <x v="1"/>
  </r>
  <r>
    <s v="Teys "/>
    <s v="Croplands"/>
    <s v="South Asia"/>
    <n v="266"/>
    <x v="0"/>
    <x v="1"/>
    <x v="1"/>
  </r>
  <r>
    <s v="Teys "/>
    <s v="Croplands"/>
    <s v="Sub-Saharan Africa"/>
    <n v="5"/>
    <x v="0"/>
    <x v="1"/>
    <x v="1"/>
  </r>
  <r>
    <s v="Teys "/>
    <s v="Croplands"/>
    <s v="Western Europe"/>
    <n v="14"/>
    <x v="0"/>
    <x v="1"/>
    <x v="1"/>
  </r>
  <r>
    <s v="Tönnies Group"/>
    <s v="Grazing"/>
    <s v="East Asia and Southeast Asia"/>
    <n v="0"/>
    <x v="0"/>
    <x v="1"/>
    <x v="1"/>
  </r>
  <r>
    <s v="Tönnies Group"/>
    <s v="Grazing"/>
    <s v="Eastern Europe"/>
    <n v="0"/>
    <x v="0"/>
    <x v="1"/>
    <x v="1"/>
  </r>
  <r>
    <s v="Tönnies Group"/>
    <s v="Grazing"/>
    <s v="Latin America and the Caribbean"/>
    <n v="0"/>
    <x v="0"/>
    <x v="1"/>
    <x v="1"/>
  </r>
  <r>
    <s v="Tönnies Group"/>
    <s v="Grazing"/>
    <s v="Near East and North Africa"/>
    <n v="0"/>
    <x v="0"/>
    <x v="1"/>
    <x v="1"/>
  </r>
  <r>
    <s v="Tönnies Group"/>
    <s v="Grazing"/>
    <s v="North America"/>
    <n v="0"/>
    <x v="0"/>
    <x v="1"/>
    <x v="1"/>
  </r>
  <r>
    <s v="Tönnies Group"/>
    <s v="Grazing"/>
    <s v="Oceania"/>
    <n v="0"/>
    <x v="0"/>
    <x v="1"/>
    <x v="1"/>
  </r>
  <r>
    <s v="Tönnies Group"/>
    <s v="Grazing"/>
    <s v="RoW"/>
    <n v="0"/>
    <x v="0"/>
    <x v="1"/>
    <x v="1"/>
  </r>
  <r>
    <s v="Tönnies Group"/>
    <s v="Grazing"/>
    <s v="Russian Federation"/>
    <n v="0"/>
    <x v="0"/>
    <x v="1"/>
    <x v="1"/>
  </r>
  <r>
    <s v="Tönnies Group"/>
    <s v="Grazing"/>
    <s v="South Asia"/>
    <n v="0"/>
    <x v="0"/>
    <x v="1"/>
    <x v="1"/>
  </r>
  <r>
    <s v="Tönnies Group"/>
    <s v="Grazing"/>
    <s v="Sub-Saharan Africa"/>
    <n v="0"/>
    <x v="0"/>
    <x v="1"/>
    <x v="1"/>
  </r>
  <r>
    <s v="Tönnies Group"/>
    <s v="Grazing"/>
    <s v="Western Europe"/>
    <n v="0"/>
    <x v="0"/>
    <x v="1"/>
    <x v="1"/>
  </r>
  <r>
    <s v="Tönnies Group"/>
    <s v="Croplands"/>
    <s v="East Asia and Southeast Asia"/>
    <n v="148"/>
    <x v="0"/>
    <x v="1"/>
    <x v="1"/>
  </r>
  <r>
    <s v="Tönnies Group"/>
    <s v="Croplands"/>
    <s v="Eastern Europe"/>
    <n v="1601"/>
    <x v="0"/>
    <x v="1"/>
    <x v="1"/>
  </r>
  <r>
    <s v="Tönnies Group"/>
    <s v="Croplands"/>
    <s v="Latin America and the Caribbean"/>
    <n v="112"/>
    <x v="0"/>
    <x v="1"/>
    <x v="1"/>
  </r>
  <r>
    <s v="Tönnies Group"/>
    <s v="Croplands"/>
    <s v="Near East and North Africa"/>
    <n v="781"/>
    <x v="0"/>
    <x v="1"/>
    <x v="1"/>
  </r>
  <r>
    <s v="Tönnies Group"/>
    <s v="Croplands"/>
    <s v="North America"/>
    <n v="529"/>
    <x v="0"/>
    <x v="1"/>
    <x v="1"/>
  </r>
  <r>
    <s v="Tönnies Group"/>
    <s v="Croplands"/>
    <s v="Oceania"/>
    <n v="5"/>
    <x v="0"/>
    <x v="1"/>
    <x v="1"/>
  </r>
  <r>
    <s v="Tönnies Group"/>
    <s v="Croplands"/>
    <s v="RoW"/>
    <n v="0"/>
    <x v="0"/>
    <x v="1"/>
    <x v="1"/>
  </r>
  <r>
    <s v="Tönnies Group"/>
    <s v="Croplands"/>
    <s v="Russian Federation"/>
    <n v="254"/>
    <x v="0"/>
    <x v="1"/>
    <x v="1"/>
  </r>
  <r>
    <s v="Tönnies Group"/>
    <s v="Croplands"/>
    <s v="South Asia"/>
    <n v="480"/>
    <x v="0"/>
    <x v="1"/>
    <x v="1"/>
  </r>
  <r>
    <s v="Tönnies Group"/>
    <s v="Croplands"/>
    <s v="Sub-Saharan Africa"/>
    <n v="37"/>
    <x v="0"/>
    <x v="1"/>
    <x v="1"/>
  </r>
  <r>
    <s v="Tönnies Group"/>
    <s v="Croplands"/>
    <s v="Western Europe"/>
    <n v="48222"/>
    <x v="0"/>
    <x v="1"/>
    <x v="1"/>
  </r>
  <r>
    <s v="Tyson"/>
    <s v="Grazing"/>
    <s v="East Asia and Southeast Asia"/>
    <n v="0"/>
    <x v="0"/>
    <x v="1"/>
    <x v="1"/>
  </r>
  <r>
    <s v="Tyson"/>
    <s v="Grazing"/>
    <s v="Eastern Europe"/>
    <n v="0"/>
    <x v="0"/>
    <x v="1"/>
    <x v="1"/>
  </r>
  <r>
    <s v="Tyson"/>
    <s v="Grazing"/>
    <s v="Latin America and the Caribbean"/>
    <n v="0"/>
    <x v="0"/>
    <x v="1"/>
    <x v="1"/>
  </r>
  <r>
    <s v="Tyson"/>
    <s v="Grazing"/>
    <s v="Near East and North Africa"/>
    <n v="0"/>
    <x v="0"/>
    <x v="1"/>
    <x v="1"/>
  </r>
  <r>
    <s v="Tyson"/>
    <s v="Grazing"/>
    <s v="North America"/>
    <n v="0"/>
    <x v="0"/>
    <x v="1"/>
    <x v="1"/>
  </r>
  <r>
    <s v="Tyson"/>
    <s v="Grazing"/>
    <s v="Oceania"/>
    <n v="0"/>
    <x v="0"/>
    <x v="1"/>
    <x v="1"/>
  </r>
  <r>
    <s v="Tyson"/>
    <s v="Grazing"/>
    <s v="RoW"/>
    <n v="0"/>
    <x v="0"/>
    <x v="1"/>
    <x v="1"/>
  </r>
  <r>
    <s v="Tyson"/>
    <s v="Grazing"/>
    <s v="Russian Federation"/>
    <n v="0"/>
    <x v="0"/>
    <x v="1"/>
    <x v="1"/>
  </r>
  <r>
    <s v="Tyson"/>
    <s v="Grazing"/>
    <s v="South Asia"/>
    <n v="0"/>
    <x v="0"/>
    <x v="1"/>
    <x v="1"/>
  </r>
  <r>
    <s v="Tyson"/>
    <s v="Grazing"/>
    <s v="Sub-Saharan Africa"/>
    <n v="0"/>
    <x v="0"/>
    <x v="1"/>
    <x v="1"/>
  </r>
  <r>
    <s v="Tyson"/>
    <s v="Grazing"/>
    <s v="Western Europe"/>
    <n v="0"/>
    <x v="0"/>
    <x v="1"/>
    <x v="1"/>
  </r>
  <r>
    <s v="Tyson"/>
    <s v="Croplands"/>
    <s v="East Asia and Southeast Asia"/>
    <n v="830"/>
    <x v="0"/>
    <x v="1"/>
    <x v="1"/>
  </r>
  <r>
    <s v="Tyson"/>
    <s v="Croplands"/>
    <s v="Eastern Europe"/>
    <n v="128"/>
    <x v="0"/>
    <x v="1"/>
    <x v="1"/>
  </r>
  <r>
    <s v="Tyson"/>
    <s v="Croplands"/>
    <s v="Latin America and the Caribbean"/>
    <n v="33201"/>
    <x v="0"/>
    <x v="1"/>
    <x v="1"/>
  </r>
  <r>
    <s v="Tyson"/>
    <s v="Croplands"/>
    <s v="Near East and North Africa"/>
    <n v="380"/>
    <x v="0"/>
    <x v="1"/>
    <x v="1"/>
  </r>
  <r>
    <s v="Tyson"/>
    <s v="Croplands"/>
    <s v="North America"/>
    <n v="2305207"/>
    <x v="0"/>
    <x v="1"/>
    <x v="1"/>
  </r>
  <r>
    <s v="Tyson"/>
    <s v="Croplands"/>
    <s v="Oceania"/>
    <n v="72301"/>
    <x v="0"/>
    <x v="1"/>
    <x v="1"/>
  </r>
  <r>
    <s v="Tyson"/>
    <s v="Croplands"/>
    <s v="RoW"/>
    <n v="0"/>
    <x v="0"/>
    <x v="1"/>
    <x v="1"/>
  </r>
  <r>
    <s v="Tyson"/>
    <s v="Croplands"/>
    <s v="Russian Federation"/>
    <n v="52"/>
    <x v="0"/>
    <x v="1"/>
    <x v="1"/>
  </r>
  <r>
    <s v="Tyson"/>
    <s v="Croplands"/>
    <s v="South Asia"/>
    <n v="2088"/>
    <x v="0"/>
    <x v="1"/>
    <x v="1"/>
  </r>
  <r>
    <s v="Tyson"/>
    <s v="Croplands"/>
    <s v="Sub-Saharan Africa"/>
    <n v="569"/>
    <x v="0"/>
    <x v="1"/>
    <x v="1"/>
  </r>
  <r>
    <s v="Tyson"/>
    <s v="Croplands"/>
    <s v="Western Europe"/>
    <n v="497"/>
    <x v="0"/>
    <x v="1"/>
    <x v="1"/>
  </r>
  <r>
    <s v="Vion Food Group"/>
    <s v="Grazing"/>
    <s v="East Asia and Southeast Asia"/>
    <n v="0"/>
    <x v="0"/>
    <x v="1"/>
    <x v="1"/>
  </r>
  <r>
    <s v="Vion Food Group"/>
    <s v="Grazing"/>
    <s v="Eastern Europe"/>
    <n v="0"/>
    <x v="0"/>
    <x v="1"/>
    <x v="1"/>
  </r>
  <r>
    <s v="Vion Food Group"/>
    <s v="Grazing"/>
    <s v="Latin America and the Caribbean"/>
    <n v="0"/>
    <x v="0"/>
    <x v="1"/>
    <x v="1"/>
  </r>
  <r>
    <s v="Vion Food Group"/>
    <s v="Grazing"/>
    <s v="Near East and North Africa"/>
    <n v="0"/>
    <x v="0"/>
    <x v="1"/>
    <x v="1"/>
  </r>
  <r>
    <s v="Vion Food Group"/>
    <s v="Grazing"/>
    <s v="North America"/>
    <n v="0"/>
    <x v="0"/>
    <x v="1"/>
    <x v="1"/>
  </r>
  <r>
    <s v="Vion Food Group"/>
    <s v="Grazing"/>
    <s v="Oceania"/>
    <n v="0"/>
    <x v="0"/>
    <x v="1"/>
    <x v="1"/>
  </r>
  <r>
    <s v="Vion Food Group"/>
    <s v="Grazing"/>
    <s v="RoW"/>
    <n v="0"/>
    <x v="0"/>
    <x v="1"/>
    <x v="1"/>
  </r>
  <r>
    <s v="Vion Food Group"/>
    <s v="Grazing"/>
    <s v="Russian Federation"/>
    <n v="0"/>
    <x v="0"/>
    <x v="1"/>
    <x v="1"/>
  </r>
  <r>
    <s v="Vion Food Group"/>
    <s v="Grazing"/>
    <s v="South Asia"/>
    <n v="0"/>
    <x v="0"/>
    <x v="1"/>
    <x v="1"/>
  </r>
  <r>
    <s v="Vion Food Group"/>
    <s v="Grazing"/>
    <s v="Sub-Saharan Africa"/>
    <n v="0"/>
    <x v="0"/>
    <x v="1"/>
    <x v="1"/>
  </r>
  <r>
    <s v="Vion Food Group"/>
    <s v="Grazing"/>
    <s v="Western Europe"/>
    <n v="0"/>
    <x v="0"/>
    <x v="1"/>
    <x v="1"/>
  </r>
  <r>
    <s v="Vion Food Group"/>
    <s v="Croplands"/>
    <s v="East Asia and Southeast Asia"/>
    <n v="370"/>
    <x v="0"/>
    <x v="1"/>
    <x v="1"/>
  </r>
  <r>
    <s v="Vion Food Group"/>
    <s v="Croplands"/>
    <s v="Eastern Europe"/>
    <n v="4001"/>
    <x v="0"/>
    <x v="1"/>
    <x v="1"/>
  </r>
  <r>
    <s v="Vion Food Group"/>
    <s v="Croplands"/>
    <s v="Latin America and the Caribbean"/>
    <n v="280"/>
    <x v="0"/>
    <x v="1"/>
    <x v="1"/>
  </r>
  <r>
    <s v="Vion Food Group"/>
    <s v="Croplands"/>
    <s v="Near East and North Africa"/>
    <n v="1952"/>
    <x v="0"/>
    <x v="1"/>
    <x v="1"/>
  </r>
  <r>
    <s v="Vion Food Group"/>
    <s v="Croplands"/>
    <s v="North America"/>
    <n v="1322"/>
    <x v="0"/>
    <x v="1"/>
    <x v="1"/>
  </r>
  <r>
    <s v="Vion Food Group"/>
    <s v="Croplands"/>
    <s v="Oceania"/>
    <n v="13"/>
    <x v="0"/>
    <x v="1"/>
    <x v="1"/>
  </r>
  <r>
    <s v="Vion Food Group"/>
    <s v="Croplands"/>
    <s v="RoW"/>
    <n v="0"/>
    <x v="0"/>
    <x v="1"/>
    <x v="1"/>
  </r>
  <r>
    <s v="Vion Food Group"/>
    <s v="Croplands"/>
    <s v="Russian Federation"/>
    <n v="636"/>
    <x v="0"/>
    <x v="1"/>
    <x v="1"/>
  </r>
  <r>
    <s v="Vion Food Group"/>
    <s v="Croplands"/>
    <s v="South Asia"/>
    <n v="1201"/>
    <x v="0"/>
    <x v="1"/>
    <x v="1"/>
  </r>
  <r>
    <s v="Vion Food Group"/>
    <s v="Croplands"/>
    <s v="Sub-Saharan Africa"/>
    <n v="92"/>
    <x v="0"/>
    <x v="1"/>
    <x v="1"/>
  </r>
  <r>
    <s v="Vion Food Group"/>
    <s v="Croplands"/>
    <s v="Western Europe"/>
    <n v="120556"/>
    <x v="0"/>
    <x v="1"/>
    <x v="1"/>
  </r>
  <r>
    <s v="Westfleisch"/>
    <s v="Grazing"/>
    <s v="East Asia and Southeast Asia"/>
    <n v="0"/>
    <x v="0"/>
    <x v="1"/>
    <x v="1"/>
  </r>
  <r>
    <s v="Westfleisch"/>
    <s v="Grazing"/>
    <s v="Eastern Europe"/>
    <n v="0"/>
    <x v="0"/>
    <x v="1"/>
    <x v="1"/>
  </r>
  <r>
    <s v="Westfleisch"/>
    <s v="Grazing"/>
    <s v="Latin America and the Caribbean"/>
    <n v="0"/>
    <x v="0"/>
    <x v="1"/>
    <x v="1"/>
  </r>
  <r>
    <s v="Westfleisch"/>
    <s v="Grazing"/>
    <s v="Near East and North Africa"/>
    <n v="0"/>
    <x v="0"/>
    <x v="1"/>
    <x v="1"/>
  </r>
  <r>
    <s v="Westfleisch"/>
    <s v="Grazing"/>
    <s v="North America"/>
    <n v="0"/>
    <x v="0"/>
    <x v="1"/>
    <x v="1"/>
  </r>
  <r>
    <s v="Westfleisch"/>
    <s v="Grazing"/>
    <s v="Oceania"/>
    <n v="0"/>
    <x v="0"/>
    <x v="1"/>
    <x v="1"/>
  </r>
  <r>
    <s v="Westfleisch"/>
    <s v="Grazing"/>
    <s v="RoW"/>
    <n v="0"/>
    <x v="0"/>
    <x v="1"/>
    <x v="1"/>
  </r>
  <r>
    <s v="Westfleisch"/>
    <s v="Grazing"/>
    <s v="Russian Federation"/>
    <n v="0"/>
    <x v="0"/>
    <x v="1"/>
    <x v="1"/>
  </r>
  <r>
    <s v="Westfleisch"/>
    <s v="Grazing"/>
    <s v="South Asia"/>
    <n v="0"/>
    <x v="0"/>
    <x v="1"/>
    <x v="1"/>
  </r>
  <r>
    <s v="Westfleisch"/>
    <s v="Grazing"/>
    <s v="Sub-Saharan Africa"/>
    <n v="0"/>
    <x v="0"/>
    <x v="1"/>
    <x v="1"/>
  </r>
  <r>
    <s v="Westfleisch"/>
    <s v="Grazing"/>
    <s v="Western Europe"/>
    <n v="0"/>
    <x v="0"/>
    <x v="1"/>
    <x v="1"/>
  </r>
  <r>
    <s v="Westfleisch"/>
    <s v="Croplands"/>
    <s v="East Asia and Southeast Asia"/>
    <n v="155"/>
    <x v="0"/>
    <x v="1"/>
    <x v="1"/>
  </r>
  <r>
    <s v="Westfleisch"/>
    <s v="Croplands"/>
    <s v="Eastern Europe"/>
    <n v="1674"/>
    <x v="0"/>
    <x v="1"/>
    <x v="1"/>
  </r>
  <r>
    <s v="Westfleisch"/>
    <s v="Croplands"/>
    <s v="Latin America and the Caribbean"/>
    <n v="117"/>
    <x v="0"/>
    <x v="1"/>
    <x v="1"/>
  </r>
  <r>
    <s v="Westfleisch"/>
    <s v="Croplands"/>
    <s v="Near East and North Africa"/>
    <n v="817"/>
    <x v="0"/>
    <x v="1"/>
    <x v="1"/>
  </r>
  <r>
    <s v="Westfleisch"/>
    <s v="Croplands"/>
    <s v="North America"/>
    <n v="553"/>
    <x v="0"/>
    <x v="1"/>
    <x v="1"/>
  </r>
  <r>
    <s v="Westfleisch"/>
    <s v="Croplands"/>
    <s v="Oceania"/>
    <n v="5"/>
    <x v="0"/>
    <x v="1"/>
    <x v="1"/>
  </r>
  <r>
    <s v="Westfleisch"/>
    <s v="Croplands"/>
    <s v="RoW"/>
    <n v="0"/>
    <x v="0"/>
    <x v="1"/>
    <x v="1"/>
  </r>
  <r>
    <s v="Westfleisch"/>
    <s v="Croplands"/>
    <s v="Russian Federation"/>
    <n v="266"/>
    <x v="0"/>
    <x v="1"/>
    <x v="1"/>
  </r>
  <r>
    <s v="Westfleisch"/>
    <s v="Croplands"/>
    <s v="South Asia"/>
    <n v="503"/>
    <x v="0"/>
    <x v="1"/>
    <x v="1"/>
  </r>
  <r>
    <s v="Westfleisch"/>
    <s v="Croplands"/>
    <s v="Sub-Saharan Africa"/>
    <n v="38"/>
    <x v="0"/>
    <x v="1"/>
    <x v="1"/>
  </r>
  <r>
    <s v="Westfleisch"/>
    <s v="Croplands"/>
    <s v="Western Europe"/>
    <n v="50448"/>
    <x v="0"/>
    <x v="1"/>
    <x v="1"/>
  </r>
  <r>
    <s v="Bigard"/>
    <s v="Grazing"/>
    <s v="East Asia and Southeast Asia"/>
    <n v="101"/>
    <x v="0"/>
    <x v="2"/>
    <x v="1"/>
  </r>
  <r>
    <s v="Bigard"/>
    <s v="Grazing"/>
    <s v="Eastern Europe"/>
    <n v="14514"/>
    <x v="0"/>
    <x v="2"/>
    <x v="1"/>
  </r>
  <r>
    <s v="Bigard"/>
    <s v="Grazing"/>
    <s v="Latin America and the Caribbean"/>
    <n v="614"/>
    <x v="0"/>
    <x v="2"/>
    <x v="1"/>
  </r>
  <r>
    <s v="Bigard"/>
    <s v="Grazing"/>
    <s v="Near East and North Africa"/>
    <n v="30"/>
    <x v="0"/>
    <x v="2"/>
    <x v="1"/>
  </r>
  <r>
    <s v="Bigard"/>
    <s v="Grazing"/>
    <s v="North America"/>
    <n v="309"/>
    <x v="0"/>
    <x v="2"/>
    <x v="1"/>
  </r>
  <r>
    <s v="Bigard"/>
    <s v="Grazing"/>
    <s v="Oceania"/>
    <n v="117"/>
    <x v="0"/>
    <x v="2"/>
    <x v="1"/>
  </r>
  <r>
    <s v="Bigard"/>
    <s v="Grazing"/>
    <s v="RoW"/>
    <n v="0"/>
    <x v="0"/>
    <x v="2"/>
    <x v="1"/>
  </r>
  <r>
    <s v="Bigard"/>
    <s v="Grazing"/>
    <s v="Russian Federation"/>
    <n v="5"/>
    <x v="0"/>
    <x v="2"/>
    <x v="1"/>
  </r>
  <r>
    <s v="Bigard"/>
    <s v="Grazing"/>
    <s v="South Asia"/>
    <n v="114"/>
    <x v="0"/>
    <x v="2"/>
    <x v="1"/>
  </r>
  <r>
    <s v="Bigard"/>
    <s v="Grazing"/>
    <s v="Sub-Saharan Africa"/>
    <n v="248"/>
    <x v="0"/>
    <x v="2"/>
    <x v="1"/>
  </r>
  <r>
    <s v="Bigard"/>
    <s v="Grazing"/>
    <s v="Western Europe"/>
    <n v="1530818"/>
    <x v="0"/>
    <x v="2"/>
    <x v="1"/>
  </r>
  <r>
    <s v="Bigard"/>
    <s v="Croplands"/>
    <s v="East Asia and Southeast Asia"/>
    <n v="38101"/>
    <x v="0"/>
    <x v="2"/>
    <x v="1"/>
  </r>
  <r>
    <s v="Bigard"/>
    <s v="Croplands"/>
    <s v="Eastern Europe"/>
    <n v="273866"/>
    <x v="0"/>
    <x v="2"/>
    <x v="1"/>
  </r>
  <r>
    <s v="Bigard"/>
    <s v="Croplands"/>
    <s v="Latin America and the Caribbean"/>
    <n v="264753"/>
    <x v="0"/>
    <x v="2"/>
    <x v="1"/>
  </r>
  <r>
    <s v="Bigard"/>
    <s v="Croplands"/>
    <s v="Near East and North Africa"/>
    <n v="9834"/>
    <x v="0"/>
    <x v="2"/>
    <x v="1"/>
  </r>
  <r>
    <s v="Bigard"/>
    <s v="Croplands"/>
    <s v="North America"/>
    <n v="95918"/>
    <x v="0"/>
    <x v="2"/>
    <x v="1"/>
  </r>
  <r>
    <s v="Bigard"/>
    <s v="Croplands"/>
    <s v="Oceania"/>
    <n v="7509"/>
    <x v="0"/>
    <x v="2"/>
    <x v="1"/>
  </r>
  <r>
    <s v="Bigard"/>
    <s v="Croplands"/>
    <s v="RoW"/>
    <n v="0"/>
    <x v="0"/>
    <x v="2"/>
    <x v="1"/>
  </r>
  <r>
    <s v="Bigard"/>
    <s v="Croplands"/>
    <s v="Russian Federation"/>
    <n v="40029"/>
    <x v="0"/>
    <x v="2"/>
    <x v="1"/>
  </r>
  <r>
    <s v="Bigard"/>
    <s v="Croplands"/>
    <s v="South Asia"/>
    <n v="14445"/>
    <x v="0"/>
    <x v="2"/>
    <x v="1"/>
  </r>
  <r>
    <s v="Bigard"/>
    <s v="Croplands"/>
    <s v="Sub-Saharan Africa"/>
    <n v="8002"/>
    <x v="0"/>
    <x v="2"/>
    <x v="1"/>
  </r>
  <r>
    <s v="Bigard"/>
    <s v="Croplands"/>
    <s v="Western Europe"/>
    <n v="2202015"/>
    <x v="0"/>
    <x v="2"/>
    <x v="1"/>
  </r>
  <r>
    <s v="Cargill"/>
    <s v="Grazing"/>
    <s v="East Asia and Southeast Asia"/>
    <n v="3065"/>
    <x v="0"/>
    <x v="2"/>
    <x v="1"/>
  </r>
  <r>
    <s v="Cargill"/>
    <s v="Grazing"/>
    <s v="Eastern Europe"/>
    <n v="68"/>
    <x v="0"/>
    <x v="2"/>
    <x v="1"/>
  </r>
  <r>
    <s v="Cargill"/>
    <s v="Grazing"/>
    <s v="Latin America and the Caribbean"/>
    <n v="637041"/>
    <x v="0"/>
    <x v="2"/>
    <x v="1"/>
  </r>
  <r>
    <s v="Cargill"/>
    <s v="Grazing"/>
    <s v="Near East and North Africa"/>
    <n v="72"/>
    <x v="0"/>
    <x v="2"/>
    <x v="1"/>
  </r>
  <r>
    <s v="Cargill"/>
    <s v="Grazing"/>
    <s v="North America"/>
    <n v="23447986"/>
    <x v="0"/>
    <x v="2"/>
    <x v="1"/>
  </r>
  <r>
    <s v="Cargill"/>
    <s v="Grazing"/>
    <s v="Oceania"/>
    <n v="2865165"/>
    <x v="0"/>
    <x v="2"/>
    <x v="1"/>
  </r>
  <r>
    <s v="Cargill"/>
    <s v="Grazing"/>
    <s v="RoW"/>
    <n v="0"/>
    <x v="0"/>
    <x v="2"/>
    <x v="1"/>
  </r>
  <r>
    <s v="Cargill"/>
    <s v="Grazing"/>
    <s v="Russian Federation"/>
    <n v="12"/>
    <x v="0"/>
    <x v="2"/>
    <x v="1"/>
  </r>
  <r>
    <s v="Cargill"/>
    <s v="Grazing"/>
    <s v="South Asia"/>
    <n v="438"/>
    <x v="0"/>
    <x v="2"/>
    <x v="1"/>
  </r>
  <r>
    <s v="Cargill"/>
    <s v="Grazing"/>
    <s v="Sub-Saharan Africa"/>
    <n v="790"/>
    <x v="0"/>
    <x v="2"/>
    <x v="1"/>
  </r>
  <r>
    <s v="Cargill"/>
    <s v="Grazing"/>
    <s v="Western Europe"/>
    <n v="892"/>
    <x v="0"/>
    <x v="2"/>
    <x v="1"/>
  </r>
  <r>
    <s v="Cargill"/>
    <s v="Croplands"/>
    <s v="East Asia and Southeast Asia"/>
    <n v="54273"/>
    <x v="0"/>
    <x v="2"/>
    <x v="1"/>
  </r>
  <r>
    <s v="Cargill"/>
    <s v="Croplands"/>
    <s v="Eastern Europe"/>
    <n v="11560"/>
    <x v="0"/>
    <x v="2"/>
    <x v="1"/>
  </r>
  <r>
    <s v="Cargill"/>
    <s v="Croplands"/>
    <s v="Latin America and the Caribbean"/>
    <n v="223097"/>
    <x v="0"/>
    <x v="2"/>
    <x v="1"/>
  </r>
  <r>
    <s v="Cargill"/>
    <s v="Croplands"/>
    <s v="Near East and North Africa"/>
    <n v="2006"/>
    <x v="0"/>
    <x v="2"/>
    <x v="1"/>
  </r>
  <r>
    <s v="Cargill"/>
    <s v="Croplands"/>
    <s v="North America"/>
    <n v="15559194"/>
    <x v="0"/>
    <x v="2"/>
    <x v="1"/>
  </r>
  <r>
    <s v="Cargill"/>
    <s v="Croplands"/>
    <s v="Oceania"/>
    <n v="365610"/>
    <x v="0"/>
    <x v="2"/>
    <x v="1"/>
  </r>
  <r>
    <s v="Cargill"/>
    <s v="Croplands"/>
    <s v="RoW"/>
    <n v="115"/>
    <x v="0"/>
    <x v="2"/>
    <x v="1"/>
  </r>
  <r>
    <s v="Cargill"/>
    <s v="Croplands"/>
    <s v="Russian Federation"/>
    <n v="2769"/>
    <x v="0"/>
    <x v="2"/>
    <x v="1"/>
  </r>
  <r>
    <s v="Cargill"/>
    <s v="Croplands"/>
    <s v="South Asia"/>
    <n v="31178"/>
    <x v="0"/>
    <x v="2"/>
    <x v="1"/>
  </r>
  <r>
    <s v="Cargill"/>
    <s v="Croplands"/>
    <s v="Sub-Saharan Africa"/>
    <n v="4370"/>
    <x v="0"/>
    <x v="2"/>
    <x v="1"/>
  </r>
  <r>
    <s v="Cargill"/>
    <s v="Croplands"/>
    <s v="Western Europe"/>
    <n v="10130"/>
    <x v="0"/>
    <x v="2"/>
    <x v="1"/>
  </r>
  <r>
    <s v="Danish Crown"/>
    <s v="Grazing"/>
    <s v="East Asia and Southeast Asia"/>
    <n v="42"/>
    <x v="0"/>
    <x v="2"/>
    <x v="1"/>
  </r>
  <r>
    <s v="Danish Crown"/>
    <s v="Grazing"/>
    <s v="Eastern Europe"/>
    <n v="6013"/>
    <x v="0"/>
    <x v="2"/>
    <x v="1"/>
  </r>
  <r>
    <s v="Danish Crown"/>
    <s v="Grazing"/>
    <s v="Latin America and the Caribbean"/>
    <n v="255"/>
    <x v="0"/>
    <x v="2"/>
    <x v="1"/>
  </r>
  <r>
    <s v="Danish Crown"/>
    <s v="Grazing"/>
    <s v="Near East and North Africa"/>
    <n v="12"/>
    <x v="0"/>
    <x v="2"/>
    <x v="1"/>
  </r>
  <r>
    <s v="Danish Crown"/>
    <s v="Grazing"/>
    <s v="North America"/>
    <n v="128"/>
    <x v="0"/>
    <x v="2"/>
    <x v="1"/>
  </r>
  <r>
    <s v="Danish Crown"/>
    <s v="Grazing"/>
    <s v="Oceania"/>
    <n v="49"/>
    <x v="0"/>
    <x v="2"/>
    <x v="1"/>
  </r>
  <r>
    <s v="Danish Crown"/>
    <s v="Grazing"/>
    <s v="RoW"/>
    <n v="0"/>
    <x v="0"/>
    <x v="2"/>
    <x v="1"/>
  </r>
  <r>
    <s v="Danish Crown"/>
    <s v="Grazing"/>
    <s v="Russian Federation"/>
    <n v="2"/>
    <x v="0"/>
    <x v="2"/>
    <x v="1"/>
  </r>
  <r>
    <s v="Danish Crown"/>
    <s v="Grazing"/>
    <s v="South Asia"/>
    <n v="47"/>
    <x v="0"/>
    <x v="2"/>
    <x v="1"/>
  </r>
  <r>
    <s v="Danish Crown"/>
    <s v="Grazing"/>
    <s v="Sub-Saharan Africa"/>
    <n v="103"/>
    <x v="0"/>
    <x v="2"/>
    <x v="1"/>
  </r>
  <r>
    <s v="Danish Crown"/>
    <s v="Grazing"/>
    <s v="Western Europe"/>
    <n v="634157"/>
    <x v="0"/>
    <x v="2"/>
    <x v="1"/>
  </r>
  <r>
    <s v="Danish Crown"/>
    <s v="Croplands"/>
    <s v="East Asia and Southeast Asia"/>
    <n v="15784"/>
    <x v="0"/>
    <x v="2"/>
    <x v="1"/>
  </r>
  <r>
    <s v="Danish Crown"/>
    <s v="Croplands"/>
    <s v="Eastern Europe"/>
    <n v="113452"/>
    <x v="0"/>
    <x v="2"/>
    <x v="1"/>
  </r>
  <r>
    <s v="Danish Crown"/>
    <s v="Croplands"/>
    <s v="Latin America and the Caribbean"/>
    <n v="109677"/>
    <x v="0"/>
    <x v="2"/>
    <x v="1"/>
  </r>
  <r>
    <s v="Danish Crown"/>
    <s v="Croplands"/>
    <s v="Near East and North Africa"/>
    <n v="4074"/>
    <x v="0"/>
    <x v="2"/>
    <x v="1"/>
  </r>
  <r>
    <s v="Danish Crown"/>
    <s v="Croplands"/>
    <s v="North America"/>
    <n v="39735"/>
    <x v="0"/>
    <x v="2"/>
    <x v="1"/>
  </r>
  <r>
    <s v="Danish Crown"/>
    <s v="Croplands"/>
    <s v="Oceania"/>
    <n v="3111"/>
    <x v="0"/>
    <x v="2"/>
    <x v="1"/>
  </r>
  <r>
    <s v="Danish Crown"/>
    <s v="Croplands"/>
    <s v="RoW"/>
    <n v="0"/>
    <x v="0"/>
    <x v="2"/>
    <x v="1"/>
  </r>
  <r>
    <s v="Danish Crown"/>
    <s v="Croplands"/>
    <s v="Russian Federation"/>
    <n v="16583"/>
    <x v="0"/>
    <x v="2"/>
    <x v="1"/>
  </r>
  <r>
    <s v="Danish Crown"/>
    <s v="Croplands"/>
    <s v="South Asia"/>
    <n v="5984"/>
    <x v="0"/>
    <x v="2"/>
    <x v="1"/>
  </r>
  <r>
    <s v="Danish Crown"/>
    <s v="Croplands"/>
    <s v="Sub-Saharan Africa"/>
    <n v="3315"/>
    <x v="0"/>
    <x v="2"/>
    <x v="1"/>
  </r>
  <r>
    <s v="Danish Crown"/>
    <s v="Croplands"/>
    <s v="Western Europe"/>
    <n v="912208"/>
    <x v="0"/>
    <x v="2"/>
    <x v="1"/>
  </r>
  <r>
    <s v="Gruppo Cremonini"/>
    <s v="Grazing"/>
    <s v="East Asia and Southeast Asia"/>
    <n v="97"/>
    <x v="0"/>
    <x v="2"/>
    <x v="1"/>
  </r>
  <r>
    <s v="Gruppo Cremonini"/>
    <s v="Grazing"/>
    <s v="Eastern Europe"/>
    <n v="14010"/>
    <x v="0"/>
    <x v="2"/>
    <x v="1"/>
  </r>
  <r>
    <s v="Gruppo Cremonini"/>
    <s v="Grazing"/>
    <s v="Latin America and the Caribbean"/>
    <n v="593"/>
    <x v="0"/>
    <x v="2"/>
    <x v="1"/>
  </r>
  <r>
    <s v="Gruppo Cremonini"/>
    <s v="Grazing"/>
    <s v="Near East and North Africa"/>
    <n v="29"/>
    <x v="0"/>
    <x v="2"/>
    <x v="1"/>
  </r>
  <r>
    <s v="Gruppo Cremonini"/>
    <s v="Grazing"/>
    <s v="North America"/>
    <n v="298"/>
    <x v="0"/>
    <x v="2"/>
    <x v="1"/>
  </r>
  <r>
    <s v="Gruppo Cremonini"/>
    <s v="Grazing"/>
    <s v="Oceania"/>
    <n v="113"/>
    <x v="0"/>
    <x v="2"/>
    <x v="1"/>
  </r>
  <r>
    <s v="Gruppo Cremonini"/>
    <s v="Grazing"/>
    <s v="RoW"/>
    <n v="0"/>
    <x v="0"/>
    <x v="2"/>
    <x v="1"/>
  </r>
  <r>
    <s v="Gruppo Cremonini"/>
    <s v="Grazing"/>
    <s v="Russian Federation"/>
    <n v="5"/>
    <x v="0"/>
    <x v="2"/>
    <x v="1"/>
  </r>
  <r>
    <s v="Gruppo Cremonini"/>
    <s v="Grazing"/>
    <s v="South Asia"/>
    <n v="110"/>
    <x v="0"/>
    <x v="2"/>
    <x v="1"/>
  </r>
  <r>
    <s v="Gruppo Cremonini"/>
    <s v="Grazing"/>
    <s v="Sub-Saharan Africa"/>
    <n v="240"/>
    <x v="0"/>
    <x v="2"/>
    <x v="1"/>
  </r>
  <r>
    <s v="Gruppo Cremonini"/>
    <s v="Grazing"/>
    <s v="Western Europe"/>
    <n v="1477701"/>
    <x v="0"/>
    <x v="2"/>
    <x v="1"/>
  </r>
  <r>
    <s v="Gruppo Cremonini"/>
    <s v="Croplands"/>
    <s v="East Asia and Southeast Asia"/>
    <n v="36779"/>
    <x v="0"/>
    <x v="2"/>
    <x v="1"/>
  </r>
  <r>
    <s v="Gruppo Cremonini"/>
    <s v="Croplands"/>
    <s v="Eastern Europe"/>
    <n v="264364"/>
    <x v="0"/>
    <x v="2"/>
    <x v="1"/>
  </r>
  <r>
    <s v="Gruppo Cremonini"/>
    <s v="Croplands"/>
    <s v="Latin America and the Caribbean"/>
    <n v="255567"/>
    <x v="0"/>
    <x v="2"/>
    <x v="1"/>
  </r>
  <r>
    <s v="Gruppo Cremonini"/>
    <s v="Croplands"/>
    <s v="Near East and North Africa"/>
    <n v="9493"/>
    <x v="0"/>
    <x v="2"/>
    <x v="1"/>
  </r>
  <r>
    <s v="Gruppo Cremonini"/>
    <s v="Croplands"/>
    <s v="North America"/>
    <n v="92590"/>
    <x v="0"/>
    <x v="2"/>
    <x v="1"/>
  </r>
  <r>
    <s v="Gruppo Cremonini"/>
    <s v="Croplands"/>
    <s v="Oceania"/>
    <n v="7249"/>
    <x v="0"/>
    <x v="2"/>
    <x v="1"/>
  </r>
  <r>
    <s v="Gruppo Cremonini"/>
    <s v="Croplands"/>
    <s v="RoW"/>
    <n v="0"/>
    <x v="0"/>
    <x v="2"/>
    <x v="1"/>
  </r>
  <r>
    <s v="Gruppo Cremonini"/>
    <s v="Croplands"/>
    <s v="Russian Federation"/>
    <n v="38640"/>
    <x v="0"/>
    <x v="2"/>
    <x v="1"/>
  </r>
  <r>
    <s v="Gruppo Cremonini"/>
    <s v="Croplands"/>
    <s v="South Asia"/>
    <n v="13944"/>
    <x v="0"/>
    <x v="2"/>
    <x v="1"/>
  </r>
  <r>
    <s v="Gruppo Cremonini"/>
    <s v="Croplands"/>
    <s v="Sub-Saharan Africa"/>
    <n v="7724"/>
    <x v="0"/>
    <x v="2"/>
    <x v="1"/>
  </r>
  <r>
    <s v="Gruppo Cremonini"/>
    <s v="Croplands"/>
    <s v="Western Europe"/>
    <n v="2125610"/>
    <x v="0"/>
    <x v="2"/>
    <x v="1"/>
  </r>
  <r>
    <s v="JBS"/>
    <s v="Grazing"/>
    <s v="East Asia and Southeast Asia"/>
    <n v="4135"/>
    <x v="0"/>
    <x v="2"/>
    <x v="1"/>
  </r>
  <r>
    <s v="JBS"/>
    <s v="Grazing"/>
    <s v="Eastern Europe"/>
    <n v="200"/>
    <x v="0"/>
    <x v="2"/>
    <x v="1"/>
  </r>
  <r>
    <s v="JBS"/>
    <s v="Grazing"/>
    <s v="Latin America and the Caribbean"/>
    <n v="75583784"/>
    <x v="0"/>
    <x v="2"/>
    <x v="1"/>
  </r>
  <r>
    <s v="JBS"/>
    <s v="Grazing"/>
    <s v="Near East and North Africa"/>
    <n v="191"/>
    <x v="0"/>
    <x v="2"/>
    <x v="1"/>
  </r>
  <r>
    <s v="JBS"/>
    <s v="Grazing"/>
    <s v="North America"/>
    <n v="30021160"/>
    <x v="0"/>
    <x v="2"/>
    <x v="1"/>
  </r>
  <r>
    <s v="JBS"/>
    <s v="Grazing"/>
    <s v="Oceania"/>
    <n v="10065152"/>
    <x v="0"/>
    <x v="2"/>
    <x v="1"/>
  </r>
  <r>
    <s v="JBS"/>
    <s v="Grazing"/>
    <s v="RoW"/>
    <n v="0"/>
    <x v="0"/>
    <x v="2"/>
    <x v="1"/>
  </r>
  <r>
    <s v="JBS"/>
    <s v="Grazing"/>
    <s v="Russian Federation"/>
    <n v="26"/>
    <x v="0"/>
    <x v="2"/>
    <x v="1"/>
  </r>
  <r>
    <s v="JBS"/>
    <s v="Grazing"/>
    <s v="South Asia"/>
    <n v="1037"/>
    <x v="0"/>
    <x v="2"/>
    <x v="1"/>
  </r>
  <r>
    <s v="JBS"/>
    <s v="Grazing"/>
    <s v="Sub-Saharan Africa"/>
    <n v="1158"/>
    <x v="0"/>
    <x v="2"/>
    <x v="1"/>
  </r>
  <r>
    <s v="JBS"/>
    <s v="Grazing"/>
    <s v="Western Europe"/>
    <n v="1906"/>
    <x v="0"/>
    <x v="2"/>
    <x v="1"/>
  </r>
  <r>
    <s v="JBS"/>
    <s v="Croplands"/>
    <s v="East Asia and Southeast Asia"/>
    <n v="174349"/>
    <x v="0"/>
    <x v="2"/>
    <x v="1"/>
  </r>
  <r>
    <s v="JBS"/>
    <s v="Croplands"/>
    <s v="Eastern Europe"/>
    <n v="21553"/>
    <x v="0"/>
    <x v="2"/>
    <x v="1"/>
  </r>
  <r>
    <s v="JBS"/>
    <s v="Croplands"/>
    <s v="Latin America and the Caribbean"/>
    <n v="16270589"/>
    <x v="0"/>
    <x v="2"/>
    <x v="1"/>
  </r>
  <r>
    <s v="JBS"/>
    <s v="Croplands"/>
    <s v="Near East and North Africa"/>
    <n v="10541"/>
    <x v="0"/>
    <x v="2"/>
    <x v="1"/>
  </r>
  <r>
    <s v="JBS"/>
    <s v="Croplands"/>
    <s v="North America"/>
    <n v="20463009"/>
    <x v="0"/>
    <x v="2"/>
    <x v="1"/>
  </r>
  <r>
    <s v="JBS"/>
    <s v="Croplands"/>
    <s v="Oceania"/>
    <n v="1281643"/>
    <x v="0"/>
    <x v="2"/>
    <x v="1"/>
  </r>
  <r>
    <s v="JBS"/>
    <s v="Croplands"/>
    <s v="RoW"/>
    <n v="149"/>
    <x v="0"/>
    <x v="2"/>
    <x v="1"/>
  </r>
  <r>
    <s v="JBS"/>
    <s v="Croplands"/>
    <s v="Russian Federation"/>
    <n v="13997"/>
    <x v="0"/>
    <x v="2"/>
    <x v="1"/>
  </r>
  <r>
    <s v="JBS"/>
    <s v="Croplands"/>
    <s v="South Asia"/>
    <n v="53821"/>
    <x v="0"/>
    <x v="2"/>
    <x v="1"/>
  </r>
  <r>
    <s v="JBS"/>
    <s v="Croplands"/>
    <s v="Sub-Saharan Africa"/>
    <n v="34316"/>
    <x v="0"/>
    <x v="2"/>
    <x v="1"/>
  </r>
  <r>
    <s v="JBS"/>
    <s v="Croplands"/>
    <s v="Western Europe"/>
    <n v="19178"/>
    <x v="0"/>
    <x v="2"/>
    <x v="1"/>
  </r>
  <r>
    <s v="Marfrig"/>
    <s v="Grazing"/>
    <s v="East Asia and Southeast Asia"/>
    <n v="1655"/>
    <x v="0"/>
    <x v="2"/>
    <x v="1"/>
  </r>
  <r>
    <s v="Marfrig"/>
    <s v="Grazing"/>
    <s v="Eastern Europe"/>
    <n v="87"/>
    <x v="0"/>
    <x v="2"/>
    <x v="1"/>
  </r>
  <r>
    <s v="Marfrig"/>
    <s v="Grazing"/>
    <s v="Latin America and the Caribbean"/>
    <n v="37996043"/>
    <x v="0"/>
    <x v="2"/>
    <x v="1"/>
  </r>
  <r>
    <s v="Marfrig"/>
    <s v="Grazing"/>
    <s v="Near East and North Africa"/>
    <n v="79"/>
    <x v="0"/>
    <x v="2"/>
    <x v="1"/>
  </r>
  <r>
    <s v="Marfrig"/>
    <s v="Grazing"/>
    <s v="North America"/>
    <n v="12065694"/>
    <x v="0"/>
    <x v="2"/>
    <x v="1"/>
  </r>
  <r>
    <s v="Marfrig"/>
    <s v="Grazing"/>
    <s v="Oceania"/>
    <n v="2990"/>
    <x v="0"/>
    <x v="2"/>
    <x v="1"/>
  </r>
  <r>
    <s v="Marfrig"/>
    <s v="Grazing"/>
    <s v="RoW"/>
    <n v="0"/>
    <x v="0"/>
    <x v="2"/>
    <x v="1"/>
  </r>
  <r>
    <s v="Marfrig"/>
    <s v="Grazing"/>
    <s v="Russian Federation"/>
    <n v="11"/>
    <x v="0"/>
    <x v="2"/>
    <x v="1"/>
  </r>
  <r>
    <s v="Marfrig"/>
    <s v="Grazing"/>
    <s v="South Asia"/>
    <n v="406"/>
    <x v="0"/>
    <x v="2"/>
    <x v="1"/>
  </r>
  <r>
    <s v="Marfrig"/>
    <s v="Grazing"/>
    <s v="Sub-Saharan Africa"/>
    <n v="480"/>
    <x v="0"/>
    <x v="2"/>
    <x v="1"/>
  </r>
  <r>
    <s v="Marfrig"/>
    <s v="Grazing"/>
    <s v="Western Europe"/>
    <n v="744"/>
    <x v="0"/>
    <x v="2"/>
    <x v="1"/>
  </r>
  <r>
    <s v="Marfrig"/>
    <s v="Croplands"/>
    <s v="East Asia and Southeast Asia"/>
    <n v="7427"/>
    <x v="0"/>
    <x v="2"/>
    <x v="1"/>
  </r>
  <r>
    <s v="Marfrig"/>
    <s v="Croplands"/>
    <s v="Eastern Europe"/>
    <n v="7497"/>
    <x v="0"/>
    <x v="2"/>
    <x v="1"/>
  </r>
  <r>
    <s v="Marfrig"/>
    <s v="Croplands"/>
    <s v="Latin America and the Caribbean"/>
    <n v="8086445"/>
    <x v="0"/>
    <x v="2"/>
    <x v="1"/>
  </r>
  <r>
    <s v="Marfrig"/>
    <s v="Croplands"/>
    <s v="Near East and North Africa"/>
    <n v="4769"/>
    <x v="0"/>
    <x v="2"/>
    <x v="1"/>
  </r>
  <r>
    <s v="Marfrig"/>
    <s v="Croplands"/>
    <s v="North America"/>
    <n v="8270833"/>
    <x v="0"/>
    <x v="2"/>
    <x v="1"/>
  </r>
  <r>
    <s v="Marfrig"/>
    <s v="Croplands"/>
    <s v="Oceania"/>
    <n v="1474"/>
    <x v="0"/>
    <x v="2"/>
    <x v="1"/>
  </r>
  <r>
    <s v="Marfrig"/>
    <s v="Croplands"/>
    <s v="RoW"/>
    <n v="59"/>
    <x v="0"/>
    <x v="2"/>
    <x v="1"/>
  </r>
  <r>
    <s v="Marfrig"/>
    <s v="Croplands"/>
    <s v="Russian Federation"/>
    <n v="6278"/>
    <x v="0"/>
    <x v="2"/>
    <x v="1"/>
  </r>
  <r>
    <s v="Marfrig"/>
    <s v="Croplands"/>
    <s v="South Asia"/>
    <n v="20049"/>
    <x v="0"/>
    <x v="2"/>
    <x v="1"/>
  </r>
  <r>
    <s v="Marfrig"/>
    <s v="Croplands"/>
    <s v="Sub-Saharan Africa"/>
    <n v="16331"/>
    <x v="0"/>
    <x v="2"/>
    <x v="1"/>
  </r>
  <r>
    <s v="Marfrig"/>
    <s v="Croplands"/>
    <s v="Western Europe"/>
    <n v="6997"/>
    <x v="0"/>
    <x v="2"/>
    <x v="1"/>
  </r>
  <r>
    <s v="Minerva"/>
    <s v="Grazing"/>
    <s v="East Asia and Southeast Asia"/>
    <n v="73"/>
    <x v="0"/>
    <x v="2"/>
    <x v="1"/>
  </r>
  <r>
    <s v="Minerva"/>
    <s v="Grazing"/>
    <s v="Eastern Europe"/>
    <n v="44"/>
    <x v="0"/>
    <x v="2"/>
    <x v="1"/>
  </r>
  <r>
    <s v="Minerva"/>
    <s v="Grazing"/>
    <s v="Latin America and the Caribbean"/>
    <n v="31418072"/>
    <x v="0"/>
    <x v="2"/>
    <x v="1"/>
  </r>
  <r>
    <s v="Minerva"/>
    <s v="Grazing"/>
    <s v="Near East and North Africa"/>
    <n v="37"/>
    <x v="0"/>
    <x v="2"/>
    <x v="1"/>
  </r>
  <r>
    <s v="Minerva"/>
    <s v="Grazing"/>
    <s v="North America"/>
    <n v="5226"/>
    <x v="0"/>
    <x v="2"/>
    <x v="1"/>
  </r>
  <r>
    <s v="Minerva"/>
    <s v="Grazing"/>
    <s v="Oceania"/>
    <n v="195"/>
    <x v="0"/>
    <x v="2"/>
    <x v="1"/>
  </r>
  <r>
    <s v="Minerva"/>
    <s v="Grazing"/>
    <s v="RoW"/>
    <n v="0"/>
    <x v="0"/>
    <x v="2"/>
    <x v="1"/>
  </r>
  <r>
    <s v="Minerva"/>
    <s v="Grazing"/>
    <s v="Russian Federation"/>
    <n v="4"/>
    <x v="0"/>
    <x v="2"/>
    <x v="1"/>
  </r>
  <r>
    <s v="Minerva"/>
    <s v="Grazing"/>
    <s v="South Asia"/>
    <n v="166"/>
    <x v="0"/>
    <x v="2"/>
    <x v="1"/>
  </r>
  <r>
    <s v="Minerva"/>
    <s v="Grazing"/>
    <s v="Sub-Saharan Africa"/>
    <n v="62"/>
    <x v="0"/>
    <x v="2"/>
    <x v="1"/>
  </r>
  <r>
    <s v="Minerva"/>
    <s v="Grazing"/>
    <s v="Western Europe"/>
    <n v="264"/>
    <x v="0"/>
    <x v="2"/>
    <x v="1"/>
  </r>
  <r>
    <s v="Minerva"/>
    <s v="Croplands"/>
    <s v="East Asia and Southeast Asia"/>
    <n v="2077"/>
    <x v="0"/>
    <x v="2"/>
    <x v="1"/>
  </r>
  <r>
    <s v="Minerva"/>
    <s v="Croplands"/>
    <s v="Eastern Europe"/>
    <n v="1778"/>
    <x v="0"/>
    <x v="2"/>
    <x v="1"/>
  </r>
  <r>
    <s v="Minerva"/>
    <s v="Croplands"/>
    <s v="Latin America and the Caribbean"/>
    <n v="6670277"/>
    <x v="0"/>
    <x v="2"/>
    <x v="1"/>
  </r>
  <r>
    <s v="Minerva"/>
    <s v="Croplands"/>
    <s v="Near East and North Africa"/>
    <n v="3190"/>
    <x v="0"/>
    <x v="2"/>
    <x v="1"/>
  </r>
  <r>
    <s v="Minerva"/>
    <s v="Croplands"/>
    <s v="North America"/>
    <n v="226328"/>
    <x v="0"/>
    <x v="2"/>
    <x v="1"/>
  </r>
  <r>
    <s v="Minerva"/>
    <s v="Croplands"/>
    <s v="Oceania"/>
    <n v="292"/>
    <x v="0"/>
    <x v="2"/>
    <x v="1"/>
  </r>
  <r>
    <s v="Minerva"/>
    <s v="Croplands"/>
    <s v="RoW"/>
    <n v="0"/>
    <x v="0"/>
    <x v="2"/>
    <x v="1"/>
  </r>
  <r>
    <s v="Minerva"/>
    <s v="Croplands"/>
    <s v="Russian Federation"/>
    <n v="4157"/>
    <x v="0"/>
    <x v="2"/>
    <x v="1"/>
  </r>
  <r>
    <s v="Minerva"/>
    <s v="Croplands"/>
    <s v="South Asia"/>
    <n v="4132"/>
    <x v="0"/>
    <x v="2"/>
    <x v="1"/>
  </r>
  <r>
    <s v="Minerva"/>
    <s v="Croplands"/>
    <s v="Sub-Saharan Africa"/>
    <n v="11848"/>
    <x v="0"/>
    <x v="2"/>
    <x v="1"/>
  </r>
  <r>
    <s v="Minerva"/>
    <s v="Croplands"/>
    <s v="Western Europe"/>
    <n v="1842"/>
    <x v="0"/>
    <x v="2"/>
    <x v="1"/>
  </r>
  <r>
    <s v="NH Foods"/>
    <s v="Grazing"/>
    <s v="East Asia and Southeast Asia"/>
    <n v="8"/>
    <x v="0"/>
    <x v="2"/>
    <x v="1"/>
  </r>
  <r>
    <s v="NH Foods"/>
    <s v="Grazing"/>
    <s v="Eastern Europe"/>
    <n v="1"/>
    <x v="0"/>
    <x v="2"/>
    <x v="1"/>
  </r>
  <r>
    <s v="NH Foods"/>
    <s v="Grazing"/>
    <s v="Latin America and the Caribbean"/>
    <n v="7"/>
    <x v="0"/>
    <x v="2"/>
    <x v="1"/>
  </r>
  <r>
    <s v="NH Foods"/>
    <s v="Grazing"/>
    <s v="Near East and North Africa"/>
    <n v="2"/>
    <x v="0"/>
    <x v="2"/>
    <x v="1"/>
  </r>
  <r>
    <s v="NH Foods"/>
    <s v="Grazing"/>
    <s v="North America"/>
    <n v="10"/>
    <x v="0"/>
    <x v="2"/>
    <x v="1"/>
  </r>
  <r>
    <s v="NH Foods"/>
    <s v="Grazing"/>
    <s v="Oceania"/>
    <n v="1284468"/>
    <x v="0"/>
    <x v="2"/>
    <x v="1"/>
  </r>
  <r>
    <s v="NH Foods"/>
    <s v="Grazing"/>
    <s v="RoW"/>
    <n v="0"/>
    <x v="0"/>
    <x v="2"/>
    <x v="1"/>
  </r>
  <r>
    <s v="NH Foods"/>
    <s v="Grazing"/>
    <s v="Russian Federation"/>
    <n v="0"/>
    <x v="0"/>
    <x v="2"/>
    <x v="1"/>
  </r>
  <r>
    <s v="NH Foods"/>
    <s v="Grazing"/>
    <s v="South Asia"/>
    <n v="16"/>
    <x v="0"/>
    <x v="2"/>
    <x v="1"/>
  </r>
  <r>
    <s v="NH Foods"/>
    <s v="Grazing"/>
    <s v="Sub-Saharan Africa"/>
    <n v="0"/>
    <x v="0"/>
    <x v="2"/>
    <x v="1"/>
  </r>
  <r>
    <s v="NH Foods"/>
    <s v="Grazing"/>
    <s v="Western Europe"/>
    <n v="27"/>
    <x v="0"/>
    <x v="2"/>
    <x v="1"/>
  </r>
  <r>
    <s v="NH Foods"/>
    <s v="Croplands"/>
    <s v="East Asia and Southeast Asia"/>
    <n v="20066"/>
    <x v="0"/>
    <x v="2"/>
    <x v="1"/>
  </r>
  <r>
    <s v="NH Foods"/>
    <s v="Croplands"/>
    <s v="Eastern Europe"/>
    <n v="507"/>
    <x v="0"/>
    <x v="2"/>
    <x v="1"/>
  </r>
  <r>
    <s v="NH Foods"/>
    <s v="Croplands"/>
    <s v="Latin America and the Caribbean"/>
    <n v="22325"/>
    <x v="0"/>
    <x v="2"/>
    <x v="1"/>
  </r>
  <r>
    <s v="NH Foods"/>
    <s v="Croplands"/>
    <s v="Near East and North Africa"/>
    <n v="77"/>
    <x v="0"/>
    <x v="2"/>
    <x v="1"/>
  </r>
  <r>
    <s v="NH Foods"/>
    <s v="Croplands"/>
    <s v="North America"/>
    <n v="2365"/>
    <x v="0"/>
    <x v="2"/>
    <x v="1"/>
  </r>
  <r>
    <s v="NH Foods"/>
    <s v="Croplands"/>
    <s v="Oceania"/>
    <n v="163230"/>
    <x v="0"/>
    <x v="2"/>
    <x v="1"/>
  </r>
  <r>
    <s v="NH Foods"/>
    <s v="Croplands"/>
    <s v="RoW"/>
    <n v="0"/>
    <x v="0"/>
    <x v="2"/>
    <x v="1"/>
  </r>
  <r>
    <s v="NH Foods"/>
    <s v="Croplands"/>
    <s v="Russian Federation"/>
    <n v="113"/>
    <x v="0"/>
    <x v="2"/>
    <x v="1"/>
  </r>
  <r>
    <s v="NH Foods"/>
    <s v="Croplands"/>
    <s v="South Asia"/>
    <n v="820"/>
    <x v="0"/>
    <x v="2"/>
    <x v="1"/>
  </r>
  <r>
    <s v="NH Foods"/>
    <s v="Croplands"/>
    <s v="Sub-Saharan Africa"/>
    <n v="106"/>
    <x v="0"/>
    <x v="2"/>
    <x v="1"/>
  </r>
  <r>
    <s v="NH Foods"/>
    <s v="Croplands"/>
    <s v="Western Europe"/>
    <n v="368"/>
    <x v="0"/>
    <x v="2"/>
    <x v="1"/>
  </r>
  <r>
    <s v="Teys "/>
    <s v="Grazing"/>
    <s v="East Asia and Southeast Asia"/>
    <n v="17"/>
    <x v="0"/>
    <x v="2"/>
    <x v="1"/>
  </r>
  <r>
    <s v="Teys "/>
    <s v="Grazing"/>
    <s v="Eastern Europe"/>
    <n v="3"/>
    <x v="0"/>
    <x v="2"/>
    <x v="1"/>
  </r>
  <r>
    <s v="Teys "/>
    <s v="Grazing"/>
    <s v="Latin America and the Caribbean"/>
    <n v="16"/>
    <x v="0"/>
    <x v="2"/>
    <x v="1"/>
  </r>
  <r>
    <s v="Teys "/>
    <s v="Grazing"/>
    <s v="Near East and North Africa"/>
    <n v="5"/>
    <x v="0"/>
    <x v="2"/>
    <x v="1"/>
  </r>
  <r>
    <s v="Teys "/>
    <s v="Grazing"/>
    <s v="North America"/>
    <n v="22"/>
    <x v="0"/>
    <x v="2"/>
    <x v="1"/>
  </r>
  <r>
    <s v="Teys "/>
    <s v="Grazing"/>
    <s v="Oceania"/>
    <n v="2859805"/>
    <x v="0"/>
    <x v="2"/>
    <x v="1"/>
  </r>
  <r>
    <s v="Teys "/>
    <s v="Grazing"/>
    <s v="RoW"/>
    <n v="0"/>
    <x v="0"/>
    <x v="2"/>
    <x v="1"/>
  </r>
  <r>
    <s v="Teys "/>
    <s v="Grazing"/>
    <s v="Russian Federation"/>
    <n v="0"/>
    <x v="0"/>
    <x v="2"/>
    <x v="1"/>
  </r>
  <r>
    <s v="Teys "/>
    <s v="Grazing"/>
    <s v="South Asia"/>
    <n v="36"/>
    <x v="0"/>
    <x v="2"/>
    <x v="1"/>
  </r>
  <r>
    <s v="Teys "/>
    <s v="Grazing"/>
    <s v="Sub-Saharan Africa"/>
    <n v="0"/>
    <x v="0"/>
    <x v="2"/>
    <x v="1"/>
  </r>
  <r>
    <s v="Teys "/>
    <s v="Grazing"/>
    <s v="Western Europe"/>
    <n v="61"/>
    <x v="0"/>
    <x v="2"/>
    <x v="1"/>
  </r>
  <r>
    <s v="Teys "/>
    <s v="Croplands"/>
    <s v="East Asia and Southeast Asia"/>
    <n v="44675"/>
    <x v="0"/>
    <x v="2"/>
    <x v="1"/>
  </r>
  <r>
    <s v="Teys "/>
    <s v="Croplands"/>
    <s v="Eastern Europe"/>
    <n v="1129"/>
    <x v="0"/>
    <x v="2"/>
    <x v="1"/>
  </r>
  <r>
    <s v="Teys "/>
    <s v="Croplands"/>
    <s v="Latin America and the Caribbean"/>
    <n v="49706"/>
    <x v="0"/>
    <x v="2"/>
    <x v="1"/>
  </r>
  <r>
    <s v="Teys "/>
    <s v="Croplands"/>
    <s v="Near East and North Africa"/>
    <n v="171"/>
    <x v="0"/>
    <x v="2"/>
    <x v="1"/>
  </r>
  <r>
    <s v="Teys "/>
    <s v="Croplands"/>
    <s v="North America"/>
    <n v="5265"/>
    <x v="0"/>
    <x v="2"/>
    <x v="1"/>
  </r>
  <r>
    <s v="Teys "/>
    <s v="Croplands"/>
    <s v="Oceania"/>
    <n v="363424"/>
    <x v="0"/>
    <x v="2"/>
    <x v="1"/>
  </r>
  <r>
    <s v="Teys "/>
    <s v="Croplands"/>
    <s v="RoW"/>
    <n v="0"/>
    <x v="0"/>
    <x v="2"/>
    <x v="1"/>
  </r>
  <r>
    <s v="Teys "/>
    <s v="Croplands"/>
    <s v="Russian Federation"/>
    <n v="251"/>
    <x v="0"/>
    <x v="2"/>
    <x v="1"/>
  </r>
  <r>
    <s v="Teys "/>
    <s v="Croplands"/>
    <s v="South Asia"/>
    <n v="1827"/>
    <x v="0"/>
    <x v="2"/>
    <x v="1"/>
  </r>
  <r>
    <s v="Teys "/>
    <s v="Croplands"/>
    <s v="Sub-Saharan Africa"/>
    <n v="236"/>
    <x v="0"/>
    <x v="2"/>
    <x v="1"/>
  </r>
  <r>
    <s v="Teys "/>
    <s v="Croplands"/>
    <s v="Western Europe"/>
    <n v="818"/>
    <x v="0"/>
    <x v="2"/>
    <x v="1"/>
  </r>
  <r>
    <s v="Tönnies Group"/>
    <s v="Grazing"/>
    <s v="East Asia and Southeast Asia"/>
    <n v="19"/>
    <x v="0"/>
    <x v="2"/>
    <x v="1"/>
  </r>
  <r>
    <s v="Tönnies Group"/>
    <s v="Grazing"/>
    <s v="Eastern Europe"/>
    <n v="2736"/>
    <x v="0"/>
    <x v="2"/>
    <x v="1"/>
  </r>
  <r>
    <s v="Tönnies Group"/>
    <s v="Grazing"/>
    <s v="Latin America and the Caribbean"/>
    <n v="116"/>
    <x v="0"/>
    <x v="2"/>
    <x v="1"/>
  </r>
  <r>
    <s v="Tönnies Group"/>
    <s v="Grazing"/>
    <s v="Near East and North Africa"/>
    <n v="6"/>
    <x v="0"/>
    <x v="2"/>
    <x v="1"/>
  </r>
  <r>
    <s v="Tönnies Group"/>
    <s v="Grazing"/>
    <s v="North America"/>
    <n v="58"/>
    <x v="0"/>
    <x v="2"/>
    <x v="1"/>
  </r>
  <r>
    <s v="Tönnies Group"/>
    <s v="Grazing"/>
    <s v="Oceania"/>
    <n v="22"/>
    <x v="0"/>
    <x v="2"/>
    <x v="1"/>
  </r>
  <r>
    <s v="Tönnies Group"/>
    <s v="Grazing"/>
    <s v="RoW"/>
    <n v="0"/>
    <x v="0"/>
    <x v="2"/>
    <x v="1"/>
  </r>
  <r>
    <s v="Tönnies Group"/>
    <s v="Grazing"/>
    <s v="Russian Federation"/>
    <n v="0"/>
    <x v="0"/>
    <x v="2"/>
    <x v="1"/>
  </r>
  <r>
    <s v="Tönnies Group"/>
    <s v="Grazing"/>
    <s v="South Asia"/>
    <n v="21"/>
    <x v="0"/>
    <x v="2"/>
    <x v="1"/>
  </r>
  <r>
    <s v="Tönnies Group"/>
    <s v="Grazing"/>
    <s v="Sub-Saharan Africa"/>
    <n v="47"/>
    <x v="0"/>
    <x v="2"/>
    <x v="1"/>
  </r>
  <r>
    <s v="Tönnies Group"/>
    <s v="Grazing"/>
    <s v="Western Europe"/>
    <n v="288541"/>
    <x v="0"/>
    <x v="2"/>
    <x v="1"/>
  </r>
  <r>
    <s v="Tönnies Group"/>
    <s v="Croplands"/>
    <s v="East Asia and Southeast Asia"/>
    <n v="7182"/>
    <x v="0"/>
    <x v="2"/>
    <x v="1"/>
  </r>
  <r>
    <s v="Tönnies Group"/>
    <s v="Croplands"/>
    <s v="Eastern Europe"/>
    <n v="51621"/>
    <x v="0"/>
    <x v="2"/>
    <x v="1"/>
  </r>
  <r>
    <s v="Tönnies Group"/>
    <s v="Croplands"/>
    <s v="Latin America and the Caribbean"/>
    <n v="49903"/>
    <x v="0"/>
    <x v="2"/>
    <x v="1"/>
  </r>
  <r>
    <s v="Tönnies Group"/>
    <s v="Croplands"/>
    <s v="Near East and North Africa"/>
    <n v="1854"/>
    <x v="0"/>
    <x v="2"/>
    <x v="1"/>
  </r>
  <r>
    <s v="Tönnies Group"/>
    <s v="Croplands"/>
    <s v="North America"/>
    <n v="18079"/>
    <x v="0"/>
    <x v="2"/>
    <x v="1"/>
  </r>
  <r>
    <s v="Tönnies Group"/>
    <s v="Croplands"/>
    <s v="Oceania"/>
    <n v="1415"/>
    <x v="0"/>
    <x v="2"/>
    <x v="1"/>
  </r>
  <r>
    <s v="Tönnies Group"/>
    <s v="Croplands"/>
    <s v="RoW"/>
    <n v="0"/>
    <x v="0"/>
    <x v="2"/>
    <x v="1"/>
  </r>
  <r>
    <s v="Tönnies Group"/>
    <s v="Croplands"/>
    <s v="Russian Federation"/>
    <n v="7545"/>
    <x v="0"/>
    <x v="2"/>
    <x v="1"/>
  </r>
  <r>
    <s v="Tönnies Group"/>
    <s v="Croplands"/>
    <s v="South Asia"/>
    <n v="2723"/>
    <x v="0"/>
    <x v="2"/>
    <x v="1"/>
  </r>
  <r>
    <s v="Tönnies Group"/>
    <s v="Croplands"/>
    <s v="Sub-Saharan Africa"/>
    <n v="1508"/>
    <x v="0"/>
    <x v="2"/>
    <x v="1"/>
  </r>
  <r>
    <s v="Tönnies Group"/>
    <s v="Croplands"/>
    <s v="Western Europe"/>
    <n v="415054"/>
    <x v="0"/>
    <x v="2"/>
    <x v="1"/>
  </r>
  <r>
    <s v="Tyson"/>
    <s v="Grazing"/>
    <s v="East Asia and Southeast Asia"/>
    <n v="2585"/>
    <x v="0"/>
    <x v="2"/>
    <x v="1"/>
  </r>
  <r>
    <s v="Tyson"/>
    <s v="Grazing"/>
    <s v="Eastern Europe"/>
    <n v="57"/>
    <x v="0"/>
    <x v="2"/>
    <x v="1"/>
  </r>
  <r>
    <s v="Tyson"/>
    <s v="Grazing"/>
    <s v="Latin America and the Caribbean"/>
    <n v="538076"/>
    <x v="0"/>
    <x v="2"/>
    <x v="1"/>
  </r>
  <r>
    <s v="Tyson"/>
    <s v="Grazing"/>
    <s v="Near East and North Africa"/>
    <n v="59"/>
    <x v="0"/>
    <x v="2"/>
    <x v="1"/>
  </r>
  <r>
    <s v="Tyson"/>
    <s v="Grazing"/>
    <s v="North America"/>
    <n v="19805456"/>
    <x v="0"/>
    <x v="2"/>
    <x v="1"/>
  </r>
  <r>
    <s v="Tyson"/>
    <s v="Grazing"/>
    <s v="Oceania"/>
    <n v="1738767"/>
    <x v="0"/>
    <x v="2"/>
    <x v="1"/>
  </r>
  <r>
    <s v="Tyson"/>
    <s v="Grazing"/>
    <s v="RoW"/>
    <n v="0"/>
    <x v="0"/>
    <x v="2"/>
    <x v="1"/>
  </r>
  <r>
    <s v="Tyson"/>
    <s v="Grazing"/>
    <s v="Russian Federation"/>
    <n v="10"/>
    <x v="0"/>
    <x v="2"/>
    <x v="1"/>
  </r>
  <r>
    <s v="Tyson"/>
    <s v="Grazing"/>
    <s v="South Asia"/>
    <n v="361"/>
    <x v="0"/>
    <x v="2"/>
    <x v="1"/>
  </r>
  <r>
    <s v="Tyson"/>
    <s v="Grazing"/>
    <s v="Sub-Saharan Africa"/>
    <n v="667"/>
    <x v="0"/>
    <x v="2"/>
    <x v="1"/>
  </r>
  <r>
    <s v="Tyson"/>
    <s v="Grazing"/>
    <s v="Western Europe"/>
    <n v="739"/>
    <x v="0"/>
    <x v="2"/>
    <x v="1"/>
  </r>
  <r>
    <s v="Tyson"/>
    <s v="Croplands"/>
    <s v="East Asia and Southeast Asia"/>
    <n v="35199"/>
    <x v="0"/>
    <x v="2"/>
    <x v="1"/>
  </r>
  <r>
    <s v="Tyson"/>
    <s v="Croplands"/>
    <s v="Eastern Europe"/>
    <n v="9496"/>
    <x v="0"/>
    <x v="2"/>
    <x v="1"/>
  </r>
  <r>
    <s v="Tyson"/>
    <s v="Croplands"/>
    <s v="Latin America and the Caribbean"/>
    <n v="176598"/>
    <x v="0"/>
    <x v="2"/>
    <x v="1"/>
  </r>
  <r>
    <s v="Tyson"/>
    <s v="Croplands"/>
    <s v="Near East and North Africa"/>
    <n v="1654"/>
    <x v="0"/>
    <x v="2"/>
    <x v="1"/>
  </r>
  <r>
    <s v="Tyson"/>
    <s v="Croplands"/>
    <s v="North America"/>
    <n v="13140899"/>
    <x v="0"/>
    <x v="2"/>
    <x v="1"/>
  </r>
  <r>
    <s v="Tyson"/>
    <s v="Croplands"/>
    <s v="Oceania"/>
    <n v="222234"/>
    <x v="0"/>
    <x v="2"/>
    <x v="1"/>
  </r>
  <r>
    <s v="Tyson"/>
    <s v="Croplands"/>
    <s v="RoW"/>
    <n v="97"/>
    <x v="0"/>
    <x v="2"/>
    <x v="1"/>
  </r>
  <r>
    <s v="Tyson"/>
    <s v="Croplands"/>
    <s v="Russian Federation"/>
    <n v="2279"/>
    <x v="0"/>
    <x v="2"/>
    <x v="1"/>
  </r>
  <r>
    <s v="Tyson"/>
    <s v="Croplands"/>
    <s v="South Asia"/>
    <n v="25900"/>
    <x v="0"/>
    <x v="2"/>
    <x v="1"/>
  </r>
  <r>
    <s v="Tyson"/>
    <s v="Croplands"/>
    <s v="Sub-Saharan Africa"/>
    <n v="3635"/>
    <x v="0"/>
    <x v="2"/>
    <x v="1"/>
  </r>
  <r>
    <s v="Tyson"/>
    <s v="Croplands"/>
    <s v="Western Europe"/>
    <n v="8361"/>
    <x v="0"/>
    <x v="2"/>
    <x v="1"/>
  </r>
  <r>
    <s v="Vion Food Group"/>
    <s v="Grazing"/>
    <s v="East Asia and Southeast Asia"/>
    <n v="48"/>
    <x v="0"/>
    <x v="2"/>
    <x v="1"/>
  </r>
  <r>
    <s v="Vion Food Group"/>
    <s v="Grazing"/>
    <s v="Eastern Europe"/>
    <n v="6839"/>
    <x v="0"/>
    <x v="2"/>
    <x v="1"/>
  </r>
  <r>
    <s v="Vion Food Group"/>
    <s v="Grazing"/>
    <s v="Latin America and the Caribbean"/>
    <n v="290"/>
    <x v="0"/>
    <x v="2"/>
    <x v="1"/>
  </r>
  <r>
    <s v="Vion Food Group"/>
    <s v="Grazing"/>
    <s v="Near East and North Africa"/>
    <n v="14"/>
    <x v="0"/>
    <x v="2"/>
    <x v="1"/>
  </r>
  <r>
    <s v="Vion Food Group"/>
    <s v="Grazing"/>
    <s v="North America"/>
    <n v="145"/>
    <x v="0"/>
    <x v="2"/>
    <x v="1"/>
  </r>
  <r>
    <s v="Vion Food Group"/>
    <s v="Grazing"/>
    <s v="Oceania"/>
    <n v="55"/>
    <x v="0"/>
    <x v="2"/>
    <x v="1"/>
  </r>
  <r>
    <s v="Vion Food Group"/>
    <s v="Grazing"/>
    <s v="RoW"/>
    <n v="0"/>
    <x v="0"/>
    <x v="2"/>
    <x v="1"/>
  </r>
  <r>
    <s v="Vion Food Group"/>
    <s v="Grazing"/>
    <s v="Russian Federation"/>
    <n v="2"/>
    <x v="0"/>
    <x v="2"/>
    <x v="1"/>
  </r>
  <r>
    <s v="Vion Food Group"/>
    <s v="Grazing"/>
    <s v="South Asia"/>
    <n v="54"/>
    <x v="0"/>
    <x v="2"/>
    <x v="1"/>
  </r>
  <r>
    <s v="Vion Food Group"/>
    <s v="Grazing"/>
    <s v="Sub-Saharan Africa"/>
    <n v="117"/>
    <x v="0"/>
    <x v="2"/>
    <x v="1"/>
  </r>
  <r>
    <s v="Vion Food Group"/>
    <s v="Grazing"/>
    <s v="Western Europe"/>
    <n v="721354"/>
    <x v="0"/>
    <x v="2"/>
    <x v="1"/>
  </r>
  <r>
    <s v="Vion Food Group"/>
    <s v="Croplands"/>
    <s v="East Asia and Southeast Asia"/>
    <n v="17954"/>
    <x v="0"/>
    <x v="2"/>
    <x v="1"/>
  </r>
  <r>
    <s v="Vion Food Group"/>
    <s v="Croplands"/>
    <s v="Eastern Europe"/>
    <n v="129052"/>
    <x v="0"/>
    <x v="2"/>
    <x v="1"/>
  </r>
  <r>
    <s v="Vion Food Group"/>
    <s v="Croplands"/>
    <s v="Latin America and the Caribbean"/>
    <n v="124757"/>
    <x v="0"/>
    <x v="2"/>
    <x v="1"/>
  </r>
  <r>
    <s v="Vion Food Group"/>
    <s v="Croplands"/>
    <s v="Near East and North Africa"/>
    <n v="4634"/>
    <x v="0"/>
    <x v="2"/>
    <x v="1"/>
  </r>
  <r>
    <s v="Vion Food Group"/>
    <s v="Croplands"/>
    <s v="North America"/>
    <n v="45199"/>
    <x v="0"/>
    <x v="2"/>
    <x v="1"/>
  </r>
  <r>
    <s v="Vion Food Group"/>
    <s v="Croplands"/>
    <s v="Oceania"/>
    <n v="3538"/>
    <x v="0"/>
    <x v="2"/>
    <x v="1"/>
  </r>
  <r>
    <s v="Vion Food Group"/>
    <s v="Croplands"/>
    <s v="RoW"/>
    <n v="0"/>
    <x v="0"/>
    <x v="2"/>
    <x v="1"/>
  </r>
  <r>
    <s v="Vion Food Group"/>
    <s v="Croplands"/>
    <s v="Russian Federation"/>
    <n v="18863"/>
    <x v="0"/>
    <x v="2"/>
    <x v="1"/>
  </r>
  <r>
    <s v="Vion Food Group"/>
    <s v="Croplands"/>
    <s v="South Asia"/>
    <n v="6807"/>
    <x v="0"/>
    <x v="2"/>
    <x v="1"/>
  </r>
  <r>
    <s v="Vion Food Group"/>
    <s v="Croplands"/>
    <s v="Sub-Saharan Africa"/>
    <n v="3770"/>
    <x v="0"/>
    <x v="2"/>
    <x v="1"/>
  </r>
  <r>
    <s v="Vion Food Group"/>
    <s v="Croplands"/>
    <s v="Western Europe"/>
    <n v="1037636"/>
    <x v="0"/>
    <x v="2"/>
    <x v="1"/>
  </r>
  <r>
    <s v="Westfleisch"/>
    <s v="Grazing"/>
    <s v="East Asia and Southeast Asia"/>
    <n v="20"/>
    <x v="0"/>
    <x v="2"/>
    <x v="1"/>
  </r>
  <r>
    <s v="Westfleisch"/>
    <s v="Grazing"/>
    <s v="Eastern Europe"/>
    <n v="2862"/>
    <x v="0"/>
    <x v="2"/>
    <x v="1"/>
  </r>
  <r>
    <s v="Westfleisch"/>
    <s v="Grazing"/>
    <s v="Latin America and the Caribbean"/>
    <n v="121"/>
    <x v="0"/>
    <x v="2"/>
    <x v="1"/>
  </r>
  <r>
    <s v="Westfleisch"/>
    <s v="Grazing"/>
    <s v="Near East and North Africa"/>
    <n v="6"/>
    <x v="0"/>
    <x v="2"/>
    <x v="1"/>
  </r>
  <r>
    <s v="Westfleisch"/>
    <s v="Grazing"/>
    <s v="North America"/>
    <n v="61"/>
    <x v="0"/>
    <x v="2"/>
    <x v="1"/>
  </r>
  <r>
    <s v="Westfleisch"/>
    <s v="Grazing"/>
    <s v="Oceania"/>
    <n v="23"/>
    <x v="0"/>
    <x v="2"/>
    <x v="1"/>
  </r>
  <r>
    <s v="Westfleisch"/>
    <s v="Grazing"/>
    <s v="RoW"/>
    <n v="0"/>
    <x v="0"/>
    <x v="2"/>
    <x v="1"/>
  </r>
  <r>
    <s v="Westfleisch"/>
    <s v="Grazing"/>
    <s v="Russian Federation"/>
    <n v="0"/>
    <x v="0"/>
    <x v="2"/>
    <x v="1"/>
  </r>
  <r>
    <s v="Westfleisch"/>
    <s v="Grazing"/>
    <s v="South Asia"/>
    <n v="22"/>
    <x v="0"/>
    <x v="2"/>
    <x v="1"/>
  </r>
  <r>
    <s v="Westfleisch"/>
    <s v="Grazing"/>
    <s v="Sub-Saharan Africa"/>
    <n v="49"/>
    <x v="0"/>
    <x v="2"/>
    <x v="1"/>
  </r>
  <r>
    <s v="Westfleisch"/>
    <s v="Grazing"/>
    <s v="Western Europe"/>
    <n v="301859"/>
    <x v="0"/>
    <x v="2"/>
    <x v="1"/>
  </r>
  <r>
    <s v="Westfleisch"/>
    <s v="Croplands"/>
    <s v="East Asia and Southeast Asia"/>
    <n v="7513"/>
    <x v="0"/>
    <x v="2"/>
    <x v="1"/>
  </r>
  <r>
    <s v="Westfleisch"/>
    <s v="Croplands"/>
    <s v="Eastern Europe"/>
    <n v="54003"/>
    <x v="0"/>
    <x v="2"/>
    <x v="1"/>
  </r>
  <r>
    <s v="Westfleisch"/>
    <s v="Croplands"/>
    <s v="Latin America and the Caribbean"/>
    <n v="52206"/>
    <x v="0"/>
    <x v="2"/>
    <x v="1"/>
  </r>
  <r>
    <s v="Westfleisch"/>
    <s v="Croplands"/>
    <s v="Near East and North Africa"/>
    <n v="1939"/>
    <x v="0"/>
    <x v="2"/>
    <x v="1"/>
  </r>
  <r>
    <s v="Westfleisch"/>
    <s v="Croplands"/>
    <s v="North America"/>
    <n v="18914"/>
    <x v="0"/>
    <x v="2"/>
    <x v="1"/>
  </r>
  <r>
    <s v="Westfleisch"/>
    <s v="Croplands"/>
    <s v="Oceania"/>
    <n v="1481"/>
    <x v="0"/>
    <x v="2"/>
    <x v="1"/>
  </r>
  <r>
    <s v="Westfleisch"/>
    <s v="Croplands"/>
    <s v="RoW"/>
    <n v="0"/>
    <x v="0"/>
    <x v="2"/>
    <x v="1"/>
  </r>
  <r>
    <s v="Westfleisch"/>
    <s v="Croplands"/>
    <s v="Russian Federation"/>
    <n v="7893"/>
    <x v="0"/>
    <x v="2"/>
    <x v="1"/>
  </r>
  <r>
    <s v="Westfleisch"/>
    <s v="Croplands"/>
    <s v="South Asia"/>
    <n v="2848"/>
    <x v="0"/>
    <x v="2"/>
    <x v="1"/>
  </r>
  <r>
    <s v="Westfleisch"/>
    <s v="Croplands"/>
    <s v="Sub-Saharan Africa"/>
    <n v="1578"/>
    <x v="0"/>
    <x v="2"/>
    <x v="1"/>
  </r>
  <r>
    <s v="Westfleisch"/>
    <s v="Croplands"/>
    <s v="Western Europe"/>
    <n v="434211"/>
    <x v="0"/>
    <x v="2"/>
    <x v="1"/>
  </r>
  <r>
    <s v="Bigard"/>
    <s v="Grazing"/>
    <s v="East Asia and Southeast Asia"/>
    <n v="0"/>
    <x v="0"/>
    <x v="3"/>
    <x v="2"/>
  </r>
  <r>
    <s v="Bigard"/>
    <s v="Grazing"/>
    <s v="Eastern Europe"/>
    <n v="47"/>
    <x v="0"/>
    <x v="3"/>
    <x v="2"/>
  </r>
  <r>
    <s v="Bigard"/>
    <s v="Grazing"/>
    <s v="Latin America and the Caribbean"/>
    <n v="0"/>
    <x v="0"/>
    <x v="3"/>
    <x v="2"/>
  </r>
  <r>
    <s v="Bigard"/>
    <s v="Grazing"/>
    <s v="Near East and North Africa"/>
    <n v="0"/>
    <x v="0"/>
    <x v="3"/>
    <x v="2"/>
  </r>
  <r>
    <s v="Bigard"/>
    <s v="Grazing"/>
    <s v="North America"/>
    <n v="1"/>
    <x v="0"/>
    <x v="3"/>
    <x v="2"/>
  </r>
  <r>
    <s v="Bigard"/>
    <s v="Grazing"/>
    <s v="Oceania"/>
    <n v="0"/>
    <x v="0"/>
    <x v="3"/>
    <x v="2"/>
  </r>
  <r>
    <s v="Bigard"/>
    <s v="Grazing"/>
    <s v="RoW"/>
    <n v="0"/>
    <x v="0"/>
    <x v="3"/>
    <x v="2"/>
  </r>
  <r>
    <s v="Bigard"/>
    <s v="Grazing"/>
    <s v="Russian Federation"/>
    <n v="0"/>
    <x v="0"/>
    <x v="3"/>
    <x v="2"/>
  </r>
  <r>
    <s v="Bigard"/>
    <s v="Grazing"/>
    <s v="South Asia"/>
    <n v="0"/>
    <x v="0"/>
    <x v="3"/>
    <x v="2"/>
  </r>
  <r>
    <s v="Bigard"/>
    <s v="Grazing"/>
    <s v="Sub-Saharan Africa"/>
    <n v="0"/>
    <x v="0"/>
    <x v="3"/>
    <x v="2"/>
  </r>
  <r>
    <s v="Bigard"/>
    <s v="Grazing"/>
    <s v="Western Europe"/>
    <n v="62605"/>
    <x v="0"/>
    <x v="3"/>
    <x v="2"/>
  </r>
  <r>
    <s v="Bigard"/>
    <s v="Croplands"/>
    <s v="East Asia and Southeast Asia"/>
    <n v="217"/>
    <x v="0"/>
    <x v="3"/>
    <x v="2"/>
  </r>
  <r>
    <s v="Bigard"/>
    <s v="Croplands"/>
    <s v="Eastern Europe"/>
    <n v="2559"/>
    <x v="0"/>
    <x v="3"/>
    <x v="2"/>
  </r>
  <r>
    <s v="Bigard"/>
    <s v="Croplands"/>
    <s v="Latin America and the Caribbean"/>
    <n v="470"/>
    <x v="0"/>
    <x v="3"/>
    <x v="2"/>
  </r>
  <r>
    <s v="Bigard"/>
    <s v="Croplands"/>
    <s v="Near East and North Africa"/>
    <n v="47"/>
    <x v="0"/>
    <x v="3"/>
    <x v="2"/>
  </r>
  <r>
    <s v="Bigard"/>
    <s v="Croplands"/>
    <s v="North America"/>
    <n v="922"/>
    <x v="0"/>
    <x v="3"/>
    <x v="2"/>
  </r>
  <r>
    <s v="Bigard"/>
    <s v="Croplands"/>
    <s v="Oceania"/>
    <n v="43"/>
    <x v="0"/>
    <x v="3"/>
    <x v="2"/>
  </r>
  <r>
    <s v="Bigard"/>
    <s v="Croplands"/>
    <s v="RoW"/>
    <n v="0"/>
    <x v="0"/>
    <x v="3"/>
    <x v="2"/>
  </r>
  <r>
    <s v="Bigard"/>
    <s v="Croplands"/>
    <s v="Russian Federation"/>
    <n v="52"/>
    <x v="0"/>
    <x v="3"/>
    <x v="2"/>
  </r>
  <r>
    <s v="Bigard"/>
    <s v="Croplands"/>
    <s v="South Asia"/>
    <n v="149"/>
    <x v="0"/>
    <x v="3"/>
    <x v="2"/>
  </r>
  <r>
    <s v="Bigard"/>
    <s v="Croplands"/>
    <s v="Sub-Saharan Africa"/>
    <n v="16"/>
    <x v="0"/>
    <x v="3"/>
    <x v="2"/>
  </r>
  <r>
    <s v="Bigard"/>
    <s v="Croplands"/>
    <s v="Western Europe"/>
    <n v="29455"/>
    <x v="0"/>
    <x v="3"/>
    <x v="2"/>
  </r>
  <r>
    <s v="Cargill"/>
    <s v="Grazing"/>
    <s v="East Asia and Southeast Asia"/>
    <n v="2"/>
    <x v="0"/>
    <x v="3"/>
    <x v="2"/>
  </r>
  <r>
    <s v="Cargill"/>
    <s v="Grazing"/>
    <s v="Eastern Europe"/>
    <n v="0"/>
    <x v="0"/>
    <x v="3"/>
    <x v="2"/>
  </r>
  <r>
    <s v="Cargill"/>
    <s v="Grazing"/>
    <s v="Latin America and the Caribbean"/>
    <n v="17"/>
    <x v="0"/>
    <x v="3"/>
    <x v="2"/>
  </r>
  <r>
    <s v="Cargill"/>
    <s v="Grazing"/>
    <s v="Near East and North Africa"/>
    <n v="1"/>
    <x v="0"/>
    <x v="3"/>
    <x v="2"/>
  </r>
  <r>
    <s v="Cargill"/>
    <s v="Grazing"/>
    <s v="North America"/>
    <n v="94529"/>
    <x v="0"/>
    <x v="3"/>
    <x v="2"/>
  </r>
  <r>
    <s v="Cargill"/>
    <s v="Grazing"/>
    <s v="Oceania"/>
    <n v="2637"/>
    <x v="0"/>
    <x v="3"/>
    <x v="2"/>
  </r>
  <r>
    <s v="Cargill"/>
    <s v="Grazing"/>
    <s v="RoW"/>
    <n v="0"/>
    <x v="0"/>
    <x v="3"/>
    <x v="2"/>
  </r>
  <r>
    <s v="Cargill"/>
    <s v="Grazing"/>
    <s v="Russian Federation"/>
    <n v="0"/>
    <x v="0"/>
    <x v="3"/>
    <x v="2"/>
  </r>
  <r>
    <s v="Cargill"/>
    <s v="Grazing"/>
    <s v="South Asia"/>
    <n v="0"/>
    <x v="0"/>
    <x v="3"/>
    <x v="2"/>
  </r>
  <r>
    <s v="Cargill"/>
    <s v="Grazing"/>
    <s v="Sub-Saharan Africa"/>
    <n v="0"/>
    <x v="0"/>
    <x v="3"/>
    <x v="2"/>
  </r>
  <r>
    <s v="Cargill"/>
    <s v="Grazing"/>
    <s v="Western Europe"/>
    <n v="36"/>
    <x v="0"/>
    <x v="3"/>
    <x v="2"/>
  </r>
  <r>
    <s v="Cargill"/>
    <s v="Croplands"/>
    <s v="East Asia and Southeast Asia"/>
    <n v="318"/>
    <x v="0"/>
    <x v="3"/>
    <x v="2"/>
  </r>
  <r>
    <s v="Cargill"/>
    <s v="Croplands"/>
    <s v="Eastern Europe"/>
    <n v="108"/>
    <x v="0"/>
    <x v="3"/>
    <x v="2"/>
  </r>
  <r>
    <s v="Cargill"/>
    <s v="Croplands"/>
    <s v="Latin America and the Caribbean"/>
    <n v="1593"/>
    <x v="0"/>
    <x v="3"/>
    <x v="2"/>
  </r>
  <r>
    <s v="Cargill"/>
    <s v="Croplands"/>
    <s v="Near East and North Africa"/>
    <n v="27"/>
    <x v="0"/>
    <x v="3"/>
    <x v="2"/>
  </r>
  <r>
    <s v="Cargill"/>
    <s v="Croplands"/>
    <s v="North America"/>
    <n v="244619"/>
    <x v="0"/>
    <x v="3"/>
    <x v="2"/>
  </r>
  <r>
    <s v="Cargill"/>
    <s v="Croplands"/>
    <s v="Oceania"/>
    <n v="5825"/>
    <x v="0"/>
    <x v="3"/>
    <x v="2"/>
  </r>
  <r>
    <s v="Cargill"/>
    <s v="Croplands"/>
    <s v="RoW"/>
    <n v="0"/>
    <x v="0"/>
    <x v="3"/>
    <x v="2"/>
  </r>
  <r>
    <s v="Cargill"/>
    <s v="Croplands"/>
    <s v="Russian Federation"/>
    <n v="6"/>
    <x v="0"/>
    <x v="3"/>
    <x v="2"/>
  </r>
  <r>
    <s v="Cargill"/>
    <s v="Croplands"/>
    <s v="South Asia"/>
    <n v="323"/>
    <x v="0"/>
    <x v="3"/>
    <x v="2"/>
  </r>
  <r>
    <s v="Cargill"/>
    <s v="Croplands"/>
    <s v="Sub-Saharan Africa"/>
    <n v="8"/>
    <x v="0"/>
    <x v="3"/>
    <x v="2"/>
  </r>
  <r>
    <s v="Cargill"/>
    <s v="Croplands"/>
    <s v="Western Europe"/>
    <n v="271"/>
    <x v="0"/>
    <x v="3"/>
    <x v="2"/>
  </r>
  <r>
    <s v="Danish Crown"/>
    <s v="Grazing"/>
    <s v="East Asia and Southeast Asia"/>
    <n v="0"/>
    <x v="0"/>
    <x v="3"/>
    <x v="2"/>
  </r>
  <r>
    <s v="Danish Crown"/>
    <s v="Grazing"/>
    <s v="Eastern Europe"/>
    <n v="19"/>
    <x v="0"/>
    <x v="3"/>
    <x v="2"/>
  </r>
  <r>
    <s v="Danish Crown"/>
    <s v="Grazing"/>
    <s v="Latin America and the Caribbean"/>
    <n v="0"/>
    <x v="0"/>
    <x v="3"/>
    <x v="2"/>
  </r>
  <r>
    <s v="Danish Crown"/>
    <s v="Grazing"/>
    <s v="Near East and North Africa"/>
    <n v="0"/>
    <x v="0"/>
    <x v="3"/>
    <x v="2"/>
  </r>
  <r>
    <s v="Danish Crown"/>
    <s v="Grazing"/>
    <s v="North America"/>
    <n v="0"/>
    <x v="0"/>
    <x v="3"/>
    <x v="2"/>
  </r>
  <r>
    <s v="Danish Crown"/>
    <s v="Grazing"/>
    <s v="Oceania"/>
    <n v="0"/>
    <x v="0"/>
    <x v="3"/>
    <x v="2"/>
  </r>
  <r>
    <s v="Danish Crown"/>
    <s v="Grazing"/>
    <s v="RoW"/>
    <n v="0"/>
    <x v="0"/>
    <x v="3"/>
    <x v="2"/>
  </r>
  <r>
    <s v="Danish Crown"/>
    <s v="Grazing"/>
    <s v="Russian Federation"/>
    <n v="0"/>
    <x v="0"/>
    <x v="3"/>
    <x v="2"/>
  </r>
  <r>
    <s v="Danish Crown"/>
    <s v="Grazing"/>
    <s v="South Asia"/>
    <n v="0"/>
    <x v="0"/>
    <x v="3"/>
    <x v="2"/>
  </r>
  <r>
    <s v="Danish Crown"/>
    <s v="Grazing"/>
    <s v="Sub-Saharan Africa"/>
    <n v="0"/>
    <x v="0"/>
    <x v="3"/>
    <x v="2"/>
  </r>
  <r>
    <s v="Danish Crown"/>
    <s v="Grazing"/>
    <s v="Western Europe"/>
    <n v="25935"/>
    <x v="0"/>
    <x v="3"/>
    <x v="2"/>
  </r>
  <r>
    <s v="Danish Crown"/>
    <s v="Croplands"/>
    <s v="East Asia and Southeast Asia"/>
    <n v="90"/>
    <x v="0"/>
    <x v="3"/>
    <x v="2"/>
  </r>
  <r>
    <s v="Danish Crown"/>
    <s v="Croplands"/>
    <s v="Eastern Europe"/>
    <n v="1060"/>
    <x v="0"/>
    <x v="3"/>
    <x v="2"/>
  </r>
  <r>
    <s v="Danish Crown"/>
    <s v="Croplands"/>
    <s v="Latin America and the Caribbean"/>
    <n v="195"/>
    <x v="0"/>
    <x v="3"/>
    <x v="2"/>
  </r>
  <r>
    <s v="Danish Crown"/>
    <s v="Croplands"/>
    <s v="Near East and North Africa"/>
    <n v="20"/>
    <x v="0"/>
    <x v="3"/>
    <x v="2"/>
  </r>
  <r>
    <s v="Danish Crown"/>
    <s v="Croplands"/>
    <s v="North America"/>
    <n v="382"/>
    <x v="0"/>
    <x v="3"/>
    <x v="2"/>
  </r>
  <r>
    <s v="Danish Crown"/>
    <s v="Croplands"/>
    <s v="Oceania"/>
    <n v="18"/>
    <x v="0"/>
    <x v="3"/>
    <x v="2"/>
  </r>
  <r>
    <s v="Danish Crown"/>
    <s v="Croplands"/>
    <s v="RoW"/>
    <n v="0"/>
    <x v="0"/>
    <x v="3"/>
    <x v="2"/>
  </r>
  <r>
    <s v="Danish Crown"/>
    <s v="Croplands"/>
    <s v="Russian Federation"/>
    <n v="21"/>
    <x v="0"/>
    <x v="3"/>
    <x v="2"/>
  </r>
  <r>
    <s v="Danish Crown"/>
    <s v="Croplands"/>
    <s v="South Asia"/>
    <n v="62"/>
    <x v="0"/>
    <x v="3"/>
    <x v="2"/>
  </r>
  <r>
    <s v="Danish Crown"/>
    <s v="Croplands"/>
    <s v="Sub-Saharan Africa"/>
    <n v="7"/>
    <x v="0"/>
    <x v="3"/>
    <x v="2"/>
  </r>
  <r>
    <s v="Danish Crown"/>
    <s v="Croplands"/>
    <s v="Western Europe"/>
    <n v="12202"/>
    <x v="0"/>
    <x v="3"/>
    <x v="2"/>
  </r>
  <r>
    <s v="Gruppo Cremonini"/>
    <s v="Grazing"/>
    <s v="East Asia and Southeast Asia"/>
    <n v="0"/>
    <x v="0"/>
    <x v="3"/>
    <x v="2"/>
  </r>
  <r>
    <s v="Gruppo Cremonini"/>
    <s v="Grazing"/>
    <s v="Eastern Europe"/>
    <n v="45"/>
    <x v="0"/>
    <x v="3"/>
    <x v="2"/>
  </r>
  <r>
    <s v="Gruppo Cremonini"/>
    <s v="Grazing"/>
    <s v="Latin America and the Caribbean"/>
    <n v="0"/>
    <x v="0"/>
    <x v="3"/>
    <x v="2"/>
  </r>
  <r>
    <s v="Gruppo Cremonini"/>
    <s v="Grazing"/>
    <s v="Near East and North Africa"/>
    <n v="0"/>
    <x v="0"/>
    <x v="3"/>
    <x v="2"/>
  </r>
  <r>
    <s v="Gruppo Cremonini"/>
    <s v="Grazing"/>
    <s v="North America"/>
    <n v="1"/>
    <x v="0"/>
    <x v="3"/>
    <x v="2"/>
  </r>
  <r>
    <s v="Gruppo Cremonini"/>
    <s v="Grazing"/>
    <s v="Oceania"/>
    <n v="0"/>
    <x v="0"/>
    <x v="3"/>
    <x v="2"/>
  </r>
  <r>
    <s v="Gruppo Cremonini"/>
    <s v="Grazing"/>
    <s v="RoW"/>
    <n v="0"/>
    <x v="0"/>
    <x v="3"/>
    <x v="2"/>
  </r>
  <r>
    <s v="Gruppo Cremonini"/>
    <s v="Grazing"/>
    <s v="Russian Federation"/>
    <n v="0"/>
    <x v="0"/>
    <x v="3"/>
    <x v="2"/>
  </r>
  <r>
    <s v="Gruppo Cremonini"/>
    <s v="Grazing"/>
    <s v="South Asia"/>
    <n v="0"/>
    <x v="0"/>
    <x v="3"/>
    <x v="2"/>
  </r>
  <r>
    <s v="Gruppo Cremonini"/>
    <s v="Grazing"/>
    <s v="Sub-Saharan Africa"/>
    <n v="0"/>
    <x v="0"/>
    <x v="3"/>
    <x v="2"/>
  </r>
  <r>
    <s v="Gruppo Cremonini"/>
    <s v="Grazing"/>
    <s v="Western Europe"/>
    <n v="60433"/>
    <x v="0"/>
    <x v="3"/>
    <x v="2"/>
  </r>
  <r>
    <s v="Gruppo Cremonini"/>
    <s v="Croplands"/>
    <s v="East Asia and Southeast Asia"/>
    <n v="210"/>
    <x v="0"/>
    <x v="3"/>
    <x v="2"/>
  </r>
  <r>
    <s v="Gruppo Cremonini"/>
    <s v="Croplands"/>
    <s v="Eastern Europe"/>
    <n v="2471"/>
    <x v="0"/>
    <x v="3"/>
    <x v="2"/>
  </r>
  <r>
    <s v="Gruppo Cremonini"/>
    <s v="Croplands"/>
    <s v="Latin America and the Caribbean"/>
    <n v="453"/>
    <x v="0"/>
    <x v="3"/>
    <x v="2"/>
  </r>
  <r>
    <s v="Gruppo Cremonini"/>
    <s v="Croplands"/>
    <s v="Near East and North Africa"/>
    <n v="46"/>
    <x v="0"/>
    <x v="3"/>
    <x v="2"/>
  </r>
  <r>
    <s v="Gruppo Cremonini"/>
    <s v="Croplands"/>
    <s v="North America"/>
    <n v="890"/>
    <x v="0"/>
    <x v="3"/>
    <x v="2"/>
  </r>
  <r>
    <s v="Gruppo Cremonini"/>
    <s v="Croplands"/>
    <s v="Oceania"/>
    <n v="42"/>
    <x v="0"/>
    <x v="3"/>
    <x v="2"/>
  </r>
  <r>
    <s v="Gruppo Cremonini"/>
    <s v="Croplands"/>
    <s v="RoW"/>
    <n v="0"/>
    <x v="0"/>
    <x v="3"/>
    <x v="2"/>
  </r>
  <r>
    <s v="Gruppo Cremonini"/>
    <s v="Croplands"/>
    <s v="Russian Federation"/>
    <n v="50"/>
    <x v="0"/>
    <x v="3"/>
    <x v="2"/>
  </r>
  <r>
    <s v="Gruppo Cremonini"/>
    <s v="Croplands"/>
    <s v="South Asia"/>
    <n v="144"/>
    <x v="0"/>
    <x v="3"/>
    <x v="2"/>
  </r>
  <r>
    <s v="Gruppo Cremonini"/>
    <s v="Croplands"/>
    <s v="Sub-Saharan Africa"/>
    <n v="16"/>
    <x v="0"/>
    <x v="3"/>
    <x v="2"/>
  </r>
  <r>
    <s v="Gruppo Cremonini"/>
    <s v="Croplands"/>
    <s v="Western Europe"/>
    <n v="28433"/>
    <x v="0"/>
    <x v="3"/>
    <x v="2"/>
  </r>
  <r>
    <s v="JBS"/>
    <s v="Grazing"/>
    <s v="East Asia and Southeast Asia"/>
    <n v="3"/>
    <x v="0"/>
    <x v="3"/>
    <x v="2"/>
  </r>
  <r>
    <s v="JBS"/>
    <s v="Grazing"/>
    <s v="Eastern Europe"/>
    <n v="1"/>
    <x v="0"/>
    <x v="3"/>
    <x v="2"/>
  </r>
  <r>
    <s v="JBS"/>
    <s v="Grazing"/>
    <s v="Latin America and the Caribbean"/>
    <n v="27718"/>
    <x v="0"/>
    <x v="3"/>
    <x v="2"/>
  </r>
  <r>
    <s v="JBS"/>
    <s v="Grazing"/>
    <s v="Near East and North Africa"/>
    <n v="3"/>
    <x v="0"/>
    <x v="3"/>
    <x v="2"/>
  </r>
  <r>
    <s v="JBS"/>
    <s v="Grazing"/>
    <s v="North America"/>
    <n v="121020"/>
    <x v="0"/>
    <x v="3"/>
    <x v="2"/>
  </r>
  <r>
    <s v="JBS"/>
    <s v="Grazing"/>
    <s v="Oceania"/>
    <n v="9262"/>
    <x v="0"/>
    <x v="3"/>
    <x v="2"/>
  </r>
  <r>
    <s v="JBS"/>
    <s v="Grazing"/>
    <s v="RoW"/>
    <n v="0"/>
    <x v="0"/>
    <x v="3"/>
    <x v="2"/>
  </r>
  <r>
    <s v="JBS"/>
    <s v="Grazing"/>
    <s v="Russian Federation"/>
    <n v="0"/>
    <x v="0"/>
    <x v="3"/>
    <x v="2"/>
  </r>
  <r>
    <s v="JBS"/>
    <s v="Grazing"/>
    <s v="South Asia"/>
    <n v="0"/>
    <x v="0"/>
    <x v="3"/>
    <x v="2"/>
  </r>
  <r>
    <s v="JBS"/>
    <s v="Grazing"/>
    <s v="Sub-Saharan Africa"/>
    <n v="0"/>
    <x v="0"/>
    <x v="3"/>
    <x v="2"/>
  </r>
  <r>
    <s v="JBS"/>
    <s v="Grazing"/>
    <s v="Western Europe"/>
    <n v="94"/>
    <x v="0"/>
    <x v="3"/>
    <x v="2"/>
  </r>
  <r>
    <s v="JBS"/>
    <s v="Croplands"/>
    <s v="East Asia and Southeast Asia"/>
    <n v="978"/>
    <x v="0"/>
    <x v="3"/>
    <x v="2"/>
  </r>
  <r>
    <s v="JBS"/>
    <s v="Croplands"/>
    <s v="Eastern Europe"/>
    <n v="226"/>
    <x v="0"/>
    <x v="3"/>
    <x v="2"/>
  </r>
  <r>
    <s v="JBS"/>
    <s v="Croplands"/>
    <s v="Latin America and the Caribbean"/>
    <n v="50549"/>
    <x v="0"/>
    <x v="3"/>
    <x v="2"/>
  </r>
  <r>
    <s v="JBS"/>
    <s v="Croplands"/>
    <s v="Near East and North Africa"/>
    <n v="68"/>
    <x v="0"/>
    <x v="3"/>
    <x v="2"/>
  </r>
  <r>
    <s v="JBS"/>
    <s v="Croplands"/>
    <s v="North America"/>
    <n v="320417"/>
    <x v="0"/>
    <x v="3"/>
    <x v="2"/>
  </r>
  <r>
    <s v="JBS"/>
    <s v="Croplands"/>
    <s v="Oceania"/>
    <n v="20431"/>
    <x v="0"/>
    <x v="3"/>
    <x v="2"/>
  </r>
  <r>
    <s v="JBS"/>
    <s v="Croplands"/>
    <s v="RoW"/>
    <n v="0"/>
    <x v="0"/>
    <x v="3"/>
    <x v="2"/>
  </r>
  <r>
    <s v="JBS"/>
    <s v="Croplands"/>
    <s v="Russian Federation"/>
    <n v="13"/>
    <x v="0"/>
    <x v="3"/>
    <x v="2"/>
  </r>
  <r>
    <s v="JBS"/>
    <s v="Croplands"/>
    <s v="South Asia"/>
    <n v="537"/>
    <x v="0"/>
    <x v="3"/>
    <x v="2"/>
  </r>
  <r>
    <s v="JBS"/>
    <s v="Croplands"/>
    <s v="Sub-Saharan Africa"/>
    <n v="26"/>
    <x v="0"/>
    <x v="3"/>
    <x v="2"/>
  </r>
  <r>
    <s v="JBS"/>
    <s v="Croplands"/>
    <s v="Western Europe"/>
    <n v="468"/>
    <x v="0"/>
    <x v="3"/>
    <x v="2"/>
  </r>
  <r>
    <s v="Marfrig"/>
    <s v="Grazing"/>
    <s v="East Asia and Southeast Asia"/>
    <n v="1"/>
    <x v="0"/>
    <x v="3"/>
    <x v="2"/>
  </r>
  <r>
    <s v="Marfrig"/>
    <s v="Grazing"/>
    <s v="Eastern Europe"/>
    <n v="0"/>
    <x v="0"/>
    <x v="3"/>
    <x v="2"/>
  </r>
  <r>
    <s v="Marfrig"/>
    <s v="Grazing"/>
    <s v="Latin America and the Caribbean"/>
    <n v="13962"/>
    <x v="0"/>
    <x v="3"/>
    <x v="2"/>
  </r>
  <r>
    <s v="Marfrig"/>
    <s v="Grazing"/>
    <s v="Near East and North Africa"/>
    <n v="1"/>
    <x v="0"/>
    <x v="3"/>
    <x v="2"/>
  </r>
  <r>
    <s v="Marfrig"/>
    <s v="Grazing"/>
    <s v="North America"/>
    <n v="48638"/>
    <x v="0"/>
    <x v="3"/>
    <x v="2"/>
  </r>
  <r>
    <s v="Marfrig"/>
    <s v="Grazing"/>
    <s v="Oceania"/>
    <n v="4"/>
    <x v="0"/>
    <x v="3"/>
    <x v="2"/>
  </r>
  <r>
    <s v="Marfrig"/>
    <s v="Grazing"/>
    <s v="RoW"/>
    <n v="0"/>
    <x v="0"/>
    <x v="3"/>
    <x v="2"/>
  </r>
  <r>
    <s v="Marfrig"/>
    <s v="Grazing"/>
    <s v="Russian Federation"/>
    <n v="0"/>
    <x v="0"/>
    <x v="3"/>
    <x v="2"/>
  </r>
  <r>
    <s v="Marfrig"/>
    <s v="Grazing"/>
    <s v="South Asia"/>
    <n v="0"/>
    <x v="0"/>
    <x v="3"/>
    <x v="2"/>
  </r>
  <r>
    <s v="Marfrig"/>
    <s v="Grazing"/>
    <s v="Sub-Saharan Africa"/>
    <n v="0"/>
    <x v="0"/>
    <x v="3"/>
    <x v="2"/>
  </r>
  <r>
    <s v="Marfrig"/>
    <s v="Grazing"/>
    <s v="Western Europe"/>
    <n v="38"/>
    <x v="0"/>
    <x v="3"/>
    <x v="2"/>
  </r>
  <r>
    <s v="Marfrig"/>
    <s v="Croplands"/>
    <s v="East Asia and Southeast Asia"/>
    <n v="92"/>
    <x v="0"/>
    <x v="3"/>
    <x v="2"/>
  </r>
  <r>
    <s v="Marfrig"/>
    <s v="Croplands"/>
    <s v="Eastern Europe"/>
    <n v="70"/>
    <x v="0"/>
    <x v="3"/>
    <x v="2"/>
  </r>
  <r>
    <s v="Marfrig"/>
    <s v="Croplands"/>
    <s v="Latin America and the Caribbean"/>
    <n v="25191"/>
    <x v="0"/>
    <x v="3"/>
    <x v="2"/>
  </r>
  <r>
    <s v="Marfrig"/>
    <s v="Croplands"/>
    <s v="Near East and North Africa"/>
    <n v="29"/>
    <x v="0"/>
    <x v="3"/>
    <x v="2"/>
  </r>
  <r>
    <s v="Marfrig"/>
    <s v="Croplands"/>
    <s v="North America"/>
    <n v="129412"/>
    <x v="0"/>
    <x v="3"/>
    <x v="2"/>
  </r>
  <r>
    <s v="Marfrig"/>
    <s v="Croplands"/>
    <s v="Oceania"/>
    <n v="17"/>
    <x v="0"/>
    <x v="3"/>
    <x v="2"/>
  </r>
  <r>
    <s v="Marfrig"/>
    <s v="Croplands"/>
    <s v="RoW"/>
    <n v="0"/>
    <x v="0"/>
    <x v="3"/>
    <x v="2"/>
  </r>
  <r>
    <s v="Marfrig"/>
    <s v="Croplands"/>
    <s v="Russian Federation"/>
    <n v="5"/>
    <x v="0"/>
    <x v="3"/>
    <x v="2"/>
  </r>
  <r>
    <s v="Marfrig"/>
    <s v="Croplands"/>
    <s v="South Asia"/>
    <n v="187"/>
    <x v="0"/>
    <x v="3"/>
    <x v="2"/>
  </r>
  <r>
    <s v="Marfrig"/>
    <s v="Croplands"/>
    <s v="Sub-Saharan Africa"/>
    <n v="11"/>
    <x v="0"/>
    <x v="3"/>
    <x v="2"/>
  </r>
  <r>
    <s v="Marfrig"/>
    <s v="Croplands"/>
    <s v="Western Europe"/>
    <n v="168"/>
    <x v="0"/>
    <x v="3"/>
    <x v="2"/>
  </r>
  <r>
    <s v="Minerva"/>
    <s v="Grazing"/>
    <s v="East Asia and Southeast Asia"/>
    <n v="0"/>
    <x v="0"/>
    <x v="3"/>
    <x v="2"/>
  </r>
  <r>
    <s v="Minerva"/>
    <s v="Grazing"/>
    <s v="Eastern Europe"/>
    <n v="0"/>
    <x v="0"/>
    <x v="3"/>
    <x v="2"/>
  </r>
  <r>
    <s v="Minerva"/>
    <s v="Grazing"/>
    <s v="Latin America and the Caribbean"/>
    <n v="11638"/>
    <x v="0"/>
    <x v="3"/>
    <x v="2"/>
  </r>
  <r>
    <s v="Minerva"/>
    <s v="Grazing"/>
    <s v="Near East and North Africa"/>
    <n v="0"/>
    <x v="0"/>
    <x v="3"/>
    <x v="2"/>
  </r>
  <r>
    <s v="Minerva"/>
    <s v="Grazing"/>
    <s v="North America"/>
    <n v="17"/>
    <x v="0"/>
    <x v="3"/>
    <x v="2"/>
  </r>
  <r>
    <s v="Minerva"/>
    <s v="Grazing"/>
    <s v="Oceania"/>
    <n v="0"/>
    <x v="0"/>
    <x v="3"/>
    <x v="2"/>
  </r>
  <r>
    <s v="Minerva"/>
    <s v="Grazing"/>
    <s v="RoW"/>
    <n v="0"/>
    <x v="0"/>
    <x v="3"/>
    <x v="2"/>
  </r>
  <r>
    <s v="Minerva"/>
    <s v="Grazing"/>
    <s v="Russian Federation"/>
    <n v="0"/>
    <x v="0"/>
    <x v="3"/>
    <x v="2"/>
  </r>
  <r>
    <s v="Minerva"/>
    <s v="Grazing"/>
    <s v="South Asia"/>
    <n v="0"/>
    <x v="0"/>
    <x v="3"/>
    <x v="2"/>
  </r>
  <r>
    <s v="Minerva"/>
    <s v="Grazing"/>
    <s v="Sub-Saharan Africa"/>
    <n v="0"/>
    <x v="0"/>
    <x v="3"/>
    <x v="2"/>
  </r>
  <r>
    <s v="Minerva"/>
    <s v="Grazing"/>
    <s v="Western Europe"/>
    <n v="18"/>
    <x v="0"/>
    <x v="3"/>
    <x v="2"/>
  </r>
  <r>
    <s v="Minerva"/>
    <s v="Croplands"/>
    <s v="East Asia and Southeast Asia"/>
    <n v="34"/>
    <x v="0"/>
    <x v="3"/>
    <x v="2"/>
  </r>
  <r>
    <s v="Minerva"/>
    <s v="Croplands"/>
    <s v="Eastern Europe"/>
    <n v="20"/>
    <x v="0"/>
    <x v="3"/>
    <x v="2"/>
  </r>
  <r>
    <s v="Minerva"/>
    <s v="Croplands"/>
    <s v="Latin America and the Caribbean"/>
    <n v="20346"/>
    <x v="0"/>
    <x v="3"/>
    <x v="2"/>
  </r>
  <r>
    <s v="Minerva"/>
    <s v="Croplands"/>
    <s v="Near East and North Africa"/>
    <n v="13"/>
    <x v="0"/>
    <x v="3"/>
    <x v="2"/>
  </r>
  <r>
    <s v="Minerva"/>
    <s v="Croplands"/>
    <s v="North America"/>
    <n v="3032"/>
    <x v="0"/>
    <x v="3"/>
    <x v="2"/>
  </r>
  <r>
    <s v="Minerva"/>
    <s v="Croplands"/>
    <s v="Oceania"/>
    <n v="2"/>
    <x v="0"/>
    <x v="3"/>
    <x v="2"/>
  </r>
  <r>
    <s v="Minerva"/>
    <s v="Croplands"/>
    <s v="RoW"/>
    <n v="0"/>
    <x v="0"/>
    <x v="3"/>
    <x v="2"/>
  </r>
  <r>
    <s v="Minerva"/>
    <s v="Croplands"/>
    <s v="Russian Federation"/>
    <n v="1"/>
    <x v="0"/>
    <x v="3"/>
    <x v="2"/>
  </r>
  <r>
    <s v="Minerva"/>
    <s v="Croplands"/>
    <s v="South Asia"/>
    <n v="28"/>
    <x v="0"/>
    <x v="3"/>
    <x v="2"/>
  </r>
  <r>
    <s v="Minerva"/>
    <s v="Croplands"/>
    <s v="Sub-Saharan Africa"/>
    <n v="6"/>
    <x v="0"/>
    <x v="3"/>
    <x v="2"/>
  </r>
  <r>
    <s v="Minerva"/>
    <s v="Croplands"/>
    <s v="Western Europe"/>
    <n v="33"/>
    <x v="0"/>
    <x v="3"/>
    <x v="2"/>
  </r>
  <r>
    <s v="NH Foods"/>
    <s v="Grazing"/>
    <s v="East Asia and Southeast Asia"/>
    <n v="0"/>
    <x v="0"/>
    <x v="3"/>
    <x v="2"/>
  </r>
  <r>
    <s v="NH Foods"/>
    <s v="Grazing"/>
    <s v="Eastern Europe"/>
    <n v="0"/>
    <x v="0"/>
    <x v="3"/>
    <x v="2"/>
  </r>
  <r>
    <s v="NH Foods"/>
    <s v="Grazing"/>
    <s v="Latin America and the Caribbean"/>
    <n v="0"/>
    <x v="0"/>
    <x v="3"/>
    <x v="2"/>
  </r>
  <r>
    <s v="NH Foods"/>
    <s v="Grazing"/>
    <s v="Near East and North Africa"/>
    <n v="0"/>
    <x v="0"/>
    <x v="3"/>
    <x v="2"/>
  </r>
  <r>
    <s v="NH Foods"/>
    <s v="Grazing"/>
    <s v="North America"/>
    <n v="0"/>
    <x v="0"/>
    <x v="3"/>
    <x v="2"/>
  </r>
  <r>
    <s v="NH Foods"/>
    <s v="Grazing"/>
    <s v="Oceania"/>
    <n v="1182"/>
    <x v="0"/>
    <x v="3"/>
    <x v="2"/>
  </r>
  <r>
    <s v="NH Foods"/>
    <s v="Grazing"/>
    <s v="RoW"/>
    <n v="0"/>
    <x v="0"/>
    <x v="3"/>
    <x v="2"/>
  </r>
  <r>
    <s v="NH Foods"/>
    <s v="Grazing"/>
    <s v="Russian Federation"/>
    <n v="0"/>
    <x v="0"/>
    <x v="3"/>
    <x v="2"/>
  </r>
  <r>
    <s v="NH Foods"/>
    <s v="Grazing"/>
    <s v="South Asia"/>
    <n v="0"/>
    <x v="0"/>
    <x v="3"/>
    <x v="2"/>
  </r>
  <r>
    <s v="NH Foods"/>
    <s v="Grazing"/>
    <s v="Sub-Saharan Africa"/>
    <n v="0"/>
    <x v="0"/>
    <x v="3"/>
    <x v="2"/>
  </r>
  <r>
    <s v="NH Foods"/>
    <s v="Grazing"/>
    <s v="Western Europe"/>
    <n v="1"/>
    <x v="0"/>
    <x v="3"/>
    <x v="2"/>
  </r>
  <r>
    <s v="NH Foods"/>
    <s v="Croplands"/>
    <s v="East Asia and Southeast Asia"/>
    <n v="98"/>
    <x v="0"/>
    <x v="3"/>
    <x v="2"/>
  </r>
  <r>
    <s v="NH Foods"/>
    <s v="Croplands"/>
    <s v="Eastern Europe"/>
    <n v="8"/>
    <x v="0"/>
    <x v="3"/>
    <x v="2"/>
  </r>
  <r>
    <s v="NH Foods"/>
    <s v="Croplands"/>
    <s v="Latin America and the Caribbean"/>
    <n v="19"/>
    <x v="0"/>
    <x v="3"/>
    <x v="2"/>
  </r>
  <r>
    <s v="NH Foods"/>
    <s v="Croplands"/>
    <s v="Near East and North Africa"/>
    <n v="0"/>
    <x v="0"/>
    <x v="3"/>
    <x v="2"/>
  </r>
  <r>
    <s v="NH Foods"/>
    <s v="Croplands"/>
    <s v="North America"/>
    <n v="28"/>
    <x v="0"/>
    <x v="3"/>
    <x v="2"/>
  </r>
  <r>
    <s v="NH Foods"/>
    <s v="Croplands"/>
    <s v="Oceania"/>
    <n v="2604"/>
    <x v="0"/>
    <x v="3"/>
    <x v="2"/>
  </r>
  <r>
    <s v="NH Foods"/>
    <s v="Croplands"/>
    <s v="RoW"/>
    <n v="0"/>
    <x v="0"/>
    <x v="3"/>
    <x v="2"/>
  </r>
  <r>
    <s v="NH Foods"/>
    <s v="Croplands"/>
    <s v="Russian Federation"/>
    <n v="0"/>
    <x v="0"/>
    <x v="3"/>
    <x v="2"/>
  </r>
  <r>
    <s v="NH Foods"/>
    <s v="Croplands"/>
    <s v="South Asia"/>
    <n v="11"/>
    <x v="0"/>
    <x v="3"/>
    <x v="2"/>
  </r>
  <r>
    <s v="NH Foods"/>
    <s v="Croplands"/>
    <s v="Sub-Saharan Africa"/>
    <n v="0"/>
    <x v="0"/>
    <x v="3"/>
    <x v="2"/>
  </r>
  <r>
    <s v="NH Foods"/>
    <s v="Croplands"/>
    <s v="Western Europe"/>
    <n v="9"/>
    <x v="0"/>
    <x v="3"/>
    <x v="2"/>
  </r>
  <r>
    <s v="Teys "/>
    <s v="Grazing"/>
    <s v="East Asia and Southeast Asia"/>
    <n v="0"/>
    <x v="0"/>
    <x v="3"/>
    <x v="2"/>
  </r>
  <r>
    <s v="Teys "/>
    <s v="Grazing"/>
    <s v="Eastern Europe"/>
    <n v="0"/>
    <x v="0"/>
    <x v="3"/>
    <x v="2"/>
  </r>
  <r>
    <s v="Teys "/>
    <s v="Grazing"/>
    <s v="Latin America and the Caribbean"/>
    <n v="0"/>
    <x v="0"/>
    <x v="3"/>
    <x v="2"/>
  </r>
  <r>
    <s v="Teys "/>
    <s v="Grazing"/>
    <s v="Near East and North Africa"/>
    <n v="0"/>
    <x v="0"/>
    <x v="3"/>
    <x v="2"/>
  </r>
  <r>
    <s v="Teys "/>
    <s v="Grazing"/>
    <s v="North America"/>
    <n v="0"/>
    <x v="0"/>
    <x v="3"/>
    <x v="2"/>
  </r>
  <r>
    <s v="Teys "/>
    <s v="Grazing"/>
    <s v="Oceania"/>
    <n v="2631"/>
    <x v="0"/>
    <x v="3"/>
    <x v="2"/>
  </r>
  <r>
    <s v="Teys "/>
    <s v="Grazing"/>
    <s v="RoW"/>
    <n v="0"/>
    <x v="0"/>
    <x v="3"/>
    <x v="2"/>
  </r>
  <r>
    <s v="Teys "/>
    <s v="Grazing"/>
    <s v="Russian Federation"/>
    <n v="0"/>
    <x v="0"/>
    <x v="3"/>
    <x v="2"/>
  </r>
  <r>
    <s v="Teys "/>
    <s v="Grazing"/>
    <s v="South Asia"/>
    <n v="0"/>
    <x v="0"/>
    <x v="3"/>
    <x v="2"/>
  </r>
  <r>
    <s v="Teys "/>
    <s v="Grazing"/>
    <s v="Sub-Saharan Africa"/>
    <n v="0"/>
    <x v="0"/>
    <x v="3"/>
    <x v="2"/>
  </r>
  <r>
    <s v="Teys "/>
    <s v="Grazing"/>
    <s v="Western Europe"/>
    <n v="3"/>
    <x v="0"/>
    <x v="3"/>
    <x v="2"/>
  </r>
  <r>
    <s v="Teys "/>
    <s v="Croplands"/>
    <s v="East Asia and Southeast Asia"/>
    <n v="219"/>
    <x v="0"/>
    <x v="3"/>
    <x v="2"/>
  </r>
  <r>
    <s v="Teys "/>
    <s v="Croplands"/>
    <s v="Eastern Europe"/>
    <n v="18"/>
    <x v="0"/>
    <x v="3"/>
    <x v="2"/>
  </r>
  <r>
    <s v="Teys "/>
    <s v="Croplands"/>
    <s v="Latin America and the Caribbean"/>
    <n v="41"/>
    <x v="0"/>
    <x v="3"/>
    <x v="2"/>
  </r>
  <r>
    <s v="Teys "/>
    <s v="Croplands"/>
    <s v="Near East and North Africa"/>
    <n v="1"/>
    <x v="0"/>
    <x v="3"/>
    <x v="2"/>
  </r>
  <r>
    <s v="Teys "/>
    <s v="Croplands"/>
    <s v="North America"/>
    <n v="62"/>
    <x v="0"/>
    <x v="3"/>
    <x v="2"/>
  </r>
  <r>
    <s v="Teys "/>
    <s v="Croplands"/>
    <s v="Oceania"/>
    <n v="5798"/>
    <x v="0"/>
    <x v="3"/>
    <x v="2"/>
  </r>
  <r>
    <s v="Teys "/>
    <s v="Croplands"/>
    <s v="RoW"/>
    <n v="0"/>
    <x v="0"/>
    <x v="3"/>
    <x v="2"/>
  </r>
  <r>
    <s v="Teys "/>
    <s v="Croplands"/>
    <s v="Russian Federation"/>
    <n v="0"/>
    <x v="0"/>
    <x v="3"/>
    <x v="2"/>
  </r>
  <r>
    <s v="Teys "/>
    <s v="Croplands"/>
    <s v="South Asia"/>
    <n v="25"/>
    <x v="0"/>
    <x v="3"/>
    <x v="2"/>
  </r>
  <r>
    <s v="Teys "/>
    <s v="Croplands"/>
    <s v="Sub-Saharan Africa"/>
    <n v="0"/>
    <x v="0"/>
    <x v="3"/>
    <x v="2"/>
  </r>
  <r>
    <s v="Teys "/>
    <s v="Croplands"/>
    <s v="Western Europe"/>
    <n v="20"/>
    <x v="0"/>
    <x v="3"/>
    <x v="2"/>
  </r>
  <r>
    <s v="Tönnies Group"/>
    <s v="Grazing"/>
    <s v="East Asia and Southeast Asia"/>
    <n v="0"/>
    <x v="0"/>
    <x v="3"/>
    <x v="2"/>
  </r>
  <r>
    <s v="Tönnies Group"/>
    <s v="Grazing"/>
    <s v="Eastern Europe"/>
    <n v="9"/>
    <x v="0"/>
    <x v="3"/>
    <x v="2"/>
  </r>
  <r>
    <s v="Tönnies Group"/>
    <s v="Grazing"/>
    <s v="Latin America and the Caribbean"/>
    <n v="0"/>
    <x v="0"/>
    <x v="3"/>
    <x v="2"/>
  </r>
  <r>
    <s v="Tönnies Group"/>
    <s v="Grazing"/>
    <s v="Near East and North Africa"/>
    <n v="0"/>
    <x v="0"/>
    <x v="3"/>
    <x v="2"/>
  </r>
  <r>
    <s v="Tönnies Group"/>
    <s v="Grazing"/>
    <s v="North America"/>
    <n v="0"/>
    <x v="0"/>
    <x v="3"/>
    <x v="2"/>
  </r>
  <r>
    <s v="Tönnies Group"/>
    <s v="Grazing"/>
    <s v="Oceania"/>
    <n v="0"/>
    <x v="0"/>
    <x v="3"/>
    <x v="2"/>
  </r>
  <r>
    <s v="Tönnies Group"/>
    <s v="Grazing"/>
    <s v="RoW"/>
    <n v="0"/>
    <x v="0"/>
    <x v="3"/>
    <x v="2"/>
  </r>
  <r>
    <s v="Tönnies Group"/>
    <s v="Grazing"/>
    <s v="Russian Federation"/>
    <n v="0"/>
    <x v="0"/>
    <x v="3"/>
    <x v="2"/>
  </r>
  <r>
    <s v="Tönnies Group"/>
    <s v="Grazing"/>
    <s v="South Asia"/>
    <n v="0"/>
    <x v="0"/>
    <x v="3"/>
    <x v="2"/>
  </r>
  <r>
    <s v="Tönnies Group"/>
    <s v="Grazing"/>
    <s v="Sub-Saharan Africa"/>
    <n v="0"/>
    <x v="0"/>
    <x v="3"/>
    <x v="2"/>
  </r>
  <r>
    <s v="Tönnies Group"/>
    <s v="Grazing"/>
    <s v="Western Europe"/>
    <n v="11800"/>
    <x v="0"/>
    <x v="3"/>
    <x v="2"/>
  </r>
  <r>
    <s v="Tönnies Group"/>
    <s v="Croplands"/>
    <s v="East Asia and Southeast Asia"/>
    <n v="41"/>
    <x v="0"/>
    <x v="3"/>
    <x v="2"/>
  </r>
  <r>
    <s v="Tönnies Group"/>
    <s v="Croplands"/>
    <s v="Eastern Europe"/>
    <n v="482"/>
    <x v="0"/>
    <x v="3"/>
    <x v="2"/>
  </r>
  <r>
    <s v="Tönnies Group"/>
    <s v="Croplands"/>
    <s v="Latin America and the Caribbean"/>
    <n v="89"/>
    <x v="0"/>
    <x v="3"/>
    <x v="2"/>
  </r>
  <r>
    <s v="Tönnies Group"/>
    <s v="Croplands"/>
    <s v="Near East and North Africa"/>
    <n v="9"/>
    <x v="0"/>
    <x v="3"/>
    <x v="2"/>
  </r>
  <r>
    <s v="Tönnies Group"/>
    <s v="Croplands"/>
    <s v="North America"/>
    <n v="174"/>
    <x v="0"/>
    <x v="3"/>
    <x v="2"/>
  </r>
  <r>
    <s v="Tönnies Group"/>
    <s v="Croplands"/>
    <s v="Oceania"/>
    <n v="8"/>
    <x v="0"/>
    <x v="3"/>
    <x v="2"/>
  </r>
  <r>
    <s v="Tönnies Group"/>
    <s v="Croplands"/>
    <s v="RoW"/>
    <n v="0"/>
    <x v="0"/>
    <x v="3"/>
    <x v="2"/>
  </r>
  <r>
    <s v="Tönnies Group"/>
    <s v="Croplands"/>
    <s v="Russian Federation"/>
    <n v="10"/>
    <x v="0"/>
    <x v="3"/>
    <x v="2"/>
  </r>
  <r>
    <s v="Tönnies Group"/>
    <s v="Croplands"/>
    <s v="South Asia"/>
    <n v="28"/>
    <x v="0"/>
    <x v="3"/>
    <x v="2"/>
  </r>
  <r>
    <s v="Tönnies Group"/>
    <s v="Croplands"/>
    <s v="Sub-Saharan Africa"/>
    <n v="3"/>
    <x v="0"/>
    <x v="3"/>
    <x v="2"/>
  </r>
  <r>
    <s v="Tönnies Group"/>
    <s v="Croplands"/>
    <s v="Western Europe"/>
    <n v="5552"/>
    <x v="0"/>
    <x v="3"/>
    <x v="2"/>
  </r>
  <r>
    <s v="Tyson"/>
    <s v="Grazing"/>
    <s v="East Asia and Southeast Asia"/>
    <n v="2"/>
    <x v="0"/>
    <x v="3"/>
    <x v="2"/>
  </r>
  <r>
    <s v="Tyson"/>
    <s v="Grazing"/>
    <s v="Eastern Europe"/>
    <n v="0"/>
    <x v="0"/>
    <x v="3"/>
    <x v="2"/>
  </r>
  <r>
    <s v="Tyson"/>
    <s v="Grazing"/>
    <s v="Latin America and the Caribbean"/>
    <n v="14"/>
    <x v="0"/>
    <x v="3"/>
    <x v="2"/>
  </r>
  <r>
    <s v="Tyson"/>
    <s v="Grazing"/>
    <s v="Near East and North Africa"/>
    <n v="0"/>
    <x v="0"/>
    <x v="3"/>
    <x v="2"/>
  </r>
  <r>
    <s v="Tyson"/>
    <s v="Grazing"/>
    <s v="North America"/>
    <n v="79845"/>
    <x v="0"/>
    <x v="3"/>
    <x v="2"/>
  </r>
  <r>
    <s v="Tyson"/>
    <s v="Grazing"/>
    <s v="Oceania"/>
    <n v="1600"/>
    <x v="0"/>
    <x v="3"/>
    <x v="2"/>
  </r>
  <r>
    <s v="Tyson"/>
    <s v="Grazing"/>
    <s v="RoW"/>
    <n v="0"/>
    <x v="0"/>
    <x v="3"/>
    <x v="2"/>
  </r>
  <r>
    <s v="Tyson"/>
    <s v="Grazing"/>
    <s v="Russian Federation"/>
    <n v="0"/>
    <x v="0"/>
    <x v="3"/>
    <x v="2"/>
  </r>
  <r>
    <s v="Tyson"/>
    <s v="Grazing"/>
    <s v="South Asia"/>
    <n v="0"/>
    <x v="0"/>
    <x v="3"/>
    <x v="2"/>
  </r>
  <r>
    <s v="Tyson"/>
    <s v="Grazing"/>
    <s v="Sub-Saharan Africa"/>
    <n v="0"/>
    <x v="0"/>
    <x v="3"/>
    <x v="2"/>
  </r>
  <r>
    <s v="Tyson"/>
    <s v="Grazing"/>
    <s v="Western Europe"/>
    <n v="30"/>
    <x v="0"/>
    <x v="3"/>
    <x v="2"/>
  </r>
  <r>
    <s v="Tyson"/>
    <s v="Croplands"/>
    <s v="East Asia and Southeast Asia"/>
    <n v="216"/>
    <x v="0"/>
    <x v="3"/>
    <x v="2"/>
  </r>
  <r>
    <s v="Tyson"/>
    <s v="Croplands"/>
    <s v="Eastern Europe"/>
    <n v="87"/>
    <x v="0"/>
    <x v="3"/>
    <x v="2"/>
  </r>
  <r>
    <s v="Tyson"/>
    <s v="Croplands"/>
    <s v="Latin America and the Caribbean"/>
    <n v="1336"/>
    <x v="0"/>
    <x v="3"/>
    <x v="2"/>
  </r>
  <r>
    <s v="Tyson"/>
    <s v="Croplands"/>
    <s v="Near East and North Africa"/>
    <n v="22"/>
    <x v="0"/>
    <x v="3"/>
    <x v="2"/>
  </r>
  <r>
    <s v="Tyson"/>
    <s v="Croplands"/>
    <s v="North America"/>
    <n v="206604"/>
    <x v="0"/>
    <x v="3"/>
    <x v="2"/>
  </r>
  <r>
    <s v="Tyson"/>
    <s v="Croplands"/>
    <s v="Oceania"/>
    <n v="3539"/>
    <x v="0"/>
    <x v="3"/>
    <x v="2"/>
  </r>
  <r>
    <s v="Tyson"/>
    <s v="Croplands"/>
    <s v="RoW"/>
    <n v="0"/>
    <x v="0"/>
    <x v="3"/>
    <x v="2"/>
  </r>
  <r>
    <s v="Tyson"/>
    <s v="Croplands"/>
    <s v="Russian Federation"/>
    <n v="5"/>
    <x v="0"/>
    <x v="3"/>
    <x v="2"/>
  </r>
  <r>
    <s v="Tyson"/>
    <s v="Croplands"/>
    <s v="South Asia"/>
    <n v="267"/>
    <x v="0"/>
    <x v="3"/>
    <x v="2"/>
  </r>
  <r>
    <s v="Tyson"/>
    <s v="Croplands"/>
    <s v="Sub-Saharan Africa"/>
    <n v="7"/>
    <x v="0"/>
    <x v="3"/>
    <x v="2"/>
  </r>
  <r>
    <s v="Tyson"/>
    <s v="Croplands"/>
    <s v="Western Europe"/>
    <n v="224"/>
    <x v="0"/>
    <x v="3"/>
    <x v="2"/>
  </r>
  <r>
    <s v="Vion Food Group"/>
    <s v="Grazing"/>
    <s v="East Asia and Southeast Asia"/>
    <n v="0"/>
    <x v="0"/>
    <x v="3"/>
    <x v="2"/>
  </r>
  <r>
    <s v="Vion Food Group"/>
    <s v="Grazing"/>
    <s v="Eastern Europe"/>
    <n v="22"/>
    <x v="0"/>
    <x v="3"/>
    <x v="2"/>
  </r>
  <r>
    <s v="Vion Food Group"/>
    <s v="Grazing"/>
    <s v="Latin America and the Caribbean"/>
    <n v="0"/>
    <x v="0"/>
    <x v="3"/>
    <x v="2"/>
  </r>
  <r>
    <s v="Vion Food Group"/>
    <s v="Grazing"/>
    <s v="Near East and North Africa"/>
    <n v="0"/>
    <x v="0"/>
    <x v="3"/>
    <x v="2"/>
  </r>
  <r>
    <s v="Vion Food Group"/>
    <s v="Grazing"/>
    <s v="North America"/>
    <n v="0"/>
    <x v="0"/>
    <x v="3"/>
    <x v="2"/>
  </r>
  <r>
    <s v="Vion Food Group"/>
    <s v="Grazing"/>
    <s v="Oceania"/>
    <n v="0"/>
    <x v="0"/>
    <x v="3"/>
    <x v="2"/>
  </r>
  <r>
    <s v="Vion Food Group"/>
    <s v="Grazing"/>
    <s v="RoW"/>
    <n v="0"/>
    <x v="0"/>
    <x v="3"/>
    <x v="2"/>
  </r>
  <r>
    <s v="Vion Food Group"/>
    <s v="Grazing"/>
    <s v="Russian Federation"/>
    <n v="0"/>
    <x v="0"/>
    <x v="3"/>
    <x v="2"/>
  </r>
  <r>
    <s v="Vion Food Group"/>
    <s v="Grazing"/>
    <s v="South Asia"/>
    <n v="0"/>
    <x v="0"/>
    <x v="3"/>
    <x v="2"/>
  </r>
  <r>
    <s v="Vion Food Group"/>
    <s v="Grazing"/>
    <s v="Sub-Saharan Africa"/>
    <n v="0"/>
    <x v="0"/>
    <x v="3"/>
    <x v="2"/>
  </r>
  <r>
    <s v="Vion Food Group"/>
    <s v="Grazing"/>
    <s v="Western Europe"/>
    <n v="29501"/>
    <x v="0"/>
    <x v="3"/>
    <x v="2"/>
  </r>
  <r>
    <s v="Vion Food Group"/>
    <s v="Croplands"/>
    <s v="East Asia and Southeast Asia"/>
    <n v="102"/>
    <x v="0"/>
    <x v="3"/>
    <x v="2"/>
  </r>
  <r>
    <s v="Vion Food Group"/>
    <s v="Croplands"/>
    <s v="Eastern Europe"/>
    <n v="1206"/>
    <x v="0"/>
    <x v="3"/>
    <x v="2"/>
  </r>
  <r>
    <s v="Vion Food Group"/>
    <s v="Croplands"/>
    <s v="Latin America and the Caribbean"/>
    <n v="221"/>
    <x v="0"/>
    <x v="3"/>
    <x v="2"/>
  </r>
  <r>
    <s v="Vion Food Group"/>
    <s v="Croplands"/>
    <s v="Near East and North Africa"/>
    <n v="22"/>
    <x v="0"/>
    <x v="3"/>
    <x v="2"/>
  </r>
  <r>
    <s v="Vion Food Group"/>
    <s v="Croplands"/>
    <s v="North America"/>
    <n v="434"/>
    <x v="0"/>
    <x v="3"/>
    <x v="2"/>
  </r>
  <r>
    <s v="Vion Food Group"/>
    <s v="Croplands"/>
    <s v="Oceania"/>
    <n v="20"/>
    <x v="0"/>
    <x v="3"/>
    <x v="2"/>
  </r>
  <r>
    <s v="Vion Food Group"/>
    <s v="Croplands"/>
    <s v="RoW"/>
    <n v="0"/>
    <x v="0"/>
    <x v="3"/>
    <x v="2"/>
  </r>
  <r>
    <s v="Vion Food Group"/>
    <s v="Croplands"/>
    <s v="Russian Federation"/>
    <n v="24"/>
    <x v="0"/>
    <x v="3"/>
    <x v="2"/>
  </r>
  <r>
    <s v="Vion Food Group"/>
    <s v="Croplands"/>
    <s v="South Asia"/>
    <n v="70"/>
    <x v="0"/>
    <x v="3"/>
    <x v="2"/>
  </r>
  <r>
    <s v="Vion Food Group"/>
    <s v="Croplands"/>
    <s v="Sub-Saharan Africa"/>
    <n v="8"/>
    <x v="0"/>
    <x v="3"/>
    <x v="2"/>
  </r>
  <r>
    <s v="Vion Food Group"/>
    <s v="Croplands"/>
    <s v="Western Europe"/>
    <n v="13880"/>
    <x v="0"/>
    <x v="3"/>
    <x v="2"/>
  </r>
  <r>
    <s v="Westfleisch"/>
    <s v="Grazing"/>
    <s v="East Asia and Southeast Asia"/>
    <n v="0"/>
    <x v="0"/>
    <x v="3"/>
    <x v="2"/>
  </r>
  <r>
    <s v="Westfleisch"/>
    <s v="Grazing"/>
    <s v="Eastern Europe"/>
    <n v="9"/>
    <x v="0"/>
    <x v="3"/>
    <x v="2"/>
  </r>
  <r>
    <s v="Westfleisch"/>
    <s v="Grazing"/>
    <s v="Latin America and the Caribbean"/>
    <n v="0"/>
    <x v="0"/>
    <x v="3"/>
    <x v="2"/>
  </r>
  <r>
    <s v="Westfleisch"/>
    <s v="Grazing"/>
    <s v="Near East and North Africa"/>
    <n v="0"/>
    <x v="0"/>
    <x v="3"/>
    <x v="2"/>
  </r>
  <r>
    <s v="Westfleisch"/>
    <s v="Grazing"/>
    <s v="North America"/>
    <n v="0"/>
    <x v="0"/>
    <x v="3"/>
    <x v="2"/>
  </r>
  <r>
    <s v="Westfleisch"/>
    <s v="Grazing"/>
    <s v="Oceania"/>
    <n v="0"/>
    <x v="0"/>
    <x v="3"/>
    <x v="2"/>
  </r>
  <r>
    <s v="Westfleisch"/>
    <s v="Grazing"/>
    <s v="RoW"/>
    <n v="0"/>
    <x v="0"/>
    <x v="3"/>
    <x v="2"/>
  </r>
  <r>
    <s v="Westfleisch"/>
    <s v="Grazing"/>
    <s v="Russian Federation"/>
    <n v="0"/>
    <x v="0"/>
    <x v="3"/>
    <x v="2"/>
  </r>
  <r>
    <s v="Westfleisch"/>
    <s v="Grazing"/>
    <s v="South Asia"/>
    <n v="0"/>
    <x v="0"/>
    <x v="3"/>
    <x v="2"/>
  </r>
  <r>
    <s v="Westfleisch"/>
    <s v="Grazing"/>
    <s v="Sub-Saharan Africa"/>
    <n v="0"/>
    <x v="0"/>
    <x v="3"/>
    <x v="2"/>
  </r>
  <r>
    <s v="Westfleisch"/>
    <s v="Grazing"/>
    <s v="Western Europe"/>
    <n v="12345"/>
    <x v="0"/>
    <x v="3"/>
    <x v="2"/>
  </r>
  <r>
    <s v="Westfleisch"/>
    <s v="Croplands"/>
    <s v="East Asia and Southeast Asia"/>
    <n v="43"/>
    <x v="0"/>
    <x v="3"/>
    <x v="2"/>
  </r>
  <r>
    <s v="Westfleisch"/>
    <s v="Croplands"/>
    <s v="Eastern Europe"/>
    <n v="505"/>
    <x v="0"/>
    <x v="3"/>
    <x v="2"/>
  </r>
  <r>
    <s v="Westfleisch"/>
    <s v="Croplands"/>
    <s v="Latin America and the Caribbean"/>
    <n v="93"/>
    <x v="0"/>
    <x v="3"/>
    <x v="2"/>
  </r>
  <r>
    <s v="Westfleisch"/>
    <s v="Croplands"/>
    <s v="Near East and North Africa"/>
    <n v="9"/>
    <x v="0"/>
    <x v="3"/>
    <x v="2"/>
  </r>
  <r>
    <s v="Westfleisch"/>
    <s v="Croplands"/>
    <s v="North America"/>
    <n v="182"/>
    <x v="0"/>
    <x v="3"/>
    <x v="2"/>
  </r>
  <r>
    <s v="Westfleisch"/>
    <s v="Croplands"/>
    <s v="Oceania"/>
    <n v="9"/>
    <x v="0"/>
    <x v="3"/>
    <x v="2"/>
  </r>
  <r>
    <s v="Westfleisch"/>
    <s v="Croplands"/>
    <s v="RoW"/>
    <n v="0"/>
    <x v="0"/>
    <x v="3"/>
    <x v="2"/>
  </r>
  <r>
    <s v="Westfleisch"/>
    <s v="Croplands"/>
    <s v="Russian Federation"/>
    <n v="10"/>
    <x v="0"/>
    <x v="3"/>
    <x v="2"/>
  </r>
  <r>
    <s v="Westfleisch"/>
    <s v="Croplands"/>
    <s v="South Asia"/>
    <n v="29"/>
    <x v="0"/>
    <x v="3"/>
    <x v="2"/>
  </r>
  <r>
    <s v="Westfleisch"/>
    <s v="Croplands"/>
    <s v="Sub-Saharan Africa"/>
    <n v="3"/>
    <x v="0"/>
    <x v="3"/>
    <x v="2"/>
  </r>
  <r>
    <s v="Westfleisch"/>
    <s v="Croplands"/>
    <s v="Western Europe"/>
    <n v="5808"/>
    <x v="0"/>
    <x v="3"/>
    <x v="2"/>
  </r>
  <r>
    <s v="Arab Company for Livestock Development (ACOLID)"/>
    <s v="Grazing"/>
    <s v="East Asia and Southeast Asia"/>
    <n v="0"/>
    <x v="1"/>
    <x v="0"/>
    <x v="0"/>
  </r>
  <r>
    <s v="Arab Company for Livestock Development (ACOLID)"/>
    <s v="Grazing"/>
    <s v="Eastern Europe"/>
    <n v="0"/>
    <x v="1"/>
    <x v="0"/>
    <x v="0"/>
  </r>
  <r>
    <s v="Arab Company for Livestock Development (ACOLID)"/>
    <s v="Grazing"/>
    <s v="Latin America and the Caribbean"/>
    <n v="0"/>
    <x v="1"/>
    <x v="0"/>
    <x v="0"/>
  </r>
  <r>
    <s v="Arab Company for Livestock Development (ACOLID)"/>
    <s v="Grazing"/>
    <s v="Near East and North Africa"/>
    <n v="113"/>
    <x v="1"/>
    <x v="0"/>
    <x v="0"/>
  </r>
  <r>
    <s v="Arab Company for Livestock Development (ACOLID)"/>
    <s v="Grazing"/>
    <s v="North America"/>
    <n v="0"/>
    <x v="1"/>
    <x v="0"/>
    <x v="0"/>
  </r>
  <r>
    <s v="Arab Company for Livestock Development (ACOLID)"/>
    <s v="Grazing"/>
    <s v="Oceania"/>
    <n v="0"/>
    <x v="1"/>
    <x v="0"/>
    <x v="0"/>
  </r>
  <r>
    <s v="Arab Company for Livestock Development (ACOLID)"/>
    <s v="Grazing"/>
    <s v="RoW"/>
    <n v="0"/>
    <x v="1"/>
    <x v="0"/>
    <x v="0"/>
  </r>
  <r>
    <s v="Arab Company for Livestock Development (ACOLID)"/>
    <s v="Grazing"/>
    <s v="Russian Federation"/>
    <n v="0"/>
    <x v="1"/>
    <x v="0"/>
    <x v="0"/>
  </r>
  <r>
    <s v="Arab Company for Livestock Development (ACOLID)"/>
    <s v="Grazing"/>
    <s v="South Asia"/>
    <n v="0"/>
    <x v="1"/>
    <x v="0"/>
    <x v="0"/>
  </r>
  <r>
    <s v="Arab Company for Livestock Development (ACOLID)"/>
    <s v="Grazing"/>
    <s v="Sub-Saharan Africa"/>
    <n v="0"/>
    <x v="1"/>
    <x v="0"/>
    <x v="0"/>
  </r>
  <r>
    <s v="Arab Company for Livestock Development (ACOLID)"/>
    <s v="Grazing"/>
    <s v="Western Europe"/>
    <n v="0"/>
    <x v="1"/>
    <x v="0"/>
    <x v="0"/>
  </r>
  <r>
    <s v="Arab Company for Livestock Development (ACOLID)"/>
    <s v="Croplands"/>
    <s v="East Asia and Southeast Asia"/>
    <n v="5"/>
    <x v="1"/>
    <x v="0"/>
    <x v="0"/>
  </r>
  <r>
    <s v="Arab Company for Livestock Development (ACOLID)"/>
    <s v="Croplands"/>
    <s v="Eastern Europe"/>
    <n v="170"/>
    <x v="1"/>
    <x v="0"/>
    <x v="0"/>
  </r>
  <r>
    <s v="Arab Company for Livestock Development (ACOLID)"/>
    <s v="Croplands"/>
    <s v="Latin America and the Caribbean"/>
    <n v="149"/>
    <x v="1"/>
    <x v="0"/>
    <x v="0"/>
  </r>
  <r>
    <s v="Arab Company for Livestock Development (ACOLID)"/>
    <s v="Croplands"/>
    <s v="Near East and North Africa"/>
    <n v="508"/>
    <x v="1"/>
    <x v="0"/>
    <x v="0"/>
  </r>
  <r>
    <s v="Arab Company for Livestock Development (ACOLID)"/>
    <s v="Croplands"/>
    <s v="North America"/>
    <n v="58"/>
    <x v="1"/>
    <x v="0"/>
    <x v="0"/>
  </r>
  <r>
    <s v="Arab Company for Livestock Development (ACOLID)"/>
    <s v="Croplands"/>
    <s v="Oceania"/>
    <n v="21"/>
    <x v="1"/>
    <x v="0"/>
    <x v="0"/>
  </r>
  <r>
    <s v="Arab Company for Livestock Development (ACOLID)"/>
    <s v="Croplands"/>
    <s v="RoW"/>
    <n v="0"/>
    <x v="1"/>
    <x v="0"/>
    <x v="0"/>
  </r>
  <r>
    <s v="Arab Company for Livestock Development (ACOLID)"/>
    <s v="Croplands"/>
    <s v="Russian Federation"/>
    <n v="211"/>
    <x v="1"/>
    <x v="0"/>
    <x v="0"/>
  </r>
  <r>
    <s v="Arab Company for Livestock Development (ACOLID)"/>
    <s v="Croplands"/>
    <s v="South Asia"/>
    <n v="7"/>
    <x v="1"/>
    <x v="0"/>
    <x v="0"/>
  </r>
  <r>
    <s v="Arab Company for Livestock Development (ACOLID)"/>
    <s v="Croplands"/>
    <s v="Sub-Saharan Africa"/>
    <n v="3"/>
    <x v="1"/>
    <x v="0"/>
    <x v="0"/>
  </r>
  <r>
    <s v="Arab Company for Livestock Development (ACOLID)"/>
    <s v="Croplands"/>
    <s v="Western Europe"/>
    <n v="42"/>
    <x v="1"/>
    <x v="0"/>
    <x v="0"/>
  </r>
  <r>
    <s v="Aurora Alimentos"/>
    <s v="Grazing"/>
    <s v="East Asia and Southeast Asia"/>
    <n v="0"/>
    <x v="1"/>
    <x v="0"/>
    <x v="0"/>
  </r>
  <r>
    <s v="Aurora Alimentos"/>
    <s v="Grazing"/>
    <s v="Eastern Europe"/>
    <n v="0"/>
    <x v="1"/>
    <x v="0"/>
    <x v="0"/>
  </r>
  <r>
    <s v="Aurora Alimentos"/>
    <s v="Grazing"/>
    <s v="Latin America and the Caribbean"/>
    <n v="28"/>
    <x v="1"/>
    <x v="0"/>
    <x v="0"/>
  </r>
  <r>
    <s v="Aurora Alimentos"/>
    <s v="Grazing"/>
    <s v="Near East and North Africa"/>
    <n v="0"/>
    <x v="1"/>
    <x v="0"/>
    <x v="0"/>
  </r>
  <r>
    <s v="Aurora Alimentos"/>
    <s v="Grazing"/>
    <s v="North America"/>
    <n v="0"/>
    <x v="1"/>
    <x v="0"/>
    <x v="0"/>
  </r>
  <r>
    <s v="Aurora Alimentos"/>
    <s v="Grazing"/>
    <s v="Oceania"/>
    <n v="0"/>
    <x v="1"/>
    <x v="0"/>
    <x v="0"/>
  </r>
  <r>
    <s v="Aurora Alimentos"/>
    <s v="Grazing"/>
    <s v="RoW"/>
    <n v="0"/>
    <x v="1"/>
    <x v="0"/>
    <x v="0"/>
  </r>
  <r>
    <s v="Aurora Alimentos"/>
    <s v="Grazing"/>
    <s v="Russian Federation"/>
    <n v="0"/>
    <x v="1"/>
    <x v="0"/>
    <x v="0"/>
  </r>
  <r>
    <s v="Aurora Alimentos"/>
    <s v="Grazing"/>
    <s v="South Asia"/>
    <n v="0"/>
    <x v="1"/>
    <x v="0"/>
    <x v="0"/>
  </r>
  <r>
    <s v="Aurora Alimentos"/>
    <s v="Grazing"/>
    <s v="Sub-Saharan Africa"/>
    <n v="0"/>
    <x v="1"/>
    <x v="0"/>
    <x v="0"/>
  </r>
  <r>
    <s v="Aurora Alimentos"/>
    <s v="Grazing"/>
    <s v="Western Europe"/>
    <n v="0"/>
    <x v="1"/>
    <x v="0"/>
    <x v="0"/>
  </r>
  <r>
    <s v="Aurora Alimentos"/>
    <s v="Croplands"/>
    <s v="East Asia and Southeast Asia"/>
    <n v="0"/>
    <x v="1"/>
    <x v="0"/>
    <x v="0"/>
  </r>
  <r>
    <s v="Aurora Alimentos"/>
    <s v="Croplands"/>
    <s v="Eastern Europe"/>
    <n v="0"/>
    <x v="1"/>
    <x v="0"/>
    <x v="0"/>
  </r>
  <r>
    <s v="Aurora Alimentos"/>
    <s v="Croplands"/>
    <s v="Latin America and the Caribbean"/>
    <n v="276"/>
    <x v="1"/>
    <x v="0"/>
    <x v="0"/>
  </r>
  <r>
    <s v="Aurora Alimentos"/>
    <s v="Croplands"/>
    <s v="Near East and North Africa"/>
    <n v="0"/>
    <x v="1"/>
    <x v="0"/>
    <x v="0"/>
  </r>
  <r>
    <s v="Aurora Alimentos"/>
    <s v="Croplands"/>
    <s v="North America"/>
    <n v="33"/>
    <x v="1"/>
    <x v="0"/>
    <x v="0"/>
  </r>
  <r>
    <s v="Aurora Alimentos"/>
    <s v="Croplands"/>
    <s v="Oceania"/>
    <n v="0"/>
    <x v="1"/>
    <x v="0"/>
    <x v="0"/>
  </r>
  <r>
    <s v="Aurora Alimentos"/>
    <s v="Croplands"/>
    <s v="RoW"/>
    <n v="0"/>
    <x v="1"/>
    <x v="0"/>
    <x v="0"/>
  </r>
  <r>
    <s v="Aurora Alimentos"/>
    <s v="Croplands"/>
    <s v="Russian Federation"/>
    <n v="0"/>
    <x v="1"/>
    <x v="0"/>
    <x v="0"/>
  </r>
  <r>
    <s v="Aurora Alimentos"/>
    <s v="Croplands"/>
    <s v="South Asia"/>
    <n v="0"/>
    <x v="1"/>
    <x v="0"/>
    <x v="0"/>
  </r>
  <r>
    <s v="Aurora Alimentos"/>
    <s v="Croplands"/>
    <s v="Sub-Saharan Africa"/>
    <n v="0"/>
    <x v="1"/>
    <x v="0"/>
    <x v="0"/>
  </r>
  <r>
    <s v="Aurora Alimentos"/>
    <s v="Croplands"/>
    <s v="Western Europe"/>
    <n v="0"/>
    <x v="1"/>
    <x v="0"/>
    <x v="0"/>
  </r>
  <r>
    <s v="BRF"/>
    <s v="Grazing"/>
    <s v="East Asia and Southeast Asia"/>
    <n v="0"/>
    <x v="1"/>
    <x v="0"/>
    <x v="0"/>
  </r>
  <r>
    <s v="BRF"/>
    <s v="Grazing"/>
    <s v="Eastern Europe"/>
    <n v="0"/>
    <x v="1"/>
    <x v="0"/>
    <x v="0"/>
  </r>
  <r>
    <s v="BRF"/>
    <s v="Grazing"/>
    <s v="Latin America and the Caribbean"/>
    <n v="141"/>
    <x v="1"/>
    <x v="0"/>
    <x v="0"/>
  </r>
  <r>
    <s v="BRF"/>
    <s v="Grazing"/>
    <s v="Near East and North Africa"/>
    <n v="0"/>
    <x v="1"/>
    <x v="0"/>
    <x v="0"/>
  </r>
  <r>
    <s v="BRF"/>
    <s v="Grazing"/>
    <s v="North America"/>
    <n v="2"/>
    <x v="1"/>
    <x v="0"/>
    <x v="0"/>
  </r>
  <r>
    <s v="BRF"/>
    <s v="Grazing"/>
    <s v="Oceania"/>
    <n v="0"/>
    <x v="1"/>
    <x v="0"/>
    <x v="0"/>
  </r>
  <r>
    <s v="BRF"/>
    <s v="Grazing"/>
    <s v="RoW"/>
    <n v="0"/>
    <x v="1"/>
    <x v="0"/>
    <x v="0"/>
  </r>
  <r>
    <s v="BRF"/>
    <s v="Grazing"/>
    <s v="Russian Federation"/>
    <n v="0"/>
    <x v="1"/>
    <x v="0"/>
    <x v="0"/>
  </r>
  <r>
    <s v="BRF"/>
    <s v="Grazing"/>
    <s v="South Asia"/>
    <n v="0"/>
    <x v="1"/>
    <x v="0"/>
    <x v="0"/>
  </r>
  <r>
    <s v="BRF"/>
    <s v="Grazing"/>
    <s v="Sub-Saharan Africa"/>
    <n v="0"/>
    <x v="1"/>
    <x v="0"/>
    <x v="0"/>
  </r>
  <r>
    <s v="BRF"/>
    <s v="Grazing"/>
    <s v="Western Europe"/>
    <n v="0"/>
    <x v="1"/>
    <x v="0"/>
    <x v="0"/>
  </r>
  <r>
    <s v="BRF"/>
    <s v="Croplands"/>
    <s v="East Asia and Southeast Asia"/>
    <n v="0"/>
    <x v="1"/>
    <x v="0"/>
    <x v="0"/>
  </r>
  <r>
    <s v="BRF"/>
    <s v="Croplands"/>
    <s v="Eastern Europe"/>
    <n v="1"/>
    <x v="1"/>
    <x v="0"/>
    <x v="0"/>
  </r>
  <r>
    <s v="BRF"/>
    <s v="Croplands"/>
    <s v="Latin America and the Caribbean"/>
    <n v="1385"/>
    <x v="1"/>
    <x v="0"/>
    <x v="0"/>
  </r>
  <r>
    <s v="BRF"/>
    <s v="Croplands"/>
    <s v="Near East and North Africa"/>
    <n v="4"/>
    <x v="1"/>
    <x v="0"/>
    <x v="0"/>
  </r>
  <r>
    <s v="BRF"/>
    <s v="Croplands"/>
    <s v="North America"/>
    <n v="167"/>
    <x v="1"/>
    <x v="0"/>
    <x v="0"/>
  </r>
  <r>
    <s v="BRF"/>
    <s v="Croplands"/>
    <s v="Oceania"/>
    <n v="0"/>
    <x v="1"/>
    <x v="0"/>
    <x v="0"/>
  </r>
  <r>
    <s v="BRF"/>
    <s v="Croplands"/>
    <s v="RoW"/>
    <n v="0"/>
    <x v="1"/>
    <x v="0"/>
    <x v="0"/>
  </r>
  <r>
    <s v="BRF"/>
    <s v="Croplands"/>
    <s v="Russian Federation"/>
    <n v="4"/>
    <x v="1"/>
    <x v="0"/>
    <x v="0"/>
  </r>
  <r>
    <s v="BRF"/>
    <s v="Croplands"/>
    <s v="South Asia"/>
    <n v="3"/>
    <x v="1"/>
    <x v="0"/>
    <x v="0"/>
  </r>
  <r>
    <s v="BRF"/>
    <s v="Croplands"/>
    <s v="Sub-Saharan Africa"/>
    <n v="3"/>
    <x v="1"/>
    <x v="0"/>
    <x v="0"/>
  </r>
  <r>
    <s v="BRF"/>
    <s v="Croplands"/>
    <s v="Western Europe"/>
    <n v="1"/>
    <x v="1"/>
    <x v="0"/>
    <x v="0"/>
  </r>
  <r>
    <s v="Cargill"/>
    <s v="Grazing"/>
    <s v="East Asia and Southeast Asia"/>
    <n v="4"/>
    <x v="1"/>
    <x v="0"/>
    <x v="0"/>
  </r>
  <r>
    <s v="Cargill"/>
    <s v="Grazing"/>
    <s v="Eastern Europe"/>
    <n v="0"/>
    <x v="1"/>
    <x v="0"/>
    <x v="0"/>
  </r>
  <r>
    <s v="Cargill"/>
    <s v="Grazing"/>
    <s v="Latin America and the Caribbean"/>
    <n v="28"/>
    <x v="1"/>
    <x v="0"/>
    <x v="0"/>
  </r>
  <r>
    <s v="Cargill"/>
    <s v="Grazing"/>
    <s v="Near East and North Africa"/>
    <n v="0"/>
    <x v="1"/>
    <x v="0"/>
    <x v="0"/>
  </r>
  <r>
    <s v="Cargill"/>
    <s v="Grazing"/>
    <s v="North America"/>
    <n v="144"/>
    <x v="1"/>
    <x v="0"/>
    <x v="0"/>
  </r>
  <r>
    <s v="Cargill"/>
    <s v="Grazing"/>
    <s v="Oceania"/>
    <n v="7"/>
    <x v="1"/>
    <x v="0"/>
    <x v="0"/>
  </r>
  <r>
    <s v="Cargill"/>
    <s v="Grazing"/>
    <s v="RoW"/>
    <n v="0"/>
    <x v="1"/>
    <x v="0"/>
    <x v="0"/>
  </r>
  <r>
    <s v="Cargill"/>
    <s v="Grazing"/>
    <s v="Russian Federation"/>
    <n v="0"/>
    <x v="1"/>
    <x v="0"/>
    <x v="0"/>
  </r>
  <r>
    <s v="Cargill"/>
    <s v="Grazing"/>
    <s v="South Asia"/>
    <n v="0"/>
    <x v="1"/>
    <x v="0"/>
    <x v="0"/>
  </r>
  <r>
    <s v="Cargill"/>
    <s v="Grazing"/>
    <s v="Sub-Saharan Africa"/>
    <n v="0"/>
    <x v="1"/>
    <x v="0"/>
    <x v="0"/>
  </r>
  <r>
    <s v="Cargill"/>
    <s v="Grazing"/>
    <s v="Western Europe"/>
    <n v="8"/>
    <x v="1"/>
    <x v="0"/>
    <x v="0"/>
  </r>
  <r>
    <s v="Cargill"/>
    <s v="Croplands"/>
    <s v="East Asia and Southeast Asia"/>
    <n v="58"/>
    <x v="1"/>
    <x v="0"/>
    <x v="0"/>
  </r>
  <r>
    <s v="Cargill"/>
    <s v="Croplands"/>
    <s v="Eastern Europe"/>
    <n v="24"/>
    <x v="1"/>
    <x v="0"/>
    <x v="0"/>
  </r>
  <r>
    <s v="Cargill"/>
    <s v="Croplands"/>
    <s v="Latin America and the Caribbean"/>
    <n v="276"/>
    <x v="1"/>
    <x v="0"/>
    <x v="0"/>
  </r>
  <r>
    <s v="Cargill"/>
    <s v="Croplands"/>
    <s v="Near East and North Africa"/>
    <n v="2"/>
    <x v="1"/>
    <x v="0"/>
    <x v="0"/>
  </r>
  <r>
    <s v="Cargill"/>
    <s v="Croplands"/>
    <s v="North America"/>
    <n v="430"/>
    <x v="1"/>
    <x v="0"/>
    <x v="0"/>
  </r>
  <r>
    <s v="Cargill"/>
    <s v="Croplands"/>
    <s v="Oceania"/>
    <n v="4"/>
    <x v="1"/>
    <x v="0"/>
    <x v="0"/>
  </r>
  <r>
    <s v="Cargill"/>
    <s v="Croplands"/>
    <s v="RoW"/>
    <n v="0"/>
    <x v="1"/>
    <x v="0"/>
    <x v="0"/>
  </r>
  <r>
    <s v="Cargill"/>
    <s v="Croplands"/>
    <s v="Russian Federation"/>
    <n v="5"/>
    <x v="1"/>
    <x v="0"/>
    <x v="0"/>
  </r>
  <r>
    <s v="Cargill"/>
    <s v="Croplands"/>
    <s v="South Asia"/>
    <n v="7"/>
    <x v="1"/>
    <x v="0"/>
    <x v="0"/>
  </r>
  <r>
    <s v="Cargill"/>
    <s v="Croplands"/>
    <s v="Sub-Saharan Africa"/>
    <n v="2"/>
    <x v="1"/>
    <x v="0"/>
    <x v="0"/>
  </r>
  <r>
    <s v="Cargill"/>
    <s v="Croplands"/>
    <s v="Western Europe"/>
    <n v="85"/>
    <x v="1"/>
    <x v="0"/>
    <x v="0"/>
  </r>
  <r>
    <s v="Charoen Pokphand"/>
    <s v="Grazing"/>
    <s v="East Asia and Southeast Asia"/>
    <n v="13"/>
    <x v="1"/>
    <x v="0"/>
    <x v="0"/>
  </r>
  <r>
    <s v="Charoen Pokphand"/>
    <s v="Grazing"/>
    <s v="Eastern Europe"/>
    <n v="2"/>
    <x v="1"/>
    <x v="0"/>
    <x v="0"/>
  </r>
  <r>
    <s v="Charoen Pokphand"/>
    <s v="Grazing"/>
    <s v="Latin America and the Caribbean"/>
    <n v="2"/>
    <x v="1"/>
    <x v="0"/>
    <x v="0"/>
  </r>
  <r>
    <s v="Charoen Pokphand"/>
    <s v="Grazing"/>
    <s v="Near East and North Africa"/>
    <n v="0"/>
    <x v="1"/>
    <x v="0"/>
    <x v="0"/>
  </r>
  <r>
    <s v="Charoen Pokphand"/>
    <s v="Grazing"/>
    <s v="North America"/>
    <n v="3"/>
    <x v="1"/>
    <x v="0"/>
    <x v="0"/>
  </r>
  <r>
    <s v="Charoen Pokphand"/>
    <s v="Grazing"/>
    <s v="Oceania"/>
    <n v="13"/>
    <x v="1"/>
    <x v="0"/>
    <x v="0"/>
  </r>
  <r>
    <s v="Charoen Pokphand"/>
    <s v="Grazing"/>
    <s v="RoW"/>
    <n v="0"/>
    <x v="1"/>
    <x v="0"/>
    <x v="0"/>
  </r>
  <r>
    <s v="Charoen Pokphand"/>
    <s v="Grazing"/>
    <s v="Russian Federation"/>
    <n v="37"/>
    <x v="1"/>
    <x v="0"/>
    <x v="0"/>
  </r>
  <r>
    <s v="Charoen Pokphand"/>
    <s v="Grazing"/>
    <s v="South Asia"/>
    <n v="0"/>
    <x v="1"/>
    <x v="0"/>
    <x v="0"/>
  </r>
  <r>
    <s v="Charoen Pokphand"/>
    <s v="Grazing"/>
    <s v="Sub-Saharan Africa"/>
    <n v="2"/>
    <x v="1"/>
    <x v="0"/>
    <x v="0"/>
  </r>
  <r>
    <s v="Charoen Pokphand"/>
    <s v="Grazing"/>
    <s v="Western Europe"/>
    <n v="4"/>
    <x v="1"/>
    <x v="0"/>
    <x v="0"/>
  </r>
  <r>
    <s v="Charoen Pokphand"/>
    <s v="Croplands"/>
    <s v="East Asia and Southeast Asia"/>
    <n v="214"/>
    <x v="1"/>
    <x v="0"/>
    <x v="0"/>
  </r>
  <r>
    <s v="Charoen Pokphand"/>
    <s v="Croplands"/>
    <s v="Eastern Europe"/>
    <n v="11"/>
    <x v="1"/>
    <x v="0"/>
    <x v="0"/>
  </r>
  <r>
    <s v="Charoen Pokphand"/>
    <s v="Croplands"/>
    <s v="Latin America and the Caribbean"/>
    <n v="118"/>
    <x v="1"/>
    <x v="0"/>
    <x v="0"/>
  </r>
  <r>
    <s v="Charoen Pokphand"/>
    <s v="Croplands"/>
    <s v="Near East and North Africa"/>
    <n v="3"/>
    <x v="1"/>
    <x v="0"/>
    <x v="0"/>
  </r>
  <r>
    <s v="Charoen Pokphand"/>
    <s v="Croplands"/>
    <s v="North America"/>
    <n v="60"/>
    <x v="1"/>
    <x v="0"/>
    <x v="0"/>
  </r>
  <r>
    <s v="Charoen Pokphand"/>
    <s v="Croplands"/>
    <s v="Oceania"/>
    <n v="11"/>
    <x v="1"/>
    <x v="0"/>
    <x v="0"/>
  </r>
  <r>
    <s v="Charoen Pokphand"/>
    <s v="Croplands"/>
    <s v="RoW"/>
    <n v="0"/>
    <x v="1"/>
    <x v="0"/>
    <x v="0"/>
  </r>
  <r>
    <s v="Charoen Pokphand"/>
    <s v="Croplands"/>
    <s v="Russian Federation"/>
    <n v="108"/>
    <x v="1"/>
    <x v="0"/>
    <x v="0"/>
  </r>
  <r>
    <s v="Charoen Pokphand"/>
    <s v="Croplands"/>
    <s v="South Asia"/>
    <n v="7"/>
    <x v="1"/>
    <x v="0"/>
    <x v="0"/>
  </r>
  <r>
    <s v="Charoen Pokphand"/>
    <s v="Croplands"/>
    <s v="Sub-Saharan Africa"/>
    <n v="2"/>
    <x v="1"/>
    <x v="0"/>
    <x v="0"/>
  </r>
  <r>
    <s v="Charoen Pokphand"/>
    <s v="Croplands"/>
    <s v="Western Europe"/>
    <n v="3"/>
    <x v="1"/>
    <x v="0"/>
    <x v="0"/>
  </r>
  <r>
    <s v="Continental Grain Company"/>
    <s v="Grazing"/>
    <s v="East Asia and Southeast Asia"/>
    <n v="0"/>
    <x v="1"/>
    <x v="0"/>
    <x v="0"/>
  </r>
  <r>
    <s v="Continental Grain Company"/>
    <s v="Grazing"/>
    <s v="Eastern Europe"/>
    <n v="0"/>
    <x v="1"/>
    <x v="0"/>
    <x v="0"/>
  </r>
  <r>
    <s v="Continental Grain Company"/>
    <s v="Grazing"/>
    <s v="Latin America and the Caribbean"/>
    <n v="5"/>
    <x v="1"/>
    <x v="0"/>
    <x v="0"/>
  </r>
  <r>
    <s v="Continental Grain Company"/>
    <s v="Grazing"/>
    <s v="Near East and North Africa"/>
    <n v="0"/>
    <x v="1"/>
    <x v="0"/>
    <x v="0"/>
  </r>
  <r>
    <s v="Continental Grain Company"/>
    <s v="Grazing"/>
    <s v="North America"/>
    <n v="142"/>
    <x v="1"/>
    <x v="0"/>
    <x v="0"/>
  </r>
  <r>
    <s v="Continental Grain Company"/>
    <s v="Grazing"/>
    <s v="Oceania"/>
    <n v="3"/>
    <x v="1"/>
    <x v="0"/>
    <x v="0"/>
  </r>
  <r>
    <s v="Continental Grain Company"/>
    <s v="Grazing"/>
    <s v="RoW"/>
    <n v="0"/>
    <x v="1"/>
    <x v="0"/>
    <x v="0"/>
  </r>
  <r>
    <s v="Continental Grain Company"/>
    <s v="Grazing"/>
    <s v="Russian Federation"/>
    <n v="0"/>
    <x v="1"/>
    <x v="0"/>
    <x v="0"/>
  </r>
  <r>
    <s v="Continental Grain Company"/>
    <s v="Grazing"/>
    <s v="South Asia"/>
    <n v="0"/>
    <x v="1"/>
    <x v="0"/>
    <x v="0"/>
  </r>
  <r>
    <s v="Continental Grain Company"/>
    <s v="Grazing"/>
    <s v="Sub-Saharan Africa"/>
    <n v="0"/>
    <x v="1"/>
    <x v="0"/>
    <x v="0"/>
  </r>
  <r>
    <s v="Continental Grain Company"/>
    <s v="Grazing"/>
    <s v="Western Europe"/>
    <n v="0"/>
    <x v="1"/>
    <x v="0"/>
    <x v="0"/>
  </r>
  <r>
    <s v="Continental Grain Company"/>
    <s v="Croplands"/>
    <s v="East Asia and Southeast Asia"/>
    <n v="0"/>
    <x v="1"/>
    <x v="0"/>
    <x v="0"/>
  </r>
  <r>
    <s v="Continental Grain Company"/>
    <s v="Croplands"/>
    <s v="Eastern Europe"/>
    <n v="0"/>
    <x v="1"/>
    <x v="0"/>
    <x v="0"/>
  </r>
  <r>
    <s v="Continental Grain Company"/>
    <s v="Croplands"/>
    <s v="Latin America and the Caribbean"/>
    <n v="2"/>
    <x v="1"/>
    <x v="0"/>
    <x v="0"/>
  </r>
  <r>
    <s v="Continental Grain Company"/>
    <s v="Croplands"/>
    <s v="Near East and North Africa"/>
    <n v="0"/>
    <x v="1"/>
    <x v="0"/>
    <x v="0"/>
  </r>
  <r>
    <s v="Continental Grain Company"/>
    <s v="Croplands"/>
    <s v="North America"/>
    <n v="380"/>
    <x v="1"/>
    <x v="0"/>
    <x v="0"/>
  </r>
  <r>
    <s v="Continental Grain Company"/>
    <s v="Croplands"/>
    <s v="Oceania"/>
    <n v="0"/>
    <x v="1"/>
    <x v="0"/>
    <x v="0"/>
  </r>
  <r>
    <s v="Continental Grain Company"/>
    <s v="Croplands"/>
    <s v="RoW"/>
    <n v="0"/>
    <x v="1"/>
    <x v="0"/>
    <x v="0"/>
  </r>
  <r>
    <s v="Continental Grain Company"/>
    <s v="Croplands"/>
    <s v="Russian Federation"/>
    <n v="0"/>
    <x v="1"/>
    <x v="0"/>
    <x v="0"/>
  </r>
  <r>
    <s v="Continental Grain Company"/>
    <s v="Croplands"/>
    <s v="South Asia"/>
    <n v="4"/>
    <x v="1"/>
    <x v="0"/>
    <x v="0"/>
  </r>
  <r>
    <s v="Continental Grain Company"/>
    <s v="Croplands"/>
    <s v="Sub-Saharan Africa"/>
    <n v="0"/>
    <x v="1"/>
    <x v="0"/>
    <x v="0"/>
  </r>
  <r>
    <s v="Continental Grain Company"/>
    <s v="Croplands"/>
    <s v="Western Europe"/>
    <n v="0"/>
    <x v="1"/>
    <x v="0"/>
    <x v="0"/>
  </r>
  <r>
    <s v="Fuijan Sunner Development"/>
    <s v="Grazing"/>
    <s v="East Asia and Southeast Asia"/>
    <n v="13"/>
    <x v="1"/>
    <x v="0"/>
    <x v="0"/>
  </r>
  <r>
    <s v="Fuijan Sunner Development"/>
    <s v="Grazing"/>
    <s v="Eastern Europe"/>
    <n v="1"/>
    <x v="1"/>
    <x v="0"/>
    <x v="0"/>
  </r>
  <r>
    <s v="Fuijan Sunner Development"/>
    <s v="Grazing"/>
    <s v="Latin America and the Caribbean"/>
    <n v="1"/>
    <x v="1"/>
    <x v="0"/>
    <x v="0"/>
  </r>
  <r>
    <s v="Fuijan Sunner Development"/>
    <s v="Grazing"/>
    <s v="Near East and North Africa"/>
    <n v="0"/>
    <x v="1"/>
    <x v="0"/>
    <x v="0"/>
  </r>
  <r>
    <s v="Fuijan Sunner Development"/>
    <s v="Grazing"/>
    <s v="North America"/>
    <n v="3"/>
    <x v="1"/>
    <x v="0"/>
    <x v="0"/>
  </r>
  <r>
    <s v="Fuijan Sunner Development"/>
    <s v="Grazing"/>
    <s v="Oceania"/>
    <n v="13"/>
    <x v="1"/>
    <x v="0"/>
    <x v="0"/>
  </r>
  <r>
    <s v="Fuijan Sunner Development"/>
    <s v="Grazing"/>
    <s v="RoW"/>
    <n v="0"/>
    <x v="1"/>
    <x v="0"/>
    <x v="0"/>
  </r>
  <r>
    <s v="Fuijan Sunner Development"/>
    <s v="Grazing"/>
    <s v="Russian Federation"/>
    <n v="1"/>
    <x v="1"/>
    <x v="0"/>
    <x v="0"/>
  </r>
  <r>
    <s v="Fuijan Sunner Development"/>
    <s v="Grazing"/>
    <s v="South Asia"/>
    <n v="0"/>
    <x v="1"/>
    <x v="0"/>
    <x v="0"/>
  </r>
  <r>
    <s v="Fuijan Sunner Development"/>
    <s v="Grazing"/>
    <s v="Sub-Saharan Africa"/>
    <n v="2"/>
    <x v="1"/>
    <x v="0"/>
    <x v="0"/>
  </r>
  <r>
    <s v="Fuijan Sunner Development"/>
    <s v="Grazing"/>
    <s v="Western Europe"/>
    <n v="4"/>
    <x v="1"/>
    <x v="0"/>
    <x v="0"/>
  </r>
  <r>
    <s v="Fuijan Sunner Development"/>
    <s v="Croplands"/>
    <s v="East Asia and Southeast Asia"/>
    <n v="213"/>
    <x v="1"/>
    <x v="0"/>
    <x v="0"/>
  </r>
  <r>
    <s v="Fuijan Sunner Development"/>
    <s v="Croplands"/>
    <s v="Eastern Europe"/>
    <n v="10"/>
    <x v="1"/>
    <x v="0"/>
    <x v="0"/>
  </r>
  <r>
    <s v="Fuijan Sunner Development"/>
    <s v="Croplands"/>
    <s v="Latin America and the Caribbean"/>
    <n v="115"/>
    <x v="1"/>
    <x v="0"/>
    <x v="0"/>
  </r>
  <r>
    <s v="Fuijan Sunner Development"/>
    <s v="Croplands"/>
    <s v="Near East and North Africa"/>
    <n v="2"/>
    <x v="1"/>
    <x v="0"/>
    <x v="0"/>
  </r>
  <r>
    <s v="Fuijan Sunner Development"/>
    <s v="Croplands"/>
    <s v="North America"/>
    <n v="60"/>
    <x v="1"/>
    <x v="0"/>
    <x v="0"/>
  </r>
  <r>
    <s v="Fuijan Sunner Development"/>
    <s v="Croplands"/>
    <s v="Oceania"/>
    <n v="11"/>
    <x v="1"/>
    <x v="0"/>
    <x v="0"/>
  </r>
  <r>
    <s v="Fuijan Sunner Development"/>
    <s v="Croplands"/>
    <s v="RoW"/>
    <n v="0"/>
    <x v="1"/>
    <x v="0"/>
    <x v="0"/>
  </r>
  <r>
    <s v="Fuijan Sunner Development"/>
    <s v="Croplands"/>
    <s v="Russian Federation"/>
    <n v="4"/>
    <x v="1"/>
    <x v="0"/>
    <x v="0"/>
  </r>
  <r>
    <s v="Fuijan Sunner Development"/>
    <s v="Croplands"/>
    <s v="South Asia"/>
    <n v="7"/>
    <x v="1"/>
    <x v="0"/>
    <x v="0"/>
  </r>
  <r>
    <s v="Fuijan Sunner Development"/>
    <s v="Croplands"/>
    <s v="Sub-Saharan Africa"/>
    <n v="2"/>
    <x v="1"/>
    <x v="0"/>
    <x v="0"/>
  </r>
  <r>
    <s v="Fuijan Sunner Development"/>
    <s v="Croplands"/>
    <s v="Western Europe"/>
    <n v="3"/>
    <x v="1"/>
    <x v="0"/>
    <x v="0"/>
  </r>
  <r>
    <s v="Industrias Bachoco"/>
    <s v="Grazing"/>
    <s v="East Asia and Southeast Asia"/>
    <n v="0"/>
    <x v="1"/>
    <x v="0"/>
    <x v="0"/>
  </r>
  <r>
    <s v="Industrias Bachoco"/>
    <s v="Grazing"/>
    <s v="Eastern Europe"/>
    <n v="0"/>
    <x v="1"/>
    <x v="0"/>
    <x v="0"/>
  </r>
  <r>
    <s v="Industrias Bachoco"/>
    <s v="Grazing"/>
    <s v="Latin America and the Caribbean"/>
    <n v="45"/>
    <x v="1"/>
    <x v="0"/>
    <x v="0"/>
  </r>
  <r>
    <s v="Industrias Bachoco"/>
    <s v="Grazing"/>
    <s v="Near East and North Africa"/>
    <n v="0"/>
    <x v="1"/>
    <x v="0"/>
    <x v="0"/>
  </r>
  <r>
    <s v="Industrias Bachoco"/>
    <s v="Grazing"/>
    <s v="North America"/>
    <n v="36"/>
    <x v="1"/>
    <x v="0"/>
    <x v="0"/>
  </r>
  <r>
    <s v="Industrias Bachoco"/>
    <s v="Grazing"/>
    <s v="Oceania"/>
    <n v="1"/>
    <x v="1"/>
    <x v="0"/>
    <x v="0"/>
  </r>
  <r>
    <s v="Industrias Bachoco"/>
    <s v="Grazing"/>
    <s v="RoW"/>
    <n v="0"/>
    <x v="1"/>
    <x v="0"/>
    <x v="0"/>
  </r>
  <r>
    <s v="Industrias Bachoco"/>
    <s v="Grazing"/>
    <s v="Russian Federation"/>
    <n v="0"/>
    <x v="1"/>
    <x v="0"/>
    <x v="0"/>
  </r>
  <r>
    <s v="Industrias Bachoco"/>
    <s v="Grazing"/>
    <s v="South Asia"/>
    <n v="0"/>
    <x v="1"/>
    <x v="0"/>
    <x v="0"/>
  </r>
  <r>
    <s v="Industrias Bachoco"/>
    <s v="Grazing"/>
    <s v="Sub-Saharan Africa"/>
    <n v="0"/>
    <x v="1"/>
    <x v="0"/>
    <x v="0"/>
  </r>
  <r>
    <s v="Industrias Bachoco"/>
    <s v="Grazing"/>
    <s v="Western Europe"/>
    <n v="0"/>
    <x v="1"/>
    <x v="0"/>
    <x v="0"/>
  </r>
  <r>
    <s v="Industrias Bachoco"/>
    <s v="Croplands"/>
    <s v="East Asia and Southeast Asia"/>
    <n v="0"/>
    <x v="1"/>
    <x v="0"/>
    <x v="0"/>
  </r>
  <r>
    <s v="Industrias Bachoco"/>
    <s v="Croplands"/>
    <s v="Eastern Europe"/>
    <n v="0"/>
    <x v="1"/>
    <x v="0"/>
    <x v="0"/>
  </r>
  <r>
    <s v="Industrias Bachoco"/>
    <s v="Croplands"/>
    <s v="Latin America and the Caribbean"/>
    <n v="434"/>
    <x v="1"/>
    <x v="0"/>
    <x v="0"/>
  </r>
  <r>
    <s v="Industrias Bachoco"/>
    <s v="Croplands"/>
    <s v="Near East and North Africa"/>
    <n v="1"/>
    <x v="1"/>
    <x v="0"/>
    <x v="0"/>
  </r>
  <r>
    <s v="Industrias Bachoco"/>
    <s v="Croplands"/>
    <s v="North America"/>
    <n v="148"/>
    <x v="1"/>
    <x v="0"/>
    <x v="0"/>
  </r>
  <r>
    <s v="Industrias Bachoco"/>
    <s v="Croplands"/>
    <s v="Oceania"/>
    <n v="0"/>
    <x v="1"/>
    <x v="0"/>
    <x v="0"/>
  </r>
  <r>
    <s v="Industrias Bachoco"/>
    <s v="Croplands"/>
    <s v="RoW"/>
    <n v="0"/>
    <x v="1"/>
    <x v="0"/>
    <x v="0"/>
  </r>
  <r>
    <s v="Industrias Bachoco"/>
    <s v="Croplands"/>
    <s v="Russian Federation"/>
    <n v="1"/>
    <x v="1"/>
    <x v="0"/>
    <x v="0"/>
  </r>
  <r>
    <s v="Industrias Bachoco"/>
    <s v="Croplands"/>
    <s v="South Asia"/>
    <n v="2"/>
    <x v="1"/>
    <x v="0"/>
    <x v="0"/>
  </r>
  <r>
    <s v="Industrias Bachoco"/>
    <s v="Croplands"/>
    <s v="Sub-Saharan Africa"/>
    <n v="0"/>
    <x v="1"/>
    <x v="0"/>
    <x v="0"/>
  </r>
  <r>
    <s v="Industrias Bachoco"/>
    <s v="Croplands"/>
    <s v="Western Europe"/>
    <n v="0"/>
    <x v="1"/>
    <x v="0"/>
    <x v="0"/>
  </r>
  <r>
    <s v="Japfa"/>
    <s v="Grazing"/>
    <s v="East Asia and Southeast Asia"/>
    <n v="19"/>
    <x v="1"/>
    <x v="0"/>
    <x v="0"/>
  </r>
  <r>
    <s v="Japfa"/>
    <s v="Grazing"/>
    <s v="Eastern Europe"/>
    <n v="2"/>
    <x v="1"/>
    <x v="0"/>
    <x v="0"/>
  </r>
  <r>
    <s v="Japfa"/>
    <s v="Grazing"/>
    <s v="Latin America and the Caribbean"/>
    <n v="2"/>
    <x v="1"/>
    <x v="0"/>
    <x v="0"/>
  </r>
  <r>
    <s v="Japfa"/>
    <s v="Grazing"/>
    <s v="Near East and North Africa"/>
    <n v="0"/>
    <x v="1"/>
    <x v="0"/>
    <x v="0"/>
  </r>
  <r>
    <s v="Japfa"/>
    <s v="Grazing"/>
    <s v="North America"/>
    <n v="4"/>
    <x v="1"/>
    <x v="0"/>
    <x v="0"/>
  </r>
  <r>
    <s v="Japfa"/>
    <s v="Grazing"/>
    <s v="Oceania"/>
    <n v="19"/>
    <x v="1"/>
    <x v="0"/>
    <x v="0"/>
  </r>
  <r>
    <s v="Japfa"/>
    <s v="Grazing"/>
    <s v="RoW"/>
    <n v="0"/>
    <x v="1"/>
    <x v="0"/>
    <x v="0"/>
  </r>
  <r>
    <s v="Japfa"/>
    <s v="Grazing"/>
    <s v="Russian Federation"/>
    <n v="1"/>
    <x v="1"/>
    <x v="0"/>
    <x v="0"/>
  </r>
  <r>
    <s v="Japfa"/>
    <s v="Grazing"/>
    <s v="South Asia"/>
    <n v="0"/>
    <x v="1"/>
    <x v="0"/>
    <x v="0"/>
  </r>
  <r>
    <s v="Japfa"/>
    <s v="Grazing"/>
    <s v="Sub-Saharan Africa"/>
    <n v="3"/>
    <x v="1"/>
    <x v="0"/>
    <x v="0"/>
  </r>
  <r>
    <s v="Japfa"/>
    <s v="Grazing"/>
    <s v="Western Europe"/>
    <n v="6"/>
    <x v="1"/>
    <x v="0"/>
    <x v="0"/>
  </r>
  <r>
    <s v="Japfa"/>
    <s v="Croplands"/>
    <s v="East Asia and Southeast Asia"/>
    <n v="307"/>
    <x v="1"/>
    <x v="0"/>
    <x v="0"/>
  </r>
  <r>
    <s v="Japfa"/>
    <s v="Croplands"/>
    <s v="Eastern Europe"/>
    <n v="14"/>
    <x v="1"/>
    <x v="0"/>
    <x v="0"/>
  </r>
  <r>
    <s v="Japfa"/>
    <s v="Croplands"/>
    <s v="Latin America and the Caribbean"/>
    <n v="166"/>
    <x v="1"/>
    <x v="0"/>
    <x v="0"/>
  </r>
  <r>
    <s v="Japfa"/>
    <s v="Croplands"/>
    <s v="Near East and North Africa"/>
    <n v="3"/>
    <x v="1"/>
    <x v="0"/>
    <x v="0"/>
  </r>
  <r>
    <s v="Japfa"/>
    <s v="Croplands"/>
    <s v="North America"/>
    <n v="86"/>
    <x v="1"/>
    <x v="0"/>
    <x v="0"/>
  </r>
  <r>
    <s v="Japfa"/>
    <s v="Croplands"/>
    <s v="Oceania"/>
    <n v="15"/>
    <x v="1"/>
    <x v="0"/>
    <x v="0"/>
  </r>
  <r>
    <s v="Japfa"/>
    <s v="Croplands"/>
    <s v="RoW"/>
    <n v="0"/>
    <x v="1"/>
    <x v="0"/>
    <x v="0"/>
  </r>
  <r>
    <s v="Japfa"/>
    <s v="Croplands"/>
    <s v="Russian Federation"/>
    <n v="6"/>
    <x v="1"/>
    <x v="0"/>
    <x v="0"/>
  </r>
  <r>
    <s v="Japfa"/>
    <s v="Croplands"/>
    <s v="South Asia"/>
    <n v="10"/>
    <x v="1"/>
    <x v="0"/>
    <x v="0"/>
  </r>
  <r>
    <s v="Japfa"/>
    <s v="Croplands"/>
    <s v="Sub-Saharan Africa"/>
    <n v="3"/>
    <x v="1"/>
    <x v="0"/>
    <x v="0"/>
  </r>
  <r>
    <s v="Japfa"/>
    <s v="Croplands"/>
    <s v="Western Europe"/>
    <n v="4"/>
    <x v="1"/>
    <x v="0"/>
    <x v="0"/>
  </r>
  <r>
    <s v="JBS"/>
    <s v="Grazing"/>
    <s v="East Asia and Southeast Asia"/>
    <n v="1"/>
    <x v="1"/>
    <x v="0"/>
    <x v="0"/>
  </r>
  <r>
    <s v="JBS"/>
    <s v="Grazing"/>
    <s v="Eastern Europe"/>
    <n v="0"/>
    <x v="1"/>
    <x v="0"/>
    <x v="0"/>
  </r>
  <r>
    <s v="JBS"/>
    <s v="Grazing"/>
    <s v="Latin America and the Caribbean"/>
    <n v="139"/>
    <x v="1"/>
    <x v="0"/>
    <x v="0"/>
  </r>
  <r>
    <s v="JBS"/>
    <s v="Grazing"/>
    <s v="Near East and North Africa"/>
    <n v="0"/>
    <x v="1"/>
    <x v="0"/>
    <x v="0"/>
  </r>
  <r>
    <s v="JBS"/>
    <s v="Grazing"/>
    <s v="North America"/>
    <n v="481"/>
    <x v="1"/>
    <x v="0"/>
    <x v="0"/>
  </r>
  <r>
    <s v="JBS"/>
    <s v="Grazing"/>
    <s v="Oceania"/>
    <n v="12"/>
    <x v="1"/>
    <x v="0"/>
    <x v="0"/>
  </r>
  <r>
    <s v="JBS"/>
    <s v="Grazing"/>
    <s v="RoW"/>
    <n v="0"/>
    <x v="1"/>
    <x v="0"/>
    <x v="0"/>
  </r>
  <r>
    <s v="JBS"/>
    <s v="Grazing"/>
    <s v="Russian Federation"/>
    <n v="0"/>
    <x v="1"/>
    <x v="0"/>
    <x v="0"/>
  </r>
  <r>
    <s v="JBS"/>
    <s v="Grazing"/>
    <s v="South Asia"/>
    <n v="0"/>
    <x v="1"/>
    <x v="0"/>
    <x v="0"/>
  </r>
  <r>
    <s v="JBS"/>
    <s v="Grazing"/>
    <s v="Sub-Saharan Africa"/>
    <n v="0"/>
    <x v="1"/>
    <x v="0"/>
    <x v="0"/>
  </r>
  <r>
    <s v="JBS"/>
    <s v="Grazing"/>
    <s v="Western Europe"/>
    <n v="18"/>
    <x v="1"/>
    <x v="0"/>
    <x v="0"/>
  </r>
  <r>
    <s v="JBS"/>
    <s v="Croplands"/>
    <s v="East Asia and Southeast Asia"/>
    <n v="5"/>
    <x v="1"/>
    <x v="0"/>
    <x v="0"/>
  </r>
  <r>
    <s v="JBS"/>
    <s v="Croplands"/>
    <s v="Eastern Europe"/>
    <n v="59"/>
    <x v="1"/>
    <x v="0"/>
    <x v="0"/>
  </r>
  <r>
    <s v="JBS"/>
    <s v="Croplands"/>
    <s v="Latin America and the Caribbean"/>
    <n v="1252"/>
    <x v="1"/>
    <x v="0"/>
    <x v="0"/>
  </r>
  <r>
    <s v="JBS"/>
    <s v="Croplands"/>
    <s v="Near East and North Africa"/>
    <n v="7"/>
    <x v="1"/>
    <x v="0"/>
    <x v="0"/>
  </r>
  <r>
    <s v="JBS"/>
    <s v="Croplands"/>
    <s v="North America"/>
    <n v="1443"/>
    <x v="1"/>
    <x v="0"/>
    <x v="0"/>
  </r>
  <r>
    <s v="JBS"/>
    <s v="Croplands"/>
    <s v="Oceania"/>
    <n v="3"/>
    <x v="1"/>
    <x v="0"/>
    <x v="0"/>
  </r>
  <r>
    <s v="JBS"/>
    <s v="Croplands"/>
    <s v="RoW"/>
    <n v="0"/>
    <x v="1"/>
    <x v="0"/>
    <x v="0"/>
  </r>
  <r>
    <s v="JBS"/>
    <s v="Croplands"/>
    <s v="Russian Federation"/>
    <n v="12"/>
    <x v="1"/>
    <x v="0"/>
    <x v="0"/>
  </r>
  <r>
    <s v="JBS"/>
    <s v="Croplands"/>
    <s v="South Asia"/>
    <n v="19"/>
    <x v="1"/>
    <x v="0"/>
    <x v="0"/>
  </r>
  <r>
    <s v="JBS"/>
    <s v="Croplands"/>
    <s v="Sub-Saharan Africa"/>
    <n v="4"/>
    <x v="1"/>
    <x v="0"/>
    <x v="0"/>
  </r>
  <r>
    <s v="JBS"/>
    <s v="Croplands"/>
    <s v="Western Europe"/>
    <n v="233"/>
    <x v="1"/>
    <x v="0"/>
    <x v="0"/>
  </r>
  <r>
    <s v="Koch Foods"/>
    <s v="Grazing"/>
    <s v="East Asia and Southeast Asia"/>
    <n v="0"/>
    <x v="1"/>
    <x v="0"/>
    <x v="0"/>
  </r>
  <r>
    <s v="Koch Foods"/>
    <s v="Grazing"/>
    <s v="Eastern Europe"/>
    <n v="0"/>
    <x v="1"/>
    <x v="0"/>
    <x v="0"/>
  </r>
  <r>
    <s v="Koch Foods"/>
    <s v="Grazing"/>
    <s v="Latin America and the Caribbean"/>
    <n v="6"/>
    <x v="1"/>
    <x v="0"/>
    <x v="0"/>
  </r>
  <r>
    <s v="Koch Foods"/>
    <s v="Grazing"/>
    <s v="Near East and North Africa"/>
    <n v="0"/>
    <x v="1"/>
    <x v="0"/>
    <x v="0"/>
  </r>
  <r>
    <s v="Koch Foods"/>
    <s v="Grazing"/>
    <s v="North America"/>
    <n v="178"/>
    <x v="1"/>
    <x v="0"/>
    <x v="0"/>
  </r>
  <r>
    <s v="Koch Foods"/>
    <s v="Grazing"/>
    <s v="Oceania"/>
    <n v="4"/>
    <x v="1"/>
    <x v="0"/>
    <x v="0"/>
  </r>
  <r>
    <s v="Koch Foods"/>
    <s v="Grazing"/>
    <s v="RoW"/>
    <n v="0"/>
    <x v="1"/>
    <x v="0"/>
    <x v="0"/>
  </r>
  <r>
    <s v="Koch Foods"/>
    <s v="Grazing"/>
    <s v="Russian Federation"/>
    <n v="0"/>
    <x v="1"/>
    <x v="0"/>
    <x v="0"/>
  </r>
  <r>
    <s v="Koch Foods"/>
    <s v="Grazing"/>
    <s v="South Asia"/>
    <n v="0"/>
    <x v="1"/>
    <x v="0"/>
    <x v="0"/>
  </r>
  <r>
    <s v="Koch Foods"/>
    <s v="Grazing"/>
    <s v="Sub-Saharan Africa"/>
    <n v="0"/>
    <x v="1"/>
    <x v="0"/>
    <x v="0"/>
  </r>
  <r>
    <s v="Koch Foods"/>
    <s v="Grazing"/>
    <s v="Western Europe"/>
    <n v="0"/>
    <x v="1"/>
    <x v="0"/>
    <x v="0"/>
  </r>
  <r>
    <s v="Koch Foods"/>
    <s v="Croplands"/>
    <s v="East Asia and Southeast Asia"/>
    <n v="0"/>
    <x v="1"/>
    <x v="0"/>
    <x v="0"/>
  </r>
  <r>
    <s v="Koch Foods"/>
    <s v="Croplands"/>
    <s v="Eastern Europe"/>
    <n v="0"/>
    <x v="1"/>
    <x v="0"/>
    <x v="0"/>
  </r>
  <r>
    <s v="Koch Foods"/>
    <s v="Croplands"/>
    <s v="Latin America and the Caribbean"/>
    <n v="2"/>
    <x v="1"/>
    <x v="0"/>
    <x v="0"/>
  </r>
  <r>
    <s v="Koch Foods"/>
    <s v="Croplands"/>
    <s v="Near East and North Africa"/>
    <n v="0"/>
    <x v="1"/>
    <x v="0"/>
    <x v="0"/>
  </r>
  <r>
    <s v="Koch Foods"/>
    <s v="Croplands"/>
    <s v="North America"/>
    <n v="475"/>
    <x v="1"/>
    <x v="0"/>
    <x v="0"/>
  </r>
  <r>
    <s v="Koch Foods"/>
    <s v="Croplands"/>
    <s v="Oceania"/>
    <n v="0"/>
    <x v="1"/>
    <x v="0"/>
    <x v="0"/>
  </r>
  <r>
    <s v="Koch Foods"/>
    <s v="Croplands"/>
    <s v="RoW"/>
    <n v="0"/>
    <x v="1"/>
    <x v="0"/>
    <x v="0"/>
  </r>
  <r>
    <s v="Koch Foods"/>
    <s v="Croplands"/>
    <s v="Russian Federation"/>
    <n v="0"/>
    <x v="1"/>
    <x v="0"/>
    <x v="0"/>
  </r>
  <r>
    <s v="Koch Foods"/>
    <s v="Croplands"/>
    <s v="South Asia"/>
    <n v="5"/>
    <x v="1"/>
    <x v="0"/>
    <x v="0"/>
  </r>
  <r>
    <s v="Koch Foods"/>
    <s v="Croplands"/>
    <s v="Sub-Saharan Africa"/>
    <n v="0"/>
    <x v="1"/>
    <x v="0"/>
    <x v="0"/>
  </r>
  <r>
    <s v="Koch Foods"/>
    <s v="Croplands"/>
    <s v="Western Europe"/>
    <n v="0"/>
    <x v="1"/>
    <x v="0"/>
    <x v="0"/>
  </r>
  <r>
    <s v="MHP"/>
    <s v="Grazing"/>
    <s v="East Asia and Southeast Asia"/>
    <n v="0"/>
    <x v="1"/>
    <x v="0"/>
    <x v="0"/>
  </r>
  <r>
    <s v="MHP"/>
    <s v="Grazing"/>
    <s v="Eastern Europe"/>
    <n v="20"/>
    <x v="1"/>
    <x v="0"/>
    <x v="0"/>
  </r>
  <r>
    <s v="MHP"/>
    <s v="Grazing"/>
    <s v="Latin America and the Caribbean"/>
    <n v="0"/>
    <x v="1"/>
    <x v="0"/>
    <x v="0"/>
  </r>
  <r>
    <s v="MHP"/>
    <s v="Grazing"/>
    <s v="Near East and North Africa"/>
    <n v="0"/>
    <x v="1"/>
    <x v="0"/>
    <x v="0"/>
  </r>
  <r>
    <s v="MHP"/>
    <s v="Grazing"/>
    <s v="North America"/>
    <n v="0"/>
    <x v="1"/>
    <x v="0"/>
    <x v="0"/>
  </r>
  <r>
    <s v="MHP"/>
    <s v="Grazing"/>
    <s v="Oceania"/>
    <n v="0"/>
    <x v="1"/>
    <x v="0"/>
    <x v="0"/>
  </r>
  <r>
    <s v="MHP"/>
    <s v="Grazing"/>
    <s v="RoW"/>
    <n v="0"/>
    <x v="1"/>
    <x v="0"/>
    <x v="0"/>
  </r>
  <r>
    <s v="MHP"/>
    <s v="Grazing"/>
    <s v="Russian Federation"/>
    <n v="0"/>
    <x v="1"/>
    <x v="0"/>
    <x v="0"/>
  </r>
  <r>
    <s v="MHP"/>
    <s v="Grazing"/>
    <s v="South Asia"/>
    <n v="0"/>
    <x v="1"/>
    <x v="0"/>
    <x v="0"/>
  </r>
  <r>
    <s v="MHP"/>
    <s v="Grazing"/>
    <s v="Sub-Saharan Africa"/>
    <n v="0"/>
    <x v="1"/>
    <x v="0"/>
    <x v="0"/>
  </r>
  <r>
    <s v="MHP"/>
    <s v="Grazing"/>
    <s v="Western Europe"/>
    <n v="0"/>
    <x v="1"/>
    <x v="0"/>
    <x v="0"/>
  </r>
  <r>
    <s v="MHP"/>
    <s v="Croplands"/>
    <s v="East Asia and Southeast Asia"/>
    <n v="1"/>
    <x v="1"/>
    <x v="0"/>
    <x v="0"/>
  </r>
  <r>
    <s v="MHP"/>
    <s v="Croplands"/>
    <s v="Eastern Europe"/>
    <n v="457"/>
    <x v="1"/>
    <x v="0"/>
    <x v="0"/>
  </r>
  <r>
    <s v="MHP"/>
    <s v="Croplands"/>
    <s v="Latin America and the Caribbean"/>
    <n v="27"/>
    <x v="1"/>
    <x v="0"/>
    <x v="0"/>
  </r>
  <r>
    <s v="MHP"/>
    <s v="Croplands"/>
    <s v="Near East and North Africa"/>
    <n v="1"/>
    <x v="1"/>
    <x v="0"/>
    <x v="0"/>
  </r>
  <r>
    <s v="MHP"/>
    <s v="Croplands"/>
    <s v="North America"/>
    <n v="2"/>
    <x v="1"/>
    <x v="0"/>
    <x v="0"/>
  </r>
  <r>
    <s v="MHP"/>
    <s v="Croplands"/>
    <s v="Oceania"/>
    <n v="0"/>
    <x v="1"/>
    <x v="0"/>
    <x v="0"/>
  </r>
  <r>
    <s v="MHP"/>
    <s v="Croplands"/>
    <s v="RoW"/>
    <n v="0"/>
    <x v="1"/>
    <x v="0"/>
    <x v="0"/>
  </r>
  <r>
    <s v="MHP"/>
    <s v="Croplands"/>
    <s v="Russian Federation"/>
    <n v="9"/>
    <x v="1"/>
    <x v="0"/>
    <x v="0"/>
  </r>
  <r>
    <s v="MHP"/>
    <s v="Croplands"/>
    <s v="South Asia"/>
    <n v="0"/>
    <x v="1"/>
    <x v="0"/>
    <x v="0"/>
  </r>
  <r>
    <s v="MHP"/>
    <s v="Croplands"/>
    <s v="Sub-Saharan Africa"/>
    <n v="0"/>
    <x v="1"/>
    <x v="0"/>
    <x v="0"/>
  </r>
  <r>
    <s v="MHP"/>
    <s v="Croplands"/>
    <s v="Western Europe"/>
    <n v="13"/>
    <x v="1"/>
    <x v="0"/>
    <x v="0"/>
  </r>
  <r>
    <s v="New Hope Group"/>
    <s v="Grazing"/>
    <s v="East Asia and Southeast Asia"/>
    <n v="13"/>
    <x v="1"/>
    <x v="0"/>
    <x v="0"/>
  </r>
  <r>
    <s v="New Hope Group"/>
    <s v="Grazing"/>
    <s v="Eastern Europe"/>
    <n v="1"/>
    <x v="1"/>
    <x v="0"/>
    <x v="0"/>
  </r>
  <r>
    <s v="New Hope Group"/>
    <s v="Grazing"/>
    <s v="Latin America and the Caribbean"/>
    <n v="1"/>
    <x v="1"/>
    <x v="0"/>
    <x v="0"/>
  </r>
  <r>
    <s v="New Hope Group"/>
    <s v="Grazing"/>
    <s v="Near East and North Africa"/>
    <n v="0"/>
    <x v="1"/>
    <x v="0"/>
    <x v="0"/>
  </r>
  <r>
    <s v="New Hope Group"/>
    <s v="Grazing"/>
    <s v="North America"/>
    <n v="3"/>
    <x v="1"/>
    <x v="0"/>
    <x v="0"/>
  </r>
  <r>
    <s v="New Hope Group"/>
    <s v="Grazing"/>
    <s v="Oceania"/>
    <n v="13"/>
    <x v="1"/>
    <x v="0"/>
    <x v="0"/>
  </r>
  <r>
    <s v="New Hope Group"/>
    <s v="Grazing"/>
    <s v="RoW"/>
    <n v="0"/>
    <x v="1"/>
    <x v="0"/>
    <x v="0"/>
  </r>
  <r>
    <s v="New Hope Group"/>
    <s v="Grazing"/>
    <s v="Russian Federation"/>
    <n v="0"/>
    <x v="1"/>
    <x v="0"/>
    <x v="0"/>
  </r>
  <r>
    <s v="New Hope Group"/>
    <s v="Grazing"/>
    <s v="South Asia"/>
    <n v="0"/>
    <x v="1"/>
    <x v="0"/>
    <x v="0"/>
  </r>
  <r>
    <s v="New Hope Group"/>
    <s v="Grazing"/>
    <s v="Sub-Saharan Africa"/>
    <n v="2"/>
    <x v="1"/>
    <x v="0"/>
    <x v="0"/>
  </r>
  <r>
    <s v="New Hope Group"/>
    <s v="Grazing"/>
    <s v="Western Europe"/>
    <n v="4"/>
    <x v="1"/>
    <x v="0"/>
    <x v="0"/>
  </r>
  <r>
    <s v="New Hope Group"/>
    <s v="Croplands"/>
    <s v="East Asia and Southeast Asia"/>
    <n v="206"/>
    <x v="1"/>
    <x v="0"/>
    <x v="0"/>
  </r>
  <r>
    <s v="New Hope Group"/>
    <s v="Croplands"/>
    <s v="Eastern Europe"/>
    <n v="10"/>
    <x v="1"/>
    <x v="0"/>
    <x v="0"/>
  </r>
  <r>
    <s v="New Hope Group"/>
    <s v="Croplands"/>
    <s v="Latin America and the Caribbean"/>
    <n v="112"/>
    <x v="1"/>
    <x v="0"/>
    <x v="0"/>
  </r>
  <r>
    <s v="New Hope Group"/>
    <s v="Croplands"/>
    <s v="Near East and North Africa"/>
    <n v="2"/>
    <x v="1"/>
    <x v="0"/>
    <x v="0"/>
  </r>
  <r>
    <s v="New Hope Group"/>
    <s v="Croplands"/>
    <s v="North America"/>
    <n v="58"/>
    <x v="1"/>
    <x v="0"/>
    <x v="0"/>
  </r>
  <r>
    <s v="New Hope Group"/>
    <s v="Croplands"/>
    <s v="Oceania"/>
    <n v="10"/>
    <x v="1"/>
    <x v="0"/>
    <x v="0"/>
  </r>
  <r>
    <s v="New Hope Group"/>
    <s v="Croplands"/>
    <s v="RoW"/>
    <n v="0"/>
    <x v="1"/>
    <x v="0"/>
    <x v="0"/>
  </r>
  <r>
    <s v="New Hope Group"/>
    <s v="Croplands"/>
    <s v="Russian Federation"/>
    <n v="4"/>
    <x v="1"/>
    <x v="0"/>
    <x v="0"/>
  </r>
  <r>
    <s v="New Hope Group"/>
    <s v="Croplands"/>
    <s v="South Asia"/>
    <n v="7"/>
    <x v="1"/>
    <x v="0"/>
    <x v="0"/>
  </r>
  <r>
    <s v="New Hope Group"/>
    <s v="Croplands"/>
    <s v="Sub-Saharan Africa"/>
    <n v="2"/>
    <x v="1"/>
    <x v="0"/>
    <x v="0"/>
  </r>
  <r>
    <s v="New Hope Group"/>
    <s v="Croplands"/>
    <s v="Western Europe"/>
    <n v="3"/>
    <x v="1"/>
    <x v="0"/>
    <x v="0"/>
  </r>
  <r>
    <s v="Perdue Farms"/>
    <s v="Grazing"/>
    <s v="East Asia and Southeast Asia"/>
    <n v="0"/>
    <x v="1"/>
    <x v="0"/>
    <x v="0"/>
  </r>
  <r>
    <s v="Perdue Farms"/>
    <s v="Grazing"/>
    <s v="Eastern Europe"/>
    <n v="0"/>
    <x v="1"/>
    <x v="0"/>
    <x v="0"/>
  </r>
  <r>
    <s v="Perdue Farms"/>
    <s v="Grazing"/>
    <s v="Latin America and the Caribbean"/>
    <n v="5"/>
    <x v="1"/>
    <x v="0"/>
    <x v="0"/>
  </r>
  <r>
    <s v="Perdue Farms"/>
    <s v="Grazing"/>
    <s v="Near East and North Africa"/>
    <n v="0"/>
    <x v="1"/>
    <x v="0"/>
    <x v="0"/>
  </r>
  <r>
    <s v="Perdue Farms"/>
    <s v="Grazing"/>
    <s v="North America"/>
    <n v="163"/>
    <x v="1"/>
    <x v="0"/>
    <x v="0"/>
  </r>
  <r>
    <s v="Perdue Farms"/>
    <s v="Grazing"/>
    <s v="Oceania"/>
    <n v="4"/>
    <x v="1"/>
    <x v="0"/>
    <x v="0"/>
  </r>
  <r>
    <s v="Perdue Farms"/>
    <s v="Grazing"/>
    <s v="RoW"/>
    <n v="0"/>
    <x v="1"/>
    <x v="0"/>
    <x v="0"/>
  </r>
  <r>
    <s v="Perdue Farms"/>
    <s v="Grazing"/>
    <s v="Russian Federation"/>
    <n v="0"/>
    <x v="1"/>
    <x v="0"/>
    <x v="0"/>
  </r>
  <r>
    <s v="Perdue Farms"/>
    <s v="Grazing"/>
    <s v="South Asia"/>
    <n v="0"/>
    <x v="1"/>
    <x v="0"/>
    <x v="0"/>
  </r>
  <r>
    <s v="Perdue Farms"/>
    <s v="Grazing"/>
    <s v="Sub-Saharan Africa"/>
    <n v="0"/>
    <x v="1"/>
    <x v="0"/>
    <x v="0"/>
  </r>
  <r>
    <s v="Perdue Farms"/>
    <s v="Grazing"/>
    <s v="Western Europe"/>
    <n v="0"/>
    <x v="1"/>
    <x v="0"/>
    <x v="0"/>
  </r>
  <r>
    <s v="Perdue Farms"/>
    <s v="Croplands"/>
    <s v="East Asia and Southeast Asia"/>
    <n v="0"/>
    <x v="1"/>
    <x v="0"/>
    <x v="0"/>
  </r>
  <r>
    <s v="Perdue Farms"/>
    <s v="Croplands"/>
    <s v="Eastern Europe"/>
    <n v="0"/>
    <x v="1"/>
    <x v="0"/>
    <x v="0"/>
  </r>
  <r>
    <s v="Perdue Farms"/>
    <s v="Croplands"/>
    <s v="Latin America and the Caribbean"/>
    <n v="2"/>
    <x v="1"/>
    <x v="0"/>
    <x v="0"/>
  </r>
  <r>
    <s v="Perdue Farms"/>
    <s v="Croplands"/>
    <s v="Near East and North Africa"/>
    <n v="0"/>
    <x v="1"/>
    <x v="0"/>
    <x v="0"/>
  </r>
  <r>
    <s v="Perdue Farms"/>
    <s v="Croplands"/>
    <s v="North America"/>
    <n v="436"/>
    <x v="1"/>
    <x v="0"/>
    <x v="0"/>
  </r>
  <r>
    <s v="Perdue Farms"/>
    <s v="Croplands"/>
    <s v="Oceania"/>
    <n v="0"/>
    <x v="1"/>
    <x v="0"/>
    <x v="0"/>
  </r>
  <r>
    <s v="Perdue Farms"/>
    <s v="Croplands"/>
    <s v="RoW"/>
    <n v="0"/>
    <x v="1"/>
    <x v="0"/>
    <x v="0"/>
  </r>
  <r>
    <s v="Perdue Farms"/>
    <s v="Croplands"/>
    <s v="Russian Federation"/>
    <n v="0"/>
    <x v="1"/>
    <x v="0"/>
    <x v="0"/>
  </r>
  <r>
    <s v="Perdue Farms"/>
    <s v="Croplands"/>
    <s v="South Asia"/>
    <n v="5"/>
    <x v="1"/>
    <x v="0"/>
    <x v="0"/>
  </r>
  <r>
    <s v="Perdue Farms"/>
    <s v="Croplands"/>
    <s v="Sub-Saharan Africa"/>
    <n v="0"/>
    <x v="1"/>
    <x v="0"/>
    <x v="0"/>
  </r>
  <r>
    <s v="Perdue Farms"/>
    <s v="Croplands"/>
    <s v="Western Europe"/>
    <n v="0"/>
    <x v="1"/>
    <x v="0"/>
    <x v="0"/>
  </r>
  <r>
    <s v="Tyson"/>
    <s v="Grazing"/>
    <s v="East Asia and Southeast Asia"/>
    <n v="5"/>
    <x v="1"/>
    <x v="0"/>
    <x v="0"/>
  </r>
  <r>
    <s v="Tyson"/>
    <s v="Grazing"/>
    <s v="Eastern Europe"/>
    <n v="0"/>
    <x v="1"/>
    <x v="0"/>
    <x v="0"/>
  </r>
  <r>
    <s v="Tyson"/>
    <s v="Grazing"/>
    <s v="Latin America and the Caribbean"/>
    <n v="15"/>
    <x v="1"/>
    <x v="0"/>
    <x v="0"/>
  </r>
  <r>
    <s v="Tyson"/>
    <s v="Grazing"/>
    <s v="Near East and North Africa"/>
    <n v="0"/>
    <x v="1"/>
    <x v="0"/>
    <x v="0"/>
  </r>
  <r>
    <s v="Tyson"/>
    <s v="Grazing"/>
    <s v="North America"/>
    <n v="461"/>
    <x v="1"/>
    <x v="0"/>
    <x v="0"/>
  </r>
  <r>
    <s v="Tyson"/>
    <s v="Grazing"/>
    <s v="Oceania"/>
    <n v="15"/>
    <x v="1"/>
    <x v="0"/>
    <x v="0"/>
  </r>
  <r>
    <s v="Tyson"/>
    <s v="Grazing"/>
    <s v="RoW"/>
    <n v="0"/>
    <x v="1"/>
    <x v="0"/>
    <x v="0"/>
  </r>
  <r>
    <s v="Tyson"/>
    <s v="Grazing"/>
    <s v="Russian Federation"/>
    <n v="0"/>
    <x v="1"/>
    <x v="0"/>
    <x v="0"/>
  </r>
  <r>
    <s v="Tyson"/>
    <s v="Grazing"/>
    <s v="South Asia"/>
    <n v="0"/>
    <x v="1"/>
    <x v="0"/>
    <x v="0"/>
  </r>
  <r>
    <s v="Tyson"/>
    <s v="Grazing"/>
    <s v="Sub-Saharan Africa"/>
    <n v="0"/>
    <x v="1"/>
    <x v="0"/>
    <x v="0"/>
  </r>
  <r>
    <s v="Tyson"/>
    <s v="Grazing"/>
    <s v="Western Europe"/>
    <n v="2"/>
    <x v="1"/>
    <x v="0"/>
    <x v="0"/>
  </r>
  <r>
    <s v="Tyson"/>
    <s v="Croplands"/>
    <s v="East Asia and Southeast Asia"/>
    <n v="66"/>
    <x v="1"/>
    <x v="0"/>
    <x v="0"/>
  </r>
  <r>
    <s v="Tyson"/>
    <s v="Croplands"/>
    <s v="Eastern Europe"/>
    <n v="5"/>
    <x v="1"/>
    <x v="0"/>
    <x v="0"/>
  </r>
  <r>
    <s v="Tyson"/>
    <s v="Croplands"/>
    <s v="Latin America and the Caribbean"/>
    <n v="41"/>
    <x v="1"/>
    <x v="0"/>
    <x v="0"/>
  </r>
  <r>
    <s v="Tyson"/>
    <s v="Croplands"/>
    <s v="Near East and North Africa"/>
    <n v="0"/>
    <x v="1"/>
    <x v="0"/>
    <x v="0"/>
  </r>
  <r>
    <s v="Tyson"/>
    <s v="Croplands"/>
    <s v="North America"/>
    <n v="1248"/>
    <x v="1"/>
    <x v="0"/>
    <x v="0"/>
  </r>
  <r>
    <s v="Tyson"/>
    <s v="Croplands"/>
    <s v="Oceania"/>
    <n v="4"/>
    <x v="1"/>
    <x v="0"/>
    <x v="0"/>
  </r>
  <r>
    <s v="Tyson"/>
    <s v="Croplands"/>
    <s v="RoW"/>
    <n v="0"/>
    <x v="1"/>
    <x v="0"/>
    <x v="0"/>
  </r>
  <r>
    <s v="Tyson"/>
    <s v="Croplands"/>
    <s v="Russian Federation"/>
    <n v="2"/>
    <x v="1"/>
    <x v="0"/>
    <x v="0"/>
  </r>
  <r>
    <s v="Tyson"/>
    <s v="Croplands"/>
    <s v="South Asia"/>
    <n v="15"/>
    <x v="1"/>
    <x v="0"/>
    <x v="0"/>
  </r>
  <r>
    <s v="Tyson"/>
    <s v="Croplands"/>
    <s v="Sub-Saharan Africa"/>
    <n v="1"/>
    <x v="1"/>
    <x v="0"/>
    <x v="0"/>
  </r>
  <r>
    <s v="Tyson"/>
    <s v="Croplands"/>
    <s v="Western Europe"/>
    <n v="2"/>
    <x v="1"/>
    <x v="0"/>
    <x v="0"/>
  </r>
  <r>
    <s v="Wellhope Agritech"/>
    <s v="Grazing"/>
    <s v="East Asia and Southeast Asia"/>
    <n v="15"/>
    <x v="1"/>
    <x v="0"/>
    <x v="0"/>
  </r>
  <r>
    <s v="Wellhope Agritech"/>
    <s v="Grazing"/>
    <s v="Eastern Europe"/>
    <n v="2"/>
    <x v="1"/>
    <x v="0"/>
    <x v="0"/>
  </r>
  <r>
    <s v="Wellhope Agritech"/>
    <s v="Grazing"/>
    <s v="Latin America and the Caribbean"/>
    <n v="2"/>
    <x v="1"/>
    <x v="0"/>
    <x v="0"/>
  </r>
  <r>
    <s v="Wellhope Agritech"/>
    <s v="Grazing"/>
    <s v="Near East and North Africa"/>
    <n v="0"/>
    <x v="1"/>
    <x v="0"/>
    <x v="0"/>
  </r>
  <r>
    <s v="Wellhope Agritech"/>
    <s v="Grazing"/>
    <s v="North America"/>
    <n v="4"/>
    <x v="1"/>
    <x v="0"/>
    <x v="0"/>
  </r>
  <r>
    <s v="Wellhope Agritech"/>
    <s v="Grazing"/>
    <s v="Oceania"/>
    <n v="15"/>
    <x v="1"/>
    <x v="0"/>
    <x v="0"/>
  </r>
  <r>
    <s v="Wellhope Agritech"/>
    <s v="Grazing"/>
    <s v="RoW"/>
    <n v="0"/>
    <x v="1"/>
    <x v="0"/>
    <x v="0"/>
  </r>
  <r>
    <s v="Wellhope Agritech"/>
    <s v="Grazing"/>
    <s v="Russian Federation"/>
    <n v="1"/>
    <x v="1"/>
    <x v="0"/>
    <x v="0"/>
  </r>
  <r>
    <s v="Wellhope Agritech"/>
    <s v="Grazing"/>
    <s v="South Asia"/>
    <n v="0"/>
    <x v="1"/>
    <x v="0"/>
    <x v="0"/>
  </r>
  <r>
    <s v="Wellhope Agritech"/>
    <s v="Grazing"/>
    <s v="Sub-Saharan Africa"/>
    <n v="2"/>
    <x v="1"/>
    <x v="0"/>
    <x v="0"/>
  </r>
  <r>
    <s v="Wellhope Agritech"/>
    <s v="Grazing"/>
    <s v="Western Europe"/>
    <n v="5"/>
    <x v="1"/>
    <x v="0"/>
    <x v="0"/>
  </r>
  <r>
    <s v="Wellhope Agritech"/>
    <s v="Croplands"/>
    <s v="East Asia and Southeast Asia"/>
    <n v="253"/>
    <x v="1"/>
    <x v="0"/>
    <x v="0"/>
  </r>
  <r>
    <s v="Wellhope Agritech"/>
    <s v="Croplands"/>
    <s v="Eastern Europe"/>
    <n v="12"/>
    <x v="1"/>
    <x v="0"/>
    <x v="0"/>
  </r>
  <r>
    <s v="Wellhope Agritech"/>
    <s v="Croplands"/>
    <s v="Latin America and the Caribbean"/>
    <n v="137"/>
    <x v="1"/>
    <x v="0"/>
    <x v="0"/>
  </r>
  <r>
    <s v="Wellhope Agritech"/>
    <s v="Croplands"/>
    <s v="Near East and North Africa"/>
    <n v="2"/>
    <x v="1"/>
    <x v="0"/>
    <x v="0"/>
  </r>
  <r>
    <s v="Wellhope Agritech"/>
    <s v="Croplands"/>
    <s v="North America"/>
    <n v="71"/>
    <x v="1"/>
    <x v="0"/>
    <x v="0"/>
  </r>
  <r>
    <s v="Wellhope Agritech"/>
    <s v="Croplands"/>
    <s v="Oceania"/>
    <n v="13"/>
    <x v="1"/>
    <x v="0"/>
    <x v="0"/>
  </r>
  <r>
    <s v="Wellhope Agritech"/>
    <s v="Croplands"/>
    <s v="RoW"/>
    <n v="0"/>
    <x v="1"/>
    <x v="0"/>
    <x v="0"/>
  </r>
  <r>
    <s v="Wellhope Agritech"/>
    <s v="Croplands"/>
    <s v="Russian Federation"/>
    <n v="5"/>
    <x v="1"/>
    <x v="0"/>
    <x v="0"/>
  </r>
  <r>
    <s v="Wellhope Agritech"/>
    <s v="Croplands"/>
    <s v="South Asia"/>
    <n v="8"/>
    <x v="1"/>
    <x v="0"/>
    <x v="0"/>
  </r>
  <r>
    <s v="Wellhope Agritech"/>
    <s v="Croplands"/>
    <s v="Sub-Saharan Africa"/>
    <n v="2"/>
    <x v="1"/>
    <x v="0"/>
    <x v="0"/>
  </r>
  <r>
    <s v="Wellhope Agritech"/>
    <s v="Croplands"/>
    <s v="Western Europe"/>
    <n v="3"/>
    <x v="1"/>
    <x v="0"/>
    <x v="0"/>
  </r>
  <r>
    <s v="Wen's Food Group"/>
    <s v="Grazing"/>
    <s v="East Asia and Southeast Asia"/>
    <n v="23"/>
    <x v="1"/>
    <x v="0"/>
    <x v="0"/>
  </r>
  <r>
    <s v="Wen's Food Group"/>
    <s v="Grazing"/>
    <s v="Eastern Europe"/>
    <n v="3"/>
    <x v="1"/>
    <x v="0"/>
    <x v="0"/>
  </r>
  <r>
    <s v="Wen's Food Group"/>
    <s v="Grazing"/>
    <s v="Latin America and the Caribbean"/>
    <n v="3"/>
    <x v="1"/>
    <x v="0"/>
    <x v="0"/>
  </r>
  <r>
    <s v="Wen's Food Group"/>
    <s v="Grazing"/>
    <s v="Near East and North Africa"/>
    <n v="0"/>
    <x v="1"/>
    <x v="0"/>
    <x v="0"/>
  </r>
  <r>
    <s v="Wen's Food Group"/>
    <s v="Grazing"/>
    <s v="North America"/>
    <n v="5"/>
    <x v="1"/>
    <x v="0"/>
    <x v="0"/>
  </r>
  <r>
    <s v="Wen's Food Group"/>
    <s v="Grazing"/>
    <s v="Oceania"/>
    <n v="23"/>
    <x v="1"/>
    <x v="0"/>
    <x v="0"/>
  </r>
  <r>
    <s v="Wen's Food Group"/>
    <s v="Grazing"/>
    <s v="RoW"/>
    <n v="0"/>
    <x v="1"/>
    <x v="0"/>
    <x v="0"/>
  </r>
  <r>
    <s v="Wen's Food Group"/>
    <s v="Grazing"/>
    <s v="Russian Federation"/>
    <n v="2"/>
    <x v="1"/>
    <x v="0"/>
    <x v="0"/>
  </r>
  <r>
    <s v="Wen's Food Group"/>
    <s v="Grazing"/>
    <s v="South Asia"/>
    <n v="0"/>
    <x v="1"/>
    <x v="0"/>
    <x v="0"/>
  </r>
  <r>
    <s v="Wen's Food Group"/>
    <s v="Grazing"/>
    <s v="Sub-Saharan Africa"/>
    <n v="3"/>
    <x v="1"/>
    <x v="0"/>
    <x v="0"/>
  </r>
  <r>
    <s v="Wen's Food Group"/>
    <s v="Grazing"/>
    <s v="Western Europe"/>
    <n v="8"/>
    <x v="1"/>
    <x v="0"/>
    <x v="0"/>
  </r>
  <r>
    <s v="Wen's Food Group"/>
    <s v="Croplands"/>
    <s v="East Asia and Southeast Asia"/>
    <n v="370"/>
    <x v="1"/>
    <x v="0"/>
    <x v="0"/>
  </r>
  <r>
    <s v="Wen's Food Group"/>
    <s v="Croplands"/>
    <s v="Eastern Europe"/>
    <n v="17"/>
    <x v="1"/>
    <x v="0"/>
    <x v="0"/>
  </r>
  <r>
    <s v="Wen's Food Group"/>
    <s v="Croplands"/>
    <s v="Latin America and the Caribbean"/>
    <n v="201"/>
    <x v="1"/>
    <x v="0"/>
    <x v="0"/>
  </r>
  <r>
    <s v="Wen's Food Group"/>
    <s v="Croplands"/>
    <s v="Near East and North Africa"/>
    <n v="4"/>
    <x v="1"/>
    <x v="0"/>
    <x v="0"/>
  </r>
  <r>
    <s v="Wen's Food Group"/>
    <s v="Croplands"/>
    <s v="North America"/>
    <n v="104"/>
    <x v="1"/>
    <x v="0"/>
    <x v="0"/>
  </r>
  <r>
    <s v="Wen's Food Group"/>
    <s v="Croplands"/>
    <s v="Oceania"/>
    <n v="18"/>
    <x v="1"/>
    <x v="0"/>
    <x v="0"/>
  </r>
  <r>
    <s v="Wen's Food Group"/>
    <s v="Croplands"/>
    <s v="RoW"/>
    <n v="0"/>
    <x v="1"/>
    <x v="0"/>
    <x v="0"/>
  </r>
  <r>
    <s v="Wen's Food Group"/>
    <s v="Croplands"/>
    <s v="Russian Federation"/>
    <n v="7"/>
    <x v="1"/>
    <x v="0"/>
    <x v="0"/>
  </r>
  <r>
    <s v="Wen's Food Group"/>
    <s v="Croplands"/>
    <s v="South Asia"/>
    <n v="12"/>
    <x v="1"/>
    <x v="0"/>
    <x v="0"/>
  </r>
  <r>
    <s v="Wen's Food Group"/>
    <s v="Croplands"/>
    <s v="Sub-Saharan Africa"/>
    <n v="3"/>
    <x v="1"/>
    <x v="0"/>
    <x v="0"/>
  </r>
  <r>
    <s v="Wen's Food Group"/>
    <s v="Croplands"/>
    <s v="Western Europe"/>
    <n v="5"/>
    <x v="1"/>
    <x v="0"/>
    <x v="0"/>
  </r>
  <r>
    <s v="WH Group"/>
    <s v="Grazing"/>
    <s v="East Asia and Southeast Asia"/>
    <n v="4"/>
    <x v="1"/>
    <x v="0"/>
    <x v="0"/>
  </r>
  <r>
    <s v="WH Group"/>
    <s v="Grazing"/>
    <s v="Eastern Europe"/>
    <n v="5"/>
    <x v="1"/>
    <x v="0"/>
    <x v="0"/>
  </r>
  <r>
    <s v="WH Group"/>
    <s v="Grazing"/>
    <s v="Latin America and the Caribbean"/>
    <n v="0"/>
    <x v="1"/>
    <x v="0"/>
    <x v="0"/>
  </r>
  <r>
    <s v="WH Group"/>
    <s v="Grazing"/>
    <s v="Near East and North Africa"/>
    <n v="0"/>
    <x v="1"/>
    <x v="0"/>
    <x v="0"/>
  </r>
  <r>
    <s v="WH Group"/>
    <s v="Grazing"/>
    <s v="North America"/>
    <n v="0"/>
    <x v="1"/>
    <x v="0"/>
    <x v="0"/>
  </r>
  <r>
    <s v="WH Group"/>
    <s v="Grazing"/>
    <s v="Oceania"/>
    <n v="4"/>
    <x v="1"/>
    <x v="0"/>
    <x v="0"/>
  </r>
  <r>
    <s v="WH Group"/>
    <s v="Grazing"/>
    <s v="RoW"/>
    <n v="0"/>
    <x v="1"/>
    <x v="0"/>
    <x v="0"/>
  </r>
  <r>
    <s v="WH Group"/>
    <s v="Grazing"/>
    <s v="Russian Federation"/>
    <n v="0"/>
    <x v="1"/>
    <x v="0"/>
    <x v="0"/>
  </r>
  <r>
    <s v="WH Group"/>
    <s v="Grazing"/>
    <s v="South Asia"/>
    <n v="0"/>
    <x v="1"/>
    <x v="0"/>
    <x v="0"/>
  </r>
  <r>
    <s v="WH Group"/>
    <s v="Grazing"/>
    <s v="Sub-Saharan Africa"/>
    <n v="0"/>
    <x v="1"/>
    <x v="0"/>
    <x v="0"/>
  </r>
  <r>
    <s v="WH Group"/>
    <s v="Grazing"/>
    <s v="Western Europe"/>
    <n v="2"/>
    <x v="1"/>
    <x v="0"/>
    <x v="0"/>
  </r>
  <r>
    <s v="WH Group"/>
    <s v="Croplands"/>
    <s v="East Asia and Southeast Asia"/>
    <n v="66"/>
    <x v="1"/>
    <x v="0"/>
    <x v="0"/>
  </r>
  <r>
    <s v="WH Group"/>
    <s v="Croplands"/>
    <s v="Eastern Europe"/>
    <n v="112"/>
    <x v="1"/>
    <x v="0"/>
    <x v="0"/>
  </r>
  <r>
    <s v="WH Group"/>
    <s v="Croplands"/>
    <s v="Latin America and the Caribbean"/>
    <n v="42"/>
    <x v="1"/>
    <x v="0"/>
    <x v="0"/>
  </r>
  <r>
    <s v="WH Group"/>
    <s v="Croplands"/>
    <s v="Near East and North Africa"/>
    <n v="0"/>
    <x v="1"/>
    <x v="0"/>
    <x v="0"/>
  </r>
  <r>
    <s v="WH Group"/>
    <s v="Croplands"/>
    <s v="North America"/>
    <n v="19"/>
    <x v="1"/>
    <x v="0"/>
    <x v="0"/>
  </r>
  <r>
    <s v="WH Group"/>
    <s v="Croplands"/>
    <s v="Oceania"/>
    <n v="3"/>
    <x v="1"/>
    <x v="0"/>
    <x v="0"/>
  </r>
  <r>
    <s v="WH Group"/>
    <s v="Croplands"/>
    <s v="RoW"/>
    <n v="0"/>
    <x v="1"/>
    <x v="0"/>
    <x v="0"/>
  </r>
  <r>
    <s v="WH Group"/>
    <s v="Croplands"/>
    <s v="Russian Federation"/>
    <n v="3"/>
    <x v="1"/>
    <x v="0"/>
    <x v="0"/>
  </r>
  <r>
    <s v="WH Group"/>
    <s v="Croplands"/>
    <s v="South Asia"/>
    <n v="2"/>
    <x v="1"/>
    <x v="0"/>
    <x v="0"/>
  </r>
  <r>
    <s v="WH Group"/>
    <s v="Croplands"/>
    <s v="Sub-Saharan Africa"/>
    <n v="0"/>
    <x v="1"/>
    <x v="0"/>
    <x v="0"/>
  </r>
  <r>
    <s v="WH Group"/>
    <s v="Croplands"/>
    <s v="Western Europe"/>
    <n v="4"/>
    <x v="1"/>
    <x v="0"/>
    <x v="0"/>
  </r>
  <r>
    <s v="Arab Company for Livestock Development (ACOLID)"/>
    <s v="Grazing"/>
    <s v="East Asia and Southeast Asia"/>
    <n v="0"/>
    <x v="1"/>
    <x v="1"/>
    <x v="1"/>
  </r>
  <r>
    <s v="Arab Company for Livestock Development (ACOLID)"/>
    <s v="Grazing"/>
    <s v="Eastern Europe"/>
    <n v="0"/>
    <x v="1"/>
    <x v="1"/>
    <x v="1"/>
  </r>
  <r>
    <s v="Arab Company for Livestock Development (ACOLID)"/>
    <s v="Grazing"/>
    <s v="Latin America and the Caribbean"/>
    <n v="0"/>
    <x v="1"/>
    <x v="1"/>
    <x v="1"/>
  </r>
  <r>
    <s v="Arab Company for Livestock Development (ACOLID)"/>
    <s v="Grazing"/>
    <s v="Near East and North Africa"/>
    <n v="0"/>
    <x v="1"/>
    <x v="1"/>
    <x v="1"/>
  </r>
  <r>
    <s v="Arab Company for Livestock Development (ACOLID)"/>
    <s v="Grazing"/>
    <s v="North America"/>
    <n v="0"/>
    <x v="1"/>
    <x v="1"/>
    <x v="1"/>
  </r>
  <r>
    <s v="Arab Company for Livestock Development (ACOLID)"/>
    <s v="Grazing"/>
    <s v="Oceania"/>
    <n v="0"/>
    <x v="1"/>
    <x v="1"/>
    <x v="1"/>
  </r>
  <r>
    <s v="Arab Company for Livestock Development (ACOLID)"/>
    <s v="Grazing"/>
    <s v="RoW"/>
    <n v="0"/>
    <x v="1"/>
    <x v="1"/>
    <x v="1"/>
  </r>
  <r>
    <s v="Arab Company for Livestock Development (ACOLID)"/>
    <s v="Grazing"/>
    <s v="Russian Federation"/>
    <n v="0"/>
    <x v="1"/>
    <x v="1"/>
    <x v="1"/>
  </r>
  <r>
    <s v="Arab Company for Livestock Development (ACOLID)"/>
    <s v="Grazing"/>
    <s v="South Asia"/>
    <n v="0"/>
    <x v="1"/>
    <x v="1"/>
    <x v="1"/>
  </r>
  <r>
    <s v="Arab Company for Livestock Development (ACOLID)"/>
    <s v="Grazing"/>
    <s v="Sub-Saharan Africa"/>
    <n v="0"/>
    <x v="1"/>
    <x v="1"/>
    <x v="1"/>
  </r>
  <r>
    <s v="Arab Company for Livestock Development (ACOLID)"/>
    <s v="Grazing"/>
    <s v="Western Europe"/>
    <n v="0"/>
    <x v="1"/>
    <x v="1"/>
    <x v="1"/>
  </r>
  <r>
    <s v="Arab Company for Livestock Development (ACOLID)"/>
    <s v="Croplands"/>
    <s v="East Asia and Southeast Asia"/>
    <n v="2065"/>
    <x v="1"/>
    <x v="1"/>
    <x v="1"/>
  </r>
  <r>
    <s v="Arab Company for Livestock Development (ACOLID)"/>
    <s v="Croplands"/>
    <s v="Eastern Europe"/>
    <n v="25816"/>
    <x v="1"/>
    <x v="1"/>
    <x v="1"/>
  </r>
  <r>
    <s v="Arab Company for Livestock Development (ACOLID)"/>
    <s v="Croplands"/>
    <s v="Latin America and the Caribbean"/>
    <n v="7562"/>
    <x v="1"/>
    <x v="1"/>
    <x v="1"/>
  </r>
  <r>
    <s v="Arab Company for Livestock Development (ACOLID)"/>
    <s v="Croplands"/>
    <s v="Near East and North Africa"/>
    <n v="1157095"/>
    <x v="1"/>
    <x v="1"/>
    <x v="1"/>
  </r>
  <r>
    <s v="Arab Company for Livestock Development (ACOLID)"/>
    <s v="Croplands"/>
    <s v="North America"/>
    <n v="18140"/>
    <x v="1"/>
    <x v="1"/>
    <x v="1"/>
  </r>
  <r>
    <s v="Arab Company for Livestock Development (ACOLID)"/>
    <s v="Croplands"/>
    <s v="Oceania"/>
    <n v="571"/>
    <x v="1"/>
    <x v="1"/>
    <x v="1"/>
  </r>
  <r>
    <s v="Arab Company for Livestock Development (ACOLID)"/>
    <s v="Croplands"/>
    <s v="RoW"/>
    <n v="11"/>
    <x v="1"/>
    <x v="1"/>
    <x v="1"/>
  </r>
  <r>
    <s v="Arab Company for Livestock Development (ACOLID)"/>
    <s v="Croplands"/>
    <s v="Russian Federation"/>
    <n v="37983"/>
    <x v="1"/>
    <x v="1"/>
    <x v="1"/>
  </r>
  <r>
    <s v="Arab Company for Livestock Development (ACOLID)"/>
    <s v="Croplands"/>
    <s v="South Asia"/>
    <n v="17748"/>
    <x v="1"/>
    <x v="1"/>
    <x v="1"/>
  </r>
  <r>
    <s v="Arab Company for Livestock Development (ACOLID)"/>
    <s v="Croplands"/>
    <s v="Sub-Saharan Africa"/>
    <n v="800"/>
    <x v="1"/>
    <x v="1"/>
    <x v="1"/>
  </r>
  <r>
    <s v="Arab Company for Livestock Development (ACOLID)"/>
    <s v="Croplands"/>
    <s v="Western Europe"/>
    <n v="5224"/>
    <x v="1"/>
    <x v="1"/>
    <x v="1"/>
  </r>
  <r>
    <s v="Aurora Alimentos"/>
    <s v="Grazing"/>
    <s v="East Asia and Southeast Asia"/>
    <n v="0"/>
    <x v="1"/>
    <x v="1"/>
    <x v="1"/>
  </r>
  <r>
    <s v="Aurora Alimentos"/>
    <s v="Grazing"/>
    <s v="Eastern Europe"/>
    <n v="0"/>
    <x v="1"/>
    <x v="1"/>
    <x v="1"/>
  </r>
  <r>
    <s v="Aurora Alimentos"/>
    <s v="Grazing"/>
    <s v="Latin America and the Caribbean"/>
    <n v="0"/>
    <x v="1"/>
    <x v="1"/>
    <x v="1"/>
  </r>
  <r>
    <s v="Aurora Alimentos"/>
    <s v="Grazing"/>
    <s v="Near East and North Africa"/>
    <n v="0"/>
    <x v="1"/>
    <x v="1"/>
    <x v="1"/>
  </r>
  <r>
    <s v="Aurora Alimentos"/>
    <s v="Grazing"/>
    <s v="North America"/>
    <n v="0"/>
    <x v="1"/>
    <x v="1"/>
    <x v="1"/>
  </r>
  <r>
    <s v="Aurora Alimentos"/>
    <s v="Grazing"/>
    <s v="Oceania"/>
    <n v="0"/>
    <x v="1"/>
    <x v="1"/>
    <x v="1"/>
  </r>
  <r>
    <s v="Aurora Alimentos"/>
    <s v="Grazing"/>
    <s v="RoW"/>
    <n v="0"/>
    <x v="1"/>
    <x v="1"/>
    <x v="1"/>
  </r>
  <r>
    <s v="Aurora Alimentos"/>
    <s v="Grazing"/>
    <s v="Russian Federation"/>
    <n v="0"/>
    <x v="1"/>
    <x v="1"/>
    <x v="1"/>
  </r>
  <r>
    <s v="Aurora Alimentos"/>
    <s v="Grazing"/>
    <s v="South Asia"/>
    <n v="0"/>
    <x v="1"/>
    <x v="1"/>
    <x v="1"/>
  </r>
  <r>
    <s v="Aurora Alimentos"/>
    <s v="Grazing"/>
    <s v="Sub-Saharan Africa"/>
    <n v="0"/>
    <x v="1"/>
    <x v="1"/>
    <x v="1"/>
  </r>
  <r>
    <s v="Aurora Alimentos"/>
    <s v="Grazing"/>
    <s v="Western Europe"/>
    <n v="0"/>
    <x v="1"/>
    <x v="1"/>
    <x v="1"/>
  </r>
  <r>
    <s v="Aurora Alimentos"/>
    <s v="Croplands"/>
    <s v="East Asia and Southeast Asia"/>
    <n v="90"/>
    <x v="1"/>
    <x v="1"/>
    <x v="1"/>
  </r>
  <r>
    <s v="Aurora Alimentos"/>
    <s v="Croplands"/>
    <s v="Eastern Europe"/>
    <n v="20"/>
    <x v="1"/>
    <x v="1"/>
    <x v="1"/>
  </r>
  <r>
    <s v="Aurora Alimentos"/>
    <s v="Croplands"/>
    <s v="Latin America and the Caribbean"/>
    <n v="54225"/>
    <x v="1"/>
    <x v="1"/>
    <x v="1"/>
  </r>
  <r>
    <s v="Aurora Alimentos"/>
    <s v="Croplands"/>
    <s v="Near East and North Africa"/>
    <n v="2143"/>
    <x v="1"/>
    <x v="1"/>
    <x v="1"/>
  </r>
  <r>
    <s v="Aurora Alimentos"/>
    <s v="Croplands"/>
    <s v="North America"/>
    <n v="14211"/>
    <x v="1"/>
    <x v="1"/>
    <x v="1"/>
  </r>
  <r>
    <s v="Aurora Alimentos"/>
    <s v="Croplands"/>
    <s v="Oceania"/>
    <n v="11"/>
    <x v="1"/>
    <x v="1"/>
    <x v="1"/>
  </r>
  <r>
    <s v="Aurora Alimentos"/>
    <s v="Croplands"/>
    <s v="RoW"/>
    <n v="0"/>
    <x v="1"/>
    <x v="1"/>
    <x v="1"/>
  </r>
  <r>
    <s v="Aurora Alimentos"/>
    <s v="Croplands"/>
    <s v="Russian Federation"/>
    <n v="96"/>
    <x v="1"/>
    <x v="1"/>
    <x v="1"/>
  </r>
  <r>
    <s v="Aurora Alimentos"/>
    <s v="Croplands"/>
    <s v="South Asia"/>
    <n v="312"/>
    <x v="1"/>
    <x v="1"/>
    <x v="1"/>
  </r>
  <r>
    <s v="Aurora Alimentos"/>
    <s v="Croplands"/>
    <s v="Sub-Saharan Africa"/>
    <n v="81"/>
    <x v="1"/>
    <x v="1"/>
    <x v="1"/>
  </r>
  <r>
    <s v="Aurora Alimentos"/>
    <s v="Croplands"/>
    <s v="Western Europe"/>
    <n v="86"/>
    <x v="1"/>
    <x v="1"/>
    <x v="1"/>
  </r>
  <r>
    <s v="BRF"/>
    <s v="Grazing"/>
    <s v="East Asia and Southeast Asia"/>
    <n v="0"/>
    <x v="1"/>
    <x v="1"/>
    <x v="1"/>
  </r>
  <r>
    <s v="BRF"/>
    <s v="Grazing"/>
    <s v="Eastern Europe"/>
    <n v="0"/>
    <x v="1"/>
    <x v="1"/>
    <x v="1"/>
  </r>
  <r>
    <s v="BRF"/>
    <s v="Grazing"/>
    <s v="Latin America and the Caribbean"/>
    <n v="0"/>
    <x v="1"/>
    <x v="1"/>
    <x v="1"/>
  </r>
  <r>
    <s v="BRF"/>
    <s v="Grazing"/>
    <s v="Near East and North Africa"/>
    <n v="0"/>
    <x v="1"/>
    <x v="1"/>
    <x v="1"/>
  </r>
  <r>
    <s v="BRF"/>
    <s v="Grazing"/>
    <s v="North America"/>
    <n v="0"/>
    <x v="1"/>
    <x v="1"/>
    <x v="1"/>
  </r>
  <r>
    <s v="BRF"/>
    <s v="Grazing"/>
    <s v="Oceania"/>
    <n v="0"/>
    <x v="1"/>
    <x v="1"/>
    <x v="1"/>
  </r>
  <r>
    <s v="BRF"/>
    <s v="Grazing"/>
    <s v="RoW"/>
    <n v="0"/>
    <x v="1"/>
    <x v="1"/>
    <x v="1"/>
  </r>
  <r>
    <s v="BRF"/>
    <s v="Grazing"/>
    <s v="Russian Federation"/>
    <n v="0"/>
    <x v="1"/>
    <x v="1"/>
    <x v="1"/>
  </r>
  <r>
    <s v="BRF"/>
    <s v="Grazing"/>
    <s v="South Asia"/>
    <n v="0"/>
    <x v="1"/>
    <x v="1"/>
    <x v="1"/>
  </r>
  <r>
    <s v="BRF"/>
    <s v="Grazing"/>
    <s v="Sub-Saharan Africa"/>
    <n v="0"/>
    <x v="1"/>
    <x v="1"/>
    <x v="1"/>
  </r>
  <r>
    <s v="BRF"/>
    <s v="Grazing"/>
    <s v="Western Europe"/>
    <n v="0"/>
    <x v="1"/>
    <x v="1"/>
    <x v="1"/>
  </r>
  <r>
    <s v="BRF"/>
    <s v="Croplands"/>
    <s v="East Asia and Southeast Asia"/>
    <n v="454"/>
    <x v="1"/>
    <x v="1"/>
    <x v="1"/>
  </r>
  <r>
    <s v="BRF"/>
    <s v="Croplands"/>
    <s v="Eastern Europe"/>
    <n v="100"/>
    <x v="1"/>
    <x v="1"/>
    <x v="1"/>
  </r>
  <r>
    <s v="BRF"/>
    <s v="Croplands"/>
    <s v="Latin America and the Caribbean"/>
    <n v="272503"/>
    <x v="1"/>
    <x v="1"/>
    <x v="1"/>
  </r>
  <r>
    <s v="BRF"/>
    <s v="Croplands"/>
    <s v="Near East and North Africa"/>
    <n v="10772"/>
    <x v="1"/>
    <x v="1"/>
    <x v="1"/>
  </r>
  <r>
    <s v="BRF"/>
    <s v="Croplands"/>
    <s v="North America"/>
    <n v="71416"/>
    <x v="1"/>
    <x v="1"/>
    <x v="1"/>
  </r>
  <r>
    <s v="BRF"/>
    <s v="Croplands"/>
    <s v="Oceania"/>
    <n v="55"/>
    <x v="1"/>
    <x v="1"/>
    <x v="1"/>
  </r>
  <r>
    <s v="BRF"/>
    <s v="Croplands"/>
    <s v="RoW"/>
    <n v="0"/>
    <x v="1"/>
    <x v="1"/>
    <x v="1"/>
  </r>
  <r>
    <s v="BRF"/>
    <s v="Croplands"/>
    <s v="Russian Federation"/>
    <n v="483"/>
    <x v="1"/>
    <x v="1"/>
    <x v="1"/>
  </r>
  <r>
    <s v="BRF"/>
    <s v="Croplands"/>
    <s v="South Asia"/>
    <n v="1569"/>
    <x v="1"/>
    <x v="1"/>
    <x v="1"/>
  </r>
  <r>
    <s v="BRF"/>
    <s v="Croplands"/>
    <s v="Sub-Saharan Africa"/>
    <n v="407"/>
    <x v="1"/>
    <x v="1"/>
    <x v="1"/>
  </r>
  <r>
    <s v="BRF"/>
    <s v="Croplands"/>
    <s v="Western Europe"/>
    <n v="433"/>
    <x v="1"/>
    <x v="1"/>
    <x v="1"/>
  </r>
  <r>
    <s v="Cargill"/>
    <s v="Grazing"/>
    <s v="East Asia and Southeast Asia"/>
    <n v="0"/>
    <x v="1"/>
    <x v="1"/>
    <x v="1"/>
  </r>
  <r>
    <s v="Cargill"/>
    <s v="Grazing"/>
    <s v="Eastern Europe"/>
    <n v="0"/>
    <x v="1"/>
    <x v="1"/>
    <x v="1"/>
  </r>
  <r>
    <s v="Cargill"/>
    <s v="Grazing"/>
    <s v="Latin America and the Caribbean"/>
    <n v="0"/>
    <x v="1"/>
    <x v="1"/>
    <x v="1"/>
  </r>
  <r>
    <s v="Cargill"/>
    <s v="Grazing"/>
    <s v="Near East and North Africa"/>
    <n v="0"/>
    <x v="1"/>
    <x v="1"/>
    <x v="1"/>
  </r>
  <r>
    <s v="Cargill"/>
    <s v="Grazing"/>
    <s v="North America"/>
    <n v="0"/>
    <x v="1"/>
    <x v="1"/>
    <x v="1"/>
  </r>
  <r>
    <s v="Cargill"/>
    <s v="Grazing"/>
    <s v="Oceania"/>
    <n v="0"/>
    <x v="1"/>
    <x v="1"/>
    <x v="1"/>
  </r>
  <r>
    <s v="Cargill"/>
    <s v="Grazing"/>
    <s v="RoW"/>
    <n v="0"/>
    <x v="1"/>
    <x v="1"/>
    <x v="1"/>
  </r>
  <r>
    <s v="Cargill"/>
    <s v="Grazing"/>
    <s v="Russian Federation"/>
    <n v="0"/>
    <x v="1"/>
    <x v="1"/>
    <x v="1"/>
  </r>
  <r>
    <s v="Cargill"/>
    <s v="Grazing"/>
    <s v="South Asia"/>
    <n v="0"/>
    <x v="1"/>
    <x v="1"/>
    <x v="1"/>
  </r>
  <r>
    <s v="Cargill"/>
    <s v="Grazing"/>
    <s v="Sub-Saharan Africa"/>
    <n v="0"/>
    <x v="1"/>
    <x v="1"/>
    <x v="1"/>
  </r>
  <r>
    <s v="Cargill"/>
    <s v="Grazing"/>
    <s v="Western Europe"/>
    <n v="0"/>
    <x v="1"/>
    <x v="1"/>
    <x v="1"/>
  </r>
  <r>
    <s v="Cargill"/>
    <s v="Croplands"/>
    <s v="East Asia and Southeast Asia"/>
    <n v="34847"/>
    <x v="1"/>
    <x v="1"/>
    <x v="1"/>
  </r>
  <r>
    <s v="Cargill"/>
    <s v="Croplands"/>
    <s v="Eastern Europe"/>
    <n v="3568"/>
    <x v="1"/>
    <x v="1"/>
    <x v="1"/>
  </r>
  <r>
    <s v="Cargill"/>
    <s v="Croplands"/>
    <s v="Latin America and the Caribbean"/>
    <n v="46830"/>
    <x v="1"/>
    <x v="1"/>
    <x v="1"/>
  </r>
  <r>
    <s v="Cargill"/>
    <s v="Croplands"/>
    <s v="Near East and North Africa"/>
    <n v="4233"/>
    <x v="1"/>
    <x v="1"/>
    <x v="1"/>
  </r>
  <r>
    <s v="Cargill"/>
    <s v="Croplands"/>
    <s v="North America"/>
    <n v="244861"/>
    <x v="1"/>
    <x v="1"/>
    <x v="1"/>
  </r>
  <r>
    <s v="Cargill"/>
    <s v="Croplands"/>
    <s v="Oceania"/>
    <n v="238"/>
    <x v="1"/>
    <x v="1"/>
    <x v="1"/>
  </r>
  <r>
    <s v="Cargill"/>
    <s v="Croplands"/>
    <s v="RoW"/>
    <n v="0"/>
    <x v="1"/>
    <x v="1"/>
    <x v="1"/>
  </r>
  <r>
    <s v="Cargill"/>
    <s v="Croplands"/>
    <s v="Russian Federation"/>
    <n v="1363"/>
    <x v="1"/>
    <x v="1"/>
    <x v="1"/>
  </r>
  <r>
    <s v="Cargill"/>
    <s v="Croplands"/>
    <s v="South Asia"/>
    <n v="4390"/>
    <x v="1"/>
    <x v="1"/>
    <x v="1"/>
  </r>
  <r>
    <s v="Cargill"/>
    <s v="Croplands"/>
    <s v="Sub-Saharan Africa"/>
    <n v="422"/>
    <x v="1"/>
    <x v="1"/>
    <x v="1"/>
  </r>
  <r>
    <s v="Cargill"/>
    <s v="Croplands"/>
    <s v="Western Europe"/>
    <n v="35208"/>
    <x v="1"/>
    <x v="1"/>
    <x v="1"/>
  </r>
  <r>
    <s v="Charoen Pokphand"/>
    <s v="Grazing"/>
    <s v="East Asia and Southeast Asia"/>
    <n v="0"/>
    <x v="1"/>
    <x v="1"/>
    <x v="1"/>
  </r>
  <r>
    <s v="Charoen Pokphand"/>
    <s v="Grazing"/>
    <s v="Eastern Europe"/>
    <n v="0"/>
    <x v="1"/>
    <x v="1"/>
    <x v="1"/>
  </r>
  <r>
    <s v="Charoen Pokphand"/>
    <s v="Grazing"/>
    <s v="Latin America and the Caribbean"/>
    <n v="0"/>
    <x v="1"/>
    <x v="1"/>
    <x v="1"/>
  </r>
  <r>
    <s v="Charoen Pokphand"/>
    <s v="Grazing"/>
    <s v="Near East and North Africa"/>
    <n v="0"/>
    <x v="1"/>
    <x v="1"/>
    <x v="1"/>
  </r>
  <r>
    <s v="Charoen Pokphand"/>
    <s v="Grazing"/>
    <s v="North America"/>
    <n v="0"/>
    <x v="1"/>
    <x v="1"/>
    <x v="1"/>
  </r>
  <r>
    <s v="Charoen Pokphand"/>
    <s v="Grazing"/>
    <s v="Oceania"/>
    <n v="0"/>
    <x v="1"/>
    <x v="1"/>
    <x v="1"/>
  </r>
  <r>
    <s v="Charoen Pokphand"/>
    <s v="Grazing"/>
    <s v="RoW"/>
    <n v="0"/>
    <x v="1"/>
    <x v="1"/>
    <x v="1"/>
  </r>
  <r>
    <s v="Charoen Pokphand"/>
    <s v="Grazing"/>
    <s v="Russian Federation"/>
    <n v="0"/>
    <x v="1"/>
    <x v="1"/>
    <x v="1"/>
  </r>
  <r>
    <s v="Charoen Pokphand"/>
    <s v="Grazing"/>
    <s v="South Asia"/>
    <n v="0"/>
    <x v="1"/>
    <x v="1"/>
    <x v="1"/>
  </r>
  <r>
    <s v="Charoen Pokphand"/>
    <s v="Grazing"/>
    <s v="Sub-Saharan Africa"/>
    <n v="0"/>
    <x v="1"/>
    <x v="1"/>
    <x v="1"/>
  </r>
  <r>
    <s v="Charoen Pokphand"/>
    <s v="Grazing"/>
    <s v="Western Europe"/>
    <n v="0"/>
    <x v="1"/>
    <x v="1"/>
    <x v="1"/>
  </r>
  <r>
    <s v="Charoen Pokphand"/>
    <s v="Croplands"/>
    <s v="East Asia and Southeast Asia"/>
    <n v="130608"/>
    <x v="1"/>
    <x v="1"/>
    <x v="1"/>
  </r>
  <r>
    <s v="Charoen Pokphand"/>
    <s v="Croplands"/>
    <s v="Eastern Europe"/>
    <n v="1685"/>
    <x v="1"/>
    <x v="1"/>
    <x v="1"/>
  </r>
  <r>
    <s v="Charoen Pokphand"/>
    <s v="Croplands"/>
    <s v="Latin America and the Caribbean"/>
    <n v="2206"/>
    <x v="1"/>
    <x v="1"/>
    <x v="1"/>
  </r>
  <r>
    <s v="Charoen Pokphand"/>
    <s v="Croplands"/>
    <s v="Near East and North Africa"/>
    <n v="2036"/>
    <x v="1"/>
    <x v="1"/>
    <x v="1"/>
  </r>
  <r>
    <s v="Charoen Pokphand"/>
    <s v="Croplands"/>
    <s v="North America"/>
    <n v="19866"/>
    <x v="1"/>
    <x v="1"/>
    <x v="1"/>
  </r>
  <r>
    <s v="Charoen Pokphand"/>
    <s v="Croplands"/>
    <s v="Oceania"/>
    <n v="677"/>
    <x v="1"/>
    <x v="1"/>
    <x v="1"/>
  </r>
  <r>
    <s v="Charoen Pokphand"/>
    <s v="Croplands"/>
    <s v="RoW"/>
    <n v="0"/>
    <x v="1"/>
    <x v="1"/>
    <x v="1"/>
  </r>
  <r>
    <s v="Charoen Pokphand"/>
    <s v="Croplands"/>
    <s v="Russian Federation"/>
    <n v="41343"/>
    <x v="1"/>
    <x v="1"/>
    <x v="1"/>
  </r>
  <r>
    <s v="Charoen Pokphand"/>
    <s v="Croplands"/>
    <s v="South Asia"/>
    <n v="9789"/>
    <x v="1"/>
    <x v="1"/>
    <x v="1"/>
  </r>
  <r>
    <s v="Charoen Pokphand"/>
    <s v="Croplands"/>
    <s v="Sub-Saharan Africa"/>
    <n v="342"/>
    <x v="1"/>
    <x v="1"/>
    <x v="1"/>
  </r>
  <r>
    <s v="Charoen Pokphand"/>
    <s v="Croplands"/>
    <s v="Western Europe"/>
    <n v="509"/>
    <x v="1"/>
    <x v="1"/>
    <x v="1"/>
  </r>
  <r>
    <s v="Continental Grain Company"/>
    <s v="Grazing"/>
    <s v="East Asia and Southeast Asia"/>
    <n v="0"/>
    <x v="1"/>
    <x v="1"/>
    <x v="1"/>
  </r>
  <r>
    <s v="Continental Grain Company"/>
    <s v="Grazing"/>
    <s v="Eastern Europe"/>
    <n v="0"/>
    <x v="1"/>
    <x v="1"/>
    <x v="1"/>
  </r>
  <r>
    <s v="Continental Grain Company"/>
    <s v="Grazing"/>
    <s v="Latin America and the Caribbean"/>
    <n v="0"/>
    <x v="1"/>
    <x v="1"/>
    <x v="1"/>
  </r>
  <r>
    <s v="Continental Grain Company"/>
    <s v="Grazing"/>
    <s v="Near East and North Africa"/>
    <n v="0"/>
    <x v="1"/>
    <x v="1"/>
    <x v="1"/>
  </r>
  <r>
    <s v="Continental Grain Company"/>
    <s v="Grazing"/>
    <s v="North America"/>
    <n v="0"/>
    <x v="1"/>
    <x v="1"/>
    <x v="1"/>
  </r>
  <r>
    <s v="Continental Grain Company"/>
    <s v="Grazing"/>
    <s v="Oceania"/>
    <n v="0"/>
    <x v="1"/>
    <x v="1"/>
    <x v="1"/>
  </r>
  <r>
    <s v="Continental Grain Company"/>
    <s v="Grazing"/>
    <s v="RoW"/>
    <n v="0"/>
    <x v="1"/>
    <x v="1"/>
    <x v="1"/>
  </r>
  <r>
    <s v="Continental Grain Company"/>
    <s v="Grazing"/>
    <s v="Russian Federation"/>
    <n v="0"/>
    <x v="1"/>
    <x v="1"/>
    <x v="1"/>
  </r>
  <r>
    <s v="Continental Grain Company"/>
    <s v="Grazing"/>
    <s v="South Asia"/>
    <n v="0"/>
    <x v="1"/>
    <x v="1"/>
    <x v="1"/>
  </r>
  <r>
    <s v="Continental Grain Company"/>
    <s v="Grazing"/>
    <s v="Sub-Saharan Africa"/>
    <n v="0"/>
    <x v="1"/>
    <x v="1"/>
    <x v="1"/>
  </r>
  <r>
    <s v="Continental Grain Company"/>
    <s v="Grazing"/>
    <s v="Western Europe"/>
    <n v="0"/>
    <x v="1"/>
    <x v="1"/>
    <x v="1"/>
  </r>
  <r>
    <s v="Continental Grain Company"/>
    <s v="Croplands"/>
    <s v="East Asia and Southeast Asia"/>
    <n v="180"/>
    <x v="1"/>
    <x v="1"/>
    <x v="1"/>
  </r>
  <r>
    <s v="Continental Grain Company"/>
    <s v="Croplands"/>
    <s v="Eastern Europe"/>
    <n v="29"/>
    <x v="1"/>
    <x v="1"/>
    <x v="1"/>
  </r>
  <r>
    <s v="Continental Grain Company"/>
    <s v="Croplands"/>
    <s v="Latin America and the Caribbean"/>
    <n v="535"/>
    <x v="1"/>
    <x v="1"/>
    <x v="1"/>
  </r>
  <r>
    <s v="Continental Grain Company"/>
    <s v="Croplands"/>
    <s v="Near East and North Africa"/>
    <n v="82"/>
    <x v="1"/>
    <x v="1"/>
    <x v="1"/>
  </r>
  <r>
    <s v="Continental Grain Company"/>
    <s v="Croplands"/>
    <s v="North America"/>
    <n v="226660"/>
    <x v="1"/>
    <x v="1"/>
    <x v="1"/>
  </r>
  <r>
    <s v="Continental Grain Company"/>
    <s v="Croplands"/>
    <s v="Oceania"/>
    <n v="43"/>
    <x v="1"/>
    <x v="1"/>
    <x v="1"/>
  </r>
  <r>
    <s v="Continental Grain Company"/>
    <s v="Croplands"/>
    <s v="RoW"/>
    <n v="0"/>
    <x v="1"/>
    <x v="1"/>
    <x v="1"/>
  </r>
  <r>
    <s v="Continental Grain Company"/>
    <s v="Croplands"/>
    <s v="Russian Federation"/>
    <n v="76"/>
    <x v="1"/>
    <x v="1"/>
    <x v="1"/>
  </r>
  <r>
    <s v="Continental Grain Company"/>
    <s v="Croplands"/>
    <s v="South Asia"/>
    <n v="511"/>
    <x v="1"/>
    <x v="1"/>
    <x v="1"/>
  </r>
  <r>
    <s v="Continental Grain Company"/>
    <s v="Croplands"/>
    <s v="Sub-Saharan Africa"/>
    <n v="186"/>
    <x v="1"/>
    <x v="1"/>
    <x v="1"/>
  </r>
  <r>
    <s v="Continental Grain Company"/>
    <s v="Croplands"/>
    <s v="Western Europe"/>
    <n v="100"/>
    <x v="1"/>
    <x v="1"/>
    <x v="1"/>
  </r>
  <r>
    <s v="Fuijan Sunner Development"/>
    <s v="Grazing"/>
    <s v="East Asia and Southeast Asia"/>
    <n v="0"/>
    <x v="1"/>
    <x v="1"/>
    <x v="1"/>
  </r>
  <r>
    <s v="Fuijan Sunner Development"/>
    <s v="Grazing"/>
    <s v="Eastern Europe"/>
    <n v="0"/>
    <x v="1"/>
    <x v="1"/>
    <x v="1"/>
  </r>
  <r>
    <s v="Fuijan Sunner Development"/>
    <s v="Grazing"/>
    <s v="Latin America and the Caribbean"/>
    <n v="0"/>
    <x v="1"/>
    <x v="1"/>
    <x v="1"/>
  </r>
  <r>
    <s v="Fuijan Sunner Development"/>
    <s v="Grazing"/>
    <s v="Near East and North Africa"/>
    <n v="0"/>
    <x v="1"/>
    <x v="1"/>
    <x v="1"/>
  </r>
  <r>
    <s v="Fuijan Sunner Development"/>
    <s v="Grazing"/>
    <s v="North America"/>
    <n v="0"/>
    <x v="1"/>
    <x v="1"/>
    <x v="1"/>
  </r>
  <r>
    <s v="Fuijan Sunner Development"/>
    <s v="Grazing"/>
    <s v="Oceania"/>
    <n v="0"/>
    <x v="1"/>
    <x v="1"/>
    <x v="1"/>
  </r>
  <r>
    <s v="Fuijan Sunner Development"/>
    <s v="Grazing"/>
    <s v="RoW"/>
    <n v="0"/>
    <x v="1"/>
    <x v="1"/>
    <x v="1"/>
  </r>
  <r>
    <s v="Fuijan Sunner Development"/>
    <s v="Grazing"/>
    <s v="Russian Federation"/>
    <n v="0"/>
    <x v="1"/>
    <x v="1"/>
    <x v="1"/>
  </r>
  <r>
    <s v="Fuijan Sunner Development"/>
    <s v="Grazing"/>
    <s v="South Asia"/>
    <n v="0"/>
    <x v="1"/>
    <x v="1"/>
    <x v="1"/>
  </r>
  <r>
    <s v="Fuijan Sunner Development"/>
    <s v="Grazing"/>
    <s v="Sub-Saharan Africa"/>
    <n v="0"/>
    <x v="1"/>
    <x v="1"/>
    <x v="1"/>
  </r>
  <r>
    <s v="Fuijan Sunner Development"/>
    <s v="Grazing"/>
    <s v="Western Europe"/>
    <n v="0"/>
    <x v="1"/>
    <x v="1"/>
    <x v="1"/>
  </r>
  <r>
    <s v="Fuijan Sunner Development"/>
    <s v="Croplands"/>
    <s v="East Asia and Southeast Asia"/>
    <n v="129641"/>
    <x v="1"/>
    <x v="1"/>
    <x v="1"/>
  </r>
  <r>
    <s v="Fuijan Sunner Development"/>
    <s v="Croplands"/>
    <s v="Eastern Europe"/>
    <n v="1629"/>
    <x v="1"/>
    <x v="1"/>
    <x v="1"/>
  </r>
  <r>
    <s v="Fuijan Sunner Development"/>
    <s v="Croplands"/>
    <s v="Latin America and the Caribbean"/>
    <n v="2180"/>
    <x v="1"/>
    <x v="1"/>
    <x v="1"/>
  </r>
  <r>
    <s v="Fuijan Sunner Development"/>
    <s v="Croplands"/>
    <s v="Near East and North Africa"/>
    <n v="1591"/>
    <x v="1"/>
    <x v="1"/>
    <x v="1"/>
  </r>
  <r>
    <s v="Fuijan Sunner Development"/>
    <s v="Croplands"/>
    <s v="North America"/>
    <n v="19717"/>
    <x v="1"/>
    <x v="1"/>
    <x v="1"/>
  </r>
  <r>
    <s v="Fuijan Sunner Development"/>
    <s v="Croplands"/>
    <s v="Oceania"/>
    <n v="672"/>
    <x v="1"/>
    <x v="1"/>
    <x v="1"/>
  </r>
  <r>
    <s v="Fuijan Sunner Development"/>
    <s v="Croplands"/>
    <s v="RoW"/>
    <n v="0"/>
    <x v="1"/>
    <x v="1"/>
    <x v="1"/>
  </r>
  <r>
    <s v="Fuijan Sunner Development"/>
    <s v="Croplands"/>
    <s v="Russian Federation"/>
    <n v="1725"/>
    <x v="1"/>
    <x v="1"/>
    <x v="1"/>
  </r>
  <r>
    <s v="Fuijan Sunner Development"/>
    <s v="Croplands"/>
    <s v="South Asia"/>
    <n v="9686"/>
    <x v="1"/>
    <x v="1"/>
    <x v="1"/>
  </r>
  <r>
    <s v="Fuijan Sunner Development"/>
    <s v="Croplands"/>
    <s v="Sub-Saharan Africa"/>
    <n v="339"/>
    <x v="1"/>
    <x v="1"/>
    <x v="1"/>
  </r>
  <r>
    <s v="Fuijan Sunner Development"/>
    <s v="Croplands"/>
    <s v="Western Europe"/>
    <n v="489"/>
    <x v="1"/>
    <x v="1"/>
    <x v="1"/>
  </r>
  <r>
    <s v="Industrias Bachoco"/>
    <s v="Grazing"/>
    <s v="East Asia and Southeast Asia"/>
    <n v="0"/>
    <x v="1"/>
    <x v="1"/>
    <x v="1"/>
  </r>
  <r>
    <s v="Industrias Bachoco"/>
    <s v="Grazing"/>
    <s v="Eastern Europe"/>
    <n v="0"/>
    <x v="1"/>
    <x v="1"/>
    <x v="1"/>
  </r>
  <r>
    <s v="Industrias Bachoco"/>
    <s v="Grazing"/>
    <s v="Latin America and the Caribbean"/>
    <n v="0"/>
    <x v="1"/>
    <x v="1"/>
    <x v="1"/>
  </r>
  <r>
    <s v="Industrias Bachoco"/>
    <s v="Grazing"/>
    <s v="Near East and North Africa"/>
    <n v="0"/>
    <x v="1"/>
    <x v="1"/>
    <x v="1"/>
  </r>
  <r>
    <s v="Industrias Bachoco"/>
    <s v="Grazing"/>
    <s v="North America"/>
    <n v="0"/>
    <x v="1"/>
    <x v="1"/>
    <x v="1"/>
  </r>
  <r>
    <s v="Industrias Bachoco"/>
    <s v="Grazing"/>
    <s v="Oceania"/>
    <n v="0"/>
    <x v="1"/>
    <x v="1"/>
    <x v="1"/>
  </r>
  <r>
    <s v="Industrias Bachoco"/>
    <s v="Grazing"/>
    <s v="RoW"/>
    <n v="0"/>
    <x v="1"/>
    <x v="1"/>
    <x v="1"/>
  </r>
  <r>
    <s v="Industrias Bachoco"/>
    <s v="Grazing"/>
    <s v="Russian Federation"/>
    <n v="0"/>
    <x v="1"/>
    <x v="1"/>
    <x v="1"/>
  </r>
  <r>
    <s v="Industrias Bachoco"/>
    <s v="Grazing"/>
    <s v="South Asia"/>
    <n v="0"/>
    <x v="1"/>
    <x v="1"/>
    <x v="1"/>
  </r>
  <r>
    <s v="Industrias Bachoco"/>
    <s v="Grazing"/>
    <s v="Sub-Saharan Africa"/>
    <n v="0"/>
    <x v="1"/>
    <x v="1"/>
    <x v="1"/>
  </r>
  <r>
    <s v="Industrias Bachoco"/>
    <s v="Grazing"/>
    <s v="Western Europe"/>
    <n v="0"/>
    <x v="1"/>
    <x v="1"/>
    <x v="1"/>
  </r>
  <r>
    <s v="Industrias Bachoco"/>
    <s v="Croplands"/>
    <s v="East Asia and Southeast Asia"/>
    <n v="188"/>
    <x v="1"/>
    <x v="1"/>
    <x v="1"/>
  </r>
  <r>
    <s v="Industrias Bachoco"/>
    <s v="Croplands"/>
    <s v="Eastern Europe"/>
    <n v="39"/>
    <x v="1"/>
    <x v="1"/>
    <x v="1"/>
  </r>
  <r>
    <s v="Industrias Bachoco"/>
    <s v="Croplands"/>
    <s v="Latin America and the Caribbean"/>
    <n v="85496"/>
    <x v="1"/>
    <x v="1"/>
    <x v="1"/>
  </r>
  <r>
    <s v="Industrias Bachoco"/>
    <s v="Croplands"/>
    <s v="Near East and North Africa"/>
    <n v="3395"/>
    <x v="1"/>
    <x v="1"/>
    <x v="1"/>
  </r>
  <r>
    <s v="Industrias Bachoco"/>
    <s v="Croplands"/>
    <s v="North America"/>
    <n v="79501"/>
    <x v="1"/>
    <x v="1"/>
    <x v="1"/>
  </r>
  <r>
    <s v="Industrias Bachoco"/>
    <s v="Croplands"/>
    <s v="Oceania"/>
    <n v="28"/>
    <x v="1"/>
    <x v="1"/>
    <x v="1"/>
  </r>
  <r>
    <s v="Industrias Bachoco"/>
    <s v="Croplands"/>
    <s v="RoW"/>
    <n v="0"/>
    <x v="1"/>
    <x v="1"/>
    <x v="1"/>
  </r>
  <r>
    <s v="Industrias Bachoco"/>
    <s v="Croplands"/>
    <s v="Russian Federation"/>
    <n v="171"/>
    <x v="1"/>
    <x v="1"/>
    <x v="1"/>
  </r>
  <r>
    <s v="Industrias Bachoco"/>
    <s v="Croplands"/>
    <s v="South Asia"/>
    <n v="620"/>
    <x v="1"/>
    <x v="1"/>
    <x v="1"/>
  </r>
  <r>
    <s v="Industrias Bachoco"/>
    <s v="Croplands"/>
    <s v="Sub-Saharan Africa"/>
    <n v="174"/>
    <x v="1"/>
    <x v="1"/>
    <x v="1"/>
  </r>
  <r>
    <s v="Industrias Bachoco"/>
    <s v="Croplands"/>
    <s v="Western Europe"/>
    <n v="161"/>
    <x v="1"/>
    <x v="1"/>
    <x v="1"/>
  </r>
  <r>
    <s v="Japfa"/>
    <s v="Grazing"/>
    <s v="East Asia and Southeast Asia"/>
    <n v="0"/>
    <x v="1"/>
    <x v="1"/>
    <x v="1"/>
  </r>
  <r>
    <s v="Japfa"/>
    <s v="Grazing"/>
    <s v="Eastern Europe"/>
    <n v="0"/>
    <x v="1"/>
    <x v="1"/>
    <x v="1"/>
  </r>
  <r>
    <s v="Japfa"/>
    <s v="Grazing"/>
    <s v="Latin America and the Caribbean"/>
    <n v="0"/>
    <x v="1"/>
    <x v="1"/>
    <x v="1"/>
  </r>
  <r>
    <s v="Japfa"/>
    <s v="Grazing"/>
    <s v="Near East and North Africa"/>
    <n v="0"/>
    <x v="1"/>
    <x v="1"/>
    <x v="1"/>
  </r>
  <r>
    <s v="Japfa"/>
    <s v="Grazing"/>
    <s v="North America"/>
    <n v="0"/>
    <x v="1"/>
    <x v="1"/>
    <x v="1"/>
  </r>
  <r>
    <s v="Japfa"/>
    <s v="Grazing"/>
    <s v="Oceania"/>
    <n v="0"/>
    <x v="1"/>
    <x v="1"/>
    <x v="1"/>
  </r>
  <r>
    <s v="Japfa"/>
    <s v="Grazing"/>
    <s v="RoW"/>
    <n v="0"/>
    <x v="1"/>
    <x v="1"/>
    <x v="1"/>
  </r>
  <r>
    <s v="Japfa"/>
    <s v="Grazing"/>
    <s v="Russian Federation"/>
    <n v="0"/>
    <x v="1"/>
    <x v="1"/>
    <x v="1"/>
  </r>
  <r>
    <s v="Japfa"/>
    <s v="Grazing"/>
    <s v="South Asia"/>
    <n v="0"/>
    <x v="1"/>
    <x v="1"/>
    <x v="1"/>
  </r>
  <r>
    <s v="Japfa"/>
    <s v="Grazing"/>
    <s v="Sub-Saharan Africa"/>
    <n v="0"/>
    <x v="1"/>
    <x v="1"/>
    <x v="1"/>
  </r>
  <r>
    <s v="Japfa"/>
    <s v="Grazing"/>
    <s v="Western Europe"/>
    <n v="0"/>
    <x v="1"/>
    <x v="1"/>
    <x v="1"/>
  </r>
  <r>
    <s v="Japfa"/>
    <s v="Croplands"/>
    <s v="East Asia and Southeast Asia"/>
    <n v="187026"/>
    <x v="1"/>
    <x v="1"/>
    <x v="1"/>
  </r>
  <r>
    <s v="Japfa"/>
    <s v="Croplands"/>
    <s v="Eastern Europe"/>
    <n v="2350"/>
    <x v="1"/>
    <x v="1"/>
    <x v="1"/>
  </r>
  <r>
    <s v="Japfa"/>
    <s v="Croplands"/>
    <s v="Latin America and the Caribbean"/>
    <n v="3144"/>
    <x v="1"/>
    <x v="1"/>
    <x v="1"/>
  </r>
  <r>
    <s v="Japfa"/>
    <s v="Croplands"/>
    <s v="Near East and North Africa"/>
    <n v="2296"/>
    <x v="1"/>
    <x v="1"/>
    <x v="1"/>
  </r>
  <r>
    <s v="Japfa"/>
    <s v="Croplands"/>
    <s v="North America"/>
    <n v="28444"/>
    <x v="1"/>
    <x v="1"/>
    <x v="1"/>
  </r>
  <r>
    <s v="Japfa"/>
    <s v="Croplands"/>
    <s v="Oceania"/>
    <n v="970"/>
    <x v="1"/>
    <x v="1"/>
    <x v="1"/>
  </r>
  <r>
    <s v="Japfa"/>
    <s v="Croplands"/>
    <s v="RoW"/>
    <n v="0"/>
    <x v="1"/>
    <x v="1"/>
    <x v="1"/>
  </r>
  <r>
    <s v="Japfa"/>
    <s v="Croplands"/>
    <s v="Russian Federation"/>
    <n v="2488"/>
    <x v="1"/>
    <x v="1"/>
    <x v="1"/>
  </r>
  <r>
    <s v="Japfa"/>
    <s v="Croplands"/>
    <s v="South Asia"/>
    <n v="13974"/>
    <x v="1"/>
    <x v="1"/>
    <x v="1"/>
  </r>
  <r>
    <s v="Japfa"/>
    <s v="Croplands"/>
    <s v="Sub-Saharan Africa"/>
    <n v="489"/>
    <x v="1"/>
    <x v="1"/>
    <x v="1"/>
  </r>
  <r>
    <s v="Japfa"/>
    <s v="Croplands"/>
    <s v="Western Europe"/>
    <n v="706"/>
    <x v="1"/>
    <x v="1"/>
    <x v="1"/>
  </r>
  <r>
    <s v="JBS"/>
    <s v="Grazing"/>
    <s v="East Asia and Southeast Asia"/>
    <n v="0"/>
    <x v="1"/>
    <x v="1"/>
    <x v="1"/>
  </r>
  <r>
    <s v="JBS"/>
    <s v="Grazing"/>
    <s v="Eastern Europe"/>
    <n v="0"/>
    <x v="1"/>
    <x v="1"/>
    <x v="1"/>
  </r>
  <r>
    <s v="JBS"/>
    <s v="Grazing"/>
    <s v="Latin America and the Caribbean"/>
    <n v="0"/>
    <x v="1"/>
    <x v="1"/>
    <x v="1"/>
  </r>
  <r>
    <s v="JBS"/>
    <s v="Grazing"/>
    <s v="Near East and North Africa"/>
    <n v="0"/>
    <x v="1"/>
    <x v="1"/>
    <x v="1"/>
  </r>
  <r>
    <s v="JBS"/>
    <s v="Grazing"/>
    <s v="North America"/>
    <n v="0"/>
    <x v="1"/>
    <x v="1"/>
    <x v="1"/>
  </r>
  <r>
    <s v="JBS"/>
    <s v="Grazing"/>
    <s v="Oceania"/>
    <n v="0"/>
    <x v="1"/>
    <x v="1"/>
    <x v="1"/>
  </r>
  <r>
    <s v="JBS"/>
    <s v="Grazing"/>
    <s v="RoW"/>
    <n v="0"/>
    <x v="1"/>
    <x v="1"/>
    <x v="1"/>
  </r>
  <r>
    <s v="JBS"/>
    <s v="Grazing"/>
    <s v="Russian Federation"/>
    <n v="0"/>
    <x v="1"/>
    <x v="1"/>
    <x v="1"/>
  </r>
  <r>
    <s v="JBS"/>
    <s v="Grazing"/>
    <s v="South Asia"/>
    <n v="0"/>
    <x v="1"/>
    <x v="1"/>
    <x v="1"/>
  </r>
  <r>
    <s v="JBS"/>
    <s v="Grazing"/>
    <s v="Sub-Saharan Africa"/>
    <n v="0"/>
    <x v="1"/>
    <x v="1"/>
    <x v="1"/>
  </r>
  <r>
    <s v="JBS"/>
    <s v="Grazing"/>
    <s v="Western Europe"/>
    <n v="0"/>
    <x v="1"/>
    <x v="1"/>
    <x v="1"/>
  </r>
  <r>
    <s v="JBS"/>
    <s v="Croplands"/>
    <s v="East Asia and Southeast Asia"/>
    <n v="1756"/>
    <x v="1"/>
    <x v="1"/>
    <x v="1"/>
  </r>
  <r>
    <s v="JBS"/>
    <s v="Croplands"/>
    <s v="Eastern Europe"/>
    <n v="8651"/>
    <x v="1"/>
    <x v="1"/>
    <x v="1"/>
  </r>
  <r>
    <s v="JBS"/>
    <s v="Croplands"/>
    <s v="Latin America and the Caribbean"/>
    <n v="241201"/>
    <x v="1"/>
    <x v="1"/>
    <x v="1"/>
  </r>
  <r>
    <s v="JBS"/>
    <s v="Croplands"/>
    <s v="Near East and North Africa"/>
    <n v="15003"/>
    <x v="1"/>
    <x v="1"/>
    <x v="1"/>
  </r>
  <r>
    <s v="JBS"/>
    <s v="Croplands"/>
    <s v="North America"/>
    <n v="828303"/>
    <x v="1"/>
    <x v="1"/>
    <x v="1"/>
  </r>
  <r>
    <s v="JBS"/>
    <s v="Croplands"/>
    <s v="Oceania"/>
    <n v="214"/>
    <x v="1"/>
    <x v="1"/>
    <x v="1"/>
  </r>
  <r>
    <s v="JBS"/>
    <s v="Croplands"/>
    <s v="RoW"/>
    <n v="0"/>
    <x v="1"/>
    <x v="1"/>
    <x v="1"/>
  </r>
  <r>
    <s v="JBS"/>
    <s v="Croplands"/>
    <s v="Russian Federation"/>
    <n v="2731"/>
    <x v="1"/>
    <x v="1"/>
    <x v="1"/>
  </r>
  <r>
    <s v="JBS"/>
    <s v="Croplands"/>
    <s v="South Asia"/>
    <n v="5978"/>
    <x v="1"/>
    <x v="1"/>
    <x v="1"/>
  </r>
  <r>
    <s v="JBS"/>
    <s v="Croplands"/>
    <s v="Sub-Saharan Africa"/>
    <n v="1197"/>
    <x v="1"/>
    <x v="1"/>
    <x v="1"/>
  </r>
  <r>
    <s v="JBS"/>
    <s v="Croplands"/>
    <s v="Western Europe"/>
    <n v="96298"/>
    <x v="1"/>
    <x v="1"/>
    <x v="1"/>
  </r>
  <r>
    <s v="Koch Foods"/>
    <s v="Grazing"/>
    <s v="East Asia and Southeast Asia"/>
    <n v="0"/>
    <x v="1"/>
    <x v="1"/>
    <x v="1"/>
  </r>
  <r>
    <s v="Koch Foods"/>
    <s v="Grazing"/>
    <s v="Eastern Europe"/>
    <n v="0"/>
    <x v="1"/>
    <x v="1"/>
    <x v="1"/>
  </r>
  <r>
    <s v="Koch Foods"/>
    <s v="Grazing"/>
    <s v="Latin America and the Caribbean"/>
    <n v="0"/>
    <x v="1"/>
    <x v="1"/>
    <x v="1"/>
  </r>
  <r>
    <s v="Koch Foods"/>
    <s v="Grazing"/>
    <s v="Near East and North Africa"/>
    <n v="0"/>
    <x v="1"/>
    <x v="1"/>
    <x v="1"/>
  </r>
  <r>
    <s v="Koch Foods"/>
    <s v="Grazing"/>
    <s v="North America"/>
    <n v="0"/>
    <x v="1"/>
    <x v="1"/>
    <x v="1"/>
  </r>
  <r>
    <s v="Koch Foods"/>
    <s v="Grazing"/>
    <s v="Oceania"/>
    <n v="0"/>
    <x v="1"/>
    <x v="1"/>
    <x v="1"/>
  </r>
  <r>
    <s v="Koch Foods"/>
    <s v="Grazing"/>
    <s v="RoW"/>
    <n v="0"/>
    <x v="1"/>
    <x v="1"/>
    <x v="1"/>
  </r>
  <r>
    <s v="Koch Foods"/>
    <s v="Grazing"/>
    <s v="Russian Federation"/>
    <n v="0"/>
    <x v="1"/>
    <x v="1"/>
    <x v="1"/>
  </r>
  <r>
    <s v="Koch Foods"/>
    <s v="Grazing"/>
    <s v="South Asia"/>
    <n v="0"/>
    <x v="1"/>
    <x v="1"/>
    <x v="1"/>
  </r>
  <r>
    <s v="Koch Foods"/>
    <s v="Grazing"/>
    <s v="Sub-Saharan Africa"/>
    <n v="0"/>
    <x v="1"/>
    <x v="1"/>
    <x v="1"/>
  </r>
  <r>
    <s v="Koch Foods"/>
    <s v="Grazing"/>
    <s v="Western Europe"/>
    <n v="0"/>
    <x v="1"/>
    <x v="1"/>
    <x v="1"/>
  </r>
  <r>
    <s v="Koch Foods"/>
    <s v="Croplands"/>
    <s v="East Asia and Southeast Asia"/>
    <n v="225"/>
    <x v="1"/>
    <x v="1"/>
    <x v="1"/>
  </r>
  <r>
    <s v="Koch Foods"/>
    <s v="Croplands"/>
    <s v="Eastern Europe"/>
    <n v="36"/>
    <x v="1"/>
    <x v="1"/>
    <x v="1"/>
  </r>
  <r>
    <s v="Koch Foods"/>
    <s v="Croplands"/>
    <s v="Latin America and the Caribbean"/>
    <n v="669"/>
    <x v="1"/>
    <x v="1"/>
    <x v="1"/>
  </r>
  <r>
    <s v="Koch Foods"/>
    <s v="Croplands"/>
    <s v="Near East and North Africa"/>
    <n v="103"/>
    <x v="1"/>
    <x v="1"/>
    <x v="1"/>
  </r>
  <r>
    <s v="Koch Foods"/>
    <s v="Croplands"/>
    <s v="North America"/>
    <n v="283536"/>
    <x v="1"/>
    <x v="1"/>
    <x v="1"/>
  </r>
  <r>
    <s v="Koch Foods"/>
    <s v="Croplands"/>
    <s v="Oceania"/>
    <n v="53"/>
    <x v="1"/>
    <x v="1"/>
    <x v="1"/>
  </r>
  <r>
    <s v="Koch Foods"/>
    <s v="Croplands"/>
    <s v="RoW"/>
    <n v="0"/>
    <x v="1"/>
    <x v="1"/>
    <x v="1"/>
  </r>
  <r>
    <s v="Koch Foods"/>
    <s v="Croplands"/>
    <s v="Russian Federation"/>
    <n v="96"/>
    <x v="1"/>
    <x v="1"/>
    <x v="1"/>
  </r>
  <r>
    <s v="Koch Foods"/>
    <s v="Croplands"/>
    <s v="South Asia"/>
    <n v="640"/>
    <x v="1"/>
    <x v="1"/>
    <x v="1"/>
  </r>
  <r>
    <s v="Koch Foods"/>
    <s v="Croplands"/>
    <s v="Sub-Saharan Africa"/>
    <n v="232"/>
    <x v="1"/>
    <x v="1"/>
    <x v="1"/>
  </r>
  <r>
    <s v="Koch Foods"/>
    <s v="Croplands"/>
    <s v="Western Europe"/>
    <n v="125"/>
    <x v="1"/>
    <x v="1"/>
    <x v="1"/>
  </r>
  <r>
    <s v="MHP"/>
    <s v="Grazing"/>
    <s v="East Asia and Southeast Asia"/>
    <n v="0"/>
    <x v="1"/>
    <x v="1"/>
    <x v="1"/>
  </r>
  <r>
    <s v="MHP"/>
    <s v="Grazing"/>
    <s v="Eastern Europe"/>
    <n v="0"/>
    <x v="1"/>
    <x v="1"/>
    <x v="1"/>
  </r>
  <r>
    <s v="MHP"/>
    <s v="Grazing"/>
    <s v="Latin America and the Caribbean"/>
    <n v="0"/>
    <x v="1"/>
    <x v="1"/>
    <x v="1"/>
  </r>
  <r>
    <s v="MHP"/>
    <s v="Grazing"/>
    <s v="Near East and North Africa"/>
    <n v="0"/>
    <x v="1"/>
    <x v="1"/>
    <x v="1"/>
  </r>
  <r>
    <s v="MHP"/>
    <s v="Grazing"/>
    <s v="North America"/>
    <n v="0"/>
    <x v="1"/>
    <x v="1"/>
    <x v="1"/>
  </r>
  <r>
    <s v="MHP"/>
    <s v="Grazing"/>
    <s v="Oceania"/>
    <n v="0"/>
    <x v="1"/>
    <x v="1"/>
    <x v="1"/>
  </r>
  <r>
    <s v="MHP"/>
    <s v="Grazing"/>
    <s v="RoW"/>
    <n v="0"/>
    <x v="1"/>
    <x v="1"/>
    <x v="1"/>
  </r>
  <r>
    <s v="MHP"/>
    <s v="Grazing"/>
    <s v="Russian Federation"/>
    <n v="0"/>
    <x v="1"/>
    <x v="1"/>
    <x v="1"/>
  </r>
  <r>
    <s v="MHP"/>
    <s v="Grazing"/>
    <s v="South Asia"/>
    <n v="0"/>
    <x v="1"/>
    <x v="1"/>
    <x v="1"/>
  </r>
  <r>
    <s v="MHP"/>
    <s v="Grazing"/>
    <s v="Sub-Saharan Africa"/>
    <n v="0"/>
    <x v="1"/>
    <x v="1"/>
    <x v="1"/>
  </r>
  <r>
    <s v="MHP"/>
    <s v="Grazing"/>
    <s v="Western Europe"/>
    <n v="0"/>
    <x v="1"/>
    <x v="1"/>
    <x v="1"/>
  </r>
  <r>
    <s v="MHP"/>
    <s v="Croplands"/>
    <s v="East Asia and Southeast Asia"/>
    <n v="642"/>
    <x v="1"/>
    <x v="1"/>
    <x v="1"/>
  </r>
  <r>
    <s v="MHP"/>
    <s v="Croplands"/>
    <s v="Eastern Europe"/>
    <n v="53216"/>
    <x v="1"/>
    <x v="1"/>
    <x v="1"/>
  </r>
  <r>
    <s v="MHP"/>
    <s v="Croplands"/>
    <s v="Latin America and the Caribbean"/>
    <n v="620"/>
    <x v="1"/>
    <x v="1"/>
    <x v="1"/>
  </r>
  <r>
    <s v="MHP"/>
    <s v="Croplands"/>
    <s v="Near East and North Africa"/>
    <n v="2887"/>
    <x v="1"/>
    <x v="1"/>
    <x v="1"/>
  </r>
  <r>
    <s v="MHP"/>
    <s v="Croplands"/>
    <s v="North America"/>
    <n v="383"/>
    <x v="1"/>
    <x v="1"/>
    <x v="1"/>
  </r>
  <r>
    <s v="MHP"/>
    <s v="Croplands"/>
    <s v="Oceania"/>
    <n v="6"/>
    <x v="1"/>
    <x v="1"/>
    <x v="1"/>
  </r>
  <r>
    <s v="MHP"/>
    <s v="Croplands"/>
    <s v="RoW"/>
    <n v="0"/>
    <x v="1"/>
    <x v="1"/>
    <x v="1"/>
  </r>
  <r>
    <s v="MHP"/>
    <s v="Croplands"/>
    <s v="Russian Federation"/>
    <n v="1152"/>
    <x v="1"/>
    <x v="1"/>
    <x v="1"/>
  </r>
  <r>
    <s v="MHP"/>
    <s v="Croplands"/>
    <s v="South Asia"/>
    <n v="1716"/>
    <x v="1"/>
    <x v="1"/>
    <x v="1"/>
  </r>
  <r>
    <s v="MHP"/>
    <s v="Croplands"/>
    <s v="Sub-Saharan Africa"/>
    <n v="53"/>
    <x v="1"/>
    <x v="1"/>
    <x v="1"/>
  </r>
  <r>
    <s v="MHP"/>
    <s v="Croplands"/>
    <s v="Western Europe"/>
    <n v="2760"/>
    <x v="1"/>
    <x v="1"/>
    <x v="1"/>
  </r>
  <r>
    <s v="New Hope Group"/>
    <s v="Grazing"/>
    <s v="East Asia and Southeast Asia"/>
    <n v="0"/>
    <x v="1"/>
    <x v="1"/>
    <x v="1"/>
  </r>
  <r>
    <s v="New Hope Group"/>
    <s v="Grazing"/>
    <s v="Eastern Europe"/>
    <n v="0"/>
    <x v="1"/>
    <x v="1"/>
    <x v="1"/>
  </r>
  <r>
    <s v="New Hope Group"/>
    <s v="Grazing"/>
    <s v="Latin America and the Caribbean"/>
    <n v="0"/>
    <x v="1"/>
    <x v="1"/>
    <x v="1"/>
  </r>
  <r>
    <s v="New Hope Group"/>
    <s v="Grazing"/>
    <s v="Near East and North Africa"/>
    <n v="0"/>
    <x v="1"/>
    <x v="1"/>
    <x v="1"/>
  </r>
  <r>
    <s v="New Hope Group"/>
    <s v="Grazing"/>
    <s v="North America"/>
    <n v="0"/>
    <x v="1"/>
    <x v="1"/>
    <x v="1"/>
  </r>
  <r>
    <s v="New Hope Group"/>
    <s v="Grazing"/>
    <s v="Oceania"/>
    <n v="0"/>
    <x v="1"/>
    <x v="1"/>
    <x v="1"/>
  </r>
  <r>
    <s v="New Hope Group"/>
    <s v="Grazing"/>
    <s v="RoW"/>
    <n v="0"/>
    <x v="1"/>
    <x v="1"/>
    <x v="1"/>
  </r>
  <r>
    <s v="New Hope Group"/>
    <s v="Grazing"/>
    <s v="Russian Federation"/>
    <n v="0"/>
    <x v="1"/>
    <x v="1"/>
    <x v="1"/>
  </r>
  <r>
    <s v="New Hope Group"/>
    <s v="Grazing"/>
    <s v="South Asia"/>
    <n v="0"/>
    <x v="1"/>
    <x v="1"/>
    <x v="1"/>
  </r>
  <r>
    <s v="New Hope Group"/>
    <s v="Grazing"/>
    <s v="Sub-Saharan Africa"/>
    <n v="0"/>
    <x v="1"/>
    <x v="1"/>
    <x v="1"/>
  </r>
  <r>
    <s v="New Hope Group"/>
    <s v="Grazing"/>
    <s v="Western Europe"/>
    <n v="0"/>
    <x v="1"/>
    <x v="1"/>
    <x v="1"/>
  </r>
  <r>
    <s v="New Hope Group"/>
    <s v="Croplands"/>
    <s v="East Asia and Southeast Asia"/>
    <n v="125405"/>
    <x v="1"/>
    <x v="1"/>
    <x v="1"/>
  </r>
  <r>
    <s v="New Hope Group"/>
    <s v="Croplands"/>
    <s v="Eastern Europe"/>
    <n v="1576"/>
    <x v="1"/>
    <x v="1"/>
    <x v="1"/>
  </r>
  <r>
    <s v="New Hope Group"/>
    <s v="Croplands"/>
    <s v="Latin America and the Caribbean"/>
    <n v="2108"/>
    <x v="1"/>
    <x v="1"/>
    <x v="1"/>
  </r>
  <r>
    <s v="New Hope Group"/>
    <s v="Croplands"/>
    <s v="Near East and North Africa"/>
    <n v="1539"/>
    <x v="1"/>
    <x v="1"/>
    <x v="1"/>
  </r>
  <r>
    <s v="New Hope Group"/>
    <s v="Croplands"/>
    <s v="North America"/>
    <n v="19073"/>
    <x v="1"/>
    <x v="1"/>
    <x v="1"/>
  </r>
  <r>
    <s v="New Hope Group"/>
    <s v="Croplands"/>
    <s v="Oceania"/>
    <n v="650"/>
    <x v="1"/>
    <x v="1"/>
    <x v="1"/>
  </r>
  <r>
    <s v="New Hope Group"/>
    <s v="Croplands"/>
    <s v="RoW"/>
    <n v="0"/>
    <x v="1"/>
    <x v="1"/>
    <x v="1"/>
  </r>
  <r>
    <s v="New Hope Group"/>
    <s v="Croplands"/>
    <s v="Russian Federation"/>
    <n v="1669"/>
    <x v="1"/>
    <x v="1"/>
    <x v="1"/>
  </r>
  <r>
    <s v="New Hope Group"/>
    <s v="Croplands"/>
    <s v="South Asia"/>
    <n v="9370"/>
    <x v="1"/>
    <x v="1"/>
    <x v="1"/>
  </r>
  <r>
    <s v="New Hope Group"/>
    <s v="Croplands"/>
    <s v="Sub-Saharan Africa"/>
    <n v="328"/>
    <x v="1"/>
    <x v="1"/>
    <x v="1"/>
  </r>
  <r>
    <s v="New Hope Group"/>
    <s v="Croplands"/>
    <s v="Western Europe"/>
    <n v="473"/>
    <x v="1"/>
    <x v="1"/>
    <x v="1"/>
  </r>
  <r>
    <s v="Perdue Farms"/>
    <s v="Grazing"/>
    <s v="East Asia and Southeast Asia"/>
    <n v="0"/>
    <x v="1"/>
    <x v="1"/>
    <x v="1"/>
  </r>
  <r>
    <s v="Perdue Farms"/>
    <s v="Grazing"/>
    <s v="Eastern Europe"/>
    <n v="0"/>
    <x v="1"/>
    <x v="1"/>
    <x v="1"/>
  </r>
  <r>
    <s v="Perdue Farms"/>
    <s v="Grazing"/>
    <s v="Latin America and the Caribbean"/>
    <n v="0"/>
    <x v="1"/>
    <x v="1"/>
    <x v="1"/>
  </r>
  <r>
    <s v="Perdue Farms"/>
    <s v="Grazing"/>
    <s v="Near East and North Africa"/>
    <n v="0"/>
    <x v="1"/>
    <x v="1"/>
    <x v="1"/>
  </r>
  <r>
    <s v="Perdue Farms"/>
    <s v="Grazing"/>
    <s v="North America"/>
    <n v="0"/>
    <x v="1"/>
    <x v="1"/>
    <x v="1"/>
  </r>
  <r>
    <s v="Perdue Farms"/>
    <s v="Grazing"/>
    <s v="Oceania"/>
    <n v="0"/>
    <x v="1"/>
    <x v="1"/>
    <x v="1"/>
  </r>
  <r>
    <s v="Perdue Farms"/>
    <s v="Grazing"/>
    <s v="RoW"/>
    <n v="0"/>
    <x v="1"/>
    <x v="1"/>
    <x v="1"/>
  </r>
  <r>
    <s v="Perdue Farms"/>
    <s v="Grazing"/>
    <s v="Russian Federation"/>
    <n v="0"/>
    <x v="1"/>
    <x v="1"/>
    <x v="1"/>
  </r>
  <r>
    <s v="Perdue Farms"/>
    <s v="Grazing"/>
    <s v="South Asia"/>
    <n v="0"/>
    <x v="1"/>
    <x v="1"/>
    <x v="1"/>
  </r>
  <r>
    <s v="Perdue Farms"/>
    <s v="Grazing"/>
    <s v="Sub-Saharan Africa"/>
    <n v="0"/>
    <x v="1"/>
    <x v="1"/>
    <x v="1"/>
  </r>
  <r>
    <s v="Perdue Farms"/>
    <s v="Grazing"/>
    <s v="Western Europe"/>
    <n v="0"/>
    <x v="1"/>
    <x v="1"/>
    <x v="1"/>
  </r>
  <r>
    <s v="Perdue Farms"/>
    <s v="Croplands"/>
    <s v="East Asia and Southeast Asia"/>
    <n v="206"/>
    <x v="1"/>
    <x v="1"/>
    <x v="1"/>
  </r>
  <r>
    <s v="Perdue Farms"/>
    <s v="Croplands"/>
    <s v="Eastern Europe"/>
    <n v="33"/>
    <x v="1"/>
    <x v="1"/>
    <x v="1"/>
  </r>
  <r>
    <s v="Perdue Farms"/>
    <s v="Croplands"/>
    <s v="Latin America and the Caribbean"/>
    <n v="614"/>
    <x v="1"/>
    <x v="1"/>
    <x v="1"/>
  </r>
  <r>
    <s v="Perdue Farms"/>
    <s v="Croplands"/>
    <s v="Near East and North Africa"/>
    <n v="95"/>
    <x v="1"/>
    <x v="1"/>
    <x v="1"/>
  </r>
  <r>
    <s v="Perdue Farms"/>
    <s v="Croplands"/>
    <s v="North America"/>
    <n v="260261"/>
    <x v="1"/>
    <x v="1"/>
    <x v="1"/>
  </r>
  <r>
    <s v="Perdue Farms"/>
    <s v="Croplands"/>
    <s v="Oceania"/>
    <n v="49"/>
    <x v="1"/>
    <x v="1"/>
    <x v="1"/>
  </r>
  <r>
    <s v="Perdue Farms"/>
    <s v="Croplands"/>
    <s v="RoW"/>
    <n v="0"/>
    <x v="1"/>
    <x v="1"/>
    <x v="1"/>
  </r>
  <r>
    <s v="Perdue Farms"/>
    <s v="Croplands"/>
    <s v="Russian Federation"/>
    <n v="88"/>
    <x v="1"/>
    <x v="1"/>
    <x v="1"/>
  </r>
  <r>
    <s v="Perdue Farms"/>
    <s v="Croplands"/>
    <s v="South Asia"/>
    <n v="587"/>
    <x v="1"/>
    <x v="1"/>
    <x v="1"/>
  </r>
  <r>
    <s v="Perdue Farms"/>
    <s v="Croplands"/>
    <s v="Sub-Saharan Africa"/>
    <n v="213"/>
    <x v="1"/>
    <x v="1"/>
    <x v="1"/>
  </r>
  <r>
    <s v="Perdue Farms"/>
    <s v="Croplands"/>
    <s v="Western Europe"/>
    <n v="115"/>
    <x v="1"/>
    <x v="1"/>
    <x v="1"/>
  </r>
  <r>
    <s v="Tyson"/>
    <s v="Grazing"/>
    <s v="East Asia and Southeast Asia"/>
    <n v="0"/>
    <x v="1"/>
    <x v="1"/>
    <x v="1"/>
  </r>
  <r>
    <s v="Tyson"/>
    <s v="Grazing"/>
    <s v="Eastern Europe"/>
    <n v="0"/>
    <x v="1"/>
    <x v="1"/>
    <x v="1"/>
  </r>
  <r>
    <s v="Tyson"/>
    <s v="Grazing"/>
    <s v="Latin America and the Caribbean"/>
    <n v="0"/>
    <x v="1"/>
    <x v="1"/>
    <x v="1"/>
  </r>
  <r>
    <s v="Tyson"/>
    <s v="Grazing"/>
    <s v="Near East and North Africa"/>
    <n v="0"/>
    <x v="1"/>
    <x v="1"/>
    <x v="1"/>
  </r>
  <r>
    <s v="Tyson"/>
    <s v="Grazing"/>
    <s v="North America"/>
    <n v="0"/>
    <x v="1"/>
    <x v="1"/>
    <x v="1"/>
  </r>
  <r>
    <s v="Tyson"/>
    <s v="Grazing"/>
    <s v="Oceania"/>
    <n v="0"/>
    <x v="1"/>
    <x v="1"/>
    <x v="1"/>
  </r>
  <r>
    <s v="Tyson"/>
    <s v="Grazing"/>
    <s v="RoW"/>
    <n v="0"/>
    <x v="1"/>
    <x v="1"/>
    <x v="1"/>
  </r>
  <r>
    <s v="Tyson"/>
    <s v="Grazing"/>
    <s v="Russian Federation"/>
    <n v="0"/>
    <x v="1"/>
    <x v="1"/>
    <x v="1"/>
  </r>
  <r>
    <s v="Tyson"/>
    <s v="Grazing"/>
    <s v="South Asia"/>
    <n v="0"/>
    <x v="1"/>
    <x v="1"/>
    <x v="1"/>
  </r>
  <r>
    <s v="Tyson"/>
    <s v="Grazing"/>
    <s v="Sub-Saharan Africa"/>
    <n v="0"/>
    <x v="1"/>
    <x v="1"/>
    <x v="1"/>
  </r>
  <r>
    <s v="Tyson"/>
    <s v="Grazing"/>
    <s v="Western Europe"/>
    <n v="0"/>
    <x v="1"/>
    <x v="1"/>
    <x v="1"/>
  </r>
  <r>
    <s v="Tyson"/>
    <s v="Croplands"/>
    <s v="East Asia and Southeast Asia"/>
    <n v="40396"/>
    <x v="1"/>
    <x v="1"/>
    <x v="1"/>
  </r>
  <r>
    <s v="Tyson"/>
    <s v="Croplands"/>
    <s v="Eastern Europe"/>
    <n v="593"/>
    <x v="1"/>
    <x v="1"/>
    <x v="1"/>
  </r>
  <r>
    <s v="Tyson"/>
    <s v="Croplands"/>
    <s v="Latin America and the Caribbean"/>
    <n v="2401"/>
    <x v="1"/>
    <x v="1"/>
    <x v="1"/>
  </r>
  <r>
    <s v="Tyson"/>
    <s v="Croplands"/>
    <s v="Near East and North Africa"/>
    <n v="755"/>
    <x v="1"/>
    <x v="1"/>
    <x v="1"/>
  </r>
  <r>
    <s v="Tyson"/>
    <s v="Croplands"/>
    <s v="North America"/>
    <n v="739594"/>
    <x v="1"/>
    <x v="1"/>
    <x v="1"/>
  </r>
  <r>
    <s v="Tyson"/>
    <s v="Croplands"/>
    <s v="Oceania"/>
    <n v="344"/>
    <x v="1"/>
    <x v="1"/>
    <x v="1"/>
  </r>
  <r>
    <s v="Tyson"/>
    <s v="Croplands"/>
    <s v="RoW"/>
    <n v="0"/>
    <x v="1"/>
    <x v="1"/>
    <x v="1"/>
  </r>
  <r>
    <s v="Tyson"/>
    <s v="Croplands"/>
    <s v="Russian Federation"/>
    <n v="777"/>
    <x v="1"/>
    <x v="1"/>
    <x v="1"/>
  </r>
  <r>
    <s v="Tyson"/>
    <s v="Croplands"/>
    <s v="South Asia"/>
    <n v="4630"/>
    <x v="1"/>
    <x v="1"/>
    <x v="1"/>
  </r>
  <r>
    <s v="Tyson"/>
    <s v="Croplands"/>
    <s v="Sub-Saharan Africa"/>
    <n v="706"/>
    <x v="1"/>
    <x v="1"/>
    <x v="1"/>
  </r>
  <r>
    <s v="Tyson"/>
    <s v="Croplands"/>
    <s v="Western Europe"/>
    <n v="474"/>
    <x v="1"/>
    <x v="1"/>
    <x v="1"/>
  </r>
  <r>
    <s v="Wellhope Agritech"/>
    <s v="Grazing"/>
    <s v="East Asia and Southeast Asia"/>
    <n v="0"/>
    <x v="1"/>
    <x v="1"/>
    <x v="1"/>
  </r>
  <r>
    <s v="Wellhope Agritech"/>
    <s v="Grazing"/>
    <s v="Eastern Europe"/>
    <n v="0"/>
    <x v="1"/>
    <x v="1"/>
    <x v="1"/>
  </r>
  <r>
    <s v="Wellhope Agritech"/>
    <s v="Grazing"/>
    <s v="Latin America and the Caribbean"/>
    <n v="0"/>
    <x v="1"/>
    <x v="1"/>
    <x v="1"/>
  </r>
  <r>
    <s v="Wellhope Agritech"/>
    <s v="Grazing"/>
    <s v="Near East and North Africa"/>
    <n v="0"/>
    <x v="1"/>
    <x v="1"/>
    <x v="1"/>
  </r>
  <r>
    <s v="Wellhope Agritech"/>
    <s v="Grazing"/>
    <s v="North America"/>
    <n v="0"/>
    <x v="1"/>
    <x v="1"/>
    <x v="1"/>
  </r>
  <r>
    <s v="Wellhope Agritech"/>
    <s v="Grazing"/>
    <s v="Oceania"/>
    <n v="0"/>
    <x v="1"/>
    <x v="1"/>
    <x v="1"/>
  </r>
  <r>
    <s v="Wellhope Agritech"/>
    <s v="Grazing"/>
    <s v="RoW"/>
    <n v="0"/>
    <x v="1"/>
    <x v="1"/>
    <x v="1"/>
  </r>
  <r>
    <s v="Wellhope Agritech"/>
    <s v="Grazing"/>
    <s v="Russian Federation"/>
    <n v="0"/>
    <x v="1"/>
    <x v="1"/>
    <x v="1"/>
  </r>
  <r>
    <s v="Wellhope Agritech"/>
    <s v="Grazing"/>
    <s v="South Asia"/>
    <n v="0"/>
    <x v="1"/>
    <x v="1"/>
    <x v="1"/>
  </r>
  <r>
    <s v="Wellhope Agritech"/>
    <s v="Grazing"/>
    <s v="Sub-Saharan Africa"/>
    <n v="0"/>
    <x v="1"/>
    <x v="1"/>
    <x v="1"/>
  </r>
  <r>
    <s v="Wellhope Agritech"/>
    <s v="Grazing"/>
    <s v="Western Europe"/>
    <n v="0"/>
    <x v="1"/>
    <x v="1"/>
    <x v="1"/>
  </r>
  <r>
    <s v="Wellhope Agritech"/>
    <s v="Croplands"/>
    <s v="East Asia and Southeast Asia"/>
    <n v="154425"/>
    <x v="1"/>
    <x v="1"/>
    <x v="1"/>
  </r>
  <r>
    <s v="Wellhope Agritech"/>
    <s v="Croplands"/>
    <s v="Eastern Europe"/>
    <n v="1940"/>
    <x v="1"/>
    <x v="1"/>
    <x v="1"/>
  </r>
  <r>
    <s v="Wellhope Agritech"/>
    <s v="Croplands"/>
    <s v="Latin America and the Caribbean"/>
    <n v="2596"/>
    <x v="1"/>
    <x v="1"/>
    <x v="1"/>
  </r>
  <r>
    <s v="Wellhope Agritech"/>
    <s v="Croplands"/>
    <s v="Near East and North Africa"/>
    <n v="1896"/>
    <x v="1"/>
    <x v="1"/>
    <x v="1"/>
  </r>
  <r>
    <s v="Wellhope Agritech"/>
    <s v="Croplands"/>
    <s v="North America"/>
    <n v="23486"/>
    <x v="1"/>
    <x v="1"/>
    <x v="1"/>
  </r>
  <r>
    <s v="Wellhope Agritech"/>
    <s v="Croplands"/>
    <s v="Oceania"/>
    <n v="801"/>
    <x v="1"/>
    <x v="1"/>
    <x v="1"/>
  </r>
  <r>
    <s v="Wellhope Agritech"/>
    <s v="Croplands"/>
    <s v="RoW"/>
    <n v="0"/>
    <x v="1"/>
    <x v="1"/>
    <x v="1"/>
  </r>
  <r>
    <s v="Wellhope Agritech"/>
    <s v="Croplands"/>
    <s v="Russian Federation"/>
    <n v="2055"/>
    <x v="1"/>
    <x v="1"/>
    <x v="1"/>
  </r>
  <r>
    <s v="Wellhope Agritech"/>
    <s v="Croplands"/>
    <s v="South Asia"/>
    <n v="11538"/>
    <x v="1"/>
    <x v="1"/>
    <x v="1"/>
  </r>
  <r>
    <s v="Wellhope Agritech"/>
    <s v="Croplands"/>
    <s v="Sub-Saharan Africa"/>
    <n v="404"/>
    <x v="1"/>
    <x v="1"/>
    <x v="1"/>
  </r>
  <r>
    <s v="Wellhope Agritech"/>
    <s v="Croplands"/>
    <s v="Western Europe"/>
    <n v="583"/>
    <x v="1"/>
    <x v="1"/>
    <x v="1"/>
  </r>
  <r>
    <s v="Wen's Food Group"/>
    <s v="Grazing"/>
    <s v="East Asia and Southeast Asia"/>
    <n v="0"/>
    <x v="1"/>
    <x v="1"/>
    <x v="1"/>
  </r>
  <r>
    <s v="Wen's Food Group"/>
    <s v="Grazing"/>
    <s v="Eastern Europe"/>
    <n v="0"/>
    <x v="1"/>
    <x v="1"/>
    <x v="1"/>
  </r>
  <r>
    <s v="Wen's Food Group"/>
    <s v="Grazing"/>
    <s v="Latin America and the Caribbean"/>
    <n v="0"/>
    <x v="1"/>
    <x v="1"/>
    <x v="1"/>
  </r>
  <r>
    <s v="Wen's Food Group"/>
    <s v="Grazing"/>
    <s v="Near East and North Africa"/>
    <n v="0"/>
    <x v="1"/>
    <x v="1"/>
    <x v="1"/>
  </r>
  <r>
    <s v="Wen's Food Group"/>
    <s v="Grazing"/>
    <s v="North America"/>
    <n v="0"/>
    <x v="1"/>
    <x v="1"/>
    <x v="1"/>
  </r>
  <r>
    <s v="Wen's Food Group"/>
    <s v="Grazing"/>
    <s v="Oceania"/>
    <n v="0"/>
    <x v="1"/>
    <x v="1"/>
    <x v="1"/>
  </r>
  <r>
    <s v="Wen's Food Group"/>
    <s v="Grazing"/>
    <s v="RoW"/>
    <n v="0"/>
    <x v="1"/>
    <x v="1"/>
    <x v="1"/>
  </r>
  <r>
    <s v="Wen's Food Group"/>
    <s v="Grazing"/>
    <s v="Russian Federation"/>
    <n v="0"/>
    <x v="1"/>
    <x v="1"/>
    <x v="1"/>
  </r>
  <r>
    <s v="Wen's Food Group"/>
    <s v="Grazing"/>
    <s v="South Asia"/>
    <n v="0"/>
    <x v="1"/>
    <x v="1"/>
    <x v="1"/>
  </r>
  <r>
    <s v="Wen's Food Group"/>
    <s v="Grazing"/>
    <s v="Sub-Saharan Africa"/>
    <n v="0"/>
    <x v="1"/>
    <x v="1"/>
    <x v="1"/>
  </r>
  <r>
    <s v="Wen's Food Group"/>
    <s v="Grazing"/>
    <s v="Western Europe"/>
    <n v="0"/>
    <x v="1"/>
    <x v="1"/>
    <x v="1"/>
  </r>
  <r>
    <s v="Wen's Food Group"/>
    <s v="Croplands"/>
    <s v="East Asia and Southeast Asia"/>
    <n v="225537"/>
    <x v="1"/>
    <x v="1"/>
    <x v="1"/>
  </r>
  <r>
    <s v="Wen's Food Group"/>
    <s v="Croplands"/>
    <s v="Eastern Europe"/>
    <n v="2834"/>
    <x v="1"/>
    <x v="1"/>
    <x v="1"/>
  </r>
  <r>
    <s v="Wen's Food Group"/>
    <s v="Croplands"/>
    <s v="Latin America and the Caribbean"/>
    <n v="3792"/>
    <x v="1"/>
    <x v="1"/>
    <x v="1"/>
  </r>
  <r>
    <s v="Wen's Food Group"/>
    <s v="Croplands"/>
    <s v="Near East and North Africa"/>
    <n v="2769"/>
    <x v="1"/>
    <x v="1"/>
    <x v="1"/>
  </r>
  <r>
    <s v="Wen's Food Group"/>
    <s v="Croplands"/>
    <s v="North America"/>
    <n v="34301"/>
    <x v="1"/>
    <x v="1"/>
    <x v="1"/>
  </r>
  <r>
    <s v="Wen's Food Group"/>
    <s v="Croplands"/>
    <s v="Oceania"/>
    <n v="1169"/>
    <x v="1"/>
    <x v="1"/>
    <x v="1"/>
  </r>
  <r>
    <s v="Wen's Food Group"/>
    <s v="Croplands"/>
    <s v="RoW"/>
    <n v="0"/>
    <x v="1"/>
    <x v="1"/>
    <x v="1"/>
  </r>
  <r>
    <s v="Wen's Food Group"/>
    <s v="Croplands"/>
    <s v="Russian Federation"/>
    <n v="3001"/>
    <x v="1"/>
    <x v="1"/>
    <x v="1"/>
  </r>
  <r>
    <s v="Wen's Food Group"/>
    <s v="Croplands"/>
    <s v="South Asia"/>
    <n v="16852"/>
    <x v="1"/>
    <x v="1"/>
    <x v="1"/>
  </r>
  <r>
    <s v="Wen's Food Group"/>
    <s v="Croplands"/>
    <s v="Sub-Saharan Africa"/>
    <n v="590"/>
    <x v="1"/>
    <x v="1"/>
    <x v="1"/>
  </r>
  <r>
    <s v="Wen's Food Group"/>
    <s v="Croplands"/>
    <s v="Western Europe"/>
    <n v="851"/>
    <x v="1"/>
    <x v="1"/>
    <x v="1"/>
  </r>
  <r>
    <s v="WH Group"/>
    <s v="Grazing"/>
    <s v="East Asia and Southeast Asia"/>
    <n v="0"/>
    <x v="1"/>
    <x v="1"/>
    <x v="1"/>
  </r>
  <r>
    <s v="WH Group"/>
    <s v="Grazing"/>
    <s v="Eastern Europe"/>
    <n v="0"/>
    <x v="1"/>
    <x v="1"/>
    <x v="1"/>
  </r>
  <r>
    <s v="WH Group"/>
    <s v="Grazing"/>
    <s v="Latin America and the Caribbean"/>
    <n v="0"/>
    <x v="1"/>
    <x v="1"/>
    <x v="1"/>
  </r>
  <r>
    <s v="WH Group"/>
    <s v="Grazing"/>
    <s v="Near East and North Africa"/>
    <n v="0"/>
    <x v="1"/>
    <x v="1"/>
    <x v="1"/>
  </r>
  <r>
    <s v="WH Group"/>
    <s v="Grazing"/>
    <s v="North America"/>
    <n v="0"/>
    <x v="1"/>
    <x v="1"/>
    <x v="1"/>
  </r>
  <r>
    <s v="WH Group"/>
    <s v="Grazing"/>
    <s v="Oceania"/>
    <n v="0"/>
    <x v="1"/>
    <x v="1"/>
    <x v="1"/>
  </r>
  <r>
    <s v="WH Group"/>
    <s v="Grazing"/>
    <s v="RoW"/>
    <n v="0"/>
    <x v="1"/>
    <x v="1"/>
    <x v="1"/>
  </r>
  <r>
    <s v="WH Group"/>
    <s v="Grazing"/>
    <s v="Russian Federation"/>
    <n v="0"/>
    <x v="1"/>
    <x v="1"/>
    <x v="1"/>
  </r>
  <r>
    <s v="WH Group"/>
    <s v="Grazing"/>
    <s v="South Asia"/>
    <n v="0"/>
    <x v="1"/>
    <x v="1"/>
    <x v="1"/>
  </r>
  <r>
    <s v="WH Group"/>
    <s v="Grazing"/>
    <s v="Sub-Saharan Africa"/>
    <n v="0"/>
    <x v="1"/>
    <x v="1"/>
    <x v="1"/>
  </r>
  <r>
    <s v="WH Group"/>
    <s v="Grazing"/>
    <s v="Western Europe"/>
    <n v="0"/>
    <x v="1"/>
    <x v="1"/>
    <x v="1"/>
  </r>
  <r>
    <s v="WH Group"/>
    <s v="Croplands"/>
    <s v="East Asia and Southeast Asia"/>
    <n v="40062"/>
    <x v="1"/>
    <x v="1"/>
    <x v="1"/>
  </r>
  <r>
    <s v="WH Group"/>
    <s v="Croplands"/>
    <s v="Eastern Europe"/>
    <n v="13205"/>
    <x v="1"/>
    <x v="1"/>
    <x v="1"/>
  </r>
  <r>
    <s v="WH Group"/>
    <s v="Croplands"/>
    <s v="Latin America and the Caribbean"/>
    <n v="819"/>
    <x v="1"/>
    <x v="1"/>
    <x v="1"/>
  </r>
  <r>
    <s v="WH Group"/>
    <s v="Croplands"/>
    <s v="Near East and North Africa"/>
    <n v="1179"/>
    <x v="1"/>
    <x v="1"/>
    <x v="1"/>
  </r>
  <r>
    <s v="WH Group"/>
    <s v="Croplands"/>
    <s v="North America"/>
    <n v="6161"/>
    <x v="1"/>
    <x v="1"/>
    <x v="1"/>
  </r>
  <r>
    <s v="WH Group"/>
    <s v="Croplands"/>
    <s v="Oceania"/>
    <n v="208"/>
    <x v="1"/>
    <x v="1"/>
    <x v="1"/>
  </r>
  <r>
    <s v="WH Group"/>
    <s v="Croplands"/>
    <s v="RoW"/>
    <n v="0"/>
    <x v="1"/>
    <x v="1"/>
    <x v="1"/>
  </r>
  <r>
    <s v="WH Group"/>
    <s v="Croplands"/>
    <s v="Russian Federation"/>
    <n v="806"/>
    <x v="1"/>
    <x v="1"/>
    <x v="1"/>
  </r>
  <r>
    <s v="WH Group"/>
    <s v="Croplands"/>
    <s v="South Asia"/>
    <n v="3391"/>
    <x v="1"/>
    <x v="1"/>
    <x v="1"/>
  </r>
  <r>
    <s v="WH Group"/>
    <s v="Croplands"/>
    <s v="Sub-Saharan Africa"/>
    <n v="117"/>
    <x v="1"/>
    <x v="1"/>
    <x v="1"/>
  </r>
  <r>
    <s v="WH Group"/>
    <s v="Croplands"/>
    <s v="Western Europe"/>
    <n v="810"/>
    <x v="1"/>
    <x v="1"/>
    <x v="1"/>
  </r>
  <r>
    <s v="Arab Company for Livestock Development (ACOLID)"/>
    <s v="Grazing"/>
    <s v="East Asia and Southeast Asia"/>
    <n v="11"/>
    <x v="1"/>
    <x v="2"/>
    <x v="1"/>
  </r>
  <r>
    <s v="Arab Company for Livestock Development (ACOLID)"/>
    <s v="Grazing"/>
    <s v="Eastern Europe"/>
    <n v="241"/>
    <x v="1"/>
    <x v="2"/>
    <x v="1"/>
  </r>
  <r>
    <s v="Arab Company for Livestock Development (ACOLID)"/>
    <s v="Grazing"/>
    <s v="Latin America and the Caribbean"/>
    <n v="348"/>
    <x v="1"/>
    <x v="2"/>
    <x v="1"/>
  </r>
  <r>
    <s v="Arab Company for Livestock Development (ACOLID)"/>
    <s v="Grazing"/>
    <s v="Near East and North Africa"/>
    <n v="80962"/>
    <x v="1"/>
    <x v="2"/>
    <x v="1"/>
  </r>
  <r>
    <s v="Arab Company for Livestock Development (ACOLID)"/>
    <s v="Grazing"/>
    <s v="North America"/>
    <n v="135"/>
    <x v="1"/>
    <x v="2"/>
    <x v="1"/>
  </r>
  <r>
    <s v="Arab Company for Livestock Development (ACOLID)"/>
    <s v="Grazing"/>
    <s v="Oceania"/>
    <n v="417"/>
    <x v="1"/>
    <x v="2"/>
    <x v="1"/>
  </r>
  <r>
    <s v="Arab Company for Livestock Development (ACOLID)"/>
    <s v="Grazing"/>
    <s v="RoW"/>
    <n v="0"/>
    <x v="1"/>
    <x v="2"/>
    <x v="1"/>
  </r>
  <r>
    <s v="Arab Company for Livestock Development (ACOLID)"/>
    <s v="Grazing"/>
    <s v="Russian Federation"/>
    <n v="71"/>
    <x v="1"/>
    <x v="2"/>
    <x v="1"/>
  </r>
  <r>
    <s v="Arab Company for Livestock Development (ACOLID)"/>
    <s v="Grazing"/>
    <s v="South Asia"/>
    <n v="141"/>
    <x v="1"/>
    <x v="2"/>
    <x v="1"/>
  </r>
  <r>
    <s v="Arab Company for Livestock Development (ACOLID)"/>
    <s v="Grazing"/>
    <s v="Sub-Saharan Africa"/>
    <n v="145"/>
    <x v="1"/>
    <x v="2"/>
    <x v="1"/>
  </r>
  <r>
    <s v="Arab Company for Livestock Development (ACOLID)"/>
    <s v="Grazing"/>
    <s v="Western Europe"/>
    <n v="1177"/>
    <x v="1"/>
    <x v="2"/>
    <x v="1"/>
  </r>
  <r>
    <s v="Arab Company for Livestock Development (ACOLID)"/>
    <s v="Croplands"/>
    <s v="East Asia and Southeast Asia"/>
    <n v="51848"/>
    <x v="1"/>
    <x v="2"/>
    <x v="1"/>
  </r>
  <r>
    <s v="Arab Company for Livestock Development (ACOLID)"/>
    <s v="Croplands"/>
    <s v="Eastern Europe"/>
    <n v="902299"/>
    <x v="1"/>
    <x v="2"/>
    <x v="1"/>
  </r>
  <r>
    <s v="Arab Company for Livestock Development (ACOLID)"/>
    <s v="Croplands"/>
    <s v="Latin America and the Caribbean"/>
    <n v="1180100"/>
    <x v="1"/>
    <x v="2"/>
    <x v="1"/>
  </r>
  <r>
    <s v="Arab Company for Livestock Development (ACOLID)"/>
    <s v="Croplands"/>
    <s v="Near East and North Africa"/>
    <n v="2201726"/>
    <x v="1"/>
    <x v="2"/>
    <x v="1"/>
  </r>
  <r>
    <s v="Arab Company for Livestock Development (ACOLID)"/>
    <s v="Croplands"/>
    <s v="North America"/>
    <n v="304168"/>
    <x v="1"/>
    <x v="2"/>
    <x v="1"/>
  </r>
  <r>
    <s v="Arab Company for Livestock Development (ACOLID)"/>
    <s v="Croplands"/>
    <s v="Oceania"/>
    <n v="72652"/>
    <x v="1"/>
    <x v="2"/>
    <x v="1"/>
  </r>
  <r>
    <s v="Arab Company for Livestock Development (ACOLID)"/>
    <s v="Croplands"/>
    <s v="RoW"/>
    <n v="112"/>
    <x v="1"/>
    <x v="2"/>
    <x v="1"/>
  </r>
  <r>
    <s v="Arab Company for Livestock Development (ACOLID)"/>
    <s v="Croplands"/>
    <s v="Russian Federation"/>
    <n v="1304303"/>
    <x v="1"/>
    <x v="2"/>
    <x v="1"/>
  </r>
  <r>
    <s v="Arab Company for Livestock Development (ACOLID)"/>
    <s v="Croplands"/>
    <s v="South Asia"/>
    <n v="33790"/>
    <x v="1"/>
    <x v="2"/>
    <x v="1"/>
  </r>
  <r>
    <s v="Arab Company for Livestock Development (ACOLID)"/>
    <s v="Croplands"/>
    <s v="Sub-Saharan Africa"/>
    <n v="19441"/>
    <x v="1"/>
    <x v="2"/>
    <x v="1"/>
  </r>
  <r>
    <s v="Arab Company for Livestock Development (ACOLID)"/>
    <s v="Croplands"/>
    <s v="Western Europe"/>
    <n v="240443"/>
    <x v="1"/>
    <x v="2"/>
    <x v="1"/>
  </r>
  <r>
    <s v="Aurora Alimentos"/>
    <s v="Grazing"/>
    <s v="East Asia and Southeast Asia"/>
    <n v="7"/>
    <x v="1"/>
    <x v="2"/>
    <x v="1"/>
  </r>
  <r>
    <s v="Aurora Alimentos"/>
    <s v="Grazing"/>
    <s v="Eastern Europe"/>
    <n v="14"/>
    <x v="1"/>
    <x v="2"/>
    <x v="1"/>
  </r>
  <r>
    <s v="Aurora Alimentos"/>
    <s v="Grazing"/>
    <s v="Latin America and the Caribbean"/>
    <n v="26489"/>
    <x v="1"/>
    <x v="2"/>
    <x v="1"/>
  </r>
  <r>
    <s v="Aurora Alimentos"/>
    <s v="Grazing"/>
    <s v="Near East and North Africa"/>
    <n v="5"/>
    <x v="1"/>
    <x v="2"/>
    <x v="1"/>
  </r>
  <r>
    <s v="Aurora Alimentos"/>
    <s v="Grazing"/>
    <s v="North America"/>
    <n v="235"/>
    <x v="1"/>
    <x v="2"/>
    <x v="1"/>
  </r>
  <r>
    <s v="Aurora Alimentos"/>
    <s v="Grazing"/>
    <s v="Oceania"/>
    <n v="67"/>
    <x v="1"/>
    <x v="2"/>
    <x v="1"/>
  </r>
  <r>
    <s v="Aurora Alimentos"/>
    <s v="Grazing"/>
    <s v="RoW"/>
    <n v="0"/>
    <x v="1"/>
    <x v="2"/>
    <x v="1"/>
  </r>
  <r>
    <s v="Aurora Alimentos"/>
    <s v="Grazing"/>
    <s v="Russian Federation"/>
    <n v="3"/>
    <x v="1"/>
    <x v="2"/>
    <x v="1"/>
  </r>
  <r>
    <s v="Aurora Alimentos"/>
    <s v="Grazing"/>
    <s v="South Asia"/>
    <n v="4"/>
    <x v="1"/>
    <x v="2"/>
    <x v="1"/>
  </r>
  <r>
    <s v="Aurora Alimentos"/>
    <s v="Grazing"/>
    <s v="Sub-Saharan Africa"/>
    <n v="6"/>
    <x v="1"/>
    <x v="2"/>
    <x v="1"/>
  </r>
  <r>
    <s v="Aurora Alimentos"/>
    <s v="Grazing"/>
    <s v="Western Europe"/>
    <n v="77"/>
    <x v="1"/>
    <x v="2"/>
    <x v="1"/>
  </r>
  <r>
    <s v="Aurora Alimentos"/>
    <s v="Croplands"/>
    <s v="East Asia and Southeast Asia"/>
    <n v="1243"/>
    <x v="1"/>
    <x v="2"/>
    <x v="1"/>
  </r>
  <r>
    <s v="Aurora Alimentos"/>
    <s v="Croplands"/>
    <s v="Eastern Europe"/>
    <n v="955"/>
    <x v="1"/>
    <x v="2"/>
    <x v="1"/>
  </r>
  <r>
    <s v="Aurora Alimentos"/>
    <s v="Croplands"/>
    <s v="Latin America and the Caribbean"/>
    <n v="2187636"/>
    <x v="1"/>
    <x v="2"/>
    <x v="1"/>
  </r>
  <r>
    <s v="Aurora Alimentos"/>
    <s v="Croplands"/>
    <s v="Near East and North Africa"/>
    <n v="2479"/>
    <x v="1"/>
    <x v="2"/>
    <x v="1"/>
  </r>
  <r>
    <s v="Aurora Alimentos"/>
    <s v="Croplands"/>
    <s v="North America"/>
    <n v="180768"/>
    <x v="1"/>
    <x v="2"/>
    <x v="1"/>
  </r>
  <r>
    <s v="Aurora Alimentos"/>
    <s v="Croplands"/>
    <s v="Oceania"/>
    <n v="166"/>
    <x v="1"/>
    <x v="2"/>
    <x v="1"/>
  </r>
  <r>
    <s v="Aurora Alimentos"/>
    <s v="Croplands"/>
    <s v="RoW"/>
    <n v="0"/>
    <x v="1"/>
    <x v="2"/>
    <x v="1"/>
  </r>
  <r>
    <s v="Aurora Alimentos"/>
    <s v="Croplands"/>
    <s v="Russian Federation"/>
    <n v="4052"/>
    <x v="1"/>
    <x v="2"/>
    <x v="1"/>
  </r>
  <r>
    <s v="Aurora Alimentos"/>
    <s v="Croplands"/>
    <s v="South Asia"/>
    <n v="2980"/>
    <x v="1"/>
    <x v="2"/>
    <x v="1"/>
  </r>
  <r>
    <s v="Aurora Alimentos"/>
    <s v="Croplands"/>
    <s v="Sub-Saharan Africa"/>
    <n v="2987"/>
    <x v="1"/>
    <x v="2"/>
    <x v="1"/>
  </r>
  <r>
    <s v="Aurora Alimentos"/>
    <s v="Croplands"/>
    <s v="Western Europe"/>
    <n v="830"/>
    <x v="1"/>
    <x v="2"/>
    <x v="1"/>
  </r>
  <r>
    <s v="BRF"/>
    <s v="Grazing"/>
    <s v="East Asia and Southeast Asia"/>
    <n v="34"/>
    <x v="1"/>
    <x v="2"/>
    <x v="1"/>
  </r>
  <r>
    <s v="BRF"/>
    <s v="Grazing"/>
    <s v="Eastern Europe"/>
    <n v="72"/>
    <x v="1"/>
    <x v="2"/>
    <x v="1"/>
  </r>
  <r>
    <s v="BRF"/>
    <s v="Grazing"/>
    <s v="Latin America and the Caribbean"/>
    <n v="133119"/>
    <x v="1"/>
    <x v="2"/>
    <x v="1"/>
  </r>
  <r>
    <s v="BRF"/>
    <s v="Grazing"/>
    <s v="Near East and North Africa"/>
    <n v="27"/>
    <x v="1"/>
    <x v="2"/>
    <x v="1"/>
  </r>
  <r>
    <s v="BRF"/>
    <s v="Grazing"/>
    <s v="North America"/>
    <n v="1179"/>
    <x v="1"/>
    <x v="2"/>
    <x v="1"/>
  </r>
  <r>
    <s v="BRF"/>
    <s v="Grazing"/>
    <s v="Oceania"/>
    <n v="336"/>
    <x v="1"/>
    <x v="2"/>
    <x v="1"/>
  </r>
  <r>
    <s v="BRF"/>
    <s v="Grazing"/>
    <s v="RoW"/>
    <n v="0"/>
    <x v="1"/>
    <x v="2"/>
    <x v="1"/>
  </r>
  <r>
    <s v="BRF"/>
    <s v="Grazing"/>
    <s v="Russian Federation"/>
    <n v="15"/>
    <x v="1"/>
    <x v="2"/>
    <x v="1"/>
  </r>
  <r>
    <s v="BRF"/>
    <s v="Grazing"/>
    <s v="South Asia"/>
    <n v="21"/>
    <x v="1"/>
    <x v="2"/>
    <x v="1"/>
  </r>
  <r>
    <s v="BRF"/>
    <s v="Grazing"/>
    <s v="Sub-Saharan Africa"/>
    <n v="32"/>
    <x v="1"/>
    <x v="2"/>
    <x v="1"/>
  </r>
  <r>
    <s v="BRF"/>
    <s v="Grazing"/>
    <s v="Western Europe"/>
    <n v="385"/>
    <x v="1"/>
    <x v="2"/>
    <x v="1"/>
  </r>
  <r>
    <s v="BRF"/>
    <s v="Croplands"/>
    <s v="East Asia and Southeast Asia"/>
    <n v="6247"/>
    <x v="1"/>
    <x v="2"/>
    <x v="1"/>
  </r>
  <r>
    <s v="BRF"/>
    <s v="Croplands"/>
    <s v="Eastern Europe"/>
    <n v="4801"/>
    <x v="1"/>
    <x v="2"/>
    <x v="1"/>
  </r>
  <r>
    <s v="BRF"/>
    <s v="Croplands"/>
    <s v="Latin America and the Caribbean"/>
    <n v="10993728"/>
    <x v="1"/>
    <x v="2"/>
    <x v="1"/>
  </r>
  <r>
    <s v="BRF"/>
    <s v="Croplands"/>
    <s v="Near East and North Africa"/>
    <n v="12458"/>
    <x v="1"/>
    <x v="2"/>
    <x v="1"/>
  </r>
  <r>
    <s v="BRF"/>
    <s v="Croplands"/>
    <s v="North America"/>
    <n v="908430"/>
    <x v="1"/>
    <x v="2"/>
    <x v="1"/>
  </r>
  <r>
    <s v="BRF"/>
    <s v="Croplands"/>
    <s v="Oceania"/>
    <n v="836"/>
    <x v="1"/>
    <x v="2"/>
    <x v="1"/>
  </r>
  <r>
    <s v="BRF"/>
    <s v="Croplands"/>
    <s v="RoW"/>
    <n v="0"/>
    <x v="1"/>
    <x v="2"/>
    <x v="1"/>
  </r>
  <r>
    <s v="BRF"/>
    <s v="Croplands"/>
    <s v="Russian Federation"/>
    <n v="20361"/>
    <x v="1"/>
    <x v="2"/>
    <x v="1"/>
  </r>
  <r>
    <s v="BRF"/>
    <s v="Croplands"/>
    <s v="South Asia"/>
    <n v="14975"/>
    <x v="1"/>
    <x v="2"/>
    <x v="1"/>
  </r>
  <r>
    <s v="BRF"/>
    <s v="Croplands"/>
    <s v="Sub-Saharan Africa"/>
    <n v="15013"/>
    <x v="1"/>
    <x v="2"/>
    <x v="1"/>
  </r>
  <r>
    <s v="BRF"/>
    <s v="Croplands"/>
    <s v="Western Europe"/>
    <n v="4173"/>
    <x v="1"/>
    <x v="2"/>
    <x v="1"/>
  </r>
  <r>
    <s v="Cargill"/>
    <s v="Grazing"/>
    <s v="East Asia and Southeast Asia"/>
    <n v="4226"/>
    <x v="1"/>
    <x v="2"/>
    <x v="1"/>
  </r>
  <r>
    <s v="Cargill"/>
    <s v="Grazing"/>
    <s v="Eastern Europe"/>
    <n v="619"/>
    <x v="1"/>
    <x v="2"/>
    <x v="1"/>
  </r>
  <r>
    <s v="Cargill"/>
    <s v="Grazing"/>
    <s v="Latin America and the Caribbean"/>
    <n v="26122"/>
    <x v="1"/>
    <x v="2"/>
    <x v="1"/>
  </r>
  <r>
    <s v="Cargill"/>
    <s v="Grazing"/>
    <s v="Near East and North Africa"/>
    <n v="153"/>
    <x v="1"/>
    <x v="2"/>
    <x v="1"/>
  </r>
  <r>
    <s v="Cargill"/>
    <s v="Grazing"/>
    <s v="North America"/>
    <n v="90145"/>
    <x v="1"/>
    <x v="2"/>
    <x v="1"/>
  </r>
  <r>
    <s v="Cargill"/>
    <s v="Grazing"/>
    <s v="Oceania"/>
    <n v="2501"/>
    <x v="1"/>
    <x v="2"/>
    <x v="1"/>
  </r>
  <r>
    <s v="Cargill"/>
    <s v="Grazing"/>
    <s v="RoW"/>
    <n v="0"/>
    <x v="1"/>
    <x v="2"/>
    <x v="1"/>
  </r>
  <r>
    <s v="Cargill"/>
    <s v="Grazing"/>
    <s v="Russian Federation"/>
    <n v="89"/>
    <x v="1"/>
    <x v="2"/>
    <x v="1"/>
  </r>
  <r>
    <s v="Cargill"/>
    <s v="Grazing"/>
    <s v="South Asia"/>
    <n v="109"/>
    <x v="1"/>
    <x v="2"/>
    <x v="1"/>
  </r>
  <r>
    <s v="Cargill"/>
    <s v="Grazing"/>
    <s v="Sub-Saharan Africa"/>
    <n v="344"/>
    <x v="1"/>
    <x v="2"/>
    <x v="1"/>
  </r>
  <r>
    <s v="Cargill"/>
    <s v="Grazing"/>
    <s v="Western Europe"/>
    <n v="8145"/>
    <x v="1"/>
    <x v="2"/>
    <x v="1"/>
  </r>
  <r>
    <s v="Cargill"/>
    <s v="Croplands"/>
    <s v="East Asia and Southeast Asia"/>
    <n v="377112"/>
    <x v="1"/>
    <x v="2"/>
    <x v="1"/>
  </r>
  <r>
    <s v="Cargill"/>
    <s v="Croplands"/>
    <s v="Eastern Europe"/>
    <n v="133152"/>
    <x v="1"/>
    <x v="2"/>
    <x v="1"/>
  </r>
  <r>
    <s v="Cargill"/>
    <s v="Croplands"/>
    <s v="Latin America and the Caribbean"/>
    <n v="2164617"/>
    <x v="1"/>
    <x v="2"/>
    <x v="1"/>
  </r>
  <r>
    <s v="Cargill"/>
    <s v="Croplands"/>
    <s v="Near East and North Africa"/>
    <n v="8896"/>
    <x v="1"/>
    <x v="2"/>
    <x v="1"/>
  </r>
  <r>
    <s v="Cargill"/>
    <s v="Croplands"/>
    <s v="North America"/>
    <n v="2337137"/>
    <x v="1"/>
    <x v="2"/>
    <x v="1"/>
  </r>
  <r>
    <s v="Cargill"/>
    <s v="Croplands"/>
    <s v="Oceania"/>
    <n v="13438"/>
    <x v="1"/>
    <x v="2"/>
    <x v="1"/>
  </r>
  <r>
    <s v="Cargill"/>
    <s v="Croplands"/>
    <s v="RoW"/>
    <n v="22"/>
    <x v="1"/>
    <x v="2"/>
    <x v="1"/>
  </r>
  <r>
    <s v="Cargill"/>
    <s v="Croplands"/>
    <s v="Russian Federation"/>
    <n v="25576"/>
    <x v="1"/>
    <x v="2"/>
    <x v="1"/>
  </r>
  <r>
    <s v="Cargill"/>
    <s v="Croplands"/>
    <s v="South Asia"/>
    <n v="32671"/>
    <x v="1"/>
    <x v="2"/>
    <x v="1"/>
  </r>
  <r>
    <s v="Cargill"/>
    <s v="Croplands"/>
    <s v="Sub-Saharan Africa"/>
    <n v="10378"/>
    <x v="1"/>
    <x v="2"/>
    <x v="1"/>
  </r>
  <r>
    <s v="Cargill"/>
    <s v="Croplands"/>
    <s v="Western Europe"/>
    <n v="407918"/>
    <x v="1"/>
    <x v="2"/>
    <x v="1"/>
  </r>
  <r>
    <s v="Charoen Pokphand"/>
    <s v="Grazing"/>
    <s v="East Asia and Southeast Asia"/>
    <n v="14019"/>
    <x v="1"/>
    <x v="2"/>
    <x v="1"/>
  </r>
  <r>
    <s v="Charoen Pokphand"/>
    <s v="Grazing"/>
    <s v="Eastern Europe"/>
    <n v="2273"/>
    <x v="1"/>
    <x v="2"/>
    <x v="1"/>
  </r>
  <r>
    <s v="Charoen Pokphand"/>
    <s v="Grazing"/>
    <s v="Latin America and the Caribbean"/>
    <n v="1852"/>
    <x v="1"/>
    <x v="2"/>
    <x v="1"/>
  </r>
  <r>
    <s v="Charoen Pokphand"/>
    <s v="Grazing"/>
    <s v="Near East and North Africa"/>
    <n v="513"/>
    <x v="1"/>
    <x v="2"/>
    <x v="1"/>
  </r>
  <r>
    <s v="Charoen Pokphand"/>
    <s v="Grazing"/>
    <s v="North America"/>
    <n v="1960"/>
    <x v="1"/>
    <x v="2"/>
    <x v="1"/>
  </r>
  <r>
    <s v="Charoen Pokphand"/>
    <s v="Grazing"/>
    <s v="Oceania"/>
    <n v="5828"/>
    <x v="1"/>
    <x v="2"/>
    <x v="1"/>
  </r>
  <r>
    <s v="Charoen Pokphand"/>
    <s v="Grazing"/>
    <s v="RoW"/>
    <n v="0"/>
    <x v="1"/>
    <x v="2"/>
    <x v="1"/>
  </r>
  <r>
    <s v="Charoen Pokphand"/>
    <s v="Grazing"/>
    <s v="Russian Federation"/>
    <n v="8116"/>
    <x v="1"/>
    <x v="2"/>
    <x v="1"/>
  </r>
  <r>
    <s v="Charoen Pokphand"/>
    <s v="Grazing"/>
    <s v="South Asia"/>
    <n v="91"/>
    <x v="1"/>
    <x v="2"/>
    <x v="1"/>
  </r>
  <r>
    <s v="Charoen Pokphand"/>
    <s v="Grazing"/>
    <s v="Sub-Saharan Africa"/>
    <n v="906"/>
    <x v="1"/>
    <x v="2"/>
    <x v="1"/>
  </r>
  <r>
    <s v="Charoen Pokphand"/>
    <s v="Grazing"/>
    <s v="Western Europe"/>
    <n v="5204"/>
    <x v="1"/>
    <x v="2"/>
    <x v="1"/>
  </r>
  <r>
    <s v="Charoen Pokphand"/>
    <s v="Croplands"/>
    <s v="East Asia and Southeast Asia"/>
    <n v="1378046"/>
    <x v="1"/>
    <x v="2"/>
    <x v="1"/>
  </r>
  <r>
    <s v="Charoen Pokphand"/>
    <s v="Croplands"/>
    <s v="Eastern Europe"/>
    <n v="68917"/>
    <x v="1"/>
    <x v="2"/>
    <x v="1"/>
  </r>
  <r>
    <s v="Charoen Pokphand"/>
    <s v="Croplands"/>
    <s v="Latin America and the Caribbean"/>
    <n v="861566"/>
    <x v="1"/>
    <x v="2"/>
    <x v="1"/>
  </r>
  <r>
    <s v="Charoen Pokphand"/>
    <s v="Croplands"/>
    <s v="Near East and North Africa"/>
    <n v="9524"/>
    <x v="1"/>
    <x v="2"/>
    <x v="1"/>
  </r>
  <r>
    <s v="Charoen Pokphand"/>
    <s v="Croplands"/>
    <s v="North America"/>
    <n v="328167"/>
    <x v="1"/>
    <x v="2"/>
    <x v="1"/>
  </r>
  <r>
    <s v="Charoen Pokphand"/>
    <s v="Croplands"/>
    <s v="Oceania"/>
    <n v="39375"/>
    <x v="1"/>
    <x v="2"/>
    <x v="1"/>
  </r>
  <r>
    <s v="Charoen Pokphand"/>
    <s v="Croplands"/>
    <s v="RoW"/>
    <n v="0"/>
    <x v="1"/>
    <x v="2"/>
    <x v="1"/>
  </r>
  <r>
    <s v="Charoen Pokphand"/>
    <s v="Croplands"/>
    <s v="Russian Federation"/>
    <n v="608156"/>
    <x v="1"/>
    <x v="2"/>
    <x v="1"/>
  </r>
  <r>
    <s v="Charoen Pokphand"/>
    <s v="Croplands"/>
    <s v="South Asia"/>
    <n v="26785"/>
    <x v="1"/>
    <x v="2"/>
    <x v="1"/>
  </r>
  <r>
    <s v="Charoen Pokphand"/>
    <s v="Croplands"/>
    <s v="Sub-Saharan Africa"/>
    <n v="14352"/>
    <x v="1"/>
    <x v="2"/>
    <x v="1"/>
  </r>
  <r>
    <s v="Charoen Pokphand"/>
    <s v="Croplands"/>
    <s v="Western Europe"/>
    <n v="20583"/>
    <x v="1"/>
    <x v="2"/>
    <x v="1"/>
  </r>
  <r>
    <s v="Continental Grain Company"/>
    <s v="Grazing"/>
    <s v="East Asia and Southeast Asia"/>
    <n v="504"/>
    <x v="1"/>
    <x v="2"/>
    <x v="1"/>
  </r>
  <r>
    <s v="Continental Grain Company"/>
    <s v="Grazing"/>
    <s v="Eastern Europe"/>
    <n v="10"/>
    <x v="1"/>
    <x v="2"/>
    <x v="1"/>
  </r>
  <r>
    <s v="Continental Grain Company"/>
    <s v="Grazing"/>
    <s v="Latin America and the Caribbean"/>
    <n v="3410"/>
    <x v="1"/>
    <x v="2"/>
    <x v="1"/>
  </r>
  <r>
    <s v="Continental Grain Company"/>
    <s v="Grazing"/>
    <s v="Near East and North Africa"/>
    <n v="13"/>
    <x v="1"/>
    <x v="2"/>
    <x v="1"/>
  </r>
  <r>
    <s v="Continental Grain Company"/>
    <s v="Grazing"/>
    <s v="North America"/>
    <n v="89320"/>
    <x v="1"/>
    <x v="2"/>
    <x v="1"/>
  </r>
  <r>
    <s v="Continental Grain Company"/>
    <s v="Grazing"/>
    <s v="Oceania"/>
    <n v="886"/>
    <x v="1"/>
    <x v="2"/>
    <x v="1"/>
  </r>
  <r>
    <s v="Continental Grain Company"/>
    <s v="Grazing"/>
    <s v="RoW"/>
    <n v="0"/>
    <x v="1"/>
    <x v="2"/>
    <x v="1"/>
  </r>
  <r>
    <s v="Continental Grain Company"/>
    <s v="Grazing"/>
    <s v="Russian Federation"/>
    <n v="14"/>
    <x v="1"/>
    <x v="2"/>
    <x v="1"/>
  </r>
  <r>
    <s v="Continental Grain Company"/>
    <s v="Grazing"/>
    <s v="South Asia"/>
    <n v="66"/>
    <x v="1"/>
    <x v="2"/>
    <x v="1"/>
  </r>
  <r>
    <s v="Continental Grain Company"/>
    <s v="Grazing"/>
    <s v="Sub-Saharan Africa"/>
    <n v="12"/>
    <x v="1"/>
    <x v="2"/>
    <x v="1"/>
  </r>
  <r>
    <s v="Continental Grain Company"/>
    <s v="Grazing"/>
    <s v="Western Europe"/>
    <n v="107"/>
    <x v="1"/>
    <x v="2"/>
    <x v="1"/>
  </r>
  <r>
    <s v="Continental Grain Company"/>
    <s v="Croplands"/>
    <s v="East Asia and Southeast Asia"/>
    <n v="2243"/>
    <x v="1"/>
    <x v="2"/>
    <x v="1"/>
  </r>
  <r>
    <s v="Continental Grain Company"/>
    <s v="Croplands"/>
    <s v="Eastern Europe"/>
    <n v="2814"/>
    <x v="1"/>
    <x v="2"/>
    <x v="1"/>
  </r>
  <r>
    <s v="Continental Grain Company"/>
    <s v="Croplands"/>
    <s v="Latin America and the Caribbean"/>
    <n v="11404"/>
    <x v="1"/>
    <x v="2"/>
    <x v="1"/>
  </r>
  <r>
    <s v="Continental Grain Company"/>
    <s v="Croplands"/>
    <s v="Near East and North Africa"/>
    <n v="339"/>
    <x v="1"/>
    <x v="2"/>
    <x v="1"/>
  </r>
  <r>
    <s v="Continental Grain Company"/>
    <s v="Croplands"/>
    <s v="North America"/>
    <n v="2065055"/>
    <x v="1"/>
    <x v="2"/>
    <x v="1"/>
  </r>
  <r>
    <s v="Continental Grain Company"/>
    <s v="Croplands"/>
    <s v="Oceania"/>
    <n v="495"/>
    <x v="1"/>
    <x v="2"/>
    <x v="1"/>
  </r>
  <r>
    <s v="Continental Grain Company"/>
    <s v="Croplands"/>
    <s v="RoW"/>
    <n v="22"/>
    <x v="1"/>
    <x v="2"/>
    <x v="1"/>
  </r>
  <r>
    <s v="Continental Grain Company"/>
    <s v="Croplands"/>
    <s v="Russian Federation"/>
    <n v="1608"/>
    <x v="1"/>
    <x v="2"/>
    <x v="1"/>
  </r>
  <r>
    <s v="Continental Grain Company"/>
    <s v="Croplands"/>
    <s v="South Asia"/>
    <n v="17906"/>
    <x v="1"/>
    <x v="2"/>
    <x v="1"/>
  </r>
  <r>
    <s v="Continental Grain Company"/>
    <s v="Croplands"/>
    <s v="Sub-Saharan Africa"/>
    <n v="806"/>
    <x v="1"/>
    <x v="2"/>
    <x v="1"/>
  </r>
  <r>
    <s v="Continental Grain Company"/>
    <s v="Croplands"/>
    <s v="Western Europe"/>
    <n v="1707"/>
    <x v="1"/>
    <x v="2"/>
    <x v="1"/>
  </r>
  <r>
    <s v="Fuijan Sunner Development"/>
    <s v="Grazing"/>
    <s v="East Asia and Southeast Asia"/>
    <n v="13916"/>
    <x v="1"/>
    <x v="2"/>
    <x v="1"/>
  </r>
  <r>
    <s v="Fuijan Sunner Development"/>
    <s v="Grazing"/>
    <s v="Eastern Europe"/>
    <n v="1774"/>
    <x v="1"/>
    <x v="2"/>
    <x v="1"/>
  </r>
  <r>
    <s v="Fuijan Sunner Development"/>
    <s v="Grazing"/>
    <s v="Latin America and the Caribbean"/>
    <n v="1581"/>
    <x v="1"/>
    <x v="2"/>
    <x v="1"/>
  </r>
  <r>
    <s v="Fuijan Sunner Development"/>
    <s v="Grazing"/>
    <s v="Near East and North Africa"/>
    <n v="471"/>
    <x v="1"/>
    <x v="2"/>
    <x v="1"/>
  </r>
  <r>
    <s v="Fuijan Sunner Development"/>
    <s v="Grazing"/>
    <s v="North America"/>
    <n v="1945"/>
    <x v="1"/>
    <x v="2"/>
    <x v="1"/>
  </r>
  <r>
    <s v="Fuijan Sunner Development"/>
    <s v="Grazing"/>
    <s v="Oceania"/>
    <n v="5782"/>
    <x v="1"/>
    <x v="2"/>
    <x v="1"/>
  </r>
  <r>
    <s v="Fuijan Sunner Development"/>
    <s v="Grazing"/>
    <s v="RoW"/>
    <n v="0"/>
    <x v="1"/>
    <x v="2"/>
    <x v="1"/>
  </r>
  <r>
    <s v="Fuijan Sunner Development"/>
    <s v="Grazing"/>
    <s v="Russian Federation"/>
    <n v="223"/>
    <x v="1"/>
    <x v="2"/>
    <x v="1"/>
  </r>
  <r>
    <s v="Fuijan Sunner Development"/>
    <s v="Grazing"/>
    <s v="South Asia"/>
    <n v="90"/>
    <x v="1"/>
    <x v="2"/>
    <x v="1"/>
  </r>
  <r>
    <s v="Fuijan Sunner Development"/>
    <s v="Grazing"/>
    <s v="Sub-Saharan Africa"/>
    <n v="899"/>
    <x v="1"/>
    <x v="2"/>
    <x v="1"/>
  </r>
  <r>
    <s v="Fuijan Sunner Development"/>
    <s v="Grazing"/>
    <s v="Western Europe"/>
    <n v="5136"/>
    <x v="1"/>
    <x v="2"/>
    <x v="1"/>
  </r>
  <r>
    <s v="Fuijan Sunner Development"/>
    <s v="Croplands"/>
    <s v="East Asia and Southeast Asia"/>
    <n v="1367803"/>
    <x v="1"/>
    <x v="2"/>
    <x v="1"/>
  </r>
  <r>
    <s v="Fuijan Sunner Development"/>
    <s v="Croplands"/>
    <s v="Eastern Europe"/>
    <n v="63180"/>
    <x v="1"/>
    <x v="2"/>
    <x v="1"/>
  </r>
  <r>
    <s v="Fuijan Sunner Development"/>
    <s v="Croplands"/>
    <s v="Latin America and the Caribbean"/>
    <n v="843168"/>
    <x v="1"/>
    <x v="2"/>
    <x v="1"/>
  </r>
  <r>
    <s v="Fuijan Sunner Development"/>
    <s v="Croplands"/>
    <s v="Near East and North Africa"/>
    <n v="7516"/>
    <x v="1"/>
    <x v="2"/>
    <x v="1"/>
  </r>
  <r>
    <s v="Fuijan Sunner Development"/>
    <s v="Croplands"/>
    <s v="North America"/>
    <n v="325669"/>
    <x v="1"/>
    <x v="2"/>
    <x v="1"/>
  </r>
  <r>
    <s v="Fuijan Sunner Development"/>
    <s v="Croplands"/>
    <s v="Oceania"/>
    <n v="39073"/>
    <x v="1"/>
    <x v="2"/>
    <x v="1"/>
  </r>
  <r>
    <s v="Fuijan Sunner Development"/>
    <s v="Croplands"/>
    <s v="RoW"/>
    <n v="0"/>
    <x v="1"/>
    <x v="2"/>
    <x v="1"/>
  </r>
  <r>
    <s v="Fuijan Sunner Development"/>
    <s v="Croplands"/>
    <s v="Russian Federation"/>
    <n v="24805"/>
    <x v="1"/>
    <x v="2"/>
    <x v="1"/>
  </r>
  <r>
    <s v="Fuijan Sunner Development"/>
    <s v="Croplands"/>
    <s v="South Asia"/>
    <n v="26328"/>
    <x v="1"/>
    <x v="2"/>
    <x v="1"/>
  </r>
  <r>
    <s v="Fuijan Sunner Development"/>
    <s v="Croplands"/>
    <s v="Sub-Saharan Africa"/>
    <n v="14206"/>
    <x v="1"/>
    <x v="2"/>
    <x v="1"/>
  </r>
  <r>
    <s v="Fuijan Sunner Development"/>
    <s v="Croplands"/>
    <s v="Western Europe"/>
    <n v="19744"/>
    <x v="1"/>
    <x v="2"/>
    <x v="1"/>
  </r>
  <r>
    <s v="Industrias Bachoco"/>
    <s v="Grazing"/>
    <s v="East Asia and Southeast Asia"/>
    <n v="138"/>
    <x v="1"/>
    <x v="2"/>
    <x v="1"/>
  </r>
  <r>
    <s v="Industrias Bachoco"/>
    <s v="Grazing"/>
    <s v="Eastern Europe"/>
    <n v="25"/>
    <x v="1"/>
    <x v="2"/>
    <x v="1"/>
  </r>
  <r>
    <s v="Industrias Bachoco"/>
    <s v="Grazing"/>
    <s v="Latin America and the Caribbean"/>
    <n v="42559"/>
    <x v="1"/>
    <x v="2"/>
    <x v="1"/>
  </r>
  <r>
    <s v="Industrias Bachoco"/>
    <s v="Grazing"/>
    <s v="Near East and North Africa"/>
    <n v="12"/>
    <x v="1"/>
    <x v="2"/>
    <x v="1"/>
  </r>
  <r>
    <s v="Industrias Bachoco"/>
    <s v="Grazing"/>
    <s v="North America"/>
    <n v="22883"/>
    <x v="1"/>
    <x v="2"/>
    <x v="1"/>
  </r>
  <r>
    <s v="Industrias Bachoco"/>
    <s v="Grazing"/>
    <s v="Oceania"/>
    <n v="329"/>
    <x v="1"/>
    <x v="2"/>
    <x v="1"/>
  </r>
  <r>
    <s v="Industrias Bachoco"/>
    <s v="Grazing"/>
    <s v="RoW"/>
    <n v="0"/>
    <x v="1"/>
    <x v="2"/>
    <x v="1"/>
  </r>
  <r>
    <s v="Industrias Bachoco"/>
    <s v="Grazing"/>
    <s v="Russian Federation"/>
    <n v="8"/>
    <x v="1"/>
    <x v="2"/>
    <x v="1"/>
  </r>
  <r>
    <s v="Industrias Bachoco"/>
    <s v="Grazing"/>
    <s v="South Asia"/>
    <n v="23"/>
    <x v="1"/>
    <x v="2"/>
    <x v="1"/>
  </r>
  <r>
    <s v="Industrias Bachoco"/>
    <s v="Grazing"/>
    <s v="Sub-Saharan Africa"/>
    <n v="13"/>
    <x v="1"/>
    <x v="2"/>
    <x v="1"/>
  </r>
  <r>
    <s v="Industrias Bachoco"/>
    <s v="Grazing"/>
    <s v="Western Europe"/>
    <n v="148"/>
    <x v="1"/>
    <x v="2"/>
    <x v="1"/>
  </r>
  <r>
    <s v="Industrias Bachoco"/>
    <s v="Croplands"/>
    <s v="East Asia and Southeast Asia"/>
    <n v="2522"/>
    <x v="1"/>
    <x v="2"/>
    <x v="1"/>
  </r>
  <r>
    <s v="Industrias Bachoco"/>
    <s v="Croplands"/>
    <s v="Eastern Europe"/>
    <n v="2213"/>
    <x v="1"/>
    <x v="2"/>
    <x v="1"/>
  </r>
  <r>
    <s v="Industrias Bachoco"/>
    <s v="Croplands"/>
    <s v="Latin America and the Caribbean"/>
    <n v="3446628"/>
    <x v="1"/>
    <x v="2"/>
    <x v="1"/>
  </r>
  <r>
    <s v="Industrias Bachoco"/>
    <s v="Croplands"/>
    <s v="Near East and North Africa"/>
    <n v="3988"/>
    <x v="1"/>
    <x v="2"/>
    <x v="1"/>
  </r>
  <r>
    <s v="Industrias Bachoco"/>
    <s v="Croplands"/>
    <s v="North America"/>
    <n v="805068"/>
    <x v="1"/>
    <x v="2"/>
    <x v="1"/>
  </r>
  <r>
    <s v="Industrias Bachoco"/>
    <s v="Croplands"/>
    <s v="Oceania"/>
    <n v="387"/>
    <x v="1"/>
    <x v="2"/>
    <x v="1"/>
  </r>
  <r>
    <s v="Industrias Bachoco"/>
    <s v="Croplands"/>
    <s v="RoW"/>
    <n v="6"/>
    <x v="1"/>
    <x v="2"/>
    <x v="1"/>
  </r>
  <r>
    <s v="Industrias Bachoco"/>
    <s v="Croplands"/>
    <s v="Russian Federation"/>
    <n v="6783"/>
    <x v="1"/>
    <x v="2"/>
    <x v="1"/>
  </r>
  <r>
    <s v="Industrias Bachoco"/>
    <s v="Croplands"/>
    <s v="South Asia"/>
    <n v="9204"/>
    <x v="1"/>
    <x v="2"/>
    <x v="1"/>
  </r>
  <r>
    <s v="Industrias Bachoco"/>
    <s v="Croplands"/>
    <s v="Sub-Saharan Africa"/>
    <n v="4906"/>
    <x v="1"/>
    <x v="2"/>
    <x v="1"/>
  </r>
  <r>
    <s v="Industrias Bachoco"/>
    <s v="Croplands"/>
    <s v="Western Europe"/>
    <n v="1738"/>
    <x v="1"/>
    <x v="2"/>
    <x v="1"/>
  </r>
  <r>
    <s v="Japfa"/>
    <s v="Grazing"/>
    <s v="East Asia and Southeast Asia"/>
    <n v="20077"/>
    <x v="1"/>
    <x v="2"/>
    <x v="1"/>
  </r>
  <r>
    <s v="Japfa"/>
    <s v="Grazing"/>
    <s v="Eastern Europe"/>
    <n v="2560"/>
    <x v="1"/>
    <x v="2"/>
    <x v="1"/>
  </r>
  <r>
    <s v="Japfa"/>
    <s v="Grazing"/>
    <s v="Latin America and the Caribbean"/>
    <n v="2281"/>
    <x v="1"/>
    <x v="2"/>
    <x v="1"/>
  </r>
  <r>
    <s v="Japfa"/>
    <s v="Grazing"/>
    <s v="Near East and North Africa"/>
    <n v="679"/>
    <x v="1"/>
    <x v="2"/>
    <x v="1"/>
  </r>
  <r>
    <s v="Japfa"/>
    <s v="Grazing"/>
    <s v="North America"/>
    <n v="2806"/>
    <x v="1"/>
    <x v="2"/>
    <x v="1"/>
  </r>
  <r>
    <s v="Japfa"/>
    <s v="Grazing"/>
    <s v="Oceania"/>
    <n v="8342"/>
    <x v="1"/>
    <x v="2"/>
    <x v="1"/>
  </r>
  <r>
    <s v="Japfa"/>
    <s v="Grazing"/>
    <s v="RoW"/>
    <n v="0"/>
    <x v="1"/>
    <x v="2"/>
    <x v="1"/>
  </r>
  <r>
    <s v="Japfa"/>
    <s v="Grazing"/>
    <s v="Russian Federation"/>
    <n v="321"/>
    <x v="1"/>
    <x v="2"/>
    <x v="1"/>
  </r>
  <r>
    <s v="Japfa"/>
    <s v="Grazing"/>
    <s v="South Asia"/>
    <n v="130"/>
    <x v="1"/>
    <x v="2"/>
    <x v="1"/>
  </r>
  <r>
    <s v="Japfa"/>
    <s v="Grazing"/>
    <s v="Sub-Saharan Africa"/>
    <n v="1297"/>
    <x v="1"/>
    <x v="2"/>
    <x v="1"/>
  </r>
  <r>
    <s v="Japfa"/>
    <s v="Grazing"/>
    <s v="Western Europe"/>
    <n v="7410"/>
    <x v="1"/>
    <x v="2"/>
    <x v="1"/>
  </r>
  <r>
    <s v="Japfa"/>
    <s v="Croplands"/>
    <s v="East Asia and Southeast Asia"/>
    <n v="1973257"/>
    <x v="1"/>
    <x v="2"/>
    <x v="1"/>
  </r>
  <r>
    <s v="Japfa"/>
    <s v="Croplands"/>
    <s v="Eastern Europe"/>
    <n v="91147"/>
    <x v="1"/>
    <x v="2"/>
    <x v="1"/>
  </r>
  <r>
    <s v="Japfa"/>
    <s v="Croplands"/>
    <s v="Latin America and the Caribbean"/>
    <n v="1216394"/>
    <x v="1"/>
    <x v="2"/>
    <x v="1"/>
  </r>
  <r>
    <s v="Japfa"/>
    <s v="Croplands"/>
    <s v="Near East and North Africa"/>
    <n v="10843"/>
    <x v="1"/>
    <x v="2"/>
    <x v="1"/>
  </r>
  <r>
    <s v="Japfa"/>
    <s v="Croplands"/>
    <s v="North America"/>
    <n v="469825"/>
    <x v="1"/>
    <x v="2"/>
    <x v="1"/>
  </r>
  <r>
    <s v="Japfa"/>
    <s v="Croplands"/>
    <s v="Oceania"/>
    <n v="56369"/>
    <x v="1"/>
    <x v="2"/>
    <x v="1"/>
  </r>
  <r>
    <s v="Japfa"/>
    <s v="Croplands"/>
    <s v="RoW"/>
    <n v="0"/>
    <x v="1"/>
    <x v="2"/>
    <x v="1"/>
  </r>
  <r>
    <s v="Japfa"/>
    <s v="Croplands"/>
    <s v="Russian Federation"/>
    <n v="35784"/>
    <x v="1"/>
    <x v="2"/>
    <x v="1"/>
  </r>
  <r>
    <s v="Japfa"/>
    <s v="Croplands"/>
    <s v="South Asia"/>
    <n v="37982"/>
    <x v="1"/>
    <x v="2"/>
    <x v="1"/>
  </r>
  <r>
    <s v="Japfa"/>
    <s v="Croplands"/>
    <s v="Sub-Saharan Africa"/>
    <n v="20494"/>
    <x v="1"/>
    <x v="2"/>
    <x v="1"/>
  </r>
  <r>
    <s v="Japfa"/>
    <s v="Croplands"/>
    <s v="Western Europe"/>
    <n v="28483"/>
    <x v="1"/>
    <x v="2"/>
    <x v="1"/>
  </r>
  <r>
    <s v="JBS"/>
    <s v="Grazing"/>
    <s v="East Asia and Southeast Asia"/>
    <n v="1816"/>
    <x v="1"/>
    <x v="2"/>
    <x v="1"/>
  </r>
  <r>
    <s v="JBS"/>
    <s v="Grazing"/>
    <s v="Eastern Europe"/>
    <n v="446"/>
    <x v="1"/>
    <x v="2"/>
    <x v="1"/>
  </r>
  <r>
    <s v="JBS"/>
    <s v="Grazing"/>
    <s v="Latin America and the Caribbean"/>
    <n v="128315"/>
    <x v="1"/>
    <x v="2"/>
    <x v="1"/>
  </r>
  <r>
    <s v="JBS"/>
    <s v="Grazing"/>
    <s v="Near East and North Africa"/>
    <n v="98"/>
    <x v="1"/>
    <x v="2"/>
    <x v="1"/>
  </r>
  <r>
    <s v="JBS"/>
    <s v="Grazing"/>
    <s v="North America"/>
    <n v="301949"/>
    <x v="1"/>
    <x v="2"/>
    <x v="1"/>
  </r>
  <r>
    <s v="JBS"/>
    <s v="Grazing"/>
    <s v="Oceania"/>
    <n v="3355"/>
    <x v="1"/>
    <x v="2"/>
    <x v="1"/>
  </r>
  <r>
    <s v="JBS"/>
    <s v="Grazing"/>
    <s v="RoW"/>
    <n v="0"/>
    <x v="1"/>
    <x v="2"/>
    <x v="1"/>
  </r>
  <r>
    <s v="JBS"/>
    <s v="Grazing"/>
    <s v="Russian Federation"/>
    <n v="97"/>
    <x v="1"/>
    <x v="2"/>
    <x v="1"/>
  </r>
  <r>
    <s v="JBS"/>
    <s v="Grazing"/>
    <s v="South Asia"/>
    <n v="284"/>
    <x v="1"/>
    <x v="2"/>
    <x v="1"/>
  </r>
  <r>
    <s v="JBS"/>
    <s v="Grazing"/>
    <s v="Sub-Saharan Africa"/>
    <n v="311"/>
    <x v="1"/>
    <x v="2"/>
    <x v="1"/>
  </r>
  <r>
    <s v="JBS"/>
    <s v="Grazing"/>
    <s v="Western Europe"/>
    <n v="18808"/>
    <x v="1"/>
    <x v="2"/>
    <x v="1"/>
  </r>
  <r>
    <s v="JBS"/>
    <s v="Croplands"/>
    <s v="East Asia and Southeast Asia"/>
    <n v="45227"/>
    <x v="1"/>
    <x v="2"/>
    <x v="1"/>
  </r>
  <r>
    <s v="JBS"/>
    <s v="Croplands"/>
    <s v="Eastern Europe"/>
    <n v="322588"/>
    <x v="1"/>
    <x v="2"/>
    <x v="1"/>
  </r>
  <r>
    <s v="JBS"/>
    <s v="Croplands"/>
    <s v="Latin America and the Caribbean"/>
    <n v="9930960"/>
    <x v="1"/>
    <x v="2"/>
    <x v="1"/>
  </r>
  <r>
    <s v="JBS"/>
    <s v="Croplands"/>
    <s v="Near East and North Africa"/>
    <n v="24346"/>
    <x v="1"/>
    <x v="2"/>
    <x v="1"/>
  </r>
  <r>
    <s v="JBS"/>
    <s v="Croplands"/>
    <s v="North America"/>
    <n v="7839646"/>
    <x v="1"/>
    <x v="2"/>
    <x v="1"/>
  </r>
  <r>
    <s v="JBS"/>
    <s v="Croplands"/>
    <s v="Oceania"/>
    <n v="9136"/>
    <x v="1"/>
    <x v="2"/>
    <x v="1"/>
  </r>
  <r>
    <s v="JBS"/>
    <s v="Croplands"/>
    <s v="RoW"/>
    <n v="74"/>
    <x v="1"/>
    <x v="2"/>
    <x v="1"/>
  </r>
  <r>
    <s v="JBS"/>
    <s v="Croplands"/>
    <s v="Russian Federation"/>
    <n v="61596"/>
    <x v="1"/>
    <x v="2"/>
    <x v="1"/>
  </r>
  <r>
    <s v="JBS"/>
    <s v="Croplands"/>
    <s v="South Asia"/>
    <n v="87886"/>
    <x v="1"/>
    <x v="2"/>
    <x v="1"/>
  </r>
  <r>
    <s v="JBS"/>
    <s v="Croplands"/>
    <s v="Sub-Saharan Africa"/>
    <n v="24918"/>
    <x v="1"/>
    <x v="2"/>
    <x v="1"/>
  </r>
  <r>
    <s v="JBS"/>
    <s v="Croplands"/>
    <s v="Western Europe"/>
    <n v="1105497"/>
    <x v="1"/>
    <x v="2"/>
    <x v="1"/>
  </r>
  <r>
    <s v="Koch Foods"/>
    <s v="Grazing"/>
    <s v="East Asia and Southeast Asia"/>
    <n v="631"/>
    <x v="1"/>
    <x v="2"/>
    <x v="1"/>
  </r>
  <r>
    <s v="Koch Foods"/>
    <s v="Grazing"/>
    <s v="Eastern Europe"/>
    <n v="13"/>
    <x v="1"/>
    <x v="2"/>
    <x v="1"/>
  </r>
  <r>
    <s v="Koch Foods"/>
    <s v="Grazing"/>
    <s v="Latin America and the Caribbean"/>
    <n v="4265"/>
    <x v="1"/>
    <x v="2"/>
    <x v="1"/>
  </r>
  <r>
    <s v="Koch Foods"/>
    <s v="Grazing"/>
    <s v="Near East and North Africa"/>
    <n v="16"/>
    <x v="1"/>
    <x v="2"/>
    <x v="1"/>
  </r>
  <r>
    <s v="Koch Foods"/>
    <s v="Grazing"/>
    <s v="North America"/>
    <n v="111733"/>
    <x v="1"/>
    <x v="2"/>
    <x v="1"/>
  </r>
  <r>
    <s v="Koch Foods"/>
    <s v="Grazing"/>
    <s v="Oceania"/>
    <n v="1108"/>
    <x v="1"/>
    <x v="2"/>
    <x v="1"/>
  </r>
  <r>
    <s v="Koch Foods"/>
    <s v="Grazing"/>
    <s v="RoW"/>
    <n v="0"/>
    <x v="1"/>
    <x v="2"/>
    <x v="1"/>
  </r>
  <r>
    <s v="Koch Foods"/>
    <s v="Grazing"/>
    <s v="Russian Federation"/>
    <n v="18"/>
    <x v="1"/>
    <x v="2"/>
    <x v="1"/>
  </r>
  <r>
    <s v="Koch Foods"/>
    <s v="Grazing"/>
    <s v="South Asia"/>
    <n v="83"/>
    <x v="1"/>
    <x v="2"/>
    <x v="1"/>
  </r>
  <r>
    <s v="Koch Foods"/>
    <s v="Grazing"/>
    <s v="Sub-Saharan Africa"/>
    <n v="15"/>
    <x v="1"/>
    <x v="2"/>
    <x v="1"/>
  </r>
  <r>
    <s v="Koch Foods"/>
    <s v="Grazing"/>
    <s v="Western Europe"/>
    <n v="134"/>
    <x v="1"/>
    <x v="2"/>
    <x v="1"/>
  </r>
  <r>
    <s v="Koch Foods"/>
    <s v="Croplands"/>
    <s v="East Asia and Southeast Asia"/>
    <n v="2806"/>
    <x v="1"/>
    <x v="2"/>
    <x v="1"/>
  </r>
  <r>
    <s v="Koch Foods"/>
    <s v="Croplands"/>
    <s v="Eastern Europe"/>
    <n v="3521"/>
    <x v="1"/>
    <x v="2"/>
    <x v="1"/>
  </r>
  <r>
    <s v="Koch Foods"/>
    <s v="Croplands"/>
    <s v="Latin America and the Caribbean"/>
    <n v="14266"/>
    <x v="1"/>
    <x v="2"/>
    <x v="1"/>
  </r>
  <r>
    <s v="Koch Foods"/>
    <s v="Croplands"/>
    <s v="Near East and North Africa"/>
    <n v="424"/>
    <x v="1"/>
    <x v="2"/>
    <x v="1"/>
  </r>
  <r>
    <s v="Koch Foods"/>
    <s v="Croplands"/>
    <s v="North America"/>
    <n v="2583246"/>
    <x v="1"/>
    <x v="2"/>
    <x v="1"/>
  </r>
  <r>
    <s v="Koch Foods"/>
    <s v="Croplands"/>
    <s v="Oceania"/>
    <n v="619"/>
    <x v="1"/>
    <x v="2"/>
    <x v="1"/>
  </r>
  <r>
    <s v="Koch Foods"/>
    <s v="Croplands"/>
    <s v="RoW"/>
    <n v="27"/>
    <x v="1"/>
    <x v="2"/>
    <x v="1"/>
  </r>
  <r>
    <s v="Koch Foods"/>
    <s v="Croplands"/>
    <s v="Russian Federation"/>
    <n v="2011"/>
    <x v="1"/>
    <x v="2"/>
    <x v="1"/>
  </r>
  <r>
    <s v="Koch Foods"/>
    <s v="Croplands"/>
    <s v="South Asia"/>
    <n v="22399"/>
    <x v="1"/>
    <x v="2"/>
    <x v="1"/>
  </r>
  <r>
    <s v="Koch Foods"/>
    <s v="Croplands"/>
    <s v="Sub-Saharan Africa"/>
    <n v="1008"/>
    <x v="1"/>
    <x v="2"/>
    <x v="1"/>
  </r>
  <r>
    <s v="Koch Foods"/>
    <s v="Croplands"/>
    <s v="Western Europe"/>
    <n v="2136"/>
    <x v="1"/>
    <x v="2"/>
    <x v="1"/>
  </r>
  <r>
    <s v="MHP"/>
    <s v="Grazing"/>
    <s v="East Asia and Southeast Asia"/>
    <n v="5"/>
    <x v="1"/>
    <x v="2"/>
    <x v="1"/>
  </r>
  <r>
    <s v="MHP"/>
    <s v="Grazing"/>
    <s v="Eastern Europe"/>
    <n v="16099"/>
    <x v="1"/>
    <x v="2"/>
    <x v="1"/>
  </r>
  <r>
    <s v="MHP"/>
    <s v="Grazing"/>
    <s v="Latin America and the Caribbean"/>
    <n v="20"/>
    <x v="1"/>
    <x v="2"/>
    <x v="1"/>
  </r>
  <r>
    <s v="MHP"/>
    <s v="Grazing"/>
    <s v="Near East and North Africa"/>
    <n v="21"/>
    <x v="1"/>
    <x v="2"/>
    <x v="1"/>
  </r>
  <r>
    <s v="MHP"/>
    <s v="Grazing"/>
    <s v="North America"/>
    <n v="26"/>
    <x v="1"/>
    <x v="2"/>
    <x v="1"/>
  </r>
  <r>
    <s v="MHP"/>
    <s v="Grazing"/>
    <s v="Oceania"/>
    <n v="44"/>
    <x v="1"/>
    <x v="2"/>
    <x v="1"/>
  </r>
  <r>
    <s v="MHP"/>
    <s v="Grazing"/>
    <s v="RoW"/>
    <n v="0"/>
    <x v="1"/>
    <x v="2"/>
    <x v="1"/>
  </r>
  <r>
    <s v="MHP"/>
    <s v="Grazing"/>
    <s v="Russian Federation"/>
    <n v="67"/>
    <x v="1"/>
    <x v="2"/>
    <x v="1"/>
  </r>
  <r>
    <s v="MHP"/>
    <s v="Grazing"/>
    <s v="South Asia"/>
    <n v="2"/>
    <x v="1"/>
    <x v="2"/>
    <x v="1"/>
  </r>
  <r>
    <s v="MHP"/>
    <s v="Grazing"/>
    <s v="Sub-Saharan Africa"/>
    <n v="9"/>
    <x v="1"/>
    <x v="2"/>
    <x v="1"/>
  </r>
  <r>
    <s v="MHP"/>
    <s v="Grazing"/>
    <s v="Western Europe"/>
    <n v="1451"/>
    <x v="1"/>
    <x v="2"/>
    <x v="1"/>
  </r>
  <r>
    <s v="MHP"/>
    <s v="Croplands"/>
    <s v="East Asia and Southeast Asia"/>
    <n v="9161"/>
    <x v="1"/>
    <x v="2"/>
    <x v="1"/>
  </r>
  <r>
    <s v="MHP"/>
    <s v="Croplands"/>
    <s v="Eastern Europe"/>
    <n v="2329852"/>
    <x v="1"/>
    <x v="2"/>
    <x v="1"/>
  </r>
  <r>
    <s v="MHP"/>
    <s v="Croplands"/>
    <s v="Latin America and the Caribbean"/>
    <n v="188548"/>
    <x v="1"/>
    <x v="2"/>
    <x v="1"/>
  </r>
  <r>
    <s v="MHP"/>
    <s v="Croplands"/>
    <s v="Near East and North Africa"/>
    <n v="5649"/>
    <x v="1"/>
    <x v="2"/>
    <x v="1"/>
  </r>
  <r>
    <s v="MHP"/>
    <s v="Croplands"/>
    <s v="North America"/>
    <n v="9776"/>
    <x v="1"/>
    <x v="2"/>
    <x v="1"/>
  </r>
  <r>
    <s v="MHP"/>
    <s v="Croplands"/>
    <s v="Oceania"/>
    <n v="500"/>
    <x v="1"/>
    <x v="2"/>
    <x v="1"/>
  </r>
  <r>
    <s v="MHP"/>
    <s v="Croplands"/>
    <s v="RoW"/>
    <n v="0"/>
    <x v="1"/>
    <x v="2"/>
    <x v="1"/>
  </r>
  <r>
    <s v="MHP"/>
    <s v="Croplands"/>
    <s v="Russian Federation"/>
    <n v="48666"/>
    <x v="1"/>
    <x v="2"/>
    <x v="1"/>
  </r>
  <r>
    <s v="MHP"/>
    <s v="Croplands"/>
    <s v="South Asia"/>
    <n v="4807"/>
    <x v="1"/>
    <x v="2"/>
    <x v="1"/>
  </r>
  <r>
    <s v="MHP"/>
    <s v="Croplands"/>
    <s v="Sub-Saharan Africa"/>
    <n v="3858"/>
    <x v="1"/>
    <x v="2"/>
    <x v="1"/>
  </r>
  <r>
    <s v="MHP"/>
    <s v="Croplands"/>
    <s v="Western Europe"/>
    <n v="83180"/>
    <x v="1"/>
    <x v="2"/>
    <x v="1"/>
  </r>
  <r>
    <s v="New Hope Group"/>
    <s v="Grazing"/>
    <s v="East Asia and Southeast Asia"/>
    <n v="13462"/>
    <x v="1"/>
    <x v="2"/>
    <x v="1"/>
  </r>
  <r>
    <s v="New Hope Group"/>
    <s v="Grazing"/>
    <s v="Eastern Europe"/>
    <n v="1716"/>
    <x v="1"/>
    <x v="2"/>
    <x v="1"/>
  </r>
  <r>
    <s v="New Hope Group"/>
    <s v="Grazing"/>
    <s v="Latin America and the Caribbean"/>
    <n v="1530"/>
    <x v="1"/>
    <x v="2"/>
    <x v="1"/>
  </r>
  <r>
    <s v="New Hope Group"/>
    <s v="Grazing"/>
    <s v="Near East and North Africa"/>
    <n v="455"/>
    <x v="1"/>
    <x v="2"/>
    <x v="1"/>
  </r>
  <r>
    <s v="New Hope Group"/>
    <s v="Grazing"/>
    <s v="North America"/>
    <n v="1881"/>
    <x v="1"/>
    <x v="2"/>
    <x v="1"/>
  </r>
  <r>
    <s v="New Hope Group"/>
    <s v="Grazing"/>
    <s v="Oceania"/>
    <n v="5593"/>
    <x v="1"/>
    <x v="2"/>
    <x v="1"/>
  </r>
  <r>
    <s v="New Hope Group"/>
    <s v="Grazing"/>
    <s v="RoW"/>
    <n v="0"/>
    <x v="1"/>
    <x v="2"/>
    <x v="1"/>
  </r>
  <r>
    <s v="New Hope Group"/>
    <s v="Grazing"/>
    <s v="Russian Federation"/>
    <n v="215"/>
    <x v="1"/>
    <x v="2"/>
    <x v="1"/>
  </r>
  <r>
    <s v="New Hope Group"/>
    <s v="Grazing"/>
    <s v="South Asia"/>
    <n v="87"/>
    <x v="1"/>
    <x v="2"/>
    <x v="1"/>
  </r>
  <r>
    <s v="New Hope Group"/>
    <s v="Grazing"/>
    <s v="Sub-Saharan Africa"/>
    <n v="869"/>
    <x v="1"/>
    <x v="2"/>
    <x v="1"/>
  </r>
  <r>
    <s v="New Hope Group"/>
    <s v="Grazing"/>
    <s v="Western Europe"/>
    <n v="4969"/>
    <x v="1"/>
    <x v="2"/>
    <x v="1"/>
  </r>
  <r>
    <s v="New Hope Group"/>
    <s v="Croplands"/>
    <s v="East Asia and Southeast Asia"/>
    <n v="1323108"/>
    <x v="1"/>
    <x v="2"/>
    <x v="1"/>
  </r>
  <r>
    <s v="New Hope Group"/>
    <s v="Croplands"/>
    <s v="Eastern Europe"/>
    <n v="61116"/>
    <x v="1"/>
    <x v="2"/>
    <x v="1"/>
  </r>
  <r>
    <s v="New Hope Group"/>
    <s v="Croplands"/>
    <s v="Latin America and the Caribbean"/>
    <n v="815616"/>
    <x v="1"/>
    <x v="2"/>
    <x v="1"/>
  </r>
  <r>
    <s v="New Hope Group"/>
    <s v="Croplands"/>
    <s v="Near East and North Africa"/>
    <n v="7270"/>
    <x v="1"/>
    <x v="2"/>
    <x v="1"/>
  </r>
  <r>
    <s v="New Hope Group"/>
    <s v="Croplands"/>
    <s v="North America"/>
    <n v="315027"/>
    <x v="1"/>
    <x v="2"/>
    <x v="1"/>
  </r>
  <r>
    <s v="New Hope Group"/>
    <s v="Croplands"/>
    <s v="Oceania"/>
    <n v="37796"/>
    <x v="1"/>
    <x v="2"/>
    <x v="1"/>
  </r>
  <r>
    <s v="New Hope Group"/>
    <s v="Croplands"/>
    <s v="RoW"/>
    <n v="0"/>
    <x v="1"/>
    <x v="2"/>
    <x v="1"/>
  </r>
  <r>
    <s v="New Hope Group"/>
    <s v="Croplands"/>
    <s v="Russian Federation"/>
    <n v="23994"/>
    <x v="1"/>
    <x v="2"/>
    <x v="1"/>
  </r>
  <r>
    <s v="New Hope Group"/>
    <s v="Croplands"/>
    <s v="South Asia"/>
    <n v="25468"/>
    <x v="1"/>
    <x v="2"/>
    <x v="1"/>
  </r>
  <r>
    <s v="New Hope Group"/>
    <s v="Croplands"/>
    <s v="Sub-Saharan Africa"/>
    <n v="13742"/>
    <x v="1"/>
    <x v="2"/>
    <x v="1"/>
  </r>
  <r>
    <s v="New Hope Group"/>
    <s v="Croplands"/>
    <s v="Western Europe"/>
    <n v="19099"/>
    <x v="1"/>
    <x v="2"/>
    <x v="1"/>
  </r>
  <r>
    <s v="Perdue Farms"/>
    <s v="Grazing"/>
    <s v="East Asia and Southeast Asia"/>
    <n v="579"/>
    <x v="1"/>
    <x v="2"/>
    <x v="1"/>
  </r>
  <r>
    <s v="Perdue Farms"/>
    <s v="Grazing"/>
    <s v="Eastern Europe"/>
    <n v="12"/>
    <x v="1"/>
    <x v="2"/>
    <x v="1"/>
  </r>
  <r>
    <s v="Perdue Farms"/>
    <s v="Grazing"/>
    <s v="Latin America and the Caribbean"/>
    <n v="3915"/>
    <x v="1"/>
    <x v="2"/>
    <x v="1"/>
  </r>
  <r>
    <s v="Perdue Farms"/>
    <s v="Grazing"/>
    <s v="Near East and North Africa"/>
    <n v="15"/>
    <x v="1"/>
    <x v="2"/>
    <x v="1"/>
  </r>
  <r>
    <s v="Perdue Farms"/>
    <s v="Grazing"/>
    <s v="North America"/>
    <n v="102561"/>
    <x v="1"/>
    <x v="2"/>
    <x v="1"/>
  </r>
  <r>
    <s v="Perdue Farms"/>
    <s v="Grazing"/>
    <s v="Oceania"/>
    <n v="1017"/>
    <x v="1"/>
    <x v="2"/>
    <x v="1"/>
  </r>
  <r>
    <s v="Perdue Farms"/>
    <s v="Grazing"/>
    <s v="RoW"/>
    <n v="0"/>
    <x v="1"/>
    <x v="2"/>
    <x v="1"/>
  </r>
  <r>
    <s v="Perdue Farms"/>
    <s v="Grazing"/>
    <s v="Russian Federation"/>
    <n v="16"/>
    <x v="1"/>
    <x v="2"/>
    <x v="1"/>
  </r>
  <r>
    <s v="Perdue Farms"/>
    <s v="Grazing"/>
    <s v="South Asia"/>
    <n v="76"/>
    <x v="1"/>
    <x v="2"/>
    <x v="1"/>
  </r>
  <r>
    <s v="Perdue Farms"/>
    <s v="Grazing"/>
    <s v="Sub-Saharan Africa"/>
    <n v="14"/>
    <x v="1"/>
    <x v="2"/>
    <x v="1"/>
  </r>
  <r>
    <s v="Perdue Farms"/>
    <s v="Grazing"/>
    <s v="Western Europe"/>
    <n v="123"/>
    <x v="1"/>
    <x v="2"/>
    <x v="1"/>
  </r>
  <r>
    <s v="Perdue Farms"/>
    <s v="Croplands"/>
    <s v="East Asia and Southeast Asia"/>
    <n v="2576"/>
    <x v="1"/>
    <x v="2"/>
    <x v="1"/>
  </r>
  <r>
    <s v="Perdue Farms"/>
    <s v="Croplands"/>
    <s v="Eastern Europe"/>
    <n v="3232"/>
    <x v="1"/>
    <x v="2"/>
    <x v="1"/>
  </r>
  <r>
    <s v="Perdue Farms"/>
    <s v="Croplands"/>
    <s v="Latin America and the Caribbean"/>
    <n v="13095"/>
    <x v="1"/>
    <x v="2"/>
    <x v="1"/>
  </r>
  <r>
    <s v="Perdue Farms"/>
    <s v="Croplands"/>
    <s v="Near East and North Africa"/>
    <n v="389"/>
    <x v="1"/>
    <x v="2"/>
    <x v="1"/>
  </r>
  <r>
    <s v="Perdue Farms"/>
    <s v="Croplands"/>
    <s v="North America"/>
    <n v="2371189"/>
    <x v="1"/>
    <x v="2"/>
    <x v="1"/>
  </r>
  <r>
    <s v="Perdue Farms"/>
    <s v="Croplands"/>
    <s v="Oceania"/>
    <n v="568"/>
    <x v="1"/>
    <x v="2"/>
    <x v="1"/>
  </r>
  <r>
    <s v="Perdue Farms"/>
    <s v="Croplands"/>
    <s v="RoW"/>
    <n v="25"/>
    <x v="1"/>
    <x v="2"/>
    <x v="1"/>
  </r>
  <r>
    <s v="Perdue Farms"/>
    <s v="Croplands"/>
    <s v="Russian Federation"/>
    <n v="1846"/>
    <x v="1"/>
    <x v="2"/>
    <x v="1"/>
  </r>
  <r>
    <s v="Perdue Farms"/>
    <s v="Croplands"/>
    <s v="South Asia"/>
    <n v="20560"/>
    <x v="1"/>
    <x v="2"/>
    <x v="1"/>
  </r>
  <r>
    <s v="Perdue Farms"/>
    <s v="Croplands"/>
    <s v="Sub-Saharan Africa"/>
    <n v="926"/>
    <x v="1"/>
    <x v="2"/>
    <x v="1"/>
  </r>
  <r>
    <s v="Perdue Farms"/>
    <s v="Croplands"/>
    <s v="Western Europe"/>
    <n v="1960"/>
    <x v="1"/>
    <x v="2"/>
    <x v="1"/>
  </r>
  <r>
    <s v="Tyson"/>
    <s v="Grazing"/>
    <s v="East Asia and Southeast Asia"/>
    <n v="5906"/>
    <x v="1"/>
    <x v="2"/>
    <x v="1"/>
  </r>
  <r>
    <s v="Tyson"/>
    <s v="Grazing"/>
    <s v="Eastern Europe"/>
    <n v="578"/>
    <x v="1"/>
    <x v="2"/>
    <x v="1"/>
  </r>
  <r>
    <s v="Tyson"/>
    <s v="Grazing"/>
    <s v="Latin America and the Caribbean"/>
    <n v="11521"/>
    <x v="1"/>
    <x v="2"/>
    <x v="1"/>
  </r>
  <r>
    <s v="Tyson"/>
    <s v="Grazing"/>
    <s v="Near East and North Africa"/>
    <n v="186"/>
    <x v="1"/>
    <x v="2"/>
    <x v="1"/>
  </r>
  <r>
    <s v="Tyson"/>
    <s v="Grazing"/>
    <s v="North America"/>
    <n v="289663"/>
    <x v="1"/>
    <x v="2"/>
    <x v="1"/>
  </r>
  <r>
    <s v="Tyson"/>
    <s v="Grazing"/>
    <s v="Oceania"/>
    <n v="4642"/>
    <x v="1"/>
    <x v="2"/>
    <x v="1"/>
  </r>
  <r>
    <s v="Tyson"/>
    <s v="Grazing"/>
    <s v="RoW"/>
    <n v="0"/>
    <x v="1"/>
    <x v="2"/>
    <x v="1"/>
  </r>
  <r>
    <s v="Tyson"/>
    <s v="Grazing"/>
    <s v="Russian Federation"/>
    <n v="114"/>
    <x v="1"/>
    <x v="2"/>
    <x v="1"/>
  </r>
  <r>
    <s v="Tyson"/>
    <s v="Grazing"/>
    <s v="South Asia"/>
    <n v="242"/>
    <x v="1"/>
    <x v="2"/>
    <x v="1"/>
  </r>
  <r>
    <s v="Tyson"/>
    <s v="Grazing"/>
    <s v="Sub-Saharan Africa"/>
    <n v="315"/>
    <x v="1"/>
    <x v="2"/>
    <x v="1"/>
  </r>
  <r>
    <s v="Tyson"/>
    <s v="Grazing"/>
    <s v="Western Europe"/>
    <n v="1924"/>
    <x v="1"/>
    <x v="2"/>
    <x v="1"/>
  </r>
  <r>
    <s v="Tyson"/>
    <s v="Croplands"/>
    <s v="East Asia and Southeast Asia"/>
    <n v="427334"/>
    <x v="1"/>
    <x v="2"/>
    <x v="1"/>
  </r>
  <r>
    <s v="Tyson"/>
    <s v="Croplands"/>
    <s v="Eastern Europe"/>
    <n v="28512"/>
    <x v="1"/>
    <x v="2"/>
    <x v="1"/>
  </r>
  <r>
    <s v="Tyson"/>
    <s v="Croplands"/>
    <s v="Latin America and the Caribbean"/>
    <n v="295857"/>
    <x v="1"/>
    <x v="2"/>
    <x v="1"/>
  </r>
  <r>
    <s v="Tyson"/>
    <s v="Croplands"/>
    <s v="Near East and North Africa"/>
    <n v="3405"/>
    <x v="1"/>
    <x v="2"/>
    <x v="1"/>
  </r>
  <r>
    <s v="Tyson"/>
    <s v="Croplands"/>
    <s v="North America"/>
    <n v="6783150"/>
    <x v="1"/>
    <x v="2"/>
    <x v="1"/>
  </r>
  <r>
    <s v="Tyson"/>
    <s v="Croplands"/>
    <s v="Oceania"/>
    <n v="13602"/>
    <x v="1"/>
    <x v="2"/>
    <x v="1"/>
  </r>
  <r>
    <s v="Tyson"/>
    <s v="Croplands"/>
    <s v="RoW"/>
    <n v="70"/>
    <x v="1"/>
    <x v="2"/>
    <x v="1"/>
  </r>
  <r>
    <s v="Tyson"/>
    <s v="Croplands"/>
    <s v="Russian Federation"/>
    <n v="12821"/>
    <x v="1"/>
    <x v="2"/>
    <x v="1"/>
  </r>
  <r>
    <s v="Tyson"/>
    <s v="Croplands"/>
    <s v="South Asia"/>
    <n v="66034"/>
    <x v="1"/>
    <x v="2"/>
    <x v="1"/>
  </r>
  <r>
    <s v="Tyson"/>
    <s v="Croplands"/>
    <s v="Sub-Saharan Africa"/>
    <n v="6972"/>
    <x v="1"/>
    <x v="2"/>
    <x v="1"/>
  </r>
  <r>
    <s v="Tyson"/>
    <s v="Croplands"/>
    <s v="Western Europe"/>
    <n v="11589"/>
    <x v="1"/>
    <x v="2"/>
    <x v="1"/>
  </r>
  <r>
    <s v="Wellhope Agritech"/>
    <s v="Grazing"/>
    <s v="East Asia and Southeast Asia"/>
    <n v="16577"/>
    <x v="1"/>
    <x v="2"/>
    <x v="1"/>
  </r>
  <r>
    <s v="Wellhope Agritech"/>
    <s v="Grazing"/>
    <s v="Eastern Europe"/>
    <n v="2114"/>
    <x v="1"/>
    <x v="2"/>
    <x v="1"/>
  </r>
  <r>
    <s v="Wellhope Agritech"/>
    <s v="Grazing"/>
    <s v="Latin America and the Caribbean"/>
    <n v="1884"/>
    <x v="1"/>
    <x v="2"/>
    <x v="1"/>
  </r>
  <r>
    <s v="Wellhope Agritech"/>
    <s v="Grazing"/>
    <s v="Near East and North Africa"/>
    <n v="561"/>
    <x v="1"/>
    <x v="2"/>
    <x v="1"/>
  </r>
  <r>
    <s v="Wellhope Agritech"/>
    <s v="Grazing"/>
    <s v="North America"/>
    <n v="2317"/>
    <x v="1"/>
    <x v="2"/>
    <x v="1"/>
  </r>
  <r>
    <s v="Wellhope Agritech"/>
    <s v="Grazing"/>
    <s v="Oceania"/>
    <n v="6888"/>
    <x v="1"/>
    <x v="2"/>
    <x v="1"/>
  </r>
  <r>
    <s v="Wellhope Agritech"/>
    <s v="Grazing"/>
    <s v="RoW"/>
    <n v="0"/>
    <x v="1"/>
    <x v="2"/>
    <x v="1"/>
  </r>
  <r>
    <s v="Wellhope Agritech"/>
    <s v="Grazing"/>
    <s v="Russian Federation"/>
    <n v="265"/>
    <x v="1"/>
    <x v="2"/>
    <x v="1"/>
  </r>
  <r>
    <s v="Wellhope Agritech"/>
    <s v="Grazing"/>
    <s v="South Asia"/>
    <n v="107"/>
    <x v="1"/>
    <x v="2"/>
    <x v="1"/>
  </r>
  <r>
    <s v="Wellhope Agritech"/>
    <s v="Grazing"/>
    <s v="Sub-Saharan Africa"/>
    <n v="1071"/>
    <x v="1"/>
    <x v="2"/>
    <x v="1"/>
  </r>
  <r>
    <s v="Wellhope Agritech"/>
    <s v="Grazing"/>
    <s v="Western Europe"/>
    <n v="6118"/>
    <x v="1"/>
    <x v="2"/>
    <x v="1"/>
  </r>
  <r>
    <s v="Wellhope Agritech"/>
    <s v="Croplands"/>
    <s v="East Asia and Southeast Asia"/>
    <n v="1629295"/>
    <x v="1"/>
    <x v="2"/>
    <x v="1"/>
  </r>
  <r>
    <s v="Wellhope Agritech"/>
    <s v="Croplands"/>
    <s v="Eastern Europe"/>
    <n v="75259"/>
    <x v="1"/>
    <x v="2"/>
    <x v="1"/>
  </r>
  <r>
    <s v="Wellhope Agritech"/>
    <s v="Croplands"/>
    <s v="Latin America and the Caribbean"/>
    <n v="1004362"/>
    <x v="1"/>
    <x v="2"/>
    <x v="1"/>
  </r>
  <r>
    <s v="Wellhope Agritech"/>
    <s v="Croplands"/>
    <s v="Near East and North Africa"/>
    <n v="8953"/>
    <x v="1"/>
    <x v="2"/>
    <x v="1"/>
  </r>
  <r>
    <s v="Wellhope Agritech"/>
    <s v="Croplands"/>
    <s v="North America"/>
    <n v="387929"/>
    <x v="1"/>
    <x v="2"/>
    <x v="1"/>
  </r>
  <r>
    <s v="Wellhope Agritech"/>
    <s v="Croplands"/>
    <s v="Oceania"/>
    <n v="46543"/>
    <x v="1"/>
    <x v="2"/>
    <x v="1"/>
  </r>
  <r>
    <s v="Wellhope Agritech"/>
    <s v="Croplands"/>
    <s v="RoW"/>
    <n v="0"/>
    <x v="1"/>
    <x v="2"/>
    <x v="1"/>
  </r>
  <r>
    <s v="Wellhope Agritech"/>
    <s v="Croplands"/>
    <s v="Russian Federation"/>
    <n v="29547"/>
    <x v="1"/>
    <x v="2"/>
    <x v="1"/>
  </r>
  <r>
    <s v="Wellhope Agritech"/>
    <s v="Croplands"/>
    <s v="South Asia"/>
    <n v="31361"/>
    <x v="1"/>
    <x v="2"/>
    <x v="1"/>
  </r>
  <r>
    <s v="Wellhope Agritech"/>
    <s v="Croplands"/>
    <s v="Sub-Saharan Africa"/>
    <n v="16922"/>
    <x v="1"/>
    <x v="2"/>
    <x v="1"/>
  </r>
  <r>
    <s v="Wellhope Agritech"/>
    <s v="Croplands"/>
    <s v="Western Europe"/>
    <n v="23518"/>
    <x v="1"/>
    <x v="2"/>
    <x v="1"/>
  </r>
  <r>
    <s v="Wen's Food Group"/>
    <s v="Grazing"/>
    <s v="East Asia and Southeast Asia"/>
    <n v="24211"/>
    <x v="1"/>
    <x v="2"/>
    <x v="1"/>
  </r>
  <r>
    <s v="Wen's Food Group"/>
    <s v="Grazing"/>
    <s v="Eastern Europe"/>
    <n v="3087"/>
    <x v="1"/>
    <x v="2"/>
    <x v="1"/>
  </r>
  <r>
    <s v="Wen's Food Group"/>
    <s v="Grazing"/>
    <s v="Latin America and the Caribbean"/>
    <n v="2751"/>
    <x v="1"/>
    <x v="2"/>
    <x v="1"/>
  </r>
  <r>
    <s v="Wen's Food Group"/>
    <s v="Grazing"/>
    <s v="Near East and North Africa"/>
    <n v="819"/>
    <x v="1"/>
    <x v="2"/>
    <x v="1"/>
  </r>
  <r>
    <s v="Wen's Food Group"/>
    <s v="Grazing"/>
    <s v="North America"/>
    <n v="3384"/>
    <x v="1"/>
    <x v="2"/>
    <x v="1"/>
  </r>
  <r>
    <s v="Wen's Food Group"/>
    <s v="Grazing"/>
    <s v="Oceania"/>
    <n v="10060"/>
    <x v="1"/>
    <x v="2"/>
    <x v="1"/>
  </r>
  <r>
    <s v="Wen's Food Group"/>
    <s v="Grazing"/>
    <s v="RoW"/>
    <n v="0"/>
    <x v="1"/>
    <x v="2"/>
    <x v="1"/>
  </r>
  <r>
    <s v="Wen's Food Group"/>
    <s v="Grazing"/>
    <s v="Russian Federation"/>
    <n v="387"/>
    <x v="1"/>
    <x v="2"/>
    <x v="1"/>
  </r>
  <r>
    <s v="Wen's Food Group"/>
    <s v="Grazing"/>
    <s v="South Asia"/>
    <n v="156"/>
    <x v="1"/>
    <x v="2"/>
    <x v="1"/>
  </r>
  <r>
    <s v="Wen's Food Group"/>
    <s v="Grazing"/>
    <s v="Sub-Saharan Africa"/>
    <n v="1564"/>
    <x v="1"/>
    <x v="2"/>
    <x v="1"/>
  </r>
  <r>
    <s v="Wen's Food Group"/>
    <s v="Grazing"/>
    <s v="Western Europe"/>
    <n v="8936"/>
    <x v="1"/>
    <x v="2"/>
    <x v="1"/>
  </r>
  <r>
    <s v="Wen's Food Group"/>
    <s v="Croplands"/>
    <s v="East Asia and Southeast Asia"/>
    <n v="2379575"/>
    <x v="1"/>
    <x v="2"/>
    <x v="1"/>
  </r>
  <r>
    <s v="Wen's Food Group"/>
    <s v="Croplands"/>
    <s v="Eastern Europe"/>
    <n v="109915"/>
    <x v="1"/>
    <x v="2"/>
    <x v="1"/>
  </r>
  <r>
    <s v="Wen's Food Group"/>
    <s v="Croplands"/>
    <s v="Latin America and the Caribbean"/>
    <n v="1466864"/>
    <x v="1"/>
    <x v="2"/>
    <x v="1"/>
  </r>
  <r>
    <s v="Wen's Food Group"/>
    <s v="Croplands"/>
    <s v="Near East and North Africa"/>
    <n v="13076"/>
    <x v="1"/>
    <x v="2"/>
    <x v="1"/>
  </r>
  <r>
    <s v="Wen's Food Group"/>
    <s v="Croplands"/>
    <s v="North America"/>
    <n v="566568"/>
    <x v="1"/>
    <x v="2"/>
    <x v="1"/>
  </r>
  <r>
    <s v="Wen's Food Group"/>
    <s v="Croplands"/>
    <s v="Oceania"/>
    <n v="67976"/>
    <x v="1"/>
    <x v="2"/>
    <x v="1"/>
  </r>
  <r>
    <s v="Wen's Food Group"/>
    <s v="Croplands"/>
    <s v="RoW"/>
    <n v="0"/>
    <x v="1"/>
    <x v="2"/>
    <x v="1"/>
  </r>
  <r>
    <s v="Wen's Food Group"/>
    <s v="Croplands"/>
    <s v="Russian Federation"/>
    <n v="43153"/>
    <x v="1"/>
    <x v="2"/>
    <x v="1"/>
  </r>
  <r>
    <s v="Wen's Food Group"/>
    <s v="Croplands"/>
    <s v="South Asia"/>
    <n v="45803"/>
    <x v="1"/>
    <x v="2"/>
    <x v="1"/>
  </r>
  <r>
    <s v="Wen's Food Group"/>
    <s v="Croplands"/>
    <s v="Sub-Saharan Africa"/>
    <n v="24715"/>
    <x v="1"/>
    <x v="2"/>
    <x v="1"/>
  </r>
  <r>
    <s v="Wen's Food Group"/>
    <s v="Croplands"/>
    <s v="Western Europe"/>
    <n v="34348"/>
    <x v="1"/>
    <x v="2"/>
    <x v="1"/>
  </r>
  <r>
    <s v="WH Group"/>
    <s v="Grazing"/>
    <s v="East Asia and Southeast Asia"/>
    <n v="4285"/>
    <x v="1"/>
    <x v="2"/>
    <x v="1"/>
  </r>
  <r>
    <s v="WH Group"/>
    <s v="Grazing"/>
    <s v="Eastern Europe"/>
    <n v="4390"/>
    <x v="1"/>
    <x v="2"/>
    <x v="1"/>
  </r>
  <r>
    <s v="WH Group"/>
    <s v="Grazing"/>
    <s v="Latin America and the Caribbean"/>
    <n v="492"/>
    <x v="1"/>
    <x v="2"/>
    <x v="1"/>
  </r>
  <r>
    <s v="WH Group"/>
    <s v="Grazing"/>
    <s v="Near East and North Africa"/>
    <n v="150"/>
    <x v="1"/>
    <x v="2"/>
    <x v="1"/>
  </r>
  <r>
    <s v="WH Group"/>
    <s v="Grazing"/>
    <s v="North America"/>
    <n v="605"/>
    <x v="1"/>
    <x v="2"/>
    <x v="1"/>
  </r>
  <r>
    <s v="WH Group"/>
    <s v="Grazing"/>
    <s v="Oceania"/>
    <n v="1790"/>
    <x v="1"/>
    <x v="2"/>
    <x v="1"/>
  </r>
  <r>
    <s v="WH Group"/>
    <s v="Grazing"/>
    <s v="RoW"/>
    <n v="0"/>
    <x v="1"/>
    <x v="2"/>
    <x v="1"/>
  </r>
  <r>
    <s v="WH Group"/>
    <s v="Grazing"/>
    <s v="Russian Federation"/>
    <n v="84"/>
    <x v="1"/>
    <x v="2"/>
    <x v="1"/>
  </r>
  <r>
    <s v="WH Group"/>
    <s v="Grazing"/>
    <s v="South Asia"/>
    <n v="28"/>
    <x v="1"/>
    <x v="2"/>
    <x v="1"/>
  </r>
  <r>
    <s v="WH Group"/>
    <s v="Grazing"/>
    <s v="Sub-Saharan Africa"/>
    <n v="279"/>
    <x v="1"/>
    <x v="2"/>
    <x v="1"/>
  </r>
  <r>
    <s v="WH Group"/>
    <s v="Grazing"/>
    <s v="Western Europe"/>
    <n v="1927"/>
    <x v="1"/>
    <x v="2"/>
    <x v="1"/>
  </r>
  <r>
    <s v="WH Group"/>
    <s v="Croplands"/>
    <s v="East Asia and Southeast Asia"/>
    <n v="423256"/>
    <x v="1"/>
    <x v="2"/>
    <x v="1"/>
  </r>
  <r>
    <s v="WH Group"/>
    <s v="Croplands"/>
    <s v="Eastern Europe"/>
    <n v="575640"/>
    <x v="1"/>
    <x v="2"/>
    <x v="1"/>
  </r>
  <r>
    <s v="WH Group"/>
    <s v="Croplands"/>
    <s v="Latin America and the Caribbean"/>
    <n v="304574"/>
    <x v="1"/>
    <x v="2"/>
    <x v="1"/>
  </r>
  <r>
    <s v="WH Group"/>
    <s v="Croplands"/>
    <s v="Near East and North Africa"/>
    <n v="3662"/>
    <x v="1"/>
    <x v="2"/>
    <x v="1"/>
  </r>
  <r>
    <s v="WH Group"/>
    <s v="Croplands"/>
    <s v="North America"/>
    <n v="102589"/>
    <x v="1"/>
    <x v="2"/>
    <x v="1"/>
  </r>
  <r>
    <s v="WH Group"/>
    <s v="Croplands"/>
    <s v="Oceania"/>
    <n v="12148"/>
    <x v="1"/>
    <x v="2"/>
    <x v="1"/>
  </r>
  <r>
    <s v="WH Group"/>
    <s v="Croplands"/>
    <s v="RoW"/>
    <n v="0"/>
    <x v="1"/>
    <x v="2"/>
    <x v="1"/>
  </r>
  <r>
    <s v="WH Group"/>
    <s v="Croplands"/>
    <s v="Russian Federation"/>
    <n v="19254"/>
    <x v="1"/>
    <x v="2"/>
    <x v="1"/>
  </r>
  <r>
    <s v="WH Group"/>
    <s v="Croplands"/>
    <s v="South Asia"/>
    <n v="9252"/>
    <x v="1"/>
    <x v="2"/>
    <x v="1"/>
  </r>
  <r>
    <s v="WH Group"/>
    <s v="Croplands"/>
    <s v="Sub-Saharan Africa"/>
    <n v="5294"/>
    <x v="1"/>
    <x v="2"/>
    <x v="1"/>
  </r>
  <r>
    <s v="WH Group"/>
    <s v="Croplands"/>
    <s v="Western Europe"/>
    <n v="25935"/>
    <x v="1"/>
    <x v="2"/>
    <x v="1"/>
  </r>
  <r>
    <s v="Arab Company for Livestock Development (ACOLID)"/>
    <s v="Grazing"/>
    <s v="East Asia and Southeast Asia"/>
    <n v="0"/>
    <x v="1"/>
    <x v="3"/>
    <x v="2"/>
  </r>
  <r>
    <s v="Arab Company for Livestock Development (ACOLID)"/>
    <s v="Grazing"/>
    <s v="Eastern Europe"/>
    <n v="2"/>
    <x v="1"/>
    <x v="3"/>
    <x v="2"/>
  </r>
  <r>
    <s v="Arab Company for Livestock Development (ACOLID)"/>
    <s v="Grazing"/>
    <s v="Latin America and the Caribbean"/>
    <n v="0"/>
    <x v="1"/>
    <x v="3"/>
    <x v="2"/>
  </r>
  <r>
    <s v="Arab Company for Livestock Development (ACOLID)"/>
    <s v="Grazing"/>
    <s v="Near East and North Africa"/>
    <n v="1177"/>
    <x v="1"/>
    <x v="3"/>
    <x v="2"/>
  </r>
  <r>
    <s v="Arab Company for Livestock Development (ACOLID)"/>
    <s v="Grazing"/>
    <s v="North America"/>
    <n v="0"/>
    <x v="1"/>
    <x v="3"/>
    <x v="2"/>
  </r>
  <r>
    <s v="Arab Company for Livestock Development (ACOLID)"/>
    <s v="Grazing"/>
    <s v="Oceania"/>
    <n v="2"/>
    <x v="1"/>
    <x v="3"/>
    <x v="2"/>
  </r>
  <r>
    <s v="Arab Company for Livestock Development (ACOLID)"/>
    <s v="Grazing"/>
    <s v="RoW"/>
    <n v="0"/>
    <x v="1"/>
    <x v="3"/>
    <x v="2"/>
  </r>
  <r>
    <s v="Arab Company for Livestock Development (ACOLID)"/>
    <s v="Grazing"/>
    <s v="Russian Federation"/>
    <n v="0"/>
    <x v="1"/>
    <x v="3"/>
    <x v="2"/>
  </r>
  <r>
    <s v="Arab Company for Livestock Development (ACOLID)"/>
    <s v="Grazing"/>
    <s v="South Asia"/>
    <n v="0"/>
    <x v="1"/>
    <x v="3"/>
    <x v="2"/>
  </r>
  <r>
    <s v="Arab Company for Livestock Development (ACOLID)"/>
    <s v="Grazing"/>
    <s v="Sub-Saharan Africa"/>
    <n v="0"/>
    <x v="1"/>
    <x v="3"/>
    <x v="2"/>
  </r>
  <r>
    <s v="Arab Company for Livestock Development (ACOLID)"/>
    <s v="Grazing"/>
    <s v="Western Europe"/>
    <n v="75"/>
    <x v="1"/>
    <x v="3"/>
    <x v="2"/>
  </r>
  <r>
    <s v="Arab Company for Livestock Development (ACOLID)"/>
    <s v="Croplands"/>
    <s v="East Asia and Southeast Asia"/>
    <n v="465"/>
    <x v="1"/>
    <x v="3"/>
    <x v="2"/>
  </r>
  <r>
    <s v="Arab Company for Livestock Development (ACOLID)"/>
    <s v="Croplands"/>
    <s v="Eastern Europe"/>
    <n v="6115"/>
    <x v="1"/>
    <x v="3"/>
    <x v="2"/>
  </r>
  <r>
    <s v="Arab Company for Livestock Development (ACOLID)"/>
    <s v="Croplands"/>
    <s v="Latin America and the Caribbean"/>
    <n v="3387"/>
    <x v="1"/>
    <x v="3"/>
    <x v="2"/>
  </r>
  <r>
    <s v="Arab Company for Livestock Development (ACOLID)"/>
    <s v="Croplands"/>
    <s v="Near East and North Africa"/>
    <n v="41941"/>
    <x v="1"/>
    <x v="3"/>
    <x v="2"/>
  </r>
  <r>
    <s v="Arab Company for Livestock Development (ACOLID)"/>
    <s v="Croplands"/>
    <s v="North America"/>
    <n v="3382"/>
    <x v="1"/>
    <x v="3"/>
    <x v="2"/>
  </r>
  <r>
    <s v="Arab Company for Livestock Development (ACOLID)"/>
    <s v="Croplands"/>
    <s v="Oceania"/>
    <n v="874"/>
    <x v="1"/>
    <x v="3"/>
    <x v="2"/>
  </r>
  <r>
    <s v="Arab Company for Livestock Development (ACOLID)"/>
    <s v="Croplands"/>
    <s v="RoW"/>
    <n v="1"/>
    <x v="1"/>
    <x v="3"/>
    <x v="2"/>
  </r>
  <r>
    <s v="Arab Company for Livestock Development (ACOLID)"/>
    <s v="Croplands"/>
    <s v="Russian Federation"/>
    <n v="2784"/>
    <x v="1"/>
    <x v="3"/>
    <x v="2"/>
  </r>
  <r>
    <s v="Arab Company for Livestock Development (ACOLID)"/>
    <s v="Croplands"/>
    <s v="South Asia"/>
    <n v="573"/>
    <x v="1"/>
    <x v="3"/>
    <x v="2"/>
  </r>
  <r>
    <s v="Arab Company for Livestock Development (ACOLID)"/>
    <s v="Croplands"/>
    <s v="Sub-Saharan Africa"/>
    <n v="37"/>
    <x v="1"/>
    <x v="3"/>
    <x v="2"/>
  </r>
  <r>
    <s v="Arab Company for Livestock Development (ACOLID)"/>
    <s v="Croplands"/>
    <s v="Western Europe"/>
    <n v="4120"/>
    <x v="1"/>
    <x v="3"/>
    <x v="2"/>
  </r>
  <r>
    <s v="Aurora Alimentos"/>
    <s v="Grazing"/>
    <s v="East Asia and Southeast Asia"/>
    <n v="0"/>
    <x v="1"/>
    <x v="3"/>
    <x v="2"/>
  </r>
  <r>
    <s v="Aurora Alimentos"/>
    <s v="Grazing"/>
    <s v="Eastern Europe"/>
    <n v="0"/>
    <x v="1"/>
    <x v="3"/>
    <x v="2"/>
  </r>
  <r>
    <s v="Aurora Alimentos"/>
    <s v="Grazing"/>
    <s v="Latin America and the Caribbean"/>
    <n v="18"/>
    <x v="1"/>
    <x v="3"/>
    <x v="2"/>
  </r>
  <r>
    <s v="Aurora Alimentos"/>
    <s v="Grazing"/>
    <s v="Near East and North Africa"/>
    <n v="0"/>
    <x v="1"/>
    <x v="3"/>
    <x v="2"/>
  </r>
  <r>
    <s v="Aurora Alimentos"/>
    <s v="Grazing"/>
    <s v="North America"/>
    <n v="0"/>
    <x v="1"/>
    <x v="3"/>
    <x v="2"/>
  </r>
  <r>
    <s v="Aurora Alimentos"/>
    <s v="Grazing"/>
    <s v="Oceania"/>
    <n v="0"/>
    <x v="1"/>
    <x v="3"/>
    <x v="2"/>
  </r>
  <r>
    <s v="Aurora Alimentos"/>
    <s v="Grazing"/>
    <s v="RoW"/>
    <n v="0"/>
    <x v="1"/>
    <x v="3"/>
    <x v="2"/>
  </r>
  <r>
    <s v="Aurora Alimentos"/>
    <s v="Grazing"/>
    <s v="Russian Federation"/>
    <n v="0"/>
    <x v="1"/>
    <x v="3"/>
    <x v="2"/>
  </r>
  <r>
    <s v="Aurora Alimentos"/>
    <s v="Grazing"/>
    <s v="South Asia"/>
    <n v="0"/>
    <x v="1"/>
    <x v="3"/>
    <x v="2"/>
  </r>
  <r>
    <s v="Aurora Alimentos"/>
    <s v="Grazing"/>
    <s v="Sub-Saharan Africa"/>
    <n v="0"/>
    <x v="1"/>
    <x v="3"/>
    <x v="2"/>
  </r>
  <r>
    <s v="Aurora Alimentos"/>
    <s v="Grazing"/>
    <s v="Western Europe"/>
    <n v="5"/>
    <x v="1"/>
    <x v="3"/>
    <x v="2"/>
  </r>
  <r>
    <s v="Aurora Alimentos"/>
    <s v="Croplands"/>
    <s v="East Asia and Southeast Asia"/>
    <n v="19"/>
    <x v="1"/>
    <x v="3"/>
    <x v="2"/>
  </r>
  <r>
    <s v="Aurora Alimentos"/>
    <s v="Croplands"/>
    <s v="Eastern Europe"/>
    <n v="9"/>
    <x v="1"/>
    <x v="3"/>
    <x v="2"/>
  </r>
  <r>
    <s v="Aurora Alimentos"/>
    <s v="Croplands"/>
    <s v="Latin America and the Caribbean"/>
    <n v="10059"/>
    <x v="1"/>
    <x v="3"/>
    <x v="2"/>
  </r>
  <r>
    <s v="Aurora Alimentos"/>
    <s v="Croplands"/>
    <s v="Near East and North Africa"/>
    <n v="4"/>
    <x v="1"/>
    <x v="3"/>
    <x v="2"/>
  </r>
  <r>
    <s v="Aurora Alimentos"/>
    <s v="Croplands"/>
    <s v="North America"/>
    <n v="2533"/>
    <x v="1"/>
    <x v="3"/>
    <x v="2"/>
  </r>
  <r>
    <s v="Aurora Alimentos"/>
    <s v="Croplands"/>
    <s v="Oceania"/>
    <n v="2"/>
    <x v="1"/>
    <x v="3"/>
    <x v="2"/>
  </r>
  <r>
    <s v="Aurora Alimentos"/>
    <s v="Croplands"/>
    <s v="RoW"/>
    <n v="0"/>
    <x v="1"/>
    <x v="3"/>
    <x v="2"/>
  </r>
  <r>
    <s v="Aurora Alimentos"/>
    <s v="Croplands"/>
    <s v="Russian Federation"/>
    <n v="1"/>
    <x v="1"/>
    <x v="3"/>
    <x v="2"/>
  </r>
  <r>
    <s v="Aurora Alimentos"/>
    <s v="Croplands"/>
    <s v="South Asia"/>
    <n v="19"/>
    <x v="1"/>
    <x v="3"/>
    <x v="2"/>
  </r>
  <r>
    <s v="Aurora Alimentos"/>
    <s v="Croplands"/>
    <s v="Sub-Saharan Africa"/>
    <n v="3"/>
    <x v="1"/>
    <x v="3"/>
    <x v="2"/>
  </r>
  <r>
    <s v="Aurora Alimentos"/>
    <s v="Croplands"/>
    <s v="Western Europe"/>
    <n v="19"/>
    <x v="1"/>
    <x v="3"/>
    <x v="2"/>
  </r>
  <r>
    <s v="BRF"/>
    <s v="Grazing"/>
    <s v="East Asia and Southeast Asia"/>
    <n v="0"/>
    <x v="1"/>
    <x v="3"/>
    <x v="2"/>
  </r>
  <r>
    <s v="BRF"/>
    <s v="Grazing"/>
    <s v="Eastern Europe"/>
    <n v="0"/>
    <x v="1"/>
    <x v="3"/>
    <x v="2"/>
  </r>
  <r>
    <s v="BRF"/>
    <s v="Grazing"/>
    <s v="Latin America and the Caribbean"/>
    <n v="90"/>
    <x v="1"/>
    <x v="3"/>
    <x v="2"/>
  </r>
  <r>
    <s v="BRF"/>
    <s v="Grazing"/>
    <s v="Near East and North Africa"/>
    <n v="0"/>
    <x v="1"/>
    <x v="3"/>
    <x v="2"/>
  </r>
  <r>
    <s v="BRF"/>
    <s v="Grazing"/>
    <s v="North America"/>
    <n v="5"/>
    <x v="1"/>
    <x v="3"/>
    <x v="2"/>
  </r>
  <r>
    <s v="BRF"/>
    <s v="Grazing"/>
    <s v="Oceania"/>
    <n v="2"/>
    <x v="1"/>
    <x v="3"/>
    <x v="2"/>
  </r>
  <r>
    <s v="BRF"/>
    <s v="Grazing"/>
    <s v="RoW"/>
    <n v="0"/>
    <x v="1"/>
    <x v="3"/>
    <x v="2"/>
  </r>
  <r>
    <s v="BRF"/>
    <s v="Grazing"/>
    <s v="Russian Federation"/>
    <n v="0"/>
    <x v="1"/>
    <x v="3"/>
    <x v="2"/>
  </r>
  <r>
    <s v="BRF"/>
    <s v="Grazing"/>
    <s v="South Asia"/>
    <n v="0"/>
    <x v="1"/>
    <x v="3"/>
    <x v="2"/>
  </r>
  <r>
    <s v="BRF"/>
    <s v="Grazing"/>
    <s v="Sub-Saharan Africa"/>
    <n v="0"/>
    <x v="1"/>
    <x v="3"/>
    <x v="2"/>
  </r>
  <r>
    <s v="BRF"/>
    <s v="Grazing"/>
    <s v="Western Europe"/>
    <n v="24"/>
    <x v="1"/>
    <x v="3"/>
    <x v="2"/>
  </r>
  <r>
    <s v="BRF"/>
    <s v="Croplands"/>
    <s v="East Asia and Southeast Asia"/>
    <n v="97"/>
    <x v="1"/>
    <x v="3"/>
    <x v="2"/>
  </r>
  <r>
    <s v="BRF"/>
    <s v="Croplands"/>
    <s v="Eastern Europe"/>
    <n v="45"/>
    <x v="1"/>
    <x v="3"/>
    <x v="2"/>
  </r>
  <r>
    <s v="BRF"/>
    <s v="Croplands"/>
    <s v="Latin America and the Caribbean"/>
    <n v="50552"/>
    <x v="1"/>
    <x v="3"/>
    <x v="2"/>
  </r>
  <r>
    <s v="BRF"/>
    <s v="Croplands"/>
    <s v="Near East and North Africa"/>
    <n v="20"/>
    <x v="1"/>
    <x v="3"/>
    <x v="2"/>
  </r>
  <r>
    <s v="BRF"/>
    <s v="Croplands"/>
    <s v="North America"/>
    <n v="12729"/>
    <x v="1"/>
    <x v="3"/>
    <x v="2"/>
  </r>
  <r>
    <s v="BRF"/>
    <s v="Croplands"/>
    <s v="Oceania"/>
    <n v="9"/>
    <x v="1"/>
    <x v="3"/>
    <x v="2"/>
  </r>
  <r>
    <s v="BRF"/>
    <s v="Croplands"/>
    <s v="RoW"/>
    <n v="0"/>
    <x v="1"/>
    <x v="3"/>
    <x v="2"/>
  </r>
  <r>
    <s v="BRF"/>
    <s v="Croplands"/>
    <s v="Russian Federation"/>
    <n v="5"/>
    <x v="1"/>
    <x v="3"/>
    <x v="2"/>
  </r>
  <r>
    <s v="BRF"/>
    <s v="Croplands"/>
    <s v="South Asia"/>
    <n v="96"/>
    <x v="1"/>
    <x v="3"/>
    <x v="2"/>
  </r>
  <r>
    <s v="BRF"/>
    <s v="Croplands"/>
    <s v="Sub-Saharan Africa"/>
    <n v="15"/>
    <x v="1"/>
    <x v="3"/>
    <x v="2"/>
  </r>
  <r>
    <s v="BRF"/>
    <s v="Croplands"/>
    <s v="Western Europe"/>
    <n v="94"/>
    <x v="1"/>
    <x v="3"/>
    <x v="2"/>
  </r>
  <r>
    <s v="Cargill"/>
    <s v="Grazing"/>
    <s v="East Asia and Southeast Asia"/>
    <n v="28"/>
    <x v="1"/>
    <x v="3"/>
    <x v="2"/>
  </r>
  <r>
    <s v="Cargill"/>
    <s v="Grazing"/>
    <s v="Eastern Europe"/>
    <n v="4"/>
    <x v="1"/>
    <x v="3"/>
    <x v="2"/>
  </r>
  <r>
    <s v="Cargill"/>
    <s v="Grazing"/>
    <s v="Latin America and the Caribbean"/>
    <n v="16"/>
    <x v="1"/>
    <x v="3"/>
    <x v="2"/>
  </r>
  <r>
    <s v="Cargill"/>
    <s v="Grazing"/>
    <s v="Near East and North Africa"/>
    <n v="3"/>
    <x v="1"/>
    <x v="3"/>
    <x v="2"/>
  </r>
  <r>
    <s v="Cargill"/>
    <s v="Grazing"/>
    <s v="North America"/>
    <n v="373"/>
    <x v="1"/>
    <x v="3"/>
    <x v="2"/>
  </r>
  <r>
    <s v="Cargill"/>
    <s v="Grazing"/>
    <s v="Oceania"/>
    <n v="8"/>
    <x v="1"/>
    <x v="3"/>
    <x v="2"/>
  </r>
  <r>
    <s v="Cargill"/>
    <s v="Grazing"/>
    <s v="RoW"/>
    <n v="0"/>
    <x v="1"/>
    <x v="3"/>
    <x v="2"/>
  </r>
  <r>
    <s v="Cargill"/>
    <s v="Grazing"/>
    <s v="Russian Federation"/>
    <n v="0"/>
    <x v="1"/>
    <x v="3"/>
    <x v="2"/>
  </r>
  <r>
    <s v="Cargill"/>
    <s v="Grazing"/>
    <s v="South Asia"/>
    <n v="0"/>
    <x v="1"/>
    <x v="3"/>
    <x v="2"/>
  </r>
  <r>
    <s v="Cargill"/>
    <s v="Grazing"/>
    <s v="Sub-Saharan Africa"/>
    <n v="0"/>
    <x v="1"/>
    <x v="3"/>
    <x v="2"/>
  </r>
  <r>
    <s v="Cargill"/>
    <s v="Grazing"/>
    <s v="Western Europe"/>
    <n v="462"/>
    <x v="1"/>
    <x v="3"/>
    <x v="2"/>
  </r>
  <r>
    <s v="Cargill"/>
    <s v="Croplands"/>
    <s v="East Asia and Southeast Asia"/>
    <n v="5463"/>
    <x v="1"/>
    <x v="3"/>
    <x v="2"/>
  </r>
  <r>
    <s v="Cargill"/>
    <s v="Croplands"/>
    <s v="Eastern Europe"/>
    <n v="1116"/>
    <x v="1"/>
    <x v="3"/>
    <x v="2"/>
  </r>
  <r>
    <s v="Cargill"/>
    <s v="Croplands"/>
    <s v="Latin America and the Caribbean"/>
    <n v="9104"/>
    <x v="1"/>
    <x v="3"/>
    <x v="2"/>
  </r>
  <r>
    <s v="Cargill"/>
    <s v="Croplands"/>
    <s v="Near East and North Africa"/>
    <n v="41"/>
    <x v="1"/>
    <x v="3"/>
    <x v="2"/>
  </r>
  <r>
    <s v="Cargill"/>
    <s v="Croplands"/>
    <s v="North America"/>
    <n v="38484"/>
    <x v="1"/>
    <x v="3"/>
    <x v="2"/>
  </r>
  <r>
    <s v="Cargill"/>
    <s v="Croplands"/>
    <s v="Oceania"/>
    <n v="148"/>
    <x v="1"/>
    <x v="3"/>
    <x v="2"/>
  </r>
  <r>
    <s v="Cargill"/>
    <s v="Croplands"/>
    <s v="RoW"/>
    <n v="0"/>
    <x v="1"/>
    <x v="3"/>
    <x v="2"/>
  </r>
  <r>
    <s v="Cargill"/>
    <s v="Croplands"/>
    <s v="Russian Federation"/>
    <n v="35"/>
    <x v="1"/>
    <x v="3"/>
    <x v="2"/>
  </r>
  <r>
    <s v="Cargill"/>
    <s v="Croplands"/>
    <s v="South Asia"/>
    <n v="320"/>
    <x v="1"/>
    <x v="3"/>
    <x v="2"/>
  </r>
  <r>
    <s v="Cargill"/>
    <s v="Croplands"/>
    <s v="Sub-Saharan Africa"/>
    <n v="27"/>
    <x v="1"/>
    <x v="3"/>
    <x v="2"/>
  </r>
  <r>
    <s v="Cargill"/>
    <s v="Croplands"/>
    <s v="Western Europe"/>
    <n v="9918"/>
    <x v="1"/>
    <x v="3"/>
    <x v="2"/>
  </r>
  <r>
    <s v="Charoen Pokphand"/>
    <s v="Grazing"/>
    <s v="East Asia and Southeast Asia"/>
    <n v="107"/>
    <x v="1"/>
    <x v="3"/>
    <x v="2"/>
  </r>
  <r>
    <s v="Charoen Pokphand"/>
    <s v="Grazing"/>
    <s v="Eastern Europe"/>
    <n v="24"/>
    <x v="1"/>
    <x v="3"/>
    <x v="2"/>
  </r>
  <r>
    <s v="Charoen Pokphand"/>
    <s v="Grazing"/>
    <s v="Latin America and the Caribbean"/>
    <n v="0"/>
    <x v="1"/>
    <x v="3"/>
    <x v="2"/>
  </r>
  <r>
    <s v="Charoen Pokphand"/>
    <s v="Grazing"/>
    <s v="Near East and North Africa"/>
    <n v="10"/>
    <x v="1"/>
    <x v="3"/>
    <x v="2"/>
  </r>
  <r>
    <s v="Charoen Pokphand"/>
    <s v="Grazing"/>
    <s v="North America"/>
    <n v="8"/>
    <x v="1"/>
    <x v="3"/>
    <x v="2"/>
  </r>
  <r>
    <s v="Charoen Pokphand"/>
    <s v="Grazing"/>
    <s v="Oceania"/>
    <n v="26"/>
    <x v="1"/>
    <x v="3"/>
    <x v="2"/>
  </r>
  <r>
    <s v="Charoen Pokphand"/>
    <s v="Grazing"/>
    <s v="RoW"/>
    <n v="0"/>
    <x v="1"/>
    <x v="3"/>
    <x v="2"/>
  </r>
  <r>
    <s v="Charoen Pokphand"/>
    <s v="Grazing"/>
    <s v="Russian Federation"/>
    <n v="2"/>
    <x v="1"/>
    <x v="3"/>
    <x v="2"/>
  </r>
  <r>
    <s v="Charoen Pokphand"/>
    <s v="Grazing"/>
    <s v="South Asia"/>
    <n v="0"/>
    <x v="1"/>
    <x v="3"/>
    <x v="2"/>
  </r>
  <r>
    <s v="Charoen Pokphand"/>
    <s v="Grazing"/>
    <s v="Sub-Saharan Africa"/>
    <n v="0"/>
    <x v="1"/>
    <x v="3"/>
    <x v="2"/>
  </r>
  <r>
    <s v="Charoen Pokphand"/>
    <s v="Grazing"/>
    <s v="Western Europe"/>
    <n v="294"/>
    <x v="1"/>
    <x v="3"/>
    <x v="2"/>
  </r>
  <r>
    <s v="Charoen Pokphand"/>
    <s v="Croplands"/>
    <s v="East Asia and Southeast Asia"/>
    <n v="20370"/>
    <x v="1"/>
    <x v="3"/>
    <x v="2"/>
  </r>
  <r>
    <s v="Charoen Pokphand"/>
    <s v="Croplands"/>
    <s v="Eastern Europe"/>
    <n v="402"/>
    <x v="1"/>
    <x v="3"/>
    <x v="2"/>
  </r>
  <r>
    <s v="Charoen Pokphand"/>
    <s v="Croplands"/>
    <s v="Latin America and the Caribbean"/>
    <n v="1497"/>
    <x v="1"/>
    <x v="3"/>
    <x v="2"/>
  </r>
  <r>
    <s v="Charoen Pokphand"/>
    <s v="Croplands"/>
    <s v="Near East and North Africa"/>
    <n v="41"/>
    <x v="1"/>
    <x v="3"/>
    <x v="2"/>
  </r>
  <r>
    <s v="Charoen Pokphand"/>
    <s v="Croplands"/>
    <s v="North America"/>
    <n v="3493"/>
    <x v="1"/>
    <x v="3"/>
    <x v="2"/>
  </r>
  <r>
    <s v="Charoen Pokphand"/>
    <s v="Croplands"/>
    <s v="Oceania"/>
    <n v="479"/>
    <x v="1"/>
    <x v="3"/>
    <x v="2"/>
  </r>
  <r>
    <s v="Charoen Pokphand"/>
    <s v="Croplands"/>
    <s v="RoW"/>
    <n v="0"/>
    <x v="1"/>
    <x v="3"/>
    <x v="2"/>
  </r>
  <r>
    <s v="Charoen Pokphand"/>
    <s v="Croplands"/>
    <s v="Russian Federation"/>
    <n v="1264"/>
    <x v="1"/>
    <x v="3"/>
    <x v="2"/>
  </r>
  <r>
    <s v="Charoen Pokphand"/>
    <s v="Croplands"/>
    <s v="South Asia"/>
    <n v="324"/>
    <x v="1"/>
    <x v="3"/>
    <x v="2"/>
  </r>
  <r>
    <s v="Charoen Pokphand"/>
    <s v="Croplands"/>
    <s v="Sub-Saharan Africa"/>
    <n v="58"/>
    <x v="1"/>
    <x v="3"/>
    <x v="2"/>
  </r>
  <r>
    <s v="Charoen Pokphand"/>
    <s v="Croplands"/>
    <s v="Western Europe"/>
    <n v="341"/>
    <x v="1"/>
    <x v="3"/>
    <x v="2"/>
  </r>
  <r>
    <s v="Continental Grain Company"/>
    <s v="Grazing"/>
    <s v="East Asia and Southeast Asia"/>
    <n v="0"/>
    <x v="1"/>
    <x v="3"/>
    <x v="2"/>
  </r>
  <r>
    <s v="Continental Grain Company"/>
    <s v="Grazing"/>
    <s v="Eastern Europe"/>
    <n v="0"/>
    <x v="1"/>
    <x v="3"/>
    <x v="2"/>
  </r>
  <r>
    <s v="Continental Grain Company"/>
    <s v="Grazing"/>
    <s v="Latin America and the Caribbean"/>
    <n v="0"/>
    <x v="1"/>
    <x v="3"/>
    <x v="2"/>
  </r>
  <r>
    <s v="Continental Grain Company"/>
    <s v="Grazing"/>
    <s v="Near East and North Africa"/>
    <n v="0"/>
    <x v="1"/>
    <x v="3"/>
    <x v="2"/>
  </r>
  <r>
    <s v="Continental Grain Company"/>
    <s v="Grazing"/>
    <s v="North America"/>
    <n v="369"/>
    <x v="1"/>
    <x v="3"/>
    <x v="2"/>
  </r>
  <r>
    <s v="Continental Grain Company"/>
    <s v="Grazing"/>
    <s v="Oceania"/>
    <n v="1"/>
    <x v="1"/>
    <x v="3"/>
    <x v="2"/>
  </r>
  <r>
    <s v="Continental Grain Company"/>
    <s v="Grazing"/>
    <s v="RoW"/>
    <n v="0"/>
    <x v="1"/>
    <x v="3"/>
    <x v="2"/>
  </r>
  <r>
    <s v="Continental Grain Company"/>
    <s v="Grazing"/>
    <s v="Russian Federation"/>
    <n v="0"/>
    <x v="1"/>
    <x v="3"/>
    <x v="2"/>
  </r>
  <r>
    <s v="Continental Grain Company"/>
    <s v="Grazing"/>
    <s v="South Asia"/>
    <n v="0"/>
    <x v="1"/>
    <x v="3"/>
    <x v="2"/>
  </r>
  <r>
    <s v="Continental Grain Company"/>
    <s v="Grazing"/>
    <s v="Sub-Saharan Africa"/>
    <n v="0"/>
    <x v="1"/>
    <x v="3"/>
    <x v="2"/>
  </r>
  <r>
    <s v="Continental Grain Company"/>
    <s v="Grazing"/>
    <s v="Western Europe"/>
    <n v="5"/>
    <x v="1"/>
    <x v="3"/>
    <x v="2"/>
  </r>
  <r>
    <s v="Continental Grain Company"/>
    <s v="Croplands"/>
    <s v="East Asia and Southeast Asia"/>
    <n v="24"/>
    <x v="1"/>
    <x v="3"/>
    <x v="2"/>
  </r>
  <r>
    <s v="Continental Grain Company"/>
    <s v="Croplands"/>
    <s v="Eastern Europe"/>
    <n v="26"/>
    <x v="1"/>
    <x v="3"/>
    <x v="2"/>
  </r>
  <r>
    <s v="Continental Grain Company"/>
    <s v="Croplands"/>
    <s v="Latin America and the Caribbean"/>
    <n v="63"/>
    <x v="1"/>
    <x v="3"/>
    <x v="2"/>
  </r>
  <r>
    <s v="Continental Grain Company"/>
    <s v="Croplands"/>
    <s v="Near East and North Africa"/>
    <n v="5"/>
    <x v="1"/>
    <x v="3"/>
    <x v="2"/>
  </r>
  <r>
    <s v="Continental Grain Company"/>
    <s v="Croplands"/>
    <s v="North America"/>
    <n v="35127"/>
    <x v="1"/>
    <x v="3"/>
    <x v="2"/>
  </r>
  <r>
    <s v="Continental Grain Company"/>
    <s v="Croplands"/>
    <s v="Oceania"/>
    <n v="6"/>
    <x v="1"/>
    <x v="3"/>
    <x v="2"/>
  </r>
  <r>
    <s v="Continental Grain Company"/>
    <s v="Croplands"/>
    <s v="RoW"/>
    <n v="0"/>
    <x v="1"/>
    <x v="3"/>
    <x v="2"/>
  </r>
  <r>
    <s v="Continental Grain Company"/>
    <s v="Croplands"/>
    <s v="Russian Federation"/>
    <n v="3"/>
    <x v="1"/>
    <x v="3"/>
    <x v="2"/>
  </r>
  <r>
    <s v="Continental Grain Company"/>
    <s v="Croplands"/>
    <s v="South Asia"/>
    <n v="165"/>
    <x v="1"/>
    <x v="3"/>
    <x v="2"/>
  </r>
  <r>
    <s v="Continental Grain Company"/>
    <s v="Croplands"/>
    <s v="Sub-Saharan Africa"/>
    <n v="1"/>
    <x v="1"/>
    <x v="3"/>
    <x v="2"/>
  </r>
  <r>
    <s v="Continental Grain Company"/>
    <s v="Croplands"/>
    <s v="Western Europe"/>
    <n v="50"/>
    <x v="1"/>
    <x v="3"/>
    <x v="2"/>
  </r>
  <r>
    <s v="Fuijan Sunner Development"/>
    <s v="Grazing"/>
    <s v="East Asia and Southeast Asia"/>
    <n v="106"/>
    <x v="1"/>
    <x v="3"/>
    <x v="2"/>
  </r>
  <r>
    <s v="Fuijan Sunner Development"/>
    <s v="Grazing"/>
    <s v="Eastern Europe"/>
    <n v="14"/>
    <x v="1"/>
    <x v="3"/>
    <x v="2"/>
  </r>
  <r>
    <s v="Fuijan Sunner Development"/>
    <s v="Grazing"/>
    <s v="Latin America and the Caribbean"/>
    <n v="0"/>
    <x v="1"/>
    <x v="3"/>
    <x v="2"/>
  </r>
  <r>
    <s v="Fuijan Sunner Development"/>
    <s v="Grazing"/>
    <s v="Near East and North Africa"/>
    <n v="10"/>
    <x v="1"/>
    <x v="3"/>
    <x v="2"/>
  </r>
  <r>
    <s v="Fuijan Sunner Development"/>
    <s v="Grazing"/>
    <s v="North America"/>
    <n v="8"/>
    <x v="1"/>
    <x v="3"/>
    <x v="2"/>
  </r>
  <r>
    <s v="Fuijan Sunner Development"/>
    <s v="Grazing"/>
    <s v="Oceania"/>
    <n v="26"/>
    <x v="1"/>
    <x v="3"/>
    <x v="2"/>
  </r>
  <r>
    <s v="Fuijan Sunner Development"/>
    <s v="Grazing"/>
    <s v="RoW"/>
    <n v="0"/>
    <x v="1"/>
    <x v="3"/>
    <x v="2"/>
  </r>
  <r>
    <s v="Fuijan Sunner Development"/>
    <s v="Grazing"/>
    <s v="Russian Federation"/>
    <n v="0"/>
    <x v="1"/>
    <x v="3"/>
    <x v="2"/>
  </r>
  <r>
    <s v="Fuijan Sunner Development"/>
    <s v="Grazing"/>
    <s v="South Asia"/>
    <n v="0"/>
    <x v="1"/>
    <x v="3"/>
    <x v="2"/>
  </r>
  <r>
    <s v="Fuijan Sunner Development"/>
    <s v="Grazing"/>
    <s v="Sub-Saharan Africa"/>
    <n v="0"/>
    <x v="1"/>
    <x v="3"/>
    <x v="2"/>
  </r>
  <r>
    <s v="Fuijan Sunner Development"/>
    <s v="Grazing"/>
    <s v="Western Europe"/>
    <n v="290"/>
    <x v="1"/>
    <x v="3"/>
    <x v="2"/>
  </r>
  <r>
    <s v="Fuijan Sunner Development"/>
    <s v="Croplands"/>
    <s v="East Asia and Southeast Asia"/>
    <n v="20216"/>
    <x v="1"/>
    <x v="3"/>
    <x v="2"/>
  </r>
  <r>
    <s v="Fuijan Sunner Development"/>
    <s v="Croplands"/>
    <s v="Eastern Europe"/>
    <n v="372"/>
    <x v="1"/>
    <x v="3"/>
    <x v="2"/>
  </r>
  <r>
    <s v="Fuijan Sunner Development"/>
    <s v="Croplands"/>
    <s v="Latin America and the Caribbean"/>
    <n v="1477"/>
    <x v="1"/>
    <x v="3"/>
    <x v="2"/>
  </r>
  <r>
    <s v="Fuijan Sunner Development"/>
    <s v="Croplands"/>
    <s v="Near East and North Africa"/>
    <n v="32"/>
    <x v="1"/>
    <x v="3"/>
    <x v="2"/>
  </r>
  <r>
    <s v="Fuijan Sunner Development"/>
    <s v="Croplands"/>
    <s v="North America"/>
    <n v="3466"/>
    <x v="1"/>
    <x v="3"/>
    <x v="2"/>
  </r>
  <r>
    <s v="Fuijan Sunner Development"/>
    <s v="Croplands"/>
    <s v="Oceania"/>
    <n v="476"/>
    <x v="1"/>
    <x v="3"/>
    <x v="2"/>
  </r>
  <r>
    <s v="Fuijan Sunner Development"/>
    <s v="Croplands"/>
    <s v="RoW"/>
    <n v="0"/>
    <x v="1"/>
    <x v="3"/>
    <x v="2"/>
  </r>
  <r>
    <s v="Fuijan Sunner Development"/>
    <s v="Croplands"/>
    <s v="Russian Federation"/>
    <n v="44"/>
    <x v="1"/>
    <x v="3"/>
    <x v="2"/>
  </r>
  <r>
    <s v="Fuijan Sunner Development"/>
    <s v="Croplands"/>
    <s v="South Asia"/>
    <n v="318"/>
    <x v="1"/>
    <x v="3"/>
    <x v="2"/>
  </r>
  <r>
    <s v="Fuijan Sunner Development"/>
    <s v="Croplands"/>
    <s v="Sub-Saharan Africa"/>
    <n v="58"/>
    <x v="1"/>
    <x v="3"/>
    <x v="2"/>
  </r>
  <r>
    <s v="Fuijan Sunner Development"/>
    <s v="Croplands"/>
    <s v="Western Europe"/>
    <n v="323"/>
    <x v="1"/>
    <x v="3"/>
    <x v="2"/>
  </r>
  <r>
    <s v="Industrias Bachoco"/>
    <s v="Grazing"/>
    <s v="East Asia and Southeast Asia"/>
    <n v="0"/>
    <x v="1"/>
    <x v="3"/>
    <x v="2"/>
  </r>
  <r>
    <s v="Industrias Bachoco"/>
    <s v="Grazing"/>
    <s v="Eastern Europe"/>
    <n v="0"/>
    <x v="1"/>
    <x v="3"/>
    <x v="2"/>
  </r>
  <r>
    <s v="Industrias Bachoco"/>
    <s v="Grazing"/>
    <s v="Latin America and the Caribbean"/>
    <n v="28"/>
    <x v="1"/>
    <x v="3"/>
    <x v="2"/>
  </r>
  <r>
    <s v="Industrias Bachoco"/>
    <s v="Grazing"/>
    <s v="Near East and North Africa"/>
    <n v="0"/>
    <x v="1"/>
    <x v="3"/>
    <x v="2"/>
  </r>
  <r>
    <s v="Industrias Bachoco"/>
    <s v="Grazing"/>
    <s v="North America"/>
    <n v="95"/>
    <x v="1"/>
    <x v="3"/>
    <x v="2"/>
  </r>
  <r>
    <s v="Industrias Bachoco"/>
    <s v="Grazing"/>
    <s v="Oceania"/>
    <n v="0"/>
    <x v="1"/>
    <x v="3"/>
    <x v="2"/>
  </r>
  <r>
    <s v="Industrias Bachoco"/>
    <s v="Grazing"/>
    <s v="RoW"/>
    <n v="0"/>
    <x v="1"/>
    <x v="3"/>
    <x v="2"/>
  </r>
  <r>
    <s v="Industrias Bachoco"/>
    <s v="Grazing"/>
    <s v="Russian Federation"/>
    <n v="0"/>
    <x v="1"/>
    <x v="3"/>
    <x v="2"/>
  </r>
  <r>
    <s v="Industrias Bachoco"/>
    <s v="Grazing"/>
    <s v="South Asia"/>
    <n v="0"/>
    <x v="1"/>
    <x v="3"/>
    <x v="2"/>
  </r>
  <r>
    <s v="Industrias Bachoco"/>
    <s v="Grazing"/>
    <s v="Sub-Saharan Africa"/>
    <n v="0"/>
    <x v="1"/>
    <x v="3"/>
    <x v="2"/>
  </r>
  <r>
    <s v="Industrias Bachoco"/>
    <s v="Grazing"/>
    <s v="Western Europe"/>
    <n v="9"/>
    <x v="1"/>
    <x v="3"/>
    <x v="2"/>
  </r>
  <r>
    <s v="Industrias Bachoco"/>
    <s v="Croplands"/>
    <s v="East Asia and Southeast Asia"/>
    <n v="36"/>
    <x v="1"/>
    <x v="3"/>
    <x v="2"/>
  </r>
  <r>
    <s v="Industrias Bachoco"/>
    <s v="Croplands"/>
    <s v="Eastern Europe"/>
    <n v="21"/>
    <x v="1"/>
    <x v="3"/>
    <x v="2"/>
  </r>
  <r>
    <s v="Industrias Bachoco"/>
    <s v="Croplands"/>
    <s v="Latin America and the Caribbean"/>
    <n v="15851"/>
    <x v="1"/>
    <x v="3"/>
    <x v="2"/>
  </r>
  <r>
    <s v="Industrias Bachoco"/>
    <s v="Croplands"/>
    <s v="Near East and North Africa"/>
    <n v="8"/>
    <x v="1"/>
    <x v="3"/>
    <x v="2"/>
  </r>
  <r>
    <s v="Industrias Bachoco"/>
    <s v="Croplands"/>
    <s v="North America"/>
    <n v="12841"/>
    <x v="1"/>
    <x v="3"/>
    <x v="2"/>
  </r>
  <r>
    <s v="Industrias Bachoco"/>
    <s v="Croplands"/>
    <s v="Oceania"/>
    <n v="4"/>
    <x v="1"/>
    <x v="3"/>
    <x v="2"/>
  </r>
  <r>
    <s v="Industrias Bachoco"/>
    <s v="Croplands"/>
    <s v="RoW"/>
    <n v="0"/>
    <x v="1"/>
    <x v="3"/>
    <x v="2"/>
  </r>
  <r>
    <s v="Industrias Bachoco"/>
    <s v="Croplands"/>
    <s v="Russian Federation"/>
    <n v="2"/>
    <x v="1"/>
    <x v="3"/>
    <x v="2"/>
  </r>
  <r>
    <s v="Industrias Bachoco"/>
    <s v="Croplands"/>
    <s v="South Asia"/>
    <n v="72"/>
    <x v="1"/>
    <x v="3"/>
    <x v="2"/>
  </r>
  <r>
    <s v="Industrias Bachoco"/>
    <s v="Croplands"/>
    <s v="Sub-Saharan Africa"/>
    <n v="5"/>
    <x v="1"/>
    <x v="3"/>
    <x v="2"/>
  </r>
  <r>
    <s v="Industrias Bachoco"/>
    <s v="Croplands"/>
    <s v="Western Europe"/>
    <n v="42"/>
    <x v="1"/>
    <x v="3"/>
    <x v="2"/>
  </r>
  <r>
    <s v="Japfa"/>
    <s v="Grazing"/>
    <s v="East Asia and Southeast Asia"/>
    <n v="153"/>
    <x v="1"/>
    <x v="3"/>
    <x v="2"/>
  </r>
  <r>
    <s v="Japfa"/>
    <s v="Grazing"/>
    <s v="Eastern Europe"/>
    <n v="21"/>
    <x v="1"/>
    <x v="3"/>
    <x v="2"/>
  </r>
  <r>
    <s v="Japfa"/>
    <s v="Grazing"/>
    <s v="Latin America and the Caribbean"/>
    <n v="0"/>
    <x v="1"/>
    <x v="3"/>
    <x v="2"/>
  </r>
  <r>
    <s v="Japfa"/>
    <s v="Grazing"/>
    <s v="Near East and North Africa"/>
    <n v="14"/>
    <x v="1"/>
    <x v="3"/>
    <x v="2"/>
  </r>
  <r>
    <s v="Japfa"/>
    <s v="Grazing"/>
    <s v="North America"/>
    <n v="11"/>
    <x v="1"/>
    <x v="3"/>
    <x v="2"/>
  </r>
  <r>
    <s v="Japfa"/>
    <s v="Grazing"/>
    <s v="Oceania"/>
    <n v="37"/>
    <x v="1"/>
    <x v="3"/>
    <x v="2"/>
  </r>
  <r>
    <s v="Japfa"/>
    <s v="Grazing"/>
    <s v="RoW"/>
    <n v="0"/>
    <x v="1"/>
    <x v="3"/>
    <x v="2"/>
  </r>
  <r>
    <s v="Japfa"/>
    <s v="Grazing"/>
    <s v="Russian Federation"/>
    <n v="0"/>
    <x v="1"/>
    <x v="3"/>
    <x v="2"/>
  </r>
  <r>
    <s v="Japfa"/>
    <s v="Grazing"/>
    <s v="South Asia"/>
    <n v="0"/>
    <x v="1"/>
    <x v="3"/>
    <x v="2"/>
  </r>
  <r>
    <s v="Japfa"/>
    <s v="Grazing"/>
    <s v="Sub-Saharan Africa"/>
    <n v="0"/>
    <x v="1"/>
    <x v="3"/>
    <x v="2"/>
  </r>
  <r>
    <s v="Japfa"/>
    <s v="Grazing"/>
    <s v="Western Europe"/>
    <n v="419"/>
    <x v="1"/>
    <x v="3"/>
    <x v="2"/>
  </r>
  <r>
    <s v="Japfa"/>
    <s v="Croplands"/>
    <s v="East Asia and Southeast Asia"/>
    <n v="29164"/>
    <x v="1"/>
    <x v="3"/>
    <x v="2"/>
  </r>
  <r>
    <s v="Japfa"/>
    <s v="Croplands"/>
    <s v="Eastern Europe"/>
    <n v="537"/>
    <x v="1"/>
    <x v="3"/>
    <x v="2"/>
  </r>
  <r>
    <s v="Japfa"/>
    <s v="Croplands"/>
    <s v="Latin America and the Caribbean"/>
    <n v="2131"/>
    <x v="1"/>
    <x v="3"/>
    <x v="2"/>
  </r>
  <r>
    <s v="Japfa"/>
    <s v="Croplands"/>
    <s v="Near East and North Africa"/>
    <n v="47"/>
    <x v="1"/>
    <x v="3"/>
    <x v="2"/>
  </r>
  <r>
    <s v="Japfa"/>
    <s v="Croplands"/>
    <s v="North America"/>
    <n v="5001"/>
    <x v="1"/>
    <x v="3"/>
    <x v="2"/>
  </r>
  <r>
    <s v="Japfa"/>
    <s v="Croplands"/>
    <s v="Oceania"/>
    <n v="686"/>
    <x v="1"/>
    <x v="3"/>
    <x v="2"/>
  </r>
  <r>
    <s v="Japfa"/>
    <s v="Croplands"/>
    <s v="RoW"/>
    <n v="0"/>
    <x v="1"/>
    <x v="3"/>
    <x v="2"/>
  </r>
  <r>
    <s v="Japfa"/>
    <s v="Croplands"/>
    <s v="Russian Federation"/>
    <n v="63"/>
    <x v="1"/>
    <x v="3"/>
    <x v="2"/>
  </r>
  <r>
    <s v="Japfa"/>
    <s v="Croplands"/>
    <s v="South Asia"/>
    <n v="458"/>
    <x v="1"/>
    <x v="3"/>
    <x v="2"/>
  </r>
  <r>
    <s v="Japfa"/>
    <s v="Croplands"/>
    <s v="Sub-Saharan Africa"/>
    <n v="83"/>
    <x v="1"/>
    <x v="3"/>
    <x v="2"/>
  </r>
  <r>
    <s v="Japfa"/>
    <s v="Croplands"/>
    <s v="Western Europe"/>
    <n v="466"/>
    <x v="1"/>
    <x v="3"/>
    <x v="2"/>
  </r>
  <r>
    <s v="JBS"/>
    <s v="Grazing"/>
    <s v="East Asia and Southeast Asia"/>
    <n v="1"/>
    <x v="1"/>
    <x v="3"/>
    <x v="2"/>
  </r>
  <r>
    <s v="JBS"/>
    <s v="Grazing"/>
    <s v="Eastern Europe"/>
    <n v="2"/>
    <x v="1"/>
    <x v="3"/>
    <x v="2"/>
  </r>
  <r>
    <s v="JBS"/>
    <s v="Grazing"/>
    <s v="Latin America and the Caribbean"/>
    <n v="80"/>
    <x v="1"/>
    <x v="3"/>
    <x v="2"/>
  </r>
  <r>
    <s v="JBS"/>
    <s v="Grazing"/>
    <s v="Near East and North Africa"/>
    <n v="2"/>
    <x v="1"/>
    <x v="3"/>
    <x v="2"/>
  </r>
  <r>
    <s v="JBS"/>
    <s v="Grazing"/>
    <s v="North America"/>
    <n v="1249"/>
    <x v="1"/>
    <x v="3"/>
    <x v="2"/>
  </r>
  <r>
    <s v="JBS"/>
    <s v="Grazing"/>
    <s v="Oceania"/>
    <n v="6"/>
    <x v="1"/>
    <x v="3"/>
    <x v="2"/>
  </r>
  <r>
    <s v="JBS"/>
    <s v="Grazing"/>
    <s v="RoW"/>
    <n v="0"/>
    <x v="1"/>
    <x v="3"/>
    <x v="2"/>
  </r>
  <r>
    <s v="JBS"/>
    <s v="Grazing"/>
    <s v="Russian Federation"/>
    <n v="0"/>
    <x v="1"/>
    <x v="3"/>
    <x v="2"/>
  </r>
  <r>
    <s v="JBS"/>
    <s v="Grazing"/>
    <s v="South Asia"/>
    <n v="0"/>
    <x v="1"/>
    <x v="3"/>
    <x v="2"/>
  </r>
  <r>
    <s v="JBS"/>
    <s v="Grazing"/>
    <s v="Sub-Saharan Africa"/>
    <n v="0"/>
    <x v="1"/>
    <x v="3"/>
    <x v="2"/>
  </r>
  <r>
    <s v="JBS"/>
    <s v="Grazing"/>
    <s v="Western Europe"/>
    <n v="1068"/>
    <x v="1"/>
    <x v="3"/>
    <x v="2"/>
  </r>
  <r>
    <s v="JBS"/>
    <s v="Croplands"/>
    <s v="East Asia and Southeast Asia"/>
    <n v="361"/>
    <x v="1"/>
    <x v="3"/>
    <x v="2"/>
  </r>
  <r>
    <s v="JBS"/>
    <s v="Croplands"/>
    <s v="Eastern Europe"/>
    <n v="2821"/>
    <x v="1"/>
    <x v="3"/>
    <x v="2"/>
  </r>
  <r>
    <s v="JBS"/>
    <s v="Croplands"/>
    <s v="Latin America and the Caribbean"/>
    <n v="45084"/>
    <x v="1"/>
    <x v="3"/>
    <x v="2"/>
  </r>
  <r>
    <s v="JBS"/>
    <s v="Croplands"/>
    <s v="Near East and North Africa"/>
    <n v="99"/>
    <x v="1"/>
    <x v="3"/>
    <x v="2"/>
  </r>
  <r>
    <s v="JBS"/>
    <s v="Croplands"/>
    <s v="North America"/>
    <n v="130234"/>
    <x v="1"/>
    <x v="3"/>
    <x v="2"/>
  </r>
  <r>
    <s v="JBS"/>
    <s v="Croplands"/>
    <s v="Oceania"/>
    <n v="69"/>
    <x v="1"/>
    <x v="3"/>
    <x v="2"/>
  </r>
  <r>
    <s v="JBS"/>
    <s v="Croplands"/>
    <s v="RoW"/>
    <n v="0"/>
    <x v="1"/>
    <x v="3"/>
    <x v="2"/>
  </r>
  <r>
    <s v="JBS"/>
    <s v="Croplands"/>
    <s v="Russian Federation"/>
    <n v="70"/>
    <x v="1"/>
    <x v="3"/>
    <x v="2"/>
  </r>
  <r>
    <s v="JBS"/>
    <s v="Croplands"/>
    <s v="South Asia"/>
    <n v="790"/>
    <x v="1"/>
    <x v="3"/>
    <x v="2"/>
  </r>
  <r>
    <s v="JBS"/>
    <s v="Croplands"/>
    <s v="Sub-Saharan Africa"/>
    <n v="39"/>
    <x v="1"/>
    <x v="3"/>
    <x v="2"/>
  </r>
  <r>
    <s v="JBS"/>
    <s v="Croplands"/>
    <s v="Western Europe"/>
    <n v="26994"/>
    <x v="1"/>
    <x v="3"/>
    <x v="2"/>
  </r>
  <r>
    <s v="Koch Foods"/>
    <s v="Grazing"/>
    <s v="East Asia and Southeast Asia"/>
    <n v="0"/>
    <x v="1"/>
    <x v="3"/>
    <x v="2"/>
  </r>
  <r>
    <s v="Koch Foods"/>
    <s v="Grazing"/>
    <s v="Eastern Europe"/>
    <n v="0"/>
    <x v="1"/>
    <x v="3"/>
    <x v="2"/>
  </r>
  <r>
    <s v="Koch Foods"/>
    <s v="Grazing"/>
    <s v="Latin America and the Caribbean"/>
    <n v="0"/>
    <x v="1"/>
    <x v="3"/>
    <x v="2"/>
  </r>
  <r>
    <s v="Koch Foods"/>
    <s v="Grazing"/>
    <s v="Near East and North Africa"/>
    <n v="0"/>
    <x v="1"/>
    <x v="3"/>
    <x v="2"/>
  </r>
  <r>
    <s v="Koch Foods"/>
    <s v="Grazing"/>
    <s v="North America"/>
    <n v="462"/>
    <x v="1"/>
    <x v="3"/>
    <x v="2"/>
  </r>
  <r>
    <s v="Koch Foods"/>
    <s v="Grazing"/>
    <s v="Oceania"/>
    <n v="1"/>
    <x v="1"/>
    <x v="3"/>
    <x v="2"/>
  </r>
  <r>
    <s v="Koch Foods"/>
    <s v="Grazing"/>
    <s v="RoW"/>
    <n v="0"/>
    <x v="1"/>
    <x v="3"/>
    <x v="2"/>
  </r>
  <r>
    <s v="Koch Foods"/>
    <s v="Grazing"/>
    <s v="Russian Federation"/>
    <n v="0"/>
    <x v="1"/>
    <x v="3"/>
    <x v="2"/>
  </r>
  <r>
    <s v="Koch Foods"/>
    <s v="Grazing"/>
    <s v="South Asia"/>
    <n v="0"/>
    <x v="1"/>
    <x v="3"/>
    <x v="2"/>
  </r>
  <r>
    <s v="Koch Foods"/>
    <s v="Grazing"/>
    <s v="Sub-Saharan Africa"/>
    <n v="0"/>
    <x v="1"/>
    <x v="3"/>
    <x v="2"/>
  </r>
  <r>
    <s v="Koch Foods"/>
    <s v="Grazing"/>
    <s v="Western Europe"/>
    <n v="6"/>
    <x v="1"/>
    <x v="3"/>
    <x v="2"/>
  </r>
  <r>
    <s v="Koch Foods"/>
    <s v="Croplands"/>
    <s v="East Asia and Southeast Asia"/>
    <n v="30"/>
    <x v="1"/>
    <x v="3"/>
    <x v="2"/>
  </r>
  <r>
    <s v="Koch Foods"/>
    <s v="Croplands"/>
    <s v="Eastern Europe"/>
    <n v="33"/>
    <x v="1"/>
    <x v="3"/>
    <x v="2"/>
  </r>
  <r>
    <s v="Koch Foods"/>
    <s v="Croplands"/>
    <s v="Latin America and the Caribbean"/>
    <n v="79"/>
    <x v="1"/>
    <x v="3"/>
    <x v="2"/>
  </r>
  <r>
    <s v="Koch Foods"/>
    <s v="Croplands"/>
    <s v="Near East and North Africa"/>
    <n v="6"/>
    <x v="1"/>
    <x v="3"/>
    <x v="2"/>
  </r>
  <r>
    <s v="Koch Foods"/>
    <s v="Croplands"/>
    <s v="North America"/>
    <n v="43942"/>
    <x v="1"/>
    <x v="3"/>
    <x v="2"/>
  </r>
  <r>
    <s v="Koch Foods"/>
    <s v="Croplands"/>
    <s v="Oceania"/>
    <n v="7"/>
    <x v="1"/>
    <x v="3"/>
    <x v="2"/>
  </r>
  <r>
    <s v="Koch Foods"/>
    <s v="Croplands"/>
    <s v="RoW"/>
    <n v="0"/>
    <x v="1"/>
    <x v="3"/>
    <x v="2"/>
  </r>
  <r>
    <s v="Koch Foods"/>
    <s v="Croplands"/>
    <s v="Russian Federation"/>
    <n v="4"/>
    <x v="1"/>
    <x v="3"/>
    <x v="2"/>
  </r>
  <r>
    <s v="Koch Foods"/>
    <s v="Croplands"/>
    <s v="South Asia"/>
    <n v="207"/>
    <x v="1"/>
    <x v="3"/>
    <x v="2"/>
  </r>
  <r>
    <s v="Koch Foods"/>
    <s v="Croplands"/>
    <s v="Sub-Saharan Africa"/>
    <n v="2"/>
    <x v="1"/>
    <x v="3"/>
    <x v="2"/>
  </r>
  <r>
    <s v="Koch Foods"/>
    <s v="Croplands"/>
    <s v="Western Europe"/>
    <n v="63"/>
    <x v="1"/>
    <x v="3"/>
    <x v="2"/>
  </r>
  <r>
    <s v="MHP"/>
    <s v="Grazing"/>
    <s v="East Asia and Southeast Asia"/>
    <n v="0"/>
    <x v="1"/>
    <x v="3"/>
    <x v="2"/>
  </r>
  <r>
    <s v="MHP"/>
    <s v="Grazing"/>
    <s v="Eastern Europe"/>
    <n v="71"/>
    <x v="1"/>
    <x v="3"/>
    <x v="2"/>
  </r>
  <r>
    <s v="MHP"/>
    <s v="Grazing"/>
    <s v="Latin America and the Caribbean"/>
    <n v="0"/>
    <x v="1"/>
    <x v="3"/>
    <x v="2"/>
  </r>
  <r>
    <s v="MHP"/>
    <s v="Grazing"/>
    <s v="Near East and North Africa"/>
    <n v="0"/>
    <x v="1"/>
    <x v="3"/>
    <x v="2"/>
  </r>
  <r>
    <s v="MHP"/>
    <s v="Grazing"/>
    <s v="North America"/>
    <n v="0"/>
    <x v="1"/>
    <x v="3"/>
    <x v="2"/>
  </r>
  <r>
    <s v="MHP"/>
    <s v="Grazing"/>
    <s v="Oceania"/>
    <n v="0"/>
    <x v="1"/>
    <x v="3"/>
    <x v="2"/>
  </r>
  <r>
    <s v="MHP"/>
    <s v="Grazing"/>
    <s v="RoW"/>
    <n v="0"/>
    <x v="1"/>
    <x v="3"/>
    <x v="2"/>
  </r>
  <r>
    <s v="MHP"/>
    <s v="Grazing"/>
    <s v="Russian Federation"/>
    <n v="0"/>
    <x v="1"/>
    <x v="3"/>
    <x v="2"/>
  </r>
  <r>
    <s v="MHP"/>
    <s v="Grazing"/>
    <s v="South Asia"/>
    <n v="0"/>
    <x v="1"/>
    <x v="3"/>
    <x v="2"/>
  </r>
  <r>
    <s v="MHP"/>
    <s v="Grazing"/>
    <s v="Sub-Saharan Africa"/>
    <n v="0"/>
    <x v="1"/>
    <x v="3"/>
    <x v="2"/>
  </r>
  <r>
    <s v="MHP"/>
    <s v="Grazing"/>
    <s v="Western Europe"/>
    <n v="89"/>
    <x v="1"/>
    <x v="3"/>
    <x v="2"/>
  </r>
  <r>
    <s v="MHP"/>
    <s v="Croplands"/>
    <s v="East Asia and Southeast Asia"/>
    <n v="51"/>
    <x v="1"/>
    <x v="3"/>
    <x v="2"/>
  </r>
  <r>
    <s v="MHP"/>
    <s v="Croplands"/>
    <s v="Eastern Europe"/>
    <n v="22794"/>
    <x v="1"/>
    <x v="3"/>
    <x v="2"/>
  </r>
  <r>
    <s v="MHP"/>
    <s v="Croplands"/>
    <s v="Latin America and the Caribbean"/>
    <n v="186"/>
    <x v="1"/>
    <x v="3"/>
    <x v="2"/>
  </r>
  <r>
    <s v="MHP"/>
    <s v="Croplands"/>
    <s v="Near East and North Africa"/>
    <n v="28"/>
    <x v="1"/>
    <x v="3"/>
    <x v="2"/>
  </r>
  <r>
    <s v="MHP"/>
    <s v="Croplands"/>
    <s v="North America"/>
    <n v="64"/>
    <x v="1"/>
    <x v="3"/>
    <x v="2"/>
  </r>
  <r>
    <s v="MHP"/>
    <s v="Croplands"/>
    <s v="Oceania"/>
    <n v="3"/>
    <x v="1"/>
    <x v="3"/>
    <x v="2"/>
  </r>
  <r>
    <s v="MHP"/>
    <s v="Croplands"/>
    <s v="RoW"/>
    <n v="0"/>
    <x v="1"/>
    <x v="3"/>
    <x v="2"/>
  </r>
  <r>
    <s v="MHP"/>
    <s v="Croplands"/>
    <s v="Russian Federation"/>
    <n v="74"/>
    <x v="1"/>
    <x v="3"/>
    <x v="2"/>
  </r>
  <r>
    <s v="MHP"/>
    <s v="Croplands"/>
    <s v="South Asia"/>
    <n v="68"/>
    <x v="1"/>
    <x v="3"/>
    <x v="2"/>
  </r>
  <r>
    <s v="MHP"/>
    <s v="Croplands"/>
    <s v="Sub-Saharan Africa"/>
    <n v="4"/>
    <x v="1"/>
    <x v="3"/>
    <x v="2"/>
  </r>
  <r>
    <s v="MHP"/>
    <s v="Croplands"/>
    <s v="Western Europe"/>
    <n v="1441"/>
    <x v="1"/>
    <x v="3"/>
    <x v="2"/>
  </r>
  <r>
    <s v="New Hope Group"/>
    <s v="Grazing"/>
    <s v="East Asia and Southeast Asia"/>
    <n v="102"/>
    <x v="1"/>
    <x v="3"/>
    <x v="2"/>
  </r>
  <r>
    <s v="New Hope Group"/>
    <s v="Grazing"/>
    <s v="Eastern Europe"/>
    <n v="14"/>
    <x v="1"/>
    <x v="3"/>
    <x v="2"/>
  </r>
  <r>
    <s v="New Hope Group"/>
    <s v="Grazing"/>
    <s v="Latin America and the Caribbean"/>
    <n v="0"/>
    <x v="1"/>
    <x v="3"/>
    <x v="2"/>
  </r>
  <r>
    <s v="New Hope Group"/>
    <s v="Grazing"/>
    <s v="Near East and North Africa"/>
    <n v="10"/>
    <x v="1"/>
    <x v="3"/>
    <x v="2"/>
  </r>
  <r>
    <s v="New Hope Group"/>
    <s v="Grazing"/>
    <s v="North America"/>
    <n v="7"/>
    <x v="1"/>
    <x v="3"/>
    <x v="2"/>
  </r>
  <r>
    <s v="New Hope Group"/>
    <s v="Grazing"/>
    <s v="Oceania"/>
    <n v="25"/>
    <x v="1"/>
    <x v="3"/>
    <x v="2"/>
  </r>
  <r>
    <s v="New Hope Group"/>
    <s v="Grazing"/>
    <s v="RoW"/>
    <n v="0"/>
    <x v="1"/>
    <x v="3"/>
    <x v="2"/>
  </r>
  <r>
    <s v="New Hope Group"/>
    <s v="Grazing"/>
    <s v="Russian Federation"/>
    <n v="0"/>
    <x v="1"/>
    <x v="3"/>
    <x v="2"/>
  </r>
  <r>
    <s v="New Hope Group"/>
    <s v="Grazing"/>
    <s v="South Asia"/>
    <n v="0"/>
    <x v="1"/>
    <x v="3"/>
    <x v="2"/>
  </r>
  <r>
    <s v="New Hope Group"/>
    <s v="Grazing"/>
    <s v="Sub-Saharan Africa"/>
    <n v="0"/>
    <x v="1"/>
    <x v="3"/>
    <x v="2"/>
  </r>
  <r>
    <s v="New Hope Group"/>
    <s v="Grazing"/>
    <s v="Western Europe"/>
    <n v="281"/>
    <x v="1"/>
    <x v="3"/>
    <x v="2"/>
  </r>
  <r>
    <s v="New Hope Group"/>
    <s v="Croplands"/>
    <s v="East Asia and Southeast Asia"/>
    <n v="19555"/>
    <x v="1"/>
    <x v="3"/>
    <x v="2"/>
  </r>
  <r>
    <s v="New Hope Group"/>
    <s v="Croplands"/>
    <s v="Eastern Europe"/>
    <n v="360"/>
    <x v="1"/>
    <x v="3"/>
    <x v="2"/>
  </r>
  <r>
    <s v="New Hope Group"/>
    <s v="Croplands"/>
    <s v="Latin America and the Caribbean"/>
    <n v="1429"/>
    <x v="1"/>
    <x v="3"/>
    <x v="2"/>
  </r>
  <r>
    <s v="New Hope Group"/>
    <s v="Croplands"/>
    <s v="Near East and North Africa"/>
    <n v="31"/>
    <x v="1"/>
    <x v="3"/>
    <x v="2"/>
  </r>
  <r>
    <s v="New Hope Group"/>
    <s v="Croplands"/>
    <s v="North America"/>
    <n v="3353"/>
    <x v="1"/>
    <x v="3"/>
    <x v="2"/>
  </r>
  <r>
    <s v="New Hope Group"/>
    <s v="Croplands"/>
    <s v="Oceania"/>
    <n v="460"/>
    <x v="1"/>
    <x v="3"/>
    <x v="2"/>
  </r>
  <r>
    <s v="New Hope Group"/>
    <s v="Croplands"/>
    <s v="RoW"/>
    <n v="0"/>
    <x v="1"/>
    <x v="3"/>
    <x v="2"/>
  </r>
  <r>
    <s v="New Hope Group"/>
    <s v="Croplands"/>
    <s v="Russian Federation"/>
    <n v="42"/>
    <x v="1"/>
    <x v="3"/>
    <x v="2"/>
  </r>
  <r>
    <s v="New Hope Group"/>
    <s v="Croplands"/>
    <s v="South Asia"/>
    <n v="307"/>
    <x v="1"/>
    <x v="3"/>
    <x v="2"/>
  </r>
  <r>
    <s v="New Hope Group"/>
    <s v="Croplands"/>
    <s v="Sub-Saharan Africa"/>
    <n v="56"/>
    <x v="1"/>
    <x v="3"/>
    <x v="2"/>
  </r>
  <r>
    <s v="New Hope Group"/>
    <s v="Croplands"/>
    <s v="Western Europe"/>
    <n v="312"/>
    <x v="1"/>
    <x v="3"/>
    <x v="2"/>
  </r>
  <r>
    <s v="Perdue Farms"/>
    <s v="Grazing"/>
    <s v="East Asia and Southeast Asia"/>
    <n v="0"/>
    <x v="1"/>
    <x v="3"/>
    <x v="2"/>
  </r>
  <r>
    <s v="Perdue Farms"/>
    <s v="Grazing"/>
    <s v="Eastern Europe"/>
    <n v="0"/>
    <x v="1"/>
    <x v="3"/>
    <x v="2"/>
  </r>
  <r>
    <s v="Perdue Farms"/>
    <s v="Grazing"/>
    <s v="Latin America and the Caribbean"/>
    <n v="0"/>
    <x v="1"/>
    <x v="3"/>
    <x v="2"/>
  </r>
  <r>
    <s v="Perdue Farms"/>
    <s v="Grazing"/>
    <s v="Near East and North Africa"/>
    <n v="0"/>
    <x v="1"/>
    <x v="3"/>
    <x v="2"/>
  </r>
  <r>
    <s v="Perdue Farms"/>
    <s v="Grazing"/>
    <s v="North America"/>
    <n v="424"/>
    <x v="1"/>
    <x v="3"/>
    <x v="2"/>
  </r>
  <r>
    <s v="Perdue Farms"/>
    <s v="Grazing"/>
    <s v="Oceania"/>
    <n v="1"/>
    <x v="1"/>
    <x v="3"/>
    <x v="2"/>
  </r>
  <r>
    <s v="Perdue Farms"/>
    <s v="Grazing"/>
    <s v="RoW"/>
    <n v="0"/>
    <x v="1"/>
    <x v="3"/>
    <x v="2"/>
  </r>
  <r>
    <s v="Perdue Farms"/>
    <s v="Grazing"/>
    <s v="Russian Federation"/>
    <n v="0"/>
    <x v="1"/>
    <x v="3"/>
    <x v="2"/>
  </r>
  <r>
    <s v="Perdue Farms"/>
    <s v="Grazing"/>
    <s v="South Asia"/>
    <n v="0"/>
    <x v="1"/>
    <x v="3"/>
    <x v="2"/>
  </r>
  <r>
    <s v="Perdue Farms"/>
    <s v="Grazing"/>
    <s v="Sub-Saharan Africa"/>
    <n v="0"/>
    <x v="1"/>
    <x v="3"/>
    <x v="2"/>
  </r>
  <r>
    <s v="Perdue Farms"/>
    <s v="Grazing"/>
    <s v="Western Europe"/>
    <n v="5"/>
    <x v="1"/>
    <x v="3"/>
    <x v="2"/>
  </r>
  <r>
    <s v="Perdue Farms"/>
    <s v="Croplands"/>
    <s v="East Asia and Southeast Asia"/>
    <n v="27"/>
    <x v="1"/>
    <x v="3"/>
    <x v="2"/>
  </r>
  <r>
    <s v="Perdue Farms"/>
    <s v="Croplands"/>
    <s v="Eastern Europe"/>
    <n v="30"/>
    <x v="1"/>
    <x v="3"/>
    <x v="2"/>
  </r>
  <r>
    <s v="Perdue Farms"/>
    <s v="Croplands"/>
    <s v="Latin America and the Caribbean"/>
    <n v="72"/>
    <x v="1"/>
    <x v="3"/>
    <x v="2"/>
  </r>
  <r>
    <s v="Perdue Farms"/>
    <s v="Croplands"/>
    <s v="Near East and North Africa"/>
    <n v="6"/>
    <x v="1"/>
    <x v="3"/>
    <x v="2"/>
  </r>
  <r>
    <s v="Perdue Farms"/>
    <s v="Croplands"/>
    <s v="North America"/>
    <n v="40335"/>
    <x v="1"/>
    <x v="3"/>
    <x v="2"/>
  </r>
  <r>
    <s v="Perdue Farms"/>
    <s v="Croplands"/>
    <s v="Oceania"/>
    <n v="7"/>
    <x v="1"/>
    <x v="3"/>
    <x v="2"/>
  </r>
  <r>
    <s v="Perdue Farms"/>
    <s v="Croplands"/>
    <s v="RoW"/>
    <n v="0"/>
    <x v="1"/>
    <x v="3"/>
    <x v="2"/>
  </r>
  <r>
    <s v="Perdue Farms"/>
    <s v="Croplands"/>
    <s v="Russian Federation"/>
    <n v="4"/>
    <x v="1"/>
    <x v="3"/>
    <x v="2"/>
  </r>
  <r>
    <s v="Perdue Farms"/>
    <s v="Croplands"/>
    <s v="South Asia"/>
    <n v="190"/>
    <x v="1"/>
    <x v="3"/>
    <x v="2"/>
  </r>
  <r>
    <s v="Perdue Farms"/>
    <s v="Croplands"/>
    <s v="Sub-Saharan Africa"/>
    <n v="2"/>
    <x v="1"/>
    <x v="3"/>
    <x v="2"/>
  </r>
  <r>
    <s v="Perdue Farms"/>
    <s v="Croplands"/>
    <s v="Western Europe"/>
    <n v="58"/>
    <x v="1"/>
    <x v="3"/>
    <x v="2"/>
  </r>
  <r>
    <s v="Tyson"/>
    <s v="Grazing"/>
    <s v="East Asia and Southeast Asia"/>
    <n v="34"/>
    <x v="1"/>
    <x v="3"/>
    <x v="2"/>
  </r>
  <r>
    <s v="Tyson"/>
    <s v="Grazing"/>
    <s v="Eastern Europe"/>
    <n v="5"/>
    <x v="1"/>
    <x v="3"/>
    <x v="2"/>
  </r>
  <r>
    <s v="Tyson"/>
    <s v="Grazing"/>
    <s v="Latin America and the Caribbean"/>
    <n v="1"/>
    <x v="1"/>
    <x v="3"/>
    <x v="2"/>
  </r>
  <r>
    <s v="Tyson"/>
    <s v="Grazing"/>
    <s v="Near East and North Africa"/>
    <n v="4"/>
    <x v="1"/>
    <x v="3"/>
    <x v="2"/>
  </r>
  <r>
    <s v="Tyson"/>
    <s v="Grazing"/>
    <s v="North America"/>
    <n v="1198"/>
    <x v="1"/>
    <x v="3"/>
    <x v="2"/>
  </r>
  <r>
    <s v="Tyson"/>
    <s v="Grazing"/>
    <s v="Oceania"/>
    <n v="11"/>
    <x v="1"/>
    <x v="3"/>
    <x v="2"/>
  </r>
  <r>
    <s v="Tyson"/>
    <s v="Grazing"/>
    <s v="RoW"/>
    <n v="0"/>
    <x v="1"/>
    <x v="3"/>
    <x v="2"/>
  </r>
  <r>
    <s v="Tyson"/>
    <s v="Grazing"/>
    <s v="Russian Federation"/>
    <n v="0"/>
    <x v="1"/>
    <x v="3"/>
    <x v="2"/>
  </r>
  <r>
    <s v="Tyson"/>
    <s v="Grazing"/>
    <s v="South Asia"/>
    <n v="0"/>
    <x v="1"/>
    <x v="3"/>
    <x v="2"/>
  </r>
  <r>
    <s v="Tyson"/>
    <s v="Grazing"/>
    <s v="Sub-Saharan Africa"/>
    <n v="0"/>
    <x v="1"/>
    <x v="3"/>
    <x v="2"/>
  </r>
  <r>
    <s v="Tyson"/>
    <s v="Grazing"/>
    <s v="Western Europe"/>
    <n v="104"/>
    <x v="1"/>
    <x v="3"/>
    <x v="2"/>
  </r>
  <r>
    <s v="Tyson"/>
    <s v="Croplands"/>
    <s v="East Asia and Southeast Asia"/>
    <n v="6286"/>
    <x v="1"/>
    <x v="3"/>
    <x v="2"/>
  </r>
  <r>
    <s v="Tyson"/>
    <s v="Croplands"/>
    <s v="Eastern Europe"/>
    <n v="200"/>
    <x v="1"/>
    <x v="3"/>
    <x v="2"/>
  </r>
  <r>
    <s v="Tyson"/>
    <s v="Croplands"/>
    <s v="Latin America and the Caribbean"/>
    <n v="657"/>
    <x v="1"/>
    <x v="3"/>
    <x v="2"/>
  </r>
  <r>
    <s v="Tyson"/>
    <s v="Croplands"/>
    <s v="Near East and North Africa"/>
    <n v="26"/>
    <x v="1"/>
    <x v="3"/>
    <x v="2"/>
  </r>
  <r>
    <s v="Tyson"/>
    <s v="Croplands"/>
    <s v="North America"/>
    <n v="114748"/>
    <x v="1"/>
    <x v="3"/>
    <x v="2"/>
  </r>
  <r>
    <s v="Tyson"/>
    <s v="Croplands"/>
    <s v="Oceania"/>
    <n v="165"/>
    <x v="1"/>
    <x v="3"/>
    <x v="2"/>
  </r>
  <r>
    <s v="Tyson"/>
    <s v="Croplands"/>
    <s v="RoW"/>
    <n v="0"/>
    <x v="1"/>
    <x v="3"/>
    <x v="2"/>
  </r>
  <r>
    <s v="Tyson"/>
    <s v="Croplands"/>
    <s v="Russian Federation"/>
    <n v="24"/>
    <x v="1"/>
    <x v="3"/>
    <x v="2"/>
  </r>
  <r>
    <s v="Tyson"/>
    <s v="Croplands"/>
    <s v="South Asia"/>
    <n v="633"/>
    <x v="1"/>
    <x v="3"/>
    <x v="2"/>
  </r>
  <r>
    <s v="Tyson"/>
    <s v="Croplands"/>
    <s v="Sub-Saharan Africa"/>
    <n v="22"/>
    <x v="1"/>
    <x v="3"/>
    <x v="2"/>
  </r>
  <r>
    <s v="Tyson"/>
    <s v="Croplands"/>
    <s v="Western Europe"/>
    <n v="262"/>
    <x v="1"/>
    <x v="3"/>
    <x v="2"/>
  </r>
  <r>
    <s v="Wellhope Agritech"/>
    <s v="Grazing"/>
    <s v="East Asia and Southeast Asia"/>
    <n v="126"/>
    <x v="1"/>
    <x v="3"/>
    <x v="2"/>
  </r>
  <r>
    <s v="Wellhope Agritech"/>
    <s v="Grazing"/>
    <s v="Eastern Europe"/>
    <n v="17"/>
    <x v="1"/>
    <x v="3"/>
    <x v="2"/>
  </r>
  <r>
    <s v="Wellhope Agritech"/>
    <s v="Grazing"/>
    <s v="Latin America and the Caribbean"/>
    <n v="0"/>
    <x v="1"/>
    <x v="3"/>
    <x v="2"/>
  </r>
  <r>
    <s v="Wellhope Agritech"/>
    <s v="Grazing"/>
    <s v="Near East and North Africa"/>
    <n v="12"/>
    <x v="1"/>
    <x v="3"/>
    <x v="2"/>
  </r>
  <r>
    <s v="Wellhope Agritech"/>
    <s v="Grazing"/>
    <s v="North America"/>
    <n v="9"/>
    <x v="1"/>
    <x v="3"/>
    <x v="2"/>
  </r>
  <r>
    <s v="Wellhope Agritech"/>
    <s v="Grazing"/>
    <s v="Oceania"/>
    <n v="30"/>
    <x v="1"/>
    <x v="3"/>
    <x v="2"/>
  </r>
  <r>
    <s v="Wellhope Agritech"/>
    <s v="Grazing"/>
    <s v="RoW"/>
    <n v="0"/>
    <x v="1"/>
    <x v="3"/>
    <x v="2"/>
  </r>
  <r>
    <s v="Wellhope Agritech"/>
    <s v="Grazing"/>
    <s v="Russian Federation"/>
    <n v="0"/>
    <x v="1"/>
    <x v="3"/>
    <x v="2"/>
  </r>
  <r>
    <s v="Wellhope Agritech"/>
    <s v="Grazing"/>
    <s v="South Asia"/>
    <n v="0"/>
    <x v="1"/>
    <x v="3"/>
    <x v="2"/>
  </r>
  <r>
    <s v="Wellhope Agritech"/>
    <s v="Grazing"/>
    <s v="Sub-Saharan Africa"/>
    <n v="0"/>
    <x v="1"/>
    <x v="3"/>
    <x v="2"/>
  </r>
  <r>
    <s v="Wellhope Agritech"/>
    <s v="Grazing"/>
    <s v="Western Europe"/>
    <n v="346"/>
    <x v="1"/>
    <x v="3"/>
    <x v="2"/>
  </r>
  <r>
    <s v="Wellhope Agritech"/>
    <s v="Croplands"/>
    <s v="East Asia and Southeast Asia"/>
    <n v="24080"/>
    <x v="1"/>
    <x v="3"/>
    <x v="2"/>
  </r>
  <r>
    <s v="Wellhope Agritech"/>
    <s v="Croplands"/>
    <s v="Eastern Europe"/>
    <n v="444"/>
    <x v="1"/>
    <x v="3"/>
    <x v="2"/>
  </r>
  <r>
    <s v="Wellhope Agritech"/>
    <s v="Croplands"/>
    <s v="Latin America and the Caribbean"/>
    <n v="1760"/>
    <x v="1"/>
    <x v="3"/>
    <x v="2"/>
  </r>
  <r>
    <s v="Wellhope Agritech"/>
    <s v="Croplands"/>
    <s v="Near East and North Africa"/>
    <n v="39"/>
    <x v="1"/>
    <x v="3"/>
    <x v="2"/>
  </r>
  <r>
    <s v="Wellhope Agritech"/>
    <s v="Croplands"/>
    <s v="North America"/>
    <n v="4129"/>
    <x v="1"/>
    <x v="3"/>
    <x v="2"/>
  </r>
  <r>
    <s v="Wellhope Agritech"/>
    <s v="Croplands"/>
    <s v="Oceania"/>
    <n v="567"/>
    <x v="1"/>
    <x v="3"/>
    <x v="2"/>
  </r>
  <r>
    <s v="Wellhope Agritech"/>
    <s v="Croplands"/>
    <s v="RoW"/>
    <n v="0"/>
    <x v="1"/>
    <x v="3"/>
    <x v="2"/>
  </r>
  <r>
    <s v="Wellhope Agritech"/>
    <s v="Croplands"/>
    <s v="Russian Federation"/>
    <n v="52"/>
    <x v="1"/>
    <x v="3"/>
    <x v="2"/>
  </r>
  <r>
    <s v="Wellhope Agritech"/>
    <s v="Croplands"/>
    <s v="South Asia"/>
    <n v="378"/>
    <x v="1"/>
    <x v="3"/>
    <x v="2"/>
  </r>
  <r>
    <s v="Wellhope Agritech"/>
    <s v="Croplands"/>
    <s v="Sub-Saharan Africa"/>
    <n v="69"/>
    <x v="1"/>
    <x v="3"/>
    <x v="2"/>
  </r>
  <r>
    <s v="Wellhope Agritech"/>
    <s v="Croplands"/>
    <s v="Western Europe"/>
    <n v="384"/>
    <x v="1"/>
    <x v="3"/>
    <x v="2"/>
  </r>
  <r>
    <s v="Wen's Food Group"/>
    <s v="Grazing"/>
    <s v="East Asia and Southeast Asia"/>
    <n v="184"/>
    <x v="1"/>
    <x v="3"/>
    <x v="2"/>
  </r>
  <r>
    <s v="Wen's Food Group"/>
    <s v="Grazing"/>
    <s v="Eastern Europe"/>
    <n v="25"/>
    <x v="1"/>
    <x v="3"/>
    <x v="2"/>
  </r>
  <r>
    <s v="Wen's Food Group"/>
    <s v="Grazing"/>
    <s v="Latin America and the Caribbean"/>
    <n v="1"/>
    <x v="1"/>
    <x v="3"/>
    <x v="2"/>
  </r>
  <r>
    <s v="Wen's Food Group"/>
    <s v="Grazing"/>
    <s v="Near East and North Africa"/>
    <n v="17"/>
    <x v="1"/>
    <x v="3"/>
    <x v="2"/>
  </r>
  <r>
    <s v="Wen's Food Group"/>
    <s v="Grazing"/>
    <s v="North America"/>
    <n v="13"/>
    <x v="1"/>
    <x v="3"/>
    <x v="2"/>
  </r>
  <r>
    <s v="Wen's Food Group"/>
    <s v="Grazing"/>
    <s v="Oceania"/>
    <n v="44"/>
    <x v="1"/>
    <x v="3"/>
    <x v="2"/>
  </r>
  <r>
    <s v="Wen's Food Group"/>
    <s v="Grazing"/>
    <s v="RoW"/>
    <n v="0"/>
    <x v="1"/>
    <x v="3"/>
    <x v="2"/>
  </r>
  <r>
    <s v="Wen's Food Group"/>
    <s v="Grazing"/>
    <s v="Russian Federation"/>
    <n v="0"/>
    <x v="1"/>
    <x v="3"/>
    <x v="2"/>
  </r>
  <r>
    <s v="Wen's Food Group"/>
    <s v="Grazing"/>
    <s v="South Asia"/>
    <n v="0"/>
    <x v="1"/>
    <x v="3"/>
    <x v="2"/>
  </r>
  <r>
    <s v="Wen's Food Group"/>
    <s v="Grazing"/>
    <s v="Sub-Saharan Africa"/>
    <n v="0"/>
    <x v="1"/>
    <x v="3"/>
    <x v="2"/>
  </r>
  <r>
    <s v="Wen's Food Group"/>
    <s v="Grazing"/>
    <s v="Western Europe"/>
    <n v="505"/>
    <x v="1"/>
    <x v="3"/>
    <x v="2"/>
  </r>
  <r>
    <s v="Wen's Food Group"/>
    <s v="Croplands"/>
    <s v="East Asia and Southeast Asia"/>
    <n v="35169"/>
    <x v="1"/>
    <x v="3"/>
    <x v="2"/>
  </r>
  <r>
    <s v="Wen's Food Group"/>
    <s v="Croplands"/>
    <s v="Eastern Europe"/>
    <n v="648"/>
    <x v="1"/>
    <x v="3"/>
    <x v="2"/>
  </r>
  <r>
    <s v="Wen's Food Group"/>
    <s v="Croplands"/>
    <s v="Latin America and the Caribbean"/>
    <n v="2570"/>
    <x v="1"/>
    <x v="3"/>
    <x v="2"/>
  </r>
  <r>
    <s v="Wen's Food Group"/>
    <s v="Croplands"/>
    <s v="Near East and North Africa"/>
    <n v="56"/>
    <x v="1"/>
    <x v="3"/>
    <x v="2"/>
  </r>
  <r>
    <s v="Wen's Food Group"/>
    <s v="Croplands"/>
    <s v="North America"/>
    <n v="6030"/>
    <x v="1"/>
    <x v="3"/>
    <x v="2"/>
  </r>
  <r>
    <s v="Wen's Food Group"/>
    <s v="Croplands"/>
    <s v="Oceania"/>
    <n v="828"/>
    <x v="1"/>
    <x v="3"/>
    <x v="2"/>
  </r>
  <r>
    <s v="Wen's Food Group"/>
    <s v="Croplands"/>
    <s v="RoW"/>
    <n v="0"/>
    <x v="1"/>
    <x v="3"/>
    <x v="2"/>
  </r>
  <r>
    <s v="Wen's Food Group"/>
    <s v="Croplands"/>
    <s v="Russian Federation"/>
    <n v="76"/>
    <x v="1"/>
    <x v="3"/>
    <x v="2"/>
  </r>
  <r>
    <s v="Wen's Food Group"/>
    <s v="Croplands"/>
    <s v="South Asia"/>
    <n v="553"/>
    <x v="1"/>
    <x v="3"/>
    <x v="2"/>
  </r>
  <r>
    <s v="Wen's Food Group"/>
    <s v="Croplands"/>
    <s v="Sub-Saharan Africa"/>
    <n v="101"/>
    <x v="1"/>
    <x v="3"/>
    <x v="2"/>
  </r>
  <r>
    <s v="Wen's Food Group"/>
    <s v="Croplands"/>
    <s v="Western Europe"/>
    <n v="561"/>
    <x v="1"/>
    <x v="3"/>
    <x v="2"/>
  </r>
  <r>
    <s v="WH Group"/>
    <s v="Grazing"/>
    <s v="East Asia and Southeast Asia"/>
    <n v="33"/>
    <x v="1"/>
    <x v="3"/>
    <x v="2"/>
  </r>
  <r>
    <s v="WH Group"/>
    <s v="Grazing"/>
    <s v="Eastern Europe"/>
    <n v="21"/>
    <x v="1"/>
    <x v="3"/>
    <x v="2"/>
  </r>
  <r>
    <s v="WH Group"/>
    <s v="Grazing"/>
    <s v="Latin America and the Caribbean"/>
    <n v="0"/>
    <x v="1"/>
    <x v="3"/>
    <x v="2"/>
  </r>
  <r>
    <s v="WH Group"/>
    <s v="Grazing"/>
    <s v="Near East and North Africa"/>
    <n v="3"/>
    <x v="1"/>
    <x v="3"/>
    <x v="2"/>
  </r>
  <r>
    <s v="WH Group"/>
    <s v="Grazing"/>
    <s v="North America"/>
    <n v="2"/>
    <x v="1"/>
    <x v="3"/>
    <x v="2"/>
  </r>
  <r>
    <s v="WH Group"/>
    <s v="Grazing"/>
    <s v="Oceania"/>
    <n v="8"/>
    <x v="1"/>
    <x v="3"/>
    <x v="2"/>
  </r>
  <r>
    <s v="WH Group"/>
    <s v="Grazing"/>
    <s v="RoW"/>
    <n v="0"/>
    <x v="1"/>
    <x v="3"/>
    <x v="2"/>
  </r>
  <r>
    <s v="WH Group"/>
    <s v="Grazing"/>
    <s v="Russian Federation"/>
    <n v="0"/>
    <x v="1"/>
    <x v="3"/>
    <x v="2"/>
  </r>
  <r>
    <s v="WH Group"/>
    <s v="Grazing"/>
    <s v="South Asia"/>
    <n v="0"/>
    <x v="1"/>
    <x v="3"/>
    <x v="2"/>
  </r>
  <r>
    <s v="WH Group"/>
    <s v="Grazing"/>
    <s v="Sub-Saharan Africa"/>
    <n v="0"/>
    <x v="1"/>
    <x v="3"/>
    <x v="2"/>
  </r>
  <r>
    <s v="WH Group"/>
    <s v="Grazing"/>
    <s v="Western Europe"/>
    <n v="111"/>
    <x v="1"/>
    <x v="3"/>
    <x v="2"/>
  </r>
  <r>
    <s v="WH Group"/>
    <s v="Croplands"/>
    <s v="East Asia and Southeast Asia"/>
    <n v="6236"/>
    <x v="1"/>
    <x v="3"/>
    <x v="2"/>
  </r>
  <r>
    <s v="WH Group"/>
    <s v="Croplands"/>
    <s v="Eastern Europe"/>
    <n v="5556"/>
    <x v="1"/>
    <x v="3"/>
    <x v="2"/>
  </r>
  <r>
    <s v="WH Group"/>
    <s v="Croplands"/>
    <s v="Latin America and the Caribbean"/>
    <n v="499"/>
    <x v="1"/>
    <x v="3"/>
    <x v="2"/>
  </r>
  <r>
    <s v="WH Group"/>
    <s v="Croplands"/>
    <s v="Near East and North Africa"/>
    <n v="17"/>
    <x v="1"/>
    <x v="3"/>
    <x v="2"/>
  </r>
  <r>
    <s v="WH Group"/>
    <s v="Croplands"/>
    <s v="North America"/>
    <n v="1082"/>
    <x v="1"/>
    <x v="3"/>
    <x v="2"/>
  </r>
  <r>
    <s v="WH Group"/>
    <s v="Croplands"/>
    <s v="Oceania"/>
    <n v="147"/>
    <x v="1"/>
    <x v="3"/>
    <x v="2"/>
  </r>
  <r>
    <s v="WH Group"/>
    <s v="Croplands"/>
    <s v="RoW"/>
    <n v="0"/>
    <x v="1"/>
    <x v="3"/>
    <x v="2"/>
  </r>
  <r>
    <s v="WH Group"/>
    <s v="Croplands"/>
    <s v="Russian Federation"/>
    <n v="31"/>
    <x v="1"/>
    <x v="3"/>
    <x v="2"/>
  </r>
  <r>
    <s v="WH Group"/>
    <s v="Croplands"/>
    <s v="South Asia"/>
    <n v="114"/>
    <x v="1"/>
    <x v="3"/>
    <x v="2"/>
  </r>
  <r>
    <s v="WH Group"/>
    <s v="Croplands"/>
    <s v="Sub-Saharan Africa"/>
    <n v="19"/>
    <x v="1"/>
    <x v="3"/>
    <x v="2"/>
  </r>
  <r>
    <s v="WH Group"/>
    <s v="Croplands"/>
    <s v="Western Europe"/>
    <n v="443"/>
    <x v="1"/>
    <x v="3"/>
    <x v="2"/>
  </r>
  <r>
    <s v="Aurora Alimentos"/>
    <s v="Grazing"/>
    <s v="East Asia and Southeast Asia"/>
    <n v="0"/>
    <x v="2"/>
    <x v="0"/>
    <x v="0"/>
  </r>
  <r>
    <s v="Aurora Alimentos"/>
    <s v="Grazing"/>
    <s v="Eastern Europe"/>
    <n v="0"/>
    <x v="2"/>
    <x v="0"/>
    <x v="0"/>
  </r>
  <r>
    <s v="Aurora Alimentos"/>
    <s v="Grazing"/>
    <s v="Latin America and the Caribbean"/>
    <n v="71"/>
    <x v="2"/>
    <x v="0"/>
    <x v="0"/>
  </r>
  <r>
    <s v="Aurora Alimentos"/>
    <s v="Grazing"/>
    <s v="Near East and North Africa"/>
    <n v="0"/>
    <x v="2"/>
    <x v="0"/>
    <x v="0"/>
  </r>
  <r>
    <s v="Aurora Alimentos"/>
    <s v="Grazing"/>
    <s v="North America"/>
    <n v="0"/>
    <x v="2"/>
    <x v="0"/>
    <x v="0"/>
  </r>
  <r>
    <s v="Aurora Alimentos"/>
    <s v="Grazing"/>
    <s v="Oceania"/>
    <n v="0"/>
    <x v="2"/>
    <x v="0"/>
    <x v="0"/>
  </r>
  <r>
    <s v="Aurora Alimentos"/>
    <s v="Grazing"/>
    <s v="RoW"/>
    <n v="0"/>
    <x v="2"/>
    <x v="0"/>
    <x v="0"/>
  </r>
  <r>
    <s v="Aurora Alimentos"/>
    <s v="Grazing"/>
    <s v="Russian Federation"/>
    <n v="0"/>
    <x v="2"/>
    <x v="0"/>
    <x v="0"/>
  </r>
  <r>
    <s v="Aurora Alimentos"/>
    <s v="Grazing"/>
    <s v="South Asia"/>
    <n v="0"/>
    <x v="2"/>
    <x v="0"/>
    <x v="0"/>
  </r>
  <r>
    <s v="Aurora Alimentos"/>
    <s v="Grazing"/>
    <s v="Sub-Saharan Africa"/>
    <n v="0"/>
    <x v="2"/>
    <x v="0"/>
    <x v="0"/>
  </r>
  <r>
    <s v="Aurora Alimentos"/>
    <s v="Grazing"/>
    <s v="Western Europe"/>
    <n v="0"/>
    <x v="2"/>
    <x v="0"/>
    <x v="0"/>
  </r>
  <r>
    <s v="Aurora Alimentos"/>
    <s v="Croplands"/>
    <s v="East Asia and Southeast Asia"/>
    <n v="0"/>
    <x v="2"/>
    <x v="0"/>
    <x v="0"/>
  </r>
  <r>
    <s v="Aurora Alimentos"/>
    <s v="Croplands"/>
    <s v="Eastern Europe"/>
    <n v="0"/>
    <x v="2"/>
    <x v="0"/>
    <x v="0"/>
  </r>
  <r>
    <s v="Aurora Alimentos"/>
    <s v="Croplands"/>
    <s v="Latin America and the Caribbean"/>
    <n v="638"/>
    <x v="2"/>
    <x v="0"/>
    <x v="0"/>
  </r>
  <r>
    <s v="Aurora Alimentos"/>
    <s v="Croplands"/>
    <s v="Near East and North Africa"/>
    <n v="4"/>
    <x v="2"/>
    <x v="0"/>
    <x v="0"/>
  </r>
  <r>
    <s v="Aurora Alimentos"/>
    <s v="Croplands"/>
    <s v="North America"/>
    <n v="91"/>
    <x v="2"/>
    <x v="0"/>
    <x v="0"/>
  </r>
  <r>
    <s v="Aurora Alimentos"/>
    <s v="Croplands"/>
    <s v="Oceania"/>
    <n v="0"/>
    <x v="2"/>
    <x v="0"/>
    <x v="0"/>
  </r>
  <r>
    <s v="Aurora Alimentos"/>
    <s v="Croplands"/>
    <s v="RoW"/>
    <n v="0"/>
    <x v="2"/>
    <x v="0"/>
    <x v="0"/>
  </r>
  <r>
    <s v="Aurora Alimentos"/>
    <s v="Croplands"/>
    <s v="Russian Federation"/>
    <n v="4"/>
    <x v="2"/>
    <x v="0"/>
    <x v="0"/>
  </r>
  <r>
    <s v="Aurora Alimentos"/>
    <s v="Croplands"/>
    <s v="South Asia"/>
    <n v="2"/>
    <x v="2"/>
    <x v="0"/>
    <x v="0"/>
  </r>
  <r>
    <s v="Aurora Alimentos"/>
    <s v="Croplands"/>
    <s v="Sub-Saharan Africa"/>
    <n v="2"/>
    <x v="2"/>
    <x v="0"/>
    <x v="0"/>
  </r>
  <r>
    <s v="Aurora Alimentos"/>
    <s v="Croplands"/>
    <s v="Western Europe"/>
    <n v="1"/>
    <x v="2"/>
    <x v="0"/>
    <x v="0"/>
  </r>
  <r>
    <s v="Bigard"/>
    <s v="Grazing"/>
    <s v="East Asia and Southeast Asia"/>
    <n v="0"/>
    <x v="2"/>
    <x v="0"/>
    <x v="0"/>
  </r>
  <r>
    <s v="Bigard"/>
    <s v="Grazing"/>
    <s v="Eastern Europe"/>
    <n v="0"/>
    <x v="2"/>
    <x v="0"/>
    <x v="0"/>
  </r>
  <r>
    <s v="Bigard"/>
    <s v="Grazing"/>
    <s v="Latin America and the Caribbean"/>
    <n v="1"/>
    <x v="2"/>
    <x v="0"/>
    <x v="0"/>
  </r>
  <r>
    <s v="Bigard"/>
    <s v="Grazing"/>
    <s v="Near East and North Africa"/>
    <n v="0"/>
    <x v="2"/>
    <x v="0"/>
    <x v="0"/>
  </r>
  <r>
    <s v="Bigard"/>
    <s v="Grazing"/>
    <s v="North America"/>
    <n v="2"/>
    <x v="2"/>
    <x v="0"/>
    <x v="0"/>
  </r>
  <r>
    <s v="Bigard"/>
    <s v="Grazing"/>
    <s v="Oceania"/>
    <n v="0"/>
    <x v="2"/>
    <x v="0"/>
    <x v="0"/>
  </r>
  <r>
    <s v="Bigard"/>
    <s v="Grazing"/>
    <s v="RoW"/>
    <n v="0"/>
    <x v="2"/>
    <x v="0"/>
    <x v="0"/>
  </r>
  <r>
    <s v="Bigard"/>
    <s v="Grazing"/>
    <s v="Russian Federation"/>
    <n v="0"/>
    <x v="2"/>
    <x v="0"/>
    <x v="0"/>
  </r>
  <r>
    <s v="Bigard"/>
    <s v="Grazing"/>
    <s v="South Asia"/>
    <n v="0"/>
    <x v="2"/>
    <x v="0"/>
    <x v="0"/>
  </r>
  <r>
    <s v="Bigard"/>
    <s v="Grazing"/>
    <s v="Sub-Saharan Africa"/>
    <n v="0"/>
    <x v="2"/>
    <x v="0"/>
    <x v="0"/>
  </r>
  <r>
    <s v="Bigard"/>
    <s v="Grazing"/>
    <s v="Western Europe"/>
    <n v="49"/>
    <x v="2"/>
    <x v="0"/>
    <x v="0"/>
  </r>
  <r>
    <s v="Bigard"/>
    <s v="Croplands"/>
    <s v="East Asia and Southeast Asia"/>
    <n v="9"/>
    <x v="2"/>
    <x v="0"/>
    <x v="0"/>
  </r>
  <r>
    <s v="Bigard"/>
    <s v="Croplands"/>
    <s v="Eastern Europe"/>
    <n v="152"/>
    <x v="2"/>
    <x v="0"/>
    <x v="0"/>
  </r>
  <r>
    <s v="Bigard"/>
    <s v="Croplands"/>
    <s v="Latin America and the Caribbean"/>
    <n v="119"/>
    <x v="2"/>
    <x v="0"/>
    <x v="0"/>
  </r>
  <r>
    <s v="Bigard"/>
    <s v="Croplands"/>
    <s v="Near East and North Africa"/>
    <n v="7"/>
    <x v="2"/>
    <x v="0"/>
    <x v="0"/>
  </r>
  <r>
    <s v="Bigard"/>
    <s v="Croplands"/>
    <s v="North America"/>
    <n v="56"/>
    <x v="2"/>
    <x v="0"/>
    <x v="0"/>
  </r>
  <r>
    <s v="Bigard"/>
    <s v="Croplands"/>
    <s v="Oceania"/>
    <n v="12"/>
    <x v="2"/>
    <x v="0"/>
    <x v="0"/>
  </r>
  <r>
    <s v="Bigard"/>
    <s v="Croplands"/>
    <s v="RoW"/>
    <n v="0"/>
    <x v="2"/>
    <x v="0"/>
    <x v="0"/>
  </r>
  <r>
    <s v="Bigard"/>
    <s v="Croplands"/>
    <s v="Russian Federation"/>
    <n v="22"/>
    <x v="2"/>
    <x v="0"/>
    <x v="0"/>
  </r>
  <r>
    <s v="Bigard"/>
    <s v="Croplands"/>
    <s v="South Asia"/>
    <n v="7"/>
    <x v="2"/>
    <x v="0"/>
    <x v="0"/>
  </r>
  <r>
    <s v="Bigard"/>
    <s v="Croplands"/>
    <s v="Sub-Saharan Africa"/>
    <n v="3"/>
    <x v="2"/>
    <x v="0"/>
    <x v="0"/>
  </r>
  <r>
    <s v="Bigard"/>
    <s v="Croplands"/>
    <s v="Western Europe"/>
    <n v="571"/>
    <x v="2"/>
    <x v="0"/>
    <x v="0"/>
  </r>
  <r>
    <s v="BRF"/>
    <s v="Grazing"/>
    <s v="East Asia and Southeast Asia"/>
    <n v="0"/>
    <x v="2"/>
    <x v="0"/>
    <x v="0"/>
  </r>
  <r>
    <s v="BRF"/>
    <s v="Grazing"/>
    <s v="Eastern Europe"/>
    <n v="0"/>
    <x v="2"/>
    <x v="0"/>
    <x v="0"/>
  </r>
  <r>
    <s v="BRF"/>
    <s v="Grazing"/>
    <s v="Latin America and the Caribbean"/>
    <n v="93"/>
    <x v="2"/>
    <x v="0"/>
    <x v="0"/>
  </r>
  <r>
    <s v="BRF"/>
    <s v="Grazing"/>
    <s v="Near East and North Africa"/>
    <n v="0"/>
    <x v="2"/>
    <x v="0"/>
    <x v="0"/>
  </r>
  <r>
    <s v="BRF"/>
    <s v="Grazing"/>
    <s v="North America"/>
    <n v="1"/>
    <x v="2"/>
    <x v="0"/>
    <x v="0"/>
  </r>
  <r>
    <s v="BRF"/>
    <s v="Grazing"/>
    <s v="Oceania"/>
    <n v="0"/>
    <x v="2"/>
    <x v="0"/>
    <x v="0"/>
  </r>
  <r>
    <s v="BRF"/>
    <s v="Grazing"/>
    <s v="RoW"/>
    <n v="0"/>
    <x v="2"/>
    <x v="0"/>
    <x v="0"/>
  </r>
  <r>
    <s v="BRF"/>
    <s v="Grazing"/>
    <s v="Russian Federation"/>
    <n v="0"/>
    <x v="2"/>
    <x v="0"/>
    <x v="0"/>
  </r>
  <r>
    <s v="BRF"/>
    <s v="Grazing"/>
    <s v="South Asia"/>
    <n v="0"/>
    <x v="2"/>
    <x v="0"/>
    <x v="0"/>
  </r>
  <r>
    <s v="BRF"/>
    <s v="Grazing"/>
    <s v="Sub-Saharan Africa"/>
    <n v="0"/>
    <x v="2"/>
    <x v="0"/>
    <x v="0"/>
  </r>
  <r>
    <s v="BRF"/>
    <s v="Grazing"/>
    <s v="Western Europe"/>
    <n v="0"/>
    <x v="2"/>
    <x v="0"/>
    <x v="0"/>
  </r>
  <r>
    <s v="BRF"/>
    <s v="Croplands"/>
    <s v="East Asia and Southeast Asia"/>
    <n v="0"/>
    <x v="2"/>
    <x v="0"/>
    <x v="0"/>
  </r>
  <r>
    <s v="BRF"/>
    <s v="Croplands"/>
    <s v="Eastern Europe"/>
    <n v="1"/>
    <x v="2"/>
    <x v="0"/>
    <x v="0"/>
  </r>
  <r>
    <s v="BRF"/>
    <s v="Croplands"/>
    <s v="Latin America and the Caribbean"/>
    <n v="842"/>
    <x v="2"/>
    <x v="0"/>
    <x v="0"/>
  </r>
  <r>
    <s v="BRF"/>
    <s v="Croplands"/>
    <s v="Near East and North Africa"/>
    <n v="5"/>
    <x v="2"/>
    <x v="0"/>
    <x v="0"/>
  </r>
  <r>
    <s v="BRF"/>
    <s v="Croplands"/>
    <s v="North America"/>
    <n v="120"/>
    <x v="2"/>
    <x v="0"/>
    <x v="0"/>
  </r>
  <r>
    <s v="BRF"/>
    <s v="Croplands"/>
    <s v="Oceania"/>
    <n v="0"/>
    <x v="2"/>
    <x v="0"/>
    <x v="0"/>
  </r>
  <r>
    <s v="BRF"/>
    <s v="Croplands"/>
    <s v="RoW"/>
    <n v="0"/>
    <x v="2"/>
    <x v="0"/>
    <x v="0"/>
  </r>
  <r>
    <s v="BRF"/>
    <s v="Croplands"/>
    <s v="Russian Federation"/>
    <n v="5"/>
    <x v="2"/>
    <x v="0"/>
    <x v="0"/>
  </r>
  <r>
    <s v="BRF"/>
    <s v="Croplands"/>
    <s v="South Asia"/>
    <n v="2"/>
    <x v="2"/>
    <x v="0"/>
    <x v="0"/>
  </r>
  <r>
    <s v="BRF"/>
    <s v="Croplands"/>
    <s v="Sub-Saharan Africa"/>
    <n v="2"/>
    <x v="2"/>
    <x v="0"/>
    <x v="0"/>
  </r>
  <r>
    <s v="BRF"/>
    <s v="Croplands"/>
    <s v="Western Europe"/>
    <n v="1"/>
    <x v="2"/>
    <x v="0"/>
    <x v="0"/>
  </r>
  <r>
    <s v="Charoen Pokphand"/>
    <s v="Grazing"/>
    <s v="East Asia and Southeast Asia"/>
    <n v="9"/>
    <x v="2"/>
    <x v="0"/>
    <x v="0"/>
  </r>
  <r>
    <s v="Charoen Pokphand"/>
    <s v="Grazing"/>
    <s v="Eastern Europe"/>
    <n v="2"/>
    <x v="2"/>
    <x v="0"/>
    <x v="0"/>
  </r>
  <r>
    <s v="Charoen Pokphand"/>
    <s v="Grazing"/>
    <s v="Latin America and the Caribbean"/>
    <n v="5"/>
    <x v="2"/>
    <x v="0"/>
    <x v="0"/>
  </r>
  <r>
    <s v="Charoen Pokphand"/>
    <s v="Grazing"/>
    <s v="Near East and North Africa"/>
    <n v="2"/>
    <x v="2"/>
    <x v="0"/>
    <x v="0"/>
  </r>
  <r>
    <s v="Charoen Pokphand"/>
    <s v="Grazing"/>
    <s v="North America"/>
    <n v="100"/>
    <x v="2"/>
    <x v="0"/>
    <x v="0"/>
  </r>
  <r>
    <s v="Charoen Pokphand"/>
    <s v="Grazing"/>
    <s v="Oceania"/>
    <n v="3"/>
    <x v="2"/>
    <x v="0"/>
    <x v="0"/>
  </r>
  <r>
    <s v="Charoen Pokphand"/>
    <s v="Grazing"/>
    <s v="RoW"/>
    <n v="0"/>
    <x v="2"/>
    <x v="0"/>
    <x v="0"/>
  </r>
  <r>
    <s v="Charoen Pokphand"/>
    <s v="Grazing"/>
    <s v="Russian Federation"/>
    <n v="187"/>
    <x v="2"/>
    <x v="0"/>
    <x v="0"/>
  </r>
  <r>
    <s v="Charoen Pokphand"/>
    <s v="Grazing"/>
    <s v="South Asia"/>
    <n v="0"/>
    <x v="2"/>
    <x v="0"/>
    <x v="0"/>
  </r>
  <r>
    <s v="Charoen Pokphand"/>
    <s v="Grazing"/>
    <s v="Sub-Saharan Africa"/>
    <n v="0"/>
    <x v="2"/>
    <x v="0"/>
    <x v="0"/>
  </r>
  <r>
    <s v="Charoen Pokphand"/>
    <s v="Grazing"/>
    <s v="Western Europe"/>
    <n v="0"/>
    <x v="2"/>
    <x v="0"/>
    <x v="0"/>
  </r>
  <r>
    <s v="Charoen Pokphand"/>
    <s v="Croplands"/>
    <s v="East Asia and Southeast Asia"/>
    <n v="87"/>
    <x v="2"/>
    <x v="0"/>
    <x v="0"/>
  </r>
  <r>
    <s v="Charoen Pokphand"/>
    <s v="Croplands"/>
    <s v="Eastern Europe"/>
    <n v="8"/>
    <x v="2"/>
    <x v="0"/>
    <x v="0"/>
  </r>
  <r>
    <s v="Charoen Pokphand"/>
    <s v="Croplands"/>
    <s v="Latin America and the Caribbean"/>
    <n v="46"/>
    <x v="2"/>
    <x v="0"/>
    <x v="0"/>
  </r>
  <r>
    <s v="Charoen Pokphand"/>
    <s v="Croplands"/>
    <s v="Near East and North Africa"/>
    <n v="4"/>
    <x v="2"/>
    <x v="0"/>
    <x v="0"/>
  </r>
  <r>
    <s v="Charoen Pokphand"/>
    <s v="Croplands"/>
    <s v="North America"/>
    <n v="377"/>
    <x v="2"/>
    <x v="0"/>
    <x v="0"/>
  </r>
  <r>
    <s v="Charoen Pokphand"/>
    <s v="Croplands"/>
    <s v="Oceania"/>
    <n v="3"/>
    <x v="2"/>
    <x v="0"/>
    <x v="0"/>
  </r>
  <r>
    <s v="Charoen Pokphand"/>
    <s v="Croplands"/>
    <s v="RoW"/>
    <n v="0"/>
    <x v="2"/>
    <x v="0"/>
    <x v="0"/>
  </r>
  <r>
    <s v="Charoen Pokphand"/>
    <s v="Croplands"/>
    <s v="Russian Federation"/>
    <n v="531"/>
    <x v="2"/>
    <x v="0"/>
    <x v="0"/>
  </r>
  <r>
    <s v="Charoen Pokphand"/>
    <s v="Croplands"/>
    <s v="South Asia"/>
    <n v="7"/>
    <x v="2"/>
    <x v="0"/>
    <x v="0"/>
  </r>
  <r>
    <s v="Charoen Pokphand"/>
    <s v="Croplands"/>
    <s v="Sub-Saharan Africa"/>
    <n v="0"/>
    <x v="2"/>
    <x v="0"/>
    <x v="0"/>
  </r>
  <r>
    <s v="Charoen Pokphand"/>
    <s v="Croplands"/>
    <s v="Western Europe"/>
    <n v="2"/>
    <x v="2"/>
    <x v="0"/>
    <x v="0"/>
  </r>
  <r>
    <s v="Clemens Food Group"/>
    <s v="Grazing"/>
    <s v="East Asia and Southeast Asia"/>
    <n v="0"/>
    <x v="2"/>
    <x v="0"/>
    <x v="0"/>
  </r>
  <r>
    <s v="Clemens Food Group"/>
    <s v="Grazing"/>
    <s v="Eastern Europe"/>
    <n v="0"/>
    <x v="2"/>
    <x v="0"/>
    <x v="0"/>
  </r>
  <r>
    <s v="Clemens Food Group"/>
    <s v="Grazing"/>
    <s v="Latin America and the Caribbean"/>
    <n v="3"/>
    <x v="2"/>
    <x v="0"/>
    <x v="0"/>
  </r>
  <r>
    <s v="Clemens Food Group"/>
    <s v="Grazing"/>
    <s v="Near East and North Africa"/>
    <n v="0"/>
    <x v="2"/>
    <x v="0"/>
    <x v="0"/>
  </r>
  <r>
    <s v="Clemens Food Group"/>
    <s v="Grazing"/>
    <s v="North America"/>
    <n v="89"/>
    <x v="2"/>
    <x v="0"/>
    <x v="0"/>
  </r>
  <r>
    <s v="Clemens Food Group"/>
    <s v="Grazing"/>
    <s v="Oceania"/>
    <n v="2"/>
    <x v="2"/>
    <x v="0"/>
    <x v="0"/>
  </r>
  <r>
    <s v="Clemens Food Group"/>
    <s v="Grazing"/>
    <s v="RoW"/>
    <n v="0"/>
    <x v="2"/>
    <x v="0"/>
    <x v="0"/>
  </r>
  <r>
    <s v="Clemens Food Group"/>
    <s v="Grazing"/>
    <s v="Russian Federation"/>
    <n v="0"/>
    <x v="2"/>
    <x v="0"/>
    <x v="0"/>
  </r>
  <r>
    <s v="Clemens Food Group"/>
    <s v="Grazing"/>
    <s v="South Asia"/>
    <n v="0"/>
    <x v="2"/>
    <x v="0"/>
    <x v="0"/>
  </r>
  <r>
    <s v="Clemens Food Group"/>
    <s v="Grazing"/>
    <s v="Sub-Saharan Africa"/>
    <n v="0"/>
    <x v="2"/>
    <x v="0"/>
    <x v="0"/>
  </r>
  <r>
    <s v="Clemens Food Group"/>
    <s v="Grazing"/>
    <s v="Western Europe"/>
    <n v="0"/>
    <x v="2"/>
    <x v="0"/>
    <x v="0"/>
  </r>
  <r>
    <s v="Clemens Food Group"/>
    <s v="Croplands"/>
    <s v="East Asia and Southeast Asia"/>
    <n v="0"/>
    <x v="2"/>
    <x v="0"/>
    <x v="0"/>
  </r>
  <r>
    <s v="Clemens Food Group"/>
    <s v="Croplands"/>
    <s v="Eastern Europe"/>
    <n v="0"/>
    <x v="2"/>
    <x v="0"/>
    <x v="0"/>
  </r>
  <r>
    <s v="Clemens Food Group"/>
    <s v="Croplands"/>
    <s v="Latin America and the Caribbean"/>
    <n v="1"/>
    <x v="2"/>
    <x v="0"/>
    <x v="0"/>
  </r>
  <r>
    <s v="Clemens Food Group"/>
    <s v="Croplands"/>
    <s v="Near East and North Africa"/>
    <n v="0"/>
    <x v="2"/>
    <x v="0"/>
    <x v="0"/>
  </r>
  <r>
    <s v="Clemens Food Group"/>
    <s v="Croplands"/>
    <s v="North America"/>
    <n v="315"/>
    <x v="2"/>
    <x v="0"/>
    <x v="0"/>
  </r>
  <r>
    <s v="Clemens Food Group"/>
    <s v="Croplands"/>
    <s v="Oceania"/>
    <n v="0"/>
    <x v="2"/>
    <x v="0"/>
    <x v="0"/>
  </r>
  <r>
    <s v="Clemens Food Group"/>
    <s v="Croplands"/>
    <s v="RoW"/>
    <n v="0"/>
    <x v="2"/>
    <x v="0"/>
    <x v="0"/>
  </r>
  <r>
    <s v="Clemens Food Group"/>
    <s v="Croplands"/>
    <s v="Russian Federation"/>
    <n v="0"/>
    <x v="2"/>
    <x v="0"/>
    <x v="0"/>
  </r>
  <r>
    <s v="Clemens Food Group"/>
    <s v="Croplands"/>
    <s v="South Asia"/>
    <n v="5"/>
    <x v="2"/>
    <x v="0"/>
    <x v="0"/>
  </r>
  <r>
    <s v="Clemens Food Group"/>
    <s v="Croplands"/>
    <s v="Sub-Saharan Africa"/>
    <n v="0"/>
    <x v="2"/>
    <x v="0"/>
    <x v="0"/>
  </r>
  <r>
    <s v="Clemens Food Group"/>
    <s v="Croplands"/>
    <s v="Western Europe"/>
    <n v="0"/>
    <x v="2"/>
    <x v="0"/>
    <x v="0"/>
  </r>
  <r>
    <s v="COFCO Group"/>
    <s v="Grazing"/>
    <s v="East Asia and Southeast Asia"/>
    <n v="40"/>
    <x v="2"/>
    <x v="0"/>
    <x v="0"/>
  </r>
  <r>
    <s v="COFCO Group"/>
    <s v="Grazing"/>
    <s v="Eastern Europe"/>
    <n v="0"/>
    <x v="2"/>
    <x v="0"/>
    <x v="0"/>
  </r>
  <r>
    <s v="COFCO Group"/>
    <s v="Grazing"/>
    <s v="Latin America and the Caribbean"/>
    <n v="0"/>
    <x v="2"/>
    <x v="0"/>
    <x v="0"/>
  </r>
  <r>
    <s v="COFCO Group"/>
    <s v="Grazing"/>
    <s v="Near East and North Africa"/>
    <n v="0"/>
    <x v="2"/>
    <x v="0"/>
    <x v="0"/>
  </r>
  <r>
    <s v="COFCO Group"/>
    <s v="Grazing"/>
    <s v="North America"/>
    <n v="0"/>
    <x v="2"/>
    <x v="0"/>
    <x v="0"/>
  </r>
  <r>
    <s v="COFCO Group"/>
    <s v="Grazing"/>
    <s v="Oceania"/>
    <n v="5"/>
    <x v="2"/>
    <x v="0"/>
    <x v="0"/>
  </r>
  <r>
    <s v="COFCO Group"/>
    <s v="Grazing"/>
    <s v="RoW"/>
    <n v="0"/>
    <x v="2"/>
    <x v="0"/>
    <x v="0"/>
  </r>
  <r>
    <s v="COFCO Group"/>
    <s v="Grazing"/>
    <s v="Russian Federation"/>
    <n v="0"/>
    <x v="2"/>
    <x v="0"/>
    <x v="0"/>
  </r>
  <r>
    <s v="COFCO Group"/>
    <s v="Grazing"/>
    <s v="South Asia"/>
    <n v="0"/>
    <x v="2"/>
    <x v="0"/>
    <x v="0"/>
  </r>
  <r>
    <s v="COFCO Group"/>
    <s v="Grazing"/>
    <s v="Sub-Saharan Africa"/>
    <n v="0"/>
    <x v="2"/>
    <x v="0"/>
    <x v="0"/>
  </r>
  <r>
    <s v="COFCO Group"/>
    <s v="Grazing"/>
    <s v="Western Europe"/>
    <n v="1"/>
    <x v="2"/>
    <x v="0"/>
    <x v="0"/>
  </r>
  <r>
    <s v="COFCO Group"/>
    <s v="Croplands"/>
    <s v="East Asia and Southeast Asia"/>
    <n v="400"/>
    <x v="2"/>
    <x v="0"/>
    <x v="0"/>
  </r>
  <r>
    <s v="COFCO Group"/>
    <s v="Croplands"/>
    <s v="Eastern Europe"/>
    <n v="15"/>
    <x v="2"/>
    <x v="0"/>
    <x v="0"/>
  </r>
  <r>
    <s v="COFCO Group"/>
    <s v="Croplands"/>
    <s v="Latin America and the Caribbean"/>
    <n v="165"/>
    <x v="2"/>
    <x v="0"/>
    <x v="0"/>
  </r>
  <r>
    <s v="COFCO Group"/>
    <s v="Croplands"/>
    <s v="Near East and North Africa"/>
    <n v="6"/>
    <x v="2"/>
    <x v="0"/>
    <x v="0"/>
  </r>
  <r>
    <s v="COFCO Group"/>
    <s v="Croplands"/>
    <s v="North America"/>
    <n v="108"/>
    <x v="2"/>
    <x v="0"/>
    <x v="0"/>
  </r>
  <r>
    <s v="COFCO Group"/>
    <s v="Croplands"/>
    <s v="Oceania"/>
    <n v="11"/>
    <x v="2"/>
    <x v="0"/>
    <x v="0"/>
  </r>
  <r>
    <s v="COFCO Group"/>
    <s v="Croplands"/>
    <s v="RoW"/>
    <n v="0"/>
    <x v="2"/>
    <x v="0"/>
    <x v="0"/>
  </r>
  <r>
    <s v="COFCO Group"/>
    <s v="Croplands"/>
    <s v="Russian Federation"/>
    <n v="6"/>
    <x v="2"/>
    <x v="0"/>
    <x v="0"/>
  </r>
  <r>
    <s v="COFCO Group"/>
    <s v="Croplands"/>
    <s v="South Asia"/>
    <n v="7"/>
    <x v="2"/>
    <x v="0"/>
    <x v="0"/>
  </r>
  <r>
    <s v="COFCO Group"/>
    <s v="Croplands"/>
    <s v="Sub-Saharan Africa"/>
    <n v="3"/>
    <x v="2"/>
    <x v="0"/>
    <x v="0"/>
  </r>
  <r>
    <s v="COFCO Group"/>
    <s v="Croplands"/>
    <s v="Western Europe"/>
    <n v="2"/>
    <x v="2"/>
    <x v="0"/>
    <x v="0"/>
  </r>
  <r>
    <s v="Cooperl Arc Atlantique"/>
    <s v="Grazing"/>
    <s v="East Asia and Southeast Asia"/>
    <n v="0"/>
    <x v="2"/>
    <x v="0"/>
    <x v="0"/>
  </r>
  <r>
    <s v="Cooperl Arc Atlantique"/>
    <s v="Grazing"/>
    <s v="Eastern Europe"/>
    <n v="0"/>
    <x v="2"/>
    <x v="0"/>
    <x v="0"/>
  </r>
  <r>
    <s v="Cooperl Arc Atlantique"/>
    <s v="Grazing"/>
    <s v="Latin America and the Caribbean"/>
    <n v="0"/>
    <x v="2"/>
    <x v="0"/>
    <x v="0"/>
  </r>
  <r>
    <s v="Cooperl Arc Atlantique"/>
    <s v="Grazing"/>
    <s v="Near East and North Africa"/>
    <n v="0"/>
    <x v="2"/>
    <x v="0"/>
    <x v="0"/>
  </r>
  <r>
    <s v="Cooperl Arc Atlantique"/>
    <s v="Grazing"/>
    <s v="North America"/>
    <n v="1"/>
    <x v="2"/>
    <x v="0"/>
    <x v="0"/>
  </r>
  <r>
    <s v="Cooperl Arc Atlantique"/>
    <s v="Grazing"/>
    <s v="Oceania"/>
    <n v="0"/>
    <x v="2"/>
    <x v="0"/>
    <x v="0"/>
  </r>
  <r>
    <s v="Cooperl Arc Atlantique"/>
    <s v="Grazing"/>
    <s v="RoW"/>
    <n v="0"/>
    <x v="2"/>
    <x v="0"/>
    <x v="0"/>
  </r>
  <r>
    <s v="Cooperl Arc Atlantique"/>
    <s v="Grazing"/>
    <s v="Russian Federation"/>
    <n v="0"/>
    <x v="2"/>
    <x v="0"/>
    <x v="0"/>
  </r>
  <r>
    <s v="Cooperl Arc Atlantique"/>
    <s v="Grazing"/>
    <s v="South Asia"/>
    <n v="0"/>
    <x v="2"/>
    <x v="0"/>
    <x v="0"/>
  </r>
  <r>
    <s v="Cooperl Arc Atlantique"/>
    <s v="Grazing"/>
    <s v="Sub-Saharan Africa"/>
    <n v="0"/>
    <x v="2"/>
    <x v="0"/>
    <x v="0"/>
  </r>
  <r>
    <s v="Cooperl Arc Atlantique"/>
    <s v="Grazing"/>
    <s v="Western Europe"/>
    <n v="25"/>
    <x v="2"/>
    <x v="0"/>
    <x v="0"/>
  </r>
  <r>
    <s v="Cooperl Arc Atlantique"/>
    <s v="Croplands"/>
    <s v="East Asia and Southeast Asia"/>
    <n v="5"/>
    <x v="2"/>
    <x v="0"/>
    <x v="0"/>
  </r>
  <r>
    <s v="Cooperl Arc Atlantique"/>
    <s v="Croplands"/>
    <s v="Eastern Europe"/>
    <n v="78"/>
    <x v="2"/>
    <x v="0"/>
    <x v="0"/>
  </r>
  <r>
    <s v="Cooperl Arc Atlantique"/>
    <s v="Croplands"/>
    <s v="Latin America and the Caribbean"/>
    <n v="61"/>
    <x v="2"/>
    <x v="0"/>
    <x v="0"/>
  </r>
  <r>
    <s v="Cooperl Arc Atlantique"/>
    <s v="Croplands"/>
    <s v="Near East and North Africa"/>
    <n v="4"/>
    <x v="2"/>
    <x v="0"/>
    <x v="0"/>
  </r>
  <r>
    <s v="Cooperl Arc Atlantique"/>
    <s v="Croplands"/>
    <s v="North America"/>
    <n v="29"/>
    <x v="2"/>
    <x v="0"/>
    <x v="0"/>
  </r>
  <r>
    <s v="Cooperl Arc Atlantique"/>
    <s v="Croplands"/>
    <s v="Oceania"/>
    <n v="6"/>
    <x v="2"/>
    <x v="0"/>
    <x v="0"/>
  </r>
  <r>
    <s v="Cooperl Arc Atlantique"/>
    <s v="Croplands"/>
    <s v="RoW"/>
    <n v="0"/>
    <x v="2"/>
    <x v="0"/>
    <x v="0"/>
  </r>
  <r>
    <s v="Cooperl Arc Atlantique"/>
    <s v="Croplands"/>
    <s v="Russian Federation"/>
    <n v="11"/>
    <x v="2"/>
    <x v="0"/>
    <x v="0"/>
  </r>
  <r>
    <s v="Cooperl Arc Atlantique"/>
    <s v="Croplands"/>
    <s v="South Asia"/>
    <n v="4"/>
    <x v="2"/>
    <x v="0"/>
    <x v="0"/>
  </r>
  <r>
    <s v="Cooperl Arc Atlantique"/>
    <s v="Croplands"/>
    <s v="Sub-Saharan Africa"/>
    <n v="2"/>
    <x v="2"/>
    <x v="0"/>
    <x v="0"/>
  </r>
  <r>
    <s v="Cooperl Arc Atlantique"/>
    <s v="Croplands"/>
    <s v="Western Europe"/>
    <n v="293"/>
    <x v="2"/>
    <x v="0"/>
    <x v="0"/>
  </r>
  <r>
    <s v="Danish Crown"/>
    <s v="Grazing"/>
    <s v="East Asia and Southeast Asia"/>
    <n v="0"/>
    <x v="2"/>
    <x v="0"/>
    <x v="0"/>
  </r>
  <r>
    <s v="Danish Crown"/>
    <s v="Grazing"/>
    <s v="Eastern Europe"/>
    <n v="10"/>
    <x v="2"/>
    <x v="0"/>
    <x v="0"/>
  </r>
  <r>
    <s v="Danish Crown"/>
    <s v="Grazing"/>
    <s v="Latin America and the Caribbean"/>
    <n v="2"/>
    <x v="2"/>
    <x v="0"/>
    <x v="0"/>
  </r>
  <r>
    <s v="Danish Crown"/>
    <s v="Grazing"/>
    <s v="Near East and North Africa"/>
    <n v="0"/>
    <x v="2"/>
    <x v="0"/>
    <x v="0"/>
  </r>
  <r>
    <s v="Danish Crown"/>
    <s v="Grazing"/>
    <s v="North America"/>
    <n v="4"/>
    <x v="2"/>
    <x v="0"/>
    <x v="0"/>
  </r>
  <r>
    <s v="Danish Crown"/>
    <s v="Grazing"/>
    <s v="Oceania"/>
    <n v="1"/>
    <x v="2"/>
    <x v="0"/>
    <x v="0"/>
  </r>
  <r>
    <s v="Danish Crown"/>
    <s v="Grazing"/>
    <s v="RoW"/>
    <n v="0"/>
    <x v="2"/>
    <x v="0"/>
    <x v="0"/>
  </r>
  <r>
    <s v="Danish Crown"/>
    <s v="Grazing"/>
    <s v="Russian Federation"/>
    <n v="0"/>
    <x v="2"/>
    <x v="0"/>
    <x v="0"/>
  </r>
  <r>
    <s v="Danish Crown"/>
    <s v="Grazing"/>
    <s v="South Asia"/>
    <n v="0"/>
    <x v="2"/>
    <x v="0"/>
    <x v="0"/>
  </r>
  <r>
    <s v="Danish Crown"/>
    <s v="Grazing"/>
    <s v="Sub-Saharan Africa"/>
    <n v="2"/>
    <x v="2"/>
    <x v="0"/>
    <x v="0"/>
  </r>
  <r>
    <s v="Danish Crown"/>
    <s v="Grazing"/>
    <s v="Western Europe"/>
    <n v="87"/>
    <x v="2"/>
    <x v="0"/>
    <x v="0"/>
  </r>
  <r>
    <s v="Danish Crown"/>
    <s v="Croplands"/>
    <s v="East Asia and Southeast Asia"/>
    <n v="16"/>
    <x v="2"/>
    <x v="0"/>
    <x v="0"/>
  </r>
  <r>
    <s v="Danish Crown"/>
    <s v="Croplands"/>
    <s v="Eastern Europe"/>
    <n v="442"/>
    <x v="2"/>
    <x v="0"/>
    <x v="0"/>
  </r>
  <r>
    <s v="Danish Crown"/>
    <s v="Croplands"/>
    <s v="Latin America and the Caribbean"/>
    <n v="222"/>
    <x v="2"/>
    <x v="0"/>
    <x v="0"/>
  </r>
  <r>
    <s v="Danish Crown"/>
    <s v="Croplands"/>
    <s v="Near East and North Africa"/>
    <n v="13"/>
    <x v="2"/>
    <x v="0"/>
    <x v="0"/>
  </r>
  <r>
    <s v="Danish Crown"/>
    <s v="Croplands"/>
    <s v="North America"/>
    <n v="99"/>
    <x v="2"/>
    <x v="0"/>
    <x v="0"/>
  </r>
  <r>
    <s v="Danish Crown"/>
    <s v="Croplands"/>
    <s v="Oceania"/>
    <n v="22"/>
    <x v="2"/>
    <x v="0"/>
    <x v="0"/>
  </r>
  <r>
    <s v="Danish Crown"/>
    <s v="Croplands"/>
    <s v="RoW"/>
    <n v="0"/>
    <x v="2"/>
    <x v="0"/>
    <x v="0"/>
  </r>
  <r>
    <s v="Danish Crown"/>
    <s v="Croplands"/>
    <s v="Russian Federation"/>
    <n v="42"/>
    <x v="2"/>
    <x v="0"/>
    <x v="0"/>
  </r>
  <r>
    <s v="Danish Crown"/>
    <s v="Croplands"/>
    <s v="South Asia"/>
    <n v="13"/>
    <x v="2"/>
    <x v="0"/>
    <x v="0"/>
  </r>
  <r>
    <s v="Danish Crown"/>
    <s v="Croplands"/>
    <s v="Sub-Saharan Africa"/>
    <n v="5"/>
    <x v="2"/>
    <x v="0"/>
    <x v="0"/>
  </r>
  <r>
    <s v="Danish Crown"/>
    <s v="Croplands"/>
    <s v="Western Europe"/>
    <n v="1008"/>
    <x v="2"/>
    <x v="0"/>
    <x v="0"/>
  </r>
  <r>
    <s v="Grupo Jorges"/>
    <s v="Grazing"/>
    <s v="East Asia and Southeast Asia"/>
    <n v="0"/>
    <x v="2"/>
    <x v="0"/>
    <x v="0"/>
  </r>
  <r>
    <s v="Grupo Jorges"/>
    <s v="Grazing"/>
    <s v="Eastern Europe"/>
    <n v="0"/>
    <x v="2"/>
    <x v="0"/>
    <x v="0"/>
  </r>
  <r>
    <s v="Grupo Jorges"/>
    <s v="Grazing"/>
    <s v="Latin America and the Caribbean"/>
    <n v="0"/>
    <x v="2"/>
    <x v="0"/>
    <x v="0"/>
  </r>
  <r>
    <s v="Grupo Jorges"/>
    <s v="Grazing"/>
    <s v="Near East and North Africa"/>
    <n v="0"/>
    <x v="2"/>
    <x v="0"/>
    <x v="0"/>
  </r>
  <r>
    <s v="Grupo Jorges"/>
    <s v="Grazing"/>
    <s v="North America"/>
    <n v="2"/>
    <x v="2"/>
    <x v="0"/>
    <x v="0"/>
  </r>
  <r>
    <s v="Grupo Jorges"/>
    <s v="Grazing"/>
    <s v="Oceania"/>
    <n v="0"/>
    <x v="2"/>
    <x v="0"/>
    <x v="0"/>
  </r>
  <r>
    <s v="Grupo Jorges"/>
    <s v="Grazing"/>
    <s v="RoW"/>
    <n v="0"/>
    <x v="2"/>
    <x v="0"/>
    <x v="0"/>
  </r>
  <r>
    <s v="Grupo Jorges"/>
    <s v="Grazing"/>
    <s v="Russian Federation"/>
    <n v="0"/>
    <x v="2"/>
    <x v="0"/>
    <x v="0"/>
  </r>
  <r>
    <s v="Grupo Jorges"/>
    <s v="Grazing"/>
    <s v="South Asia"/>
    <n v="0"/>
    <x v="2"/>
    <x v="0"/>
    <x v="0"/>
  </r>
  <r>
    <s v="Grupo Jorges"/>
    <s v="Grazing"/>
    <s v="Sub-Saharan Africa"/>
    <n v="0"/>
    <x v="2"/>
    <x v="0"/>
    <x v="0"/>
  </r>
  <r>
    <s v="Grupo Jorges"/>
    <s v="Grazing"/>
    <s v="Western Europe"/>
    <n v="38"/>
    <x v="2"/>
    <x v="0"/>
    <x v="0"/>
  </r>
  <r>
    <s v="Grupo Jorges"/>
    <s v="Croplands"/>
    <s v="East Asia and Southeast Asia"/>
    <n v="7"/>
    <x v="2"/>
    <x v="0"/>
    <x v="0"/>
  </r>
  <r>
    <s v="Grupo Jorges"/>
    <s v="Croplands"/>
    <s v="Eastern Europe"/>
    <n v="116"/>
    <x v="2"/>
    <x v="0"/>
    <x v="0"/>
  </r>
  <r>
    <s v="Grupo Jorges"/>
    <s v="Croplands"/>
    <s v="Latin America and the Caribbean"/>
    <n v="91"/>
    <x v="2"/>
    <x v="0"/>
    <x v="0"/>
  </r>
  <r>
    <s v="Grupo Jorges"/>
    <s v="Croplands"/>
    <s v="Near East and North Africa"/>
    <n v="6"/>
    <x v="2"/>
    <x v="0"/>
    <x v="0"/>
  </r>
  <r>
    <s v="Grupo Jorges"/>
    <s v="Croplands"/>
    <s v="North America"/>
    <n v="43"/>
    <x v="2"/>
    <x v="0"/>
    <x v="0"/>
  </r>
  <r>
    <s v="Grupo Jorges"/>
    <s v="Croplands"/>
    <s v="Oceania"/>
    <n v="10"/>
    <x v="2"/>
    <x v="0"/>
    <x v="0"/>
  </r>
  <r>
    <s v="Grupo Jorges"/>
    <s v="Croplands"/>
    <s v="RoW"/>
    <n v="0"/>
    <x v="2"/>
    <x v="0"/>
    <x v="0"/>
  </r>
  <r>
    <s v="Grupo Jorges"/>
    <s v="Croplands"/>
    <s v="Russian Federation"/>
    <n v="17"/>
    <x v="2"/>
    <x v="0"/>
    <x v="0"/>
  </r>
  <r>
    <s v="Grupo Jorges"/>
    <s v="Croplands"/>
    <s v="South Asia"/>
    <n v="5"/>
    <x v="2"/>
    <x v="0"/>
    <x v="0"/>
  </r>
  <r>
    <s v="Grupo Jorges"/>
    <s v="Croplands"/>
    <s v="Sub-Saharan Africa"/>
    <n v="2"/>
    <x v="2"/>
    <x v="0"/>
    <x v="0"/>
  </r>
  <r>
    <s v="Grupo Jorges"/>
    <s v="Croplands"/>
    <s v="Western Europe"/>
    <n v="436"/>
    <x v="2"/>
    <x v="0"/>
    <x v="0"/>
  </r>
  <r>
    <s v="Grupo Vall"/>
    <s v="Grazing"/>
    <s v="East Asia and Southeast Asia"/>
    <n v="0"/>
    <x v="2"/>
    <x v="0"/>
    <x v="0"/>
  </r>
  <r>
    <s v="Grupo Vall"/>
    <s v="Grazing"/>
    <s v="Eastern Europe"/>
    <n v="1"/>
    <x v="2"/>
    <x v="0"/>
    <x v="0"/>
  </r>
  <r>
    <s v="Grupo Vall"/>
    <s v="Grazing"/>
    <s v="Latin America and the Caribbean"/>
    <n v="1"/>
    <x v="2"/>
    <x v="0"/>
    <x v="0"/>
  </r>
  <r>
    <s v="Grupo Vall"/>
    <s v="Grazing"/>
    <s v="Near East and North Africa"/>
    <n v="0"/>
    <x v="2"/>
    <x v="0"/>
    <x v="0"/>
  </r>
  <r>
    <s v="Grupo Vall"/>
    <s v="Grazing"/>
    <s v="North America"/>
    <n v="2"/>
    <x v="2"/>
    <x v="0"/>
    <x v="0"/>
  </r>
  <r>
    <s v="Grupo Vall"/>
    <s v="Grazing"/>
    <s v="Oceania"/>
    <n v="0"/>
    <x v="2"/>
    <x v="0"/>
    <x v="0"/>
  </r>
  <r>
    <s v="Grupo Vall"/>
    <s v="Grazing"/>
    <s v="RoW"/>
    <n v="0"/>
    <x v="2"/>
    <x v="0"/>
    <x v="0"/>
  </r>
  <r>
    <s v="Grupo Vall"/>
    <s v="Grazing"/>
    <s v="Russian Federation"/>
    <n v="0"/>
    <x v="2"/>
    <x v="0"/>
    <x v="0"/>
  </r>
  <r>
    <s v="Grupo Vall"/>
    <s v="Grazing"/>
    <s v="South Asia"/>
    <n v="0"/>
    <x v="2"/>
    <x v="0"/>
    <x v="0"/>
  </r>
  <r>
    <s v="Grupo Vall"/>
    <s v="Grazing"/>
    <s v="Sub-Saharan Africa"/>
    <n v="0"/>
    <x v="2"/>
    <x v="0"/>
    <x v="0"/>
  </r>
  <r>
    <s v="Grupo Vall"/>
    <s v="Grazing"/>
    <s v="Western Europe"/>
    <n v="50"/>
    <x v="2"/>
    <x v="0"/>
    <x v="0"/>
  </r>
  <r>
    <s v="Grupo Vall"/>
    <s v="Croplands"/>
    <s v="East Asia and Southeast Asia"/>
    <n v="9"/>
    <x v="2"/>
    <x v="0"/>
    <x v="0"/>
  </r>
  <r>
    <s v="Grupo Vall"/>
    <s v="Croplands"/>
    <s v="Eastern Europe"/>
    <n v="154"/>
    <x v="2"/>
    <x v="0"/>
    <x v="0"/>
  </r>
  <r>
    <s v="Grupo Vall"/>
    <s v="Croplands"/>
    <s v="Latin America and the Caribbean"/>
    <n v="121"/>
    <x v="2"/>
    <x v="0"/>
    <x v="0"/>
  </r>
  <r>
    <s v="Grupo Vall"/>
    <s v="Croplands"/>
    <s v="Near East and North Africa"/>
    <n v="7"/>
    <x v="2"/>
    <x v="0"/>
    <x v="0"/>
  </r>
  <r>
    <s v="Grupo Vall"/>
    <s v="Croplands"/>
    <s v="North America"/>
    <n v="57"/>
    <x v="2"/>
    <x v="0"/>
    <x v="0"/>
  </r>
  <r>
    <s v="Grupo Vall"/>
    <s v="Croplands"/>
    <s v="Oceania"/>
    <n v="13"/>
    <x v="2"/>
    <x v="0"/>
    <x v="0"/>
  </r>
  <r>
    <s v="Grupo Vall"/>
    <s v="Croplands"/>
    <s v="RoW"/>
    <n v="0"/>
    <x v="2"/>
    <x v="0"/>
    <x v="0"/>
  </r>
  <r>
    <s v="Grupo Vall"/>
    <s v="Croplands"/>
    <s v="Russian Federation"/>
    <n v="22"/>
    <x v="2"/>
    <x v="0"/>
    <x v="0"/>
  </r>
  <r>
    <s v="Grupo Vall"/>
    <s v="Croplands"/>
    <s v="South Asia"/>
    <n v="7"/>
    <x v="2"/>
    <x v="0"/>
    <x v="0"/>
  </r>
  <r>
    <s v="Grupo Vall"/>
    <s v="Croplands"/>
    <s v="Sub-Saharan Africa"/>
    <n v="3"/>
    <x v="2"/>
    <x v="0"/>
    <x v="0"/>
  </r>
  <r>
    <s v="Grupo Vall"/>
    <s v="Croplands"/>
    <s v="Western Europe"/>
    <n v="580"/>
    <x v="2"/>
    <x v="0"/>
    <x v="0"/>
  </r>
  <r>
    <s v="Gruppo Cremonini"/>
    <s v="Grazing"/>
    <s v="East Asia and Southeast Asia"/>
    <n v="0"/>
    <x v="2"/>
    <x v="0"/>
    <x v="0"/>
  </r>
  <r>
    <s v="Gruppo Cremonini"/>
    <s v="Grazing"/>
    <s v="Eastern Europe"/>
    <n v="0"/>
    <x v="2"/>
    <x v="0"/>
    <x v="0"/>
  </r>
  <r>
    <s v="Gruppo Cremonini"/>
    <s v="Grazing"/>
    <s v="Latin America and the Caribbean"/>
    <n v="0"/>
    <x v="2"/>
    <x v="0"/>
    <x v="0"/>
  </r>
  <r>
    <s v="Gruppo Cremonini"/>
    <s v="Grazing"/>
    <s v="Near East and North Africa"/>
    <n v="0"/>
    <x v="2"/>
    <x v="0"/>
    <x v="0"/>
  </r>
  <r>
    <s v="Gruppo Cremonini"/>
    <s v="Grazing"/>
    <s v="North America"/>
    <n v="0"/>
    <x v="2"/>
    <x v="0"/>
    <x v="0"/>
  </r>
  <r>
    <s v="Gruppo Cremonini"/>
    <s v="Grazing"/>
    <s v="Oceania"/>
    <n v="0"/>
    <x v="2"/>
    <x v="0"/>
    <x v="0"/>
  </r>
  <r>
    <s v="Gruppo Cremonini"/>
    <s v="Grazing"/>
    <s v="RoW"/>
    <n v="0"/>
    <x v="2"/>
    <x v="0"/>
    <x v="0"/>
  </r>
  <r>
    <s v="Gruppo Cremonini"/>
    <s v="Grazing"/>
    <s v="Russian Federation"/>
    <n v="0"/>
    <x v="2"/>
    <x v="0"/>
    <x v="0"/>
  </r>
  <r>
    <s v="Gruppo Cremonini"/>
    <s v="Grazing"/>
    <s v="South Asia"/>
    <n v="0"/>
    <x v="2"/>
    <x v="0"/>
    <x v="0"/>
  </r>
  <r>
    <s v="Gruppo Cremonini"/>
    <s v="Grazing"/>
    <s v="Sub-Saharan Africa"/>
    <n v="0"/>
    <x v="2"/>
    <x v="0"/>
    <x v="0"/>
  </r>
  <r>
    <s v="Gruppo Cremonini"/>
    <s v="Grazing"/>
    <s v="Western Europe"/>
    <n v="4"/>
    <x v="2"/>
    <x v="0"/>
    <x v="0"/>
  </r>
  <r>
    <s v="Gruppo Cremonini"/>
    <s v="Croplands"/>
    <s v="East Asia and Southeast Asia"/>
    <n v="0"/>
    <x v="2"/>
    <x v="0"/>
    <x v="0"/>
  </r>
  <r>
    <s v="Gruppo Cremonini"/>
    <s v="Croplands"/>
    <s v="Eastern Europe"/>
    <n v="13"/>
    <x v="2"/>
    <x v="0"/>
    <x v="0"/>
  </r>
  <r>
    <s v="Gruppo Cremonini"/>
    <s v="Croplands"/>
    <s v="Latin America and the Caribbean"/>
    <n v="10"/>
    <x v="2"/>
    <x v="0"/>
    <x v="0"/>
  </r>
  <r>
    <s v="Gruppo Cremonini"/>
    <s v="Croplands"/>
    <s v="Near East and North Africa"/>
    <n v="0"/>
    <x v="2"/>
    <x v="0"/>
    <x v="0"/>
  </r>
  <r>
    <s v="Gruppo Cremonini"/>
    <s v="Croplands"/>
    <s v="North America"/>
    <n v="5"/>
    <x v="2"/>
    <x v="0"/>
    <x v="0"/>
  </r>
  <r>
    <s v="Gruppo Cremonini"/>
    <s v="Croplands"/>
    <s v="Oceania"/>
    <n v="1"/>
    <x v="2"/>
    <x v="0"/>
    <x v="0"/>
  </r>
  <r>
    <s v="Gruppo Cremonini"/>
    <s v="Croplands"/>
    <s v="RoW"/>
    <n v="0"/>
    <x v="2"/>
    <x v="0"/>
    <x v="0"/>
  </r>
  <r>
    <s v="Gruppo Cremonini"/>
    <s v="Croplands"/>
    <s v="Russian Federation"/>
    <n v="2"/>
    <x v="2"/>
    <x v="0"/>
    <x v="0"/>
  </r>
  <r>
    <s v="Gruppo Cremonini"/>
    <s v="Croplands"/>
    <s v="South Asia"/>
    <n v="0"/>
    <x v="2"/>
    <x v="0"/>
    <x v="0"/>
  </r>
  <r>
    <s v="Gruppo Cremonini"/>
    <s v="Croplands"/>
    <s v="Sub-Saharan Africa"/>
    <n v="0"/>
    <x v="2"/>
    <x v="0"/>
    <x v="0"/>
  </r>
  <r>
    <s v="Gruppo Cremonini"/>
    <s v="Croplands"/>
    <s v="Western Europe"/>
    <n v="48"/>
    <x v="2"/>
    <x v="0"/>
    <x v="0"/>
  </r>
  <r>
    <s v="JBS"/>
    <s v="Grazing"/>
    <s v="East Asia and Southeast Asia"/>
    <n v="2"/>
    <x v="2"/>
    <x v="0"/>
    <x v="0"/>
  </r>
  <r>
    <s v="JBS"/>
    <s v="Grazing"/>
    <s v="Eastern Europe"/>
    <n v="0"/>
    <x v="2"/>
    <x v="0"/>
    <x v="0"/>
  </r>
  <r>
    <s v="JBS"/>
    <s v="Grazing"/>
    <s v="Latin America and the Caribbean"/>
    <n v="108"/>
    <x v="2"/>
    <x v="0"/>
    <x v="0"/>
  </r>
  <r>
    <s v="JBS"/>
    <s v="Grazing"/>
    <s v="Near East and North Africa"/>
    <n v="0"/>
    <x v="2"/>
    <x v="0"/>
    <x v="0"/>
  </r>
  <r>
    <s v="JBS"/>
    <s v="Grazing"/>
    <s v="North America"/>
    <n v="710"/>
    <x v="2"/>
    <x v="0"/>
    <x v="0"/>
  </r>
  <r>
    <s v="JBS"/>
    <s v="Grazing"/>
    <s v="Oceania"/>
    <n v="90"/>
    <x v="2"/>
    <x v="0"/>
    <x v="0"/>
  </r>
  <r>
    <s v="JBS"/>
    <s v="Grazing"/>
    <s v="RoW"/>
    <n v="0"/>
    <x v="2"/>
    <x v="0"/>
    <x v="0"/>
  </r>
  <r>
    <s v="JBS"/>
    <s v="Grazing"/>
    <s v="Russian Federation"/>
    <n v="0"/>
    <x v="2"/>
    <x v="0"/>
    <x v="0"/>
  </r>
  <r>
    <s v="JBS"/>
    <s v="Grazing"/>
    <s v="South Asia"/>
    <n v="0"/>
    <x v="2"/>
    <x v="0"/>
    <x v="0"/>
  </r>
  <r>
    <s v="JBS"/>
    <s v="Grazing"/>
    <s v="Sub-Saharan Africa"/>
    <n v="0"/>
    <x v="2"/>
    <x v="0"/>
    <x v="0"/>
  </r>
  <r>
    <s v="JBS"/>
    <s v="Grazing"/>
    <s v="Western Europe"/>
    <n v="14"/>
    <x v="2"/>
    <x v="0"/>
    <x v="0"/>
  </r>
  <r>
    <s v="JBS"/>
    <s v="Croplands"/>
    <s v="East Asia and Southeast Asia"/>
    <n v="8"/>
    <x v="2"/>
    <x v="0"/>
    <x v="0"/>
  </r>
  <r>
    <s v="JBS"/>
    <s v="Croplands"/>
    <s v="Eastern Europe"/>
    <n v="43"/>
    <x v="2"/>
    <x v="0"/>
    <x v="0"/>
  </r>
  <r>
    <s v="JBS"/>
    <s v="Croplands"/>
    <s v="Latin America and the Caribbean"/>
    <n v="824"/>
    <x v="2"/>
    <x v="0"/>
    <x v="0"/>
  </r>
  <r>
    <s v="JBS"/>
    <s v="Croplands"/>
    <s v="Near East and North Africa"/>
    <n v="7"/>
    <x v="2"/>
    <x v="0"/>
    <x v="0"/>
  </r>
  <r>
    <s v="JBS"/>
    <s v="Croplands"/>
    <s v="North America"/>
    <n v="2628"/>
    <x v="2"/>
    <x v="0"/>
    <x v="0"/>
  </r>
  <r>
    <s v="JBS"/>
    <s v="Croplands"/>
    <s v="Oceania"/>
    <n v="496"/>
    <x v="2"/>
    <x v="0"/>
    <x v="0"/>
  </r>
  <r>
    <s v="JBS"/>
    <s v="Croplands"/>
    <s v="RoW"/>
    <n v="0"/>
    <x v="2"/>
    <x v="0"/>
    <x v="0"/>
  </r>
  <r>
    <s v="JBS"/>
    <s v="Croplands"/>
    <s v="Russian Federation"/>
    <n v="12"/>
    <x v="2"/>
    <x v="0"/>
    <x v="0"/>
  </r>
  <r>
    <s v="JBS"/>
    <s v="Croplands"/>
    <s v="South Asia"/>
    <n v="44"/>
    <x v="2"/>
    <x v="0"/>
    <x v="0"/>
  </r>
  <r>
    <s v="JBS"/>
    <s v="Croplands"/>
    <s v="Sub-Saharan Africa"/>
    <n v="4"/>
    <x v="2"/>
    <x v="0"/>
    <x v="0"/>
  </r>
  <r>
    <s v="JBS"/>
    <s v="Croplands"/>
    <s v="Western Europe"/>
    <n v="148"/>
    <x v="2"/>
    <x v="0"/>
    <x v="0"/>
  </r>
  <r>
    <s v="Muyuan Foodstuff"/>
    <s v="Grazing"/>
    <s v="East Asia and Southeast Asia"/>
    <n v="103"/>
    <x v="2"/>
    <x v="0"/>
    <x v="0"/>
  </r>
  <r>
    <s v="Muyuan Foodstuff"/>
    <s v="Grazing"/>
    <s v="Eastern Europe"/>
    <n v="0"/>
    <x v="2"/>
    <x v="0"/>
    <x v="0"/>
  </r>
  <r>
    <s v="Muyuan Foodstuff"/>
    <s v="Grazing"/>
    <s v="Latin America and the Caribbean"/>
    <n v="2"/>
    <x v="2"/>
    <x v="0"/>
    <x v="0"/>
  </r>
  <r>
    <s v="Muyuan Foodstuff"/>
    <s v="Grazing"/>
    <s v="Near East and North Africa"/>
    <n v="0"/>
    <x v="2"/>
    <x v="0"/>
    <x v="0"/>
  </r>
  <r>
    <s v="Muyuan Foodstuff"/>
    <s v="Grazing"/>
    <s v="North America"/>
    <n v="2"/>
    <x v="2"/>
    <x v="0"/>
    <x v="0"/>
  </r>
  <r>
    <s v="Muyuan Foodstuff"/>
    <s v="Grazing"/>
    <s v="Oceania"/>
    <n v="12"/>
    <x v="2"/>
    <x v="0"/>
    <x v="0"/>
  </r>
  <r>
    <s v="Muyuan Foodstuff"/>
    <s v="Grazing"/>
    <s v="RoW"/>
    <n v="0"/>
    <x v="2"/>
    <x v="0"/>
    <x v="0"/>
  </r>
  <r>
    <s v="Muyuan Foodstuff"/>
    <s v="Grazing"/>
    <s v="Russian Federation"/>
    <n v="0"/>
    <x v="2"/>
    <x v="0"/>
    <x v="0"/>
  </r>
  <r>
    <s v="Muyuan Foodstuff"/>
    <s v="Grazing"/>
    <s v="South Asia"/>
    <n v="0"/>
    <x v="2"/>
    <x v="0"/>
    <x v="0"/>
  </r>
  <r>
    <s v="Muyuan Foodstuff"/>
    <s v="Grazing"/>
    <s v="Sub-Saharan Africa"/>
    <n v="0"/>
    <x v="2"/>
    <x v="0"/>
    <x v="0"/>
  </r>
  <r>
    <s v="Muyuan Foodstuff"/>
    <s v="Grazing"/>
    <s v="Western Europe"/>
    <n v="3"/>
    <x v="2"/>
    <x v="0"/>
    <x v="0"/>
  </r>
  <r>
    <s v="Muyuan Foodstuff"/>
    <s v="Croplands"/>
    <s v="East Asia and Southeast Asia"/>
    <n v="1020"/>
    <x v="2"/>
    <x v="0"/>
    <x v="0"/>
  </r>
  <r>
    <s v="Muyuan Foodstuff"/>
    <s v="Croplands"/>
    <s v="Eastern Europe"/>
    <n v="38"/>
    <x v="2"/>
    <x v="0"/>
    <x v="0"/>
  </r>
  <r>
    <s v="Muyuan Foodstuff"/>
    <s v="Croplands"/>
    <s v="Latin America and the Caribbean"/>
    <n v="420"/>
    <x v="2"/>
    <x v="0"/>
    <x v="0"/>
  </r>
  <r>
    <s v="Muyuan Foodstuff"/>
    <s v="Croplands"/>
    <s v="Near East and North Africa"/>
    <n v="15"/>
    <x v="2"/>
    <x v="0"/>
    <x v="0"/>
  </r>
  <r>
    <s v="Muyuan Foodstuff"/>
    <s v="Croplands"/>
    <s v="North America"/>
    <n v="277"/>
    <x v="2"/>
    <x v="0"/>
    <x v="0"/>
  </r>
  <r>
    <s v="Muyuan Foodstuff"/>
    <s v="Croplands"/>
    <s v="Oceania"/>
    <n v="28"/>
    <x v="2"/>
    <x v="0"/>
    <x v="0"/>
  </r>
  <r>
    <s v="Muyuan Foodstuff"/>
    <s v="Croplands"/>
    <s v="RoW"/>
    <n v="0"/>
    <x v="2"/>
    <x v="0"/>
    <x v="0"/>
  </r>
  <r>
    <s v="Muyuan Foodstuff"/>
    <s v="Croplands"/>
    <s v="Russian Federation"/>
    <n v="16"/>
    <x v="2"/>
    <x v="0"/>
    <x v="0"/>
  </r>
  <r>
    <s v="Muyuan Foodstuff"/>
    <s v="Croplands"/>
    <s v="South Asia"/>
    <n v="17"/>
    <x v="2"/>
    <x v="0"/>
    <x v="0"/>
  </r>
  <r>
    <s v="Muyuan Foodstuff"/>
    <s v="Croplands"/>
    <s v="Sub-Saharan Africa"/>
    <n v="8"/>
    <x v="2"/>
    <x v="0"/>
    <x v="0"/>
  </r>
  <r>
    <s v="Muyuan Foodstuff"/>
    <s v="Croplands"/>
    <s v="Western Europe"/>
    <n v="5"/>
    <x v="2"/>
    <x v="0"/>
    <x v="0"/>
  </r>
  <r>
    <s v="New Hope Group"/>
    <s v="Grazing"/>
    <s v="East Asia and Southeast Asia"/>
    <n v="31"/>
    <x v="2"/>
    <x v="0"/>
    <x v="0"/>
  </r>
  <r>
    <s v="New Hope Group"/>
    <s v="Grazing"/>
    <s v="Eastern Europe"/>
    <n v="0"/>
    <x v="2"/>
    <x v="0"/>
    <x v="0"/>
  </r>
  <r>
    <s v="New Hope Group"/>
    <s v="Grazing"/>
    <s v="Latin America and the Caribbean"/>
    <n v="0"/>
    <x v="2"/>
    <x v="0"/>
    <x v="0"/>
  </r>
  <r>
    <s v="New Hope Group"/>
    <s v="Grazing"/>
    <s v="Near East and North Africa"/>
    <n v="0"/>
    <x v="2"/>
    <x v="0"/>
    <x v="0"/>
  </r>
  <r>
    <s v="New Hope Group"/>
    <s v="Grazing"/>
    <s v="North America"/>
    <n v="0"/>
    <x v="2"/>
    <x v="0"/>
    <x v="0"/>
  </r>
  <r>
    <s v="New Hope Group"/>
    <s v="Grazing"/>
    <s v="Oceania"/>
    <n v="3"/>
    <x v="2"/>
    <x v="0"/>
    <x v="0"/>
  </r>
  <r>
    <s v="New Hope Group"/>
    <s v="Grazing"/>
    <s v="RoW"/>
    <n v="0"/>
    <x v="2"/>
    <x v="0"/>
    <x v="0"/>
  </r>
  <r>
    <s v="New Hope Group"/>
    <s v="Grazing"/>
    <s v="Russian Federation"/>
    <n v="0"/>
    <x v="2"/>
    <x v="0"/>
    <x v="0"/>
  </r>
  <r>
    <s v="New Hope Group"/>
    <s v="Grazing"/>
    <s v="South Asia"/>
    <n v="0"/>
    <x v="2"/>
    <x v="0"/>
    <x v="0"/>
  </r>
  <r>
    <s v="New Hope Group"/>
    <s v="Grazing"/>
    <s v="Sub-Saharan Africa"/>
    <n v="0"/>
    <x v="2"/>
    <x v="0"/>
    <x v="0"/>
  </r>
  <r>
    <s v="New Hope Group"/>
    <s v="Grazing"/>
    <s v="Western Europe"/>
    <n v="0"/>
    <x v="2"/>
    <x v="0"/>
    <x v="0"/>
  </r>
  <r>
    <s v="New Hope Group"/>
    <s v="Croplands"/>
    <s v="East Asia and Southeast Asia"/>
    <n v="304"/>
    <x v="2"/>
    <x v="0"/>
    <x v="0"/>
  </r>
  <r>
    <s v="New Hope Group"/>
    <s v="Croplands"/>
    <s v="Eastern Europe"/>
    <n v="11"/>
    <x v="2"/>
    <x v="0"/>
    <x v="0"/>
  </r>
  <r>
    <s v="New Hope Group"/>
    <s v="Croplands"/>
    <s v="Latin America and the Caribbean"/>
    <n v="125"/>
    <x v="2"/>
    <x v="0"/>
    <x v="0"/>
  </r>
  <r>
    <s v="New Hope Group"/>
    <s v="Croplands"/>
    <s v="Near East and North Africa"/>
    <n v="5"/>
    <x v="2"/>
    <x v="0"/>
    <x v="0"/>
  </r>
  <r>
    <s v="New Hope Group"/>
    <s v="Croplands"/>
    <s v="North America"/>
    <n v="83"/>
    <x v="2"/>
    <x v="0"/>
    <x v="0"/>
  </r>
  <r>
    <s v="New Hope Group"/>
    <s v="Croplands"/>
    <s v="Oceania"/>
    <n v="9"/>
    <x v="2"/>
    <x v="0"/>
    <x v="0"/>
  </r>
  <r>
    <s v="New Hope Group"/>
    <s v="Croplands"/>
    <s v="RoW"/>
    <n v="0"/>
    <x v="2"/>
    <x v="0"/>
    <x v="0"/>
  </r>
  <r>
    <s v="New Hope Group"/>
    <s v="Croplands"/>
    <s v="Russian Federation"/>
    <n v="5"/>
    <x v="2"/>
    <x v="0"/>
    <x v="0"/>
  </r>
  <r>
    <s v="New Hope Group"/>
    <s v="Croplands"/>
    <s v="South Asia"/>
    <n v="5"/>
    <x v="2"/>
    <x v="0"/>
    <x v="0"/>
  </r>
  <r>
    <s v="New Hope Group"/>
    <s v="Croplands"/>
    <s v="Sub-Saharan Africa"/>
    <n v="2"/>
    <x v="2"/>
    <x v="0"/>
    <x v="0"/>
  </r>
  <r>
    <s v="New Hope Group"/>
    <s v="Croplands"/>
    <s v="Western Europe"/>
    <n v="1"/>
    <x v="2"/>
    <x v="0"/>
    <x v="0"/>
  </r>
  <r>
    <s v="Seaboard"/>
    <s v="Grazing"/>
    <s v="East Asia and Southeast Asia"/>
    <n v="0"/>
    <x v="2"/>
    <x v="0"/>
    <x v="0"/>
  </r>
  <r>
    <s v="Seaboard"/>
    <s v="Grazing"/>
    <s v="Eastern Europe"/>
    <n v="0"/>
    <x v="2"/>
    <x v="0"/>
    <x v="0"/>
  </r>
  <r>
    <s v="Seaboard"/>
    <s v="Grazing"/>
    <s v="Latin America and the Caribbean"/>
    <n v="5"/>
    <x v="2"/>
    <x v="0"/>
    <x v="0"/>
  </r>
  <r>
    <s v="Seaboard"/>
    <s v="Grazing"/>
    <s v="Near East and North Africa"/>
    <n v="0"/>
    <x v="2"/>
    <x v="0"/>
    <x v="0"/>
  </r>
  <r>
    <s v="Seaboard"/>
    <s v="Grazing"/>
    <s v="North America"/>
    <n v="158"/>
    <x v="2"/>
    <x v="0"/>
    <x v="0"/>
  </r>
  <r>
    <s v="Seaboard"/>
    <s v="Grazing"/>
    <s v="Oceania"/>
    <n v="4"/>
    <x v="2"/>
    <x v="0"/>
    <x v="0"/>
  </r>
  <r>
    <s v="Seaboard"/>
    <s v="Grazing"/>
    <s v="RoW"/>
    <n v="0"/>
    <x v="2"/>
    <x v="0"/>
    <x v="0"/>
  </r>
  <r>
    <s v="Seaboard"/>
    <s v="Grazing"/>
    <s v="Russian Federation"/>
    <n v="0"/>
    <x v="2"/>
    <x v="0"/>
    <x v="0"/>
  </r>
  <r>
    <s v="Seaboard"/>
    <s v="Grazing"/>
    <s v="South Asia"/>
    <n v="0"/>
    <x v="2"/>
    <x v="0"/>
    <x v="0"/>
  </r>
  <r>
    <s v="Seaboard"/>
    <s v="Grazing"/>
    <s v="Sub-Saharan Africa"/>
    <n v="0"/>
    <x v="2"/>
    <x v="0"/>
    <x v="0"/>
  </r>
  <r>
    <s v="Seaboard"/>
    <s v="Grazing"/>
    <s v="Western Europe"/>
    <n v="0"/>
    <x v="2"/>
    <x v="0"/>
    <x v="0"/>
  </r>
  <r>
    <s v="Seaboard"/>
    <s v="Croplands"/>
    <s v="East Asia and Southeast Asia"/>
    <n v="0"/>
    <x v="2"/>
    <x v="0"/>
    <x v="0"/>
  </r>
  <r>
    <s v="Seaboard"/>
    <s v="Croplands"/>
    <s v="Eastern Europe"/>
    <n v="0"/>
    <x v="2"/>
    <x v="0"/>
    <x v="0"/>
  </r>
  <r>
    <s v="Seaboard"/>
    <s v="Croplands"/>
    <s v="Latin America and the Caribbean"/>
    <n v="2"/>
    <x v="2"/>
    <x v="0"/>
    <x v="0"/>
  </r>
  <r>
    <s v="Seaboard"/>
    <s v="Croplands"/>
    <s v="Near East and North Africa"/>
    <n v="0"/>
    <x v="2"/>
    <x v="0"/>
    <x v="0"/>
  </r>
  <r>
    <s v="Seaboard"/>
    <s v="Croplands"/>
    <s v="North America"/>
    <n v="558"/>
    <x v="2"/>
    <x v="0"/>
    <x v="0"/>
  </r>
  <r>
    <s v="Seaboard"/>
    <s v="Croplands"/>
    <s v="Oceania"/>
    <n v="0"/>
    <x v="2"/>
    <x v="0"/>
    <x v="0"/>
  </r>
  <r>
    <s v="Seaboard"/>
    <s v="Croplands"/>
    <s v="RoW"/>
    <n v="0"/>
    <x v="2"/>
    <x v="0"/>
    <x v="0"/>
  </r>
  <r>
    <s v="Seaboard"/>
    <s v="Croplands"/>
    <s v="Russian Federation"/>
    <n v="0"/>
    <x v="2"/>
    <x v="0"/>
    <x v="0"/>
  </r>
  <r>
    <s v="Seaboard"/>
    <s v="Croplands"/>
    <s v="South Asia"/>
    <n v="9"/>
    <x v="2"/>
    <x v="0"/>
    <x v="0"/>
  </r>
  <r>
    <s v="Seaboard"/>
    <s v="Croplands"/>
    <s v="Sub-Saharan Africa"/>
    <n v="0"/>
    <x v="2"/>
    <x v="0"/>
    <x v="0"/>
  </r>
  <r>
    <s v="Seaboard"/>
    <s v="Croplands"/>
    <s v="Western Europe"/>
    <n v="1"/>
    <x v="2"/>
    <x v="0"/>
    <x v="0"/>
  </r>
  <r>
    <s v="Tönnies Group"/>
    <s v="Grazing"/>
    <s v="East Asia and Southeast Asia"/>
    <n v="0"/>
    <x v="2"/>
    <x v="0"/>
    <x v="0"/>
  </r>
  <r>
    <s v="Tönnies Group"/>
    <s v="Grazing"/>
    <s v="Eastern Europe"/>
    <n v="2"/>
    <x v="2"/>
    <x v="0"/>
    <x v="0"/>
  </r>
  <r>
    <s v="Tönnies Group"/>
    <s v="Grazing"/>
    <s v="Latin America and the Caribbean"/>
    <n v="2"/>
    <x v="2"/>
    <x v="0"/>
    <x v="0"/>
  </r>
  <r>
    <s v="Tönnies Group"/>
    <s v="Grazing"/>
    <s v="Near East and North Africa"/>
    <n v="0"/>
    <x v="2"/>
    <x v="0"/>
    <x v="0"/>
  </r>
  <r>
    <s v="Tönnies Group"/>
    <s v="Grazing"/>
    <s v="North America"/>
    <n v="5"/>
    <x v="2"/>
    <x v="0"/>
    <x v="0"/>
  </r>
  <r>
    <s v="Tönnies Group"/>
    <s v="Grazing"/>
    <s v="Oceania"/>
    <n v="1"/>
    <x v="2"/>
    <x v="0"/>
    <x v="0"/>
  </r>
  <r>
    <s v="Tönnies Group"/>
    <s v="Grazing"/>
    <s v="RoW"/>
    <n v="0"/>
    <x v="2"/>
    <x v="0"/>
    <x v="0"/>
  </r>
  <r>
    <s v="Tönnies Group"/>
    <s v="Grazing"/>
    <s v="Russian Federation"/>
    <n v="0"/>
    <x v="2"/>
    <x v="0"/>
    <x v="0"/>
  </r>
  <r>
    <s v="Tönnies Group"/>
    <s v="Grazing"/>
    <s v="South Asia"/>
    <n v="0"/>
    <x v="2"/>
    <x v="0"/>
    <x v="0"/>
  </r>
  <r>
    <s v="Tönnies Group"/>
    <s v="Grazing"/>
    <s v="Sub-Saharan Africa"/>
    <n v="2"/>
    <x v="2"/>
    <x v="0"/>
    <x v="0"/>
  </r>
  <r>
    <s v="Tönnies Group"/>
    <s v="Grazing"/>
    <s v="Western Europe"/>
    <n v="105"/>
    <x v="2"/>
    <x v="0"/>
    <x v="0"/>
  </r>
  <r>
    <s v="Tönnies Group"/>
    <s v="Croplands"/>
    <s v="East Asia and Southeast Asia"/>
    <n v="19"/>
    <x v="2"/>
    <x v="0"/>
    <x v="0"/>
  </r>
  <r>
    <s v="Tönnies Group"/>
    <s v="Croplands"/>
    <s v="Eastern Europe"/>
    <n v="323"/>
    <x v="2"/>
    <x v="0"/>
    <x v="0"/>
  </r>
  <r>
    <s v="Tönnies Group"/>
    <s v="Croplands"/>
    <s v="Latin America and the Caribbean"/>
    <n v="253"/>
    <x v="2"/>
    <x v="0"/>
    <x v="0"/>
  </r>
  <r>
    <s v="Tönnies Group"/>
    <s v="Croplands"/>
    <s v="Near East and North Africa"/>
    <n v="16"/>
    <x v="2"/>
    <x v="0"/>
    <x v="0"/>
  </r>
  <r>
    <s v="Tönnies Group"/>
    <s v="Croplands"/>
    <s v="North America"/>
    <n v="119"/>
    <x v="2"/>
    <x v="0"/>
    <x v="0"/>
  </r>
  <r>
    <s v="Tönnies Group"/>
    <s v="Croplands"/>
    <s v="Oceania"/>
    <n v="26"/>
    <x v="2"/>
    <x v="0"/>
    <x v="0"/>
  </r>
  <r>
    <s v="Tönnies Group"/>
    <s v="Croplands"/>
    <s v="RoW"/>
    <n v="0"/>
    <x v="2"/>
    <x v="0"/>
    <x v="0"/>
  </r>
  <r>
    <s v="Tönnies Group"/>
    <s v="Croplands"/>
    <s v="Russian Federation"/>
    <n v="46"/>
    <x v="2"/>
    <x v="0"/>
    <x v="0"/>
  </r>
  <r>
    <s v="Tönnies Group"/>
    <s v="Croplands"/>
    <s v="South Asia"/>
    <n v="15"/>
    <x v="2"/>
    <x v="0"/>
    <x v="0"/>
  </r>
  <r>
    <s v="Tönnies Group"/>
    <s v="Croplands"/>
    <s v="Sub-Saharan Africa"/>
    <n v="6"/>
    <x v="2"/>
    <x v="0"/>
    <x v="0"/>
  </r>
  <r>
    <s v="Tönnies Group"/>
    <s v="Croplands"/>
    <s v="Western Europe"/>
    <n v="1213"/>
    <x v="2"/>
    <x v="0"/>
    <x v="0"/>
  </r>
  <r>
    <s v="Triumph Foods"/>
    <s v="Grazing"/>
    <s v="East Asia and Southeast Asia"/>
    <n v="0"/>
    <x v="2"/>
    <x v="0"/>
    <x v="0"/>
  </r>
  <r>
    <s v="Triumph Foods"/>
    <s v="Grazing"/>
    <s v="Eastern Europe"/>
    <n v="0"/>
    <x v="2"/>
    <x v="0"/>
    <x v="0"/>
  </r>
  <r>
    <s v="Triumph Foods"/>
    <s v="Grazing"/>
    <s v="Latin America and the Caribbean"/>
    <n v="4"/>
    <x v="2"/>
    <x v="0"/>
    <x v="0"/>
  </r>
  <r>
    <s v="Triumph Foods"/>
    <s v="Grazing"/>
    <s v="Near East and North Africa"/>
    <n v="0"/>
    <x v="2"/>
    <x v="0"/>
    <x v="0"/>
  </r>
  <r>
    <s v="Triumph Foods"/>
    <s v="Grazing"/>
    <s v="North America"/>
    <n v="137"/>
    <x v="2"/>
    <x v="0"/>
    <x v="0"/>
  </r>
  <r>
    <s v="Triumph Foods"/>
    <s v="Grazing"/>
    <s v="Oceania"/>
    <n v="3"/>
    <x v="2"/>
    <x v="0"/>
    <x v="0"/>
  </r>
  <r>
    <s v="Triumph Foods"/>
    <s v="Grazing"/>
    <s v="RoW"/>
    <n v="0"/>
    <x v="2"/>
    <x v="0"/>
    <x v="0"/>
  </r>
  <r>
    <s v="Triumph Foods"/>
    <s v="Grazing"/>
    <s v="Russian Federation"/>
    <n v="0"/>
    <x v="2"/>
    <x v="0"/>
    <x v="0"/>
  </r>
  <r>
    <s v="Triumph Foods"/>
    <s v="Grazing"/>
    <s v="South Asia"/>
    <n v="0"/>
    <x v="2"/>
    <x v="0"/>
    <x v="0"/>
  </r>
  <r>
    <s v="Triumph Foods"/>
    <s v="Grazing"/>
    <s v="Sub-Saharan Africa"/>
    <n v="0"/>
    <x v="2"/>
    <x v="0"/>
    <x v="0"/>
  </r>
  <r>
    <s v="Triumph Foods"/>
    <s v="Grazing"/>
    <s v="Western Europe"/>
    <n v="0"/>
    <x v="2"/>
    <x v="0"/>
    <x v="0"/>
  </r>
  <r>
    <s v="Triumph Foods"/>
    <s v="Croplands"/>
    <s v="East Asia and Southeast Asia"/>
    <n v="0"/>
    <x v="2"/>
    <x v="0"/>
    <x v="0"/>
  </r>
  <r>
    <s v="Triumph Foods"/>
    <s v="Croplands"/>
    <s v="Eastern Europe"/>
    <n v="0"/>
    <x v="2"/>
    <x v="0"/>
    <x v="0"/>
  </r>
  <r>
    <s v="Triumph Foods"/>
    <s v="Croplands"/>
    <s v="Latin America and the Caribbean"/>
    <n v="2"/>
    <x v="2"/>
    <x v="0"/>
    <x v="0"/>
  </r>
  <r>
    <s v="Triumph Foods"/>
    <s v="Croplands"/>
    <s v="Near East and North Africa"/>
    <n v="0"/>
    <x v="2"/>
    <x v="0"/>
    <x v="0"/>
  </r>
  <r>
    <s v="Triumph Foods"/>
    <s v="Croplands"/>
    <s v="North America"/>
    <n v="484"/>
    <x v="2"/>
    <x v="0"/>
    <x v="0"/>
  </r>
  <r>
    <s v="Triumph Foods"/>
    <s v="Croplands"/>
    <s v="Oceania"/>
    <n v="0"/>
    <x v="2"/>
    <x v="0"/>
    <x v="0"/>
  </r>
  <r>
    <s v="Triumph Foods"/>
    <s v="Croplands"/>
    <s v="RoW"/>
    <n v="0"/>
    <x v="2"/>
    <x v="0"/>
    <x v="0"/>
  </r>
  <r>
    <s v="Triumph Foods"/>
    <s v="Croplands"/>
    <s v="Russian Federation"/>
    <n v="0"/>
    <x v="2"/>
    <x v="0"/>
    <x v="0"/>
  </r>
  <r>
    <s v="Triumph Foods"/>
    <s v="Croplands"/>
    <s v="South Asia"/>
    <n v="7"/>
    <x v="2"/>
    <x v="0"/>
    <x v="0"/>
  </r>
  <r>
    <s v="Triumph Foods"/>
    <s v="Croplands"/>
    <s v="Sub-Saharan Africa"/>
    <n v="0"/>
    <x v="2"/>
    <x v="0"/>
    <x v="0"/>
  </r>
  <r>
    <s v="Triumph Foods"/>
    <s v="Croplands"/>
    <s v="Western Europe"/>
    <n v="1"/>
    <x v="2"/>
    <x v="0"/>
    <x v="0"/>
  </r>
  <r>
    <s v="Tyson"/>
    <s v="Grazing"/>
    <s v="East Asia and Southeast Asia"/>
    <n v="1"/>
    <x v="2"/>
    <x v="0"/>
    <x v="0"/>
  </r>
  <r>
    <s v="Tyson"/>
    <s v="Grazing"/>
    <s v="Eastern Europe"/>
    <n v="0"/>
    <x v="2"/>
    <x v="0"/>
    <x v="0"/>
  </r>
  <r>
    <s v="Tyson"/>
    <s v="Grazing"/>
    <s v="Latin America and the Caribbean"/>
    <n v="17"/>
    <x v="2"/>
    <x v="0"/>
    <x v="0"/>
  </r>
  <r>
    <s v="Tyson"/>
    <s v="Grazing"/>
    <s v="Near East and North Africa"/>
    <n v="0"/>
    <x v="2"/>
    <x v="0"/>
    <x v="0"/>
  </r>
  <r>
    <s v="Tyson"/>
    <s v="Grazing"/>
    <s v="North America"/>
    <n v="542"/>
    <x v="2"/>
    <x v="0"/>
    <x v="0"/>
  </r>
  <r>
    <s v="Tyson"/>
    <s v="Grazing"/>
    <s v="Oceania"/>
    <n v="13"/>
    <x v="2"/>
    <x v="0"/>
    <x v="0"/>
  </r>
  <r>
    <s v="Tyson"/>
    <s v="Grazing"/>
    <s v="RoW"/>
    <n v="0"/>
    <x v="2"/>
    <x v="0"/>
    <x v="0"/>
  </r>
  <r>
    <s v="Tyson"/>
    <s v="Grazing"/>
    <s v="Russian Federation"/>
    <n v="0"/>
    <x v="2"/>
    <x v="0"/>
    <x v="0"/>
  </r>
  <r>
    <s v="Tyson"/>
    <s v="Grazing"/>
    <s v="South Asia"/>
    <n v="0"/>
    <x v="2"/>
    <x v="0"/>
    <x v="0"/>
  </r>
  <r>
    <s v="Tyson"/>
    <s v="Grazing"/>
    <s v="Sub-Saharan Africa"/>
    <n v="0"/>
    <x v="2"/>
    <x v="0"/>
    <x v="0"/>
  </r>
  <r>
    <s v="Tyson"/>
    <s v="Grazing"/>
    <s v="Western Europe"/>
    <n v="0"/>
    <x v="2"/>
    <x v="0"/>
    <x v="0"/>
  </r>
  <r>
    <s v="Tyson"/>
    <s v="Croplands"/>
    <s v="East Asia and Southeast Asia"/>
    <n v="1"/>
    <x v="2"/>
    <x v="0"/>
    <x v="0"/>
  </r>
  <r>
    <s v="Tyson"/>
    <s v="Croplands"/>
    <s v="Eastern Europe"/>
    <n v="3"/>
    <x v="2"/>
    <x v="0"/>
    <x v="0"/>
  </r>
  <r>
    <s v="Tyson"/>
    <s v="Croplands"/>
    <s v="Latin America and the Caribbean"/>
    <n v="7"/>
    <x v="2"/>
    <x v="0"/>
    <x v="0"/>
  </r>
  <r>
    <s v="Tyson"/>
    <s v="Croplands"/>
    <s v="Near East and North Africa"/>
    <n v="0"/>
    <x v="2"/>
    <x v="0"/>
    <x v="0"/>
  </r>
  <r>
    <s v="Tyson"/>
    <s v="Croplands"/>
    <s v="North America"/>
    <n v="1915"/>
    <x v="2"/>
    <x v="0"/>
    <x v="0"/>
  </r>
  <r>
    <s v="Tyson"/>
    <s v="Croplands"/>
    <s v="Oceania"/>
    <n v="0"/>
    <x v="2"/>
    <x v="0"/>
    <x v="0"/>
  </r>
  <r>
    <s v="Tyson"/>
    <s v="Croplands"/>
    <s v="RoW"/>
    <n v="0"/>
    <x v="2"/>
    <x v="0"/>
    <x v="0"/>
  </r>
  <r>
    <s v="Tyson"/>
    <s v="Croplands"/>
    <s v="Russian Federation"/>
    <n v="0"/>
    <x v="2"/>
    <x v="0"/>
    <x v="0"/>
  </r>
  <r>
    <s v="Tyson"/>
    <s v="Croplands"/>
    <s v="South Asia"/>
    <n v="30"/>
    <x v="2"/>
    <x v="0"/>
    <x v="0"/>
  </r>
  <r>
    <s v="Tyson"/>
    <s v="Croplands"/>
    <s v="Sub-Saharan Africa"/>
    <n v="0"/>
    <x v="2"/>
    <x v="0"/>
    <x v="0"/>
  </r>
  <r>
    <s v="Tyson"/>
    <s v="Croplands"/>
    <s v="Western Europe"/>
    <n v="5"/>
    <x v="2"/>
    <x v="0"/>
    <x v="0"/>
  </r>
  <r>
    <s v="Vion Food Group"/>
    <s v="Grazing"/>
    <s v="East Asia and Southeast Asia"/>
    <n v="0"/>
    <x v="2"/>
    <x v="0"/>
    <x v="0"/>
  </r>
  <r>
    <s v="Vion Food Group"/>
    <s v="Grazing"/>
    <s v="Eastern Europe"/>
    <n v="2"/>
    <x v="2"/>
    <x v="0"/>
    <x v="0"/>
  </r>
  <r>
    <s v="Vion Food Group"/>
    <s v="Grazing"/>
    <s v="Latin America and the Caribbean"/>
    <n v="2"/>
    <x v="2"/>
    <x v="0"/>
    <x v="0"/>
  </r>
  <r>
    <s v="Vion Food Group"/>
    <s v="Grazing"/>
    <s v="Near East and North Africa"/>
    <n v="0"/>
    <x v="2"/>
    <x v="0"/>
    <x v="0"/>
  </r>
  <r>
    <s v="Vion Food Group"/>
    <s v="Grazing"/>
    <s v="North America"/>
    <n v="4"/>
    <x v="2"/>
    <x v="0"/>
    <x v="0"/>
  </r>
  <r>
    <s v="Vion Food Group"/>
    <s v="Grazing"/>
    <s v="Oceania"/>
    <n v="1"/>
    <x v="2"/>
    <x v="0"/>
    <x v="0"/>
  </r>
  <r>
    <s v="Vion Food Group"/>
    <s v="Grazing"/>
    <s v="RoW"/>
    <n v="0"/>
    <x v="2"/>
    <x v="0"/>
    <x v="0"/>
  </r>
  <r>
    <s v="Vion Food Group"/>
    <s v="Grazing"/>
    <s v="Russian Federation"/>
    <n v="0"/>
    <x v="2"/>
    <x v="0"/>
    <x v="0"/>
  </r>
  <r>
    <s v="Vion Food Group"/>
    <s v="Grazing"/>
    <s v="South Asia"/>
    <n v="0"/>
    <x v="2"/>
    <x v="0"/>
    <x v="0"/>
  </r>
  <r>
    <s v="Vion Food Group"/>
    <s v="Grazing"/>
    <s v="Sub-Saharan Africa"/>
    <n v="2"/>
    <x v="2"/>
    <x v="0"/>
    <x v="0"/>
  </r>
  <r>
    <s v="Vion Food Group"/>
    <s v="Grazing"/>
    <s v="Western Europe"/>
    <n v="90"/>
    <x v="2"/>
    <x v="0"/>
    <x v="0"/>
  </r>
  <r>
    <s v="Vion Food Group"/>
    <s v="Croplands"/>
    <s v="East Asia and Southeast Asia"/>
    <n v="16"/>
    <x v="2"/>
    <x v="0"/>
    <x v="0"/>
  </r>
  <r>
    <s v="Vion Food Group"/>
    <s v="Croplands"/>
    <s v="Eastern Europe"/>
    <n v="276"/>
    <x v="2"/>
    <x v="0"/>
    <x v="0"/>
  </r>
  <r>
    <s v="Vion Food Group"/>
    <s v="Croplands"/>
    <s v="Latin America and the Caribbean"/>
    <n v="217"/>
    <x v="2"/>
    <x v="0"/>
    <x v="0"/>
  </r>
  <r>
    <s v="Vion Food Group"/>
    <s v="Croplands"/>
    <s v="Near East and North Africa"/>
    <n v="13"/>
    <x v="2"/>
    <x v="0"/>
    <x v="0"/>
  </r>
  <r>
    <s v="Vion Food Group"/>
    <s v="Croplands"/>
    <s v="North America"/>
    <n v="102"/>
    <x v="2"/>
    <x v="0"/>
    <x v="0"/>
  </r>
  <r>
    <s v="Vion Food Group"/>
    <s v="Croplands"/>
    <s v="Oceania"/>
    <n v="23"/>
    <x v="2"/>
    <x v="0"/>
    <x v="0"/>
  </r>
  <r>
    <s v="Vion Food Group"/>
    <s v="Croplands"/>
    <s v="RoW"/>
    <n v="0"/>
    <x v="2"/>
    <x v="0"/>
    <x v="0"/>
  </r>
  <r>
    <s v="Vion Food Group"/>
    <s v="Croplands"/>
    <s v="Russian Federation"/>
    <n v="40"/>
    <x v="2"/>
    <x v="0"/>
    <x v="0"/>
  </r>
  <r>
    <s v="Vion Food Group"/>
    <s v="Croplands"/>
    <s v="South Asia"/>
    <n v="13"/>
    <x v="2"/>
    <x v="0"/>
    <x v="0"/>
  </r>
  <r>
    <s v="Vion Food Group"/>
    <s v="Croplands"/>
    <s v="Sub-Saharan Africa"/>
    <n v="5"/>
    <x v="2"/>
    <x v="0"/>
    <x v="0"/>
  </r>
  <r>
    <s v="Vion Food Group"/>
    <s v="Croplands"/>
    <s v="Western Europe"/>
    <n v="1038"/>
    <x v="2"/>
    <x v="0"/>
    <x v="0"/>
  </r>
  <r>
    <s v="Wen's Food Group"/>
    <s v="Grazing"/>
    <s v="East Asia and Southeast Asia"/>
    <n v="30"/>
    <x v="2"/>
    <x v="0"/>
    <x v="0"/>
  </r>
  <r>
    <s v="Wen's Food Group"/>
    <s v="Grazing"/>
    <s v="Eastern Europe"/>
    <n v="0"/>
    <x v="2"/>
    <x v="0"/>
    <x v="0"/>
  </r>
  <r>
    <s v="Wen's Food Group"/>
    <s v="Grazing"/>
    <s v="Latin America and the Caribbean"/>
    <n v="0"/>
    <x v="2"/>
    <x v="0"/>
    <x v="0"/>
  </r>
  <r>
    <s v="Wen's Food Group"/>
    <s v="Grazing"/>
    <s v="Near East and North Africa"/>
    <n v="0"/>
    <x v="2"/>
    <x v="0"/>
    <x v="0"/>
  </r>
  <r>
    <s v="Wen's Food Group"/>
    <s v="Grazing"/>
    <s v="North America"/>
    <n v="0"/>
    <x v="2"/>
    <x v="0"/>
    <x v="0"/>
  </r>
  <r>
    <s v="Wen's Food Group"/>
    <s v="Grazing"/>
    <s v="Oceania"/>
    <n v="3"/>
    <x v="2"/>
    <x v="0"/>
    <x v="0"/>
  </r>
  <r>
    <s v="Wen's Food Group"/>
    <s v="Grazing"/>
    <s v="RoW"/>
    <n v="0"/>
    <x v="2"/>
    <x v="0"/>
    <x v="0"/>
  </r>
  <r>
    <s v="Wen's Food Group"/>
    <s v="Grazing"/>
    <s v="Russian Federation"/>
    <n v="0"/>
    <x v="2"/>
    <x v="0"/>
    <x v="0"/>
  </r>
  <r>
    <s v="Wen's Food Group"/>
    <s v="Grazing"/>
    <s v="South Asia"/>
    <n v="0"/>
    <x v="2"/>
    <x v="0"/>
    <x v="0"/>
  </r>
  <r>
    <s v="Wen's Food Group"/>
    <s v="Grazing"/>
    <s v="Sub-Saharan Africa"/>
    <n v="0"/>
    <x v="2"/>
    <x v="0"/>
    <x v="0"/>
  </r>
  <r>
    <s v="Wen's Food Group"/>
    <s v="Grazing"/>
    <s v="Western Europe"/>
    <n v="0"/>
    <x v="2"/>
    <x v="0"/>
    <x v="0"/>
  </r>
  <r>
    <s v="Wen's Food Group"/>
    <s v="Croplands"/>
    <s v="East Asia and Southeast Asia"/>
    <n v="295"/>
    <x v="2"/>
    <x v="0"/>
    <x v="0"/>
  </r>
  <r>
    <s v="Wen's Food Group"/>
    <s v="Croplands"/>
    <s v="Eastern Europe"/>
    <n v="11"/>
    <x v="2"/>
    <x v="0"/>
    <x v="0"/>
  </r>
  <r>
    <s v="Wen's Food Group"/>
    <s v="Croplands"/>
    <s v="Latin America and the Caribbean"/>
    <n v="122"/>
    <x v="2"/>
    <x v="0"/>
    <x v="0"/>
  </r>
  <r>
    <s v="Wen's Food Group"/>
    <s v="Croplands"/>
    <s v="Near East and North Africa"/>
    <n v="4"/>
    <x v="2"/>
    <x v="0"/>
    <x v="0"/>
  </r>
  <r>
    <s v="Wen's Food Group"/>
    <s v="Croplands"/>
    <s v="North America"/>
    <n v="80"/>
    <x v="2"/>
    <x v="0"/>
    <x v="0"/>
  </r>
  <r>
    <s v="Wen's Food Group"/>
    <s v="Croplands"/>
    <s v="Oceania"/>
    <n v="8"/>
    <x v="2"/>
    <x v="0"/>
    <x v="0"/>
  </r>
  <r>
    <s v="Wen's Food Group"/>
    <s v="Croplands"/>
    <s v="RoW"/>
    <n v="0"/>
    <x v="2"/>
    <x v="0"/>
    <x v="0"/>
  </r>
  <r>
    <s v="Wen's Food Group"/>
    <s v="Croplands"/>
    <s v="Russian Federation"/>
    <n v="5"/>
    <x v="2"/>
    <x v="0"/>
    <x v="0"/>
  </r>
  <r>
    <s v="Wen's Food Group"/>
    <s v="Croplands"/>
    <s v="South Asia"/>
    <n v="5"/>
    <x v="2"/>
    <x v="0"/>
    <x v="0"/>
  </r>
  <r>
    <s v="Wen's Food Group"/>
    <s v="Croplands"/>
    <s v="Sub-Saharan Africa"/>
    <n v="2"/>
    <x v="2"/>
    <x v="0"/>
    <x v="0"/>
  </r>
  <r>
    <s v="Wen's Food Group"/>
    <s v="Croplands"/>
    <s v="Western Europe"/>
    <n v="1"/>
    <x v="2"/>
    <x v="0"/>
    <x v="0"/>
  </r>
  <r>
    <s v="Westfleisch"/>
    <s v="Grazing"/>
    <s v="East Asia and Southeast Asia"/>
    <n v="0"/>
    <x v="2"/>
    <x v="0"/>
    <x v="0"/>
  </r>
  <r>
    <s v="Westfleisch"/>
    <s v="Grazing"/>
    <s v="Eastern Europe"/>
    <n v="0"/>
    <x v="2"/>
    <x v="0"/>
    <x v="0"/>
  </r>
  <r>
    <s v="Westfleisch"/>
    <s v="Grazing"/>
    <s v="Latin America and the Caribbean"/>
    <n v="0"/>
    <x v="2"/>
    <x v="0"/>
    <x v="0"/>
  </r>
  <r>
    <s v="Westfleisch"/>
    <s v="Grazing"/>
    <s v="Near East and North Africa"/>
    <n v="0"/>
    <x v="2"/>
    <x v="0"/>
    <x v="0"/>
  </r>
  <r>
    <s v="Westfleisch"/>
    <s v="Grazing"/>
    <s v="North America"/>
    <n v="2"/>
    <x v="2"/>
    <x v="0"/>
    <x v="0"/>
  </r>
  <r>
    <s v="Westfleisch"/>
    <s v="Grazing"/>
    <s v="Oceania"/>
    <n v="0"/>
    <x v="2"/>
    <x v="0"/>
    <x v="0"/>
  </r>
  <r>
    <s v="Westfleisch"/>
    <s v="Grazing"/>
    <s v="RoW"/>
    <n v="0"/>
    <x v="2"/>
    <x v="0"/>
    <x v="0"/>
  </r>
  <r>
    <s v="Westfleisch"/>
    <s v="Grazing"/>
    <s v="Russian Federation"/>
    <n v="0"/>
    <x v="2"/>
    <x v="0"/>
    <x v="0"/>
  </r>
  <r>
    <s v="Westfleisch"/>
    <s v="Grazing"/>
    <s v="South Asia"/>
    <n v="0"/>
    <x v="2"/>
    <x v="0"/>
    <x v="0"/>
  </r>
  <r>
    <s v="Westfleisch"/>
    <s v="Grazing"/>
    <s v="Sub-Saharan Africa"/>
    <n v="0"/>
    <x v="2"/>
    <x v="0"/>
    <x v="0"/>
  </r>
  <r>
    <s v="Westfleisch"/>
    <s v="Grazing"/>
    <s v="Western Europe"/>
    <n v="39"/>
    <x v="2"/>
    <x v="0"/>
    <x v="0"/>
  </r>
  <r>
    <s v="Westfleisch"/>
    <s v="Croplands"/>
    <s v="East Asia and Southeast Asia"/>
    <n v="7"/>
    <x v="2"/>
    <x v="0"/>
    <x v="0"/>
  </r>
  <r>
    <s v="Westfleisch"/>
    <s v="Croplands"/>
    <s v="Eastern Europe"/>
    <n v="120"/>
    <x v="2"/>
    <x v="0"/>
    <x v="0"/>
  </r>
  <r>
    <s v="Westfleisch"/>
    <s v="Croplands"/>
    <s v="Latin America and the Caribbean"/>
    <n v="94"/>
    <x v="2"/>
    <x v="0"/>
    <x v="0"/>
  </r>
  <r>
    <s v="Westfleisch"/>
    <s v="Croplands"/>
    <s v="Near East and North Africa"/>
    <n v="6"/>
    <x v="2"/>
    <x v="0"/>
    <x v="0"/>
  </r>
  <r>
    <s v="Westfleisch"/>
    <s v="Croplands"/>
    <s v="North America"/>
    <n v="44"/>
    <x v="2"/>
    <x v="0"/>
    <x v="0"/>
  </r>
  <r>
    <s v="Westfleisch"/>
    <s v="Croplands"/>
    <s v="Oceania"/>
    <n v="10"/>
    <x v="2"/>
    <x v="0"/>
    <x v="0"/>
  </r>
  <r>
    <s v="Westfleisch"/>
    <s v="Croplands"/>
    <s v="RoW"/>
    <n v="0"/>
    <x v="2"/>
    <x v="0"/>
    <x v="0"/>
  </r>
  <r>
    <s v="Westfleisch"/>
    <s v="Croplands"/>
    <s v="Russian Federation"/>
    <n v="17"/>
    <x v="2"/>
    <x v="0"/>
    <x v="0"/>
  </r>
  <r>
    <s v="Westfleisch"/>
    <s v="Croplands"/>
    <s v="South Asia"/>
    <n v="6"/>
    <x v="2"/>
    <x v="0"/>
    <x v="0"/>
  </r>
  <r>
    <s v="Westfleisch"/>
    <s v="Croplands"/>
    <s v="Sub-Saharan Africa"/>
    <n v="2"/>
    <x v="2"/>
    <x v="0"/>
    <x v="0"/>
  </r>
  <r>
    <s v="Westfleisch"/>
    <s v="Croplands"/>
    <s v="Western Europe"/>
    <n v="450"/>
    <x v="2"/>
    <x v="0"/>
    <x v="0"/>
  </r>
  <r>
    <s v="WH Group"/>
    <s v="Grazing"/>
    <s v="East Asia and Southeast Asia"/>
    <n v="104"/>
    <x v="2"/>
    <x v="0"/>
    <x v="0"/>
  </r>
  <r>
    <s v="WH Group"/>
    <s v="Grazing"/>
    <s v="Eastern Europe"/>
    <n v="40"/>
    <x v="2"/>
    <x v="0"/>
    <x v="0"/>
  </r>
  <r>
    <s v="WH Group"/>
    <s v="Grazing"/>
    <s v="Latin America and the Caribbean"/>
    <n v="27"/>
    <x v="2"/>
    <x v="0"/>
    <x v="0"/>
  </r>
  <r>
    <s v="WH Group"/>
    <s v="Grazing"/>
    <s v="Near East and North Africa"/>
    <n v="0"/>
    <x v="2"/>
    <x v="0"/>
    <x v="0"/>
  </r>
  <r>
    <s v="WH Group"/>
    <s v="Grazing"/>
    <s v="North America"/>
    <n v="786"/>
    <x v="2"/>
    <x v="0"/>
    <x v="0"/>
  </r>
  <r>
    <s v="WH Group"/>
    <s v="Grazing"/>
    <s v="Oceania"/>
    <n v="31"/>
    <x v="2"/>
    <x v="0"/>
    <x v="0"/>
  </r>
  <r>
    <s v="WH Group"/>
    <s v="Grazing"/>
    <s v="RoW"/>
    <n v="0"/>
    <x v="2"/>
    <x v="0"/>
    <x v="0"/>
  </r>
  <r>
    <s v="WH Group"/>
    <s v="Grazing"/>
    <s v="Russian Federation"/>
    <n v="0"/>
    <x v="2"/>
    <x v="0"/>
    <x v="0"/>
  </r>
  <r>
    <s v="WH Group"/>
    <s v="Grazing"/>
    <s v="South Asia"/>
    <n v="0"/>
    <x v="2"/>
    <x v="0"/>
    <x v="0"/>
  </r>
  <r>
    <s v="WH Group"/>
    <s v="Grazing"/>
    <s v="Sub-Saharan Africa"/>
    <n v="0"/>
    <x v="2"/>
    <x v="0"/>
    <x v="0"/>
  </r>
  <r>
    <s v="WH Group"/>
    <s v="Grazing"/>
    <s v="Western Europe"/>
    <n v="7"/>
    <x v="2"/>
    <x v="0"/>
    <x v="0"/>
  </r>
  <r>
    <s v="WH Group"/>
    <s v="Croplands"/>
    <s v="East Asia and Southeast Asia"/>
    <n v="1017"/>
    <x v="2"/>
    <x v="0"/>
    <x v="0"/>
  </r>
  <r>
    <s v="WH Group"/>
    <s v="Croplands"/>
    <s v="Eastern Europe"/>
    <n v="913"/>
    <x v="2"/>
    <x v="0"/>
    <x v="0"/>
  </r>
  <r>
    <s v="WH Group"/>
    <s v="Croplands"/>
    <s v="Latin America and the Caribbean"/>
    <n v="495"/>
    <x v="2"/>
    <x v="0"/>
    <x v="0"/>
  </r>
  <r>
    <s v="WH Group"/>
    <s v="Croplands"/>
    <s v="Near East and North Africa"/>
    <n v="19"/>
    <x v="2"/>
    <x v="0"/>
    <x v="0"/>
  </r>
  <r>
    <s v="WH Group"/>
    <s v="Croplands"/>
    <s v="North America"/>
    <n v="3050"/>
    <x v="2"/>
    <x v="0"/>
    <x v="0"/>
  </r>
  <r>
    <s v="WH Group"/>
    <s v="Croplands"/>
    <s v="Oceania"/>
    <n v="30"/>
    <x v="2"/>
    <x v="0"/>
    <x v="0"/>
  </r>
  <r>
    <s v="WH Group"/>
    <s v="Croplands"/>
    <s v="RoW"/>
    <n v="0"/>
    <x v="2"/>
    <x v="0"/>
    <x v="0"/>
  </r>
  <r>
    <s v="WH Group"/>
    <s v="Croplands"/>
    <s v="Russian Federation"/>
    <n v="38"/>
    <x v="2"/>
    <x v="0"/>
    <x v="0"/>
  </r>
  <r>
    <s v="WH Group"/>
    <s v="Croplands"/>
    <s v="South Asia"/>
    <n v="61"/>
    <x v="2"/>
    <x v="0"/>
    <x v="0"/>
  </r>
  <r>
    <s v="WH Group"/>
    <s v="Croplands"/>
    <s v="Sub-Saharan Africa"/>
    <n v="10"/>
    <x v="2"/>
    <x v="0"/>
    <x v="0"/>
  </r>
  <r>
    <s v="WH Group"/>
    <s v="Croplands"/>
    <s v="Western Europe"/>
    <n v="72"/>
    <x v="2"/>
    <x v="0"/>
    <x v="0"/>
  </r>
  <r>
    <s v="Zhengbang Group"/>
    <s v="Grazing"/>
    <s v="East Asia and Southeast Asia"/>
    <n v="66"/>
    <x v="2"/>
    <x v="0"/>
    <x v="0"/>
  </r>
  <r>
    <s v="Zhengbang Group"/>
    <s v="Grazing"/>
    <s v="Eastern Europe"/>
    <n v="0"/>
    <x v="2"/>
    <x v="0"/>
    <x v="0"/>
  </r>
  <r>
    <s v="Zhengbang Group"/>
    <s v="Grazing"/>
    <s v="Latin America and the Caribbean"/>
    <n v="1"/>
    <x v="2"/>
    <x v="0"/>
    <x v="0"/>
  </r>
  <r>
    <s v="Zhengbang Group"/>
    <s v="Grazing"/>
    <s v="Near East and North Africa"/>
    <n v="0"/>
    <x v="2"/>
    <x v="0"/>
    <x v="0"/>
  </r>
  <r>
    <s v="Zhengbang Group"/>
    <s v="Grazing"/>
    <s v="North America"/>
    <n v="1"/>
    <x v="2"/>
    <x v="0"/>
    <x v="0"/>
  </r>
  <r>
    <s v="Zhengbang Group"/>
    <s v="Grazing"/>
    <s v="Oceania"/>
    <n v="7"/>
    <x v="2"/>
    <x v="0"/>
    <x v="0"/>
  </r>
  <r>
    <s v="Zhengbang Group"/>
    <s v="Grazing"/>
    <s v="RoW"/>
    <n v="0"/>
    <x v="2"/>
    <x v="0"/>
    <x v="0"/>
  </r>
  <r>
    <s v="Zhengbang Group"/>
    <s v="Grazing"/>
    <s v="Russian Federation"/>
    <n v="0"/>
    <x v="2"/>
    <x v="0"/>
    <x v="0"/>
  </r>
  <r>
    <s v="Zhengbang Group"/>
    <s v="Grazing"/>
    <s v="South Asia"/>
    <n v="0"/>
    <x v="2"/>
    <x v="0"/>
    <x v="0"/>
  </r>
  <r>
    <s v="Zhengbang Group"/>
    <s v="Grazing"/>
    <s v="Sub-Saharan Africa"/>
    <n v="0"/>
    <x v="2"/>
    <x v="0"/>
    <x v="0"/>
  </r>
  <r>
    <s v="Zhengbang Group"/>
    <s v="Grazing"/>
    <s v="Western Europe"/>
    <n v="2"/>
    <x v="2"/>
    <x v="0"/>
    <x v="0"/>
  </r>
  <r>
    <s v="Zhengbang Group"/>
    <s v="Croplands"/>
    <s v="East Asia and Southeast Asia"/>
    <n v="650"/>
    <x v="2"/>
    <x v="0"/>
    <x v="0"/>
  </r>
  <r>
    <s v="Zhengbang Group"/>
    <s v="Croplands"/>
    <s v="Eastern Europe"/>
    <n v="24"/>
    <x v="2"/>
    <x v="0"/>
    <x v="0"/>
  </r>
  <r>
    <s v="Zhengbang Group"/>
    <s v="Croplands"/>
    <s v="Latin America and the Caribbean"/>
    <n v="268"/>
    <x v="2"/>
    <x v="0"/>
    <x v="0"/>
  </r>
  <r>
    <s v="Zhengbang Group"/>
    <s v="Croplands"/>
    <s v="Near East and North Africa"/>
    <n v="10"/>
    <x v="2"/>
    <x v="0"/>
    <x v="0"/>
  </r>
  <r>
    <s v="Zhengbang Group"/>
    <s v="Croplands"/>
    <s v="North America"/>
    <n v="176"/>
    <x v="2"/>
    <x v="0"/>
    <x v="0"/>
  </r>
  <r>
    <s v="Zhengbang Group"/>
    <s v="Croplands"/>
    <s v="Oceania"/>
    <n v="18"/>
    <x v="2"/>
    <x v="0"/>
    <x v="0"/>
  </r>
  <r>
    <s v="Zhengbang Group"/>
    <s v="Croplands"/>
    <s v="RoW"/>
    <n v="0"/>
    <x v="2"/>
    <x v="0"/>
    <x v="0"/>
  </r>
  <r>
    <s v="Zhengbang Group"/>
    <s v="Croplands"/>
    <s v="Russian Federation"/>
    <n v="10"/>
    <x v="2"/>
    <x v="0"/>
    <x v="0"/>
  </r>
  <r>
    <s v="Zhengbang Group"/>
    <s v="Croplands"/>
    <s v="South Asia"/>
    <n v="11"/>
    <x v="2"/>
    <x v="0"/>
    <x v="0"/>
  </r>
  <r>
    <s v="Zhengbang Group"/>
    <s v="Croplands"/>
    <s v="Sub-Saharan Africa"/>
    <n v="5"/>
    <x v="2"/>
    <x v="0"/>
    <x v="0"/>
  </r>
  <r>
    <s v="Zhengbang Group"/>
    <s v="Croplands"/>
    <s v="Western Europe"/>
    <n v="3"/>
    <x v="2"/>
    <x v="0"/>
    <x v="0"/>
  </r>
  <r>
    <s v="Aurora Alimentos"/>
    <s v="Grazing"/>
    <s v="East Asia and Southeast Asia"/>
    <n v="0"/>
    <x v="2"/>
    <x v="1"/>
    <x v="1"/>
  </r>
  <r>
    <s v="Aurora Alimentos"/>
    <s v="Grazing"/>
    <s v="Eastern Europe"/>
    <n v="0"/>
    <x v="2"/>
    <x v="1"/>
    <x v="1"/>
  </r>
  <r>
    <s v="Aurora Alimentos"/>
    <s v="Grazing"/>
    <s v="Latin America and the Caribbean"/>
    <n v="0"/>
    <x v="2"/>
    <x v="1"/>
    <x v="1"/>
  </r>
  <r>
    <s v="Aurora Alimentos"/>
    <s v="Grazing"/>
    <s v="Near East and North Africa"/>
    <n v="0"/>
    <x v="2"/>
    <x v="1"/>
    <x v="1"/>
  </r>
  <r>
    <s v="Aurora Alimentos"/>
    <s v="Grazing"/>
    <s v="North America"/>
    <n v="0"/>
    <x v="2"/>
    <x v="1"/>
    <x v="1"/>
  </r>
  <r>
    <s v="Aurora Alimentos"/>
    <s v="Grazing"/>
    <s v="Oceania"/>
    <n v="0"/>
    <x v="2"/>
    <x v="1"/>
    <x v="1"/>
  </r>
  <r>
    <s v="Aurora Alimentos"/>
    <s v="Grazing"/>
    <s v="RoW"/>
    <n v="0"/>
    <x v="2"/>
    <x v="1"/>
    <x v="1"/>
  </r>
  <r>
    <s v="Aurora Alimentos"/>
    <s v="Grazing"/>
    <s v="Russian Federation"/>
    <n v="0"/>
    <x v="2"/>
    <x v="1"/>
    <x v="1"/>
  </r>
  <r>
    <s v="Aurora Alimentos"/>
    <s v="Grazing"/>
    <s v="South Asia"/>
    <n v="0"/>
    <x v="2"/>
    <x v="1"/>
    <x v="1"/>
  </r>
  <r>
    <s v="Aurora Alimentos"/>
    <s v="Grazing"/>
    <s v="Sub-Saharan Africa"/>
    <n v="0"/>
    <x v="2"/>
    <x v="1"/>
    <x v="1"/>
  </r>
  <r>
    <s v="Aurora Alimentos"/>
    <s v="Grazing"/>
    <s v="Western Europe"/>
    <n v="0"/>
    <x v="2"/>
    <x v="1"/>
    <x v="1"/>
  </r>
  <r>
    <s v="Aurora Alimentos"/>
    <s v="Croplands"/>
    <s v="East Asia and Southeast Asia"/>
    <n v="371"/>
    <x v="2"/>
    <x v="1"/>
    <x v="1"/>
  </r>
  <r>
    <s v="Aurora Alimentos"/>
    <s v="Croplands"/>
    <s v="Eastern Europe"/>
    <n v="52"/>
    <x v="2"/>
    <x v="1"/>
    <x v="1"/>
  </r>
  <r>
    <s v="Aurora Alimentos"/>
    <s v="Croplands"/>
    <s v="Latin America and the Caribbean"/>
    <n v="175938"/>
    <x v="2"/>
    <x v="1"/>
    <x v="1"/>
  </r>
  <r>
    <s v="Aurora Alimentos"/>
    <s v="Croplands"/>
    <s v="Near East and North Africa"/>
    <n v="11067"/>
    <x v="2"/>
    <x v="1"/>
    <x v="1"/>
  </r>
  <r>
    <s v="Aurora Alimentos"/>
    <s v="Croplands"/>
    <s v="North America"/>
    <n v="37421"/>
    <x v="2"/>
    <x v="1"/>
    <x v="1"/>
  </r>
  <r>
    <s v="Aurora Alimentos"/>
    <s v="Croplands"/>
    <s v="Oceania"/>
    <n v="25"/>
    <x v="2"/>
    <x v="1"/>
    <x v="1"/>
  </r>
  <r>
    <s v="Aurora Alimentos"/>
    <s v="Croplands"/>
    <s v="RoW"/>
    <n v="0"/>
    <x v="2"/>
    <x v="1"/>
    <x v="1"/>
  </r>
  <r>
    <s v="Aurora Alimentos"/>
    <s v="Croplands"/>
    <s v="Russian Federation"/>
    <n v="414"/>
    <x v="2"/>
    <x v="1"/>
    <x v="1"/>
  </r>
  <r>
    <s v="Aurora Alimentos"/>
    <s v="Croplands"/>
    <s v="South Asia"/>
    <n v="2016"/>
    <x v="2"/>
    <x v="1"/>
    <x v="1"/>
  </r>
  <r>
    <s v="Aurora Alimentos"/>
    <s v="Croplands"/>
    <s v="Sub-Saharan Africa"/>
    <n v="367"/>
    <x v="2"/>
    <x v="1"/>
    <x v="1"/>
  </r>
  <r>
    <s v="Aurora Alimentos"/>
    <s v="Croplands"/>
    <s v="Western Europe"/>
    <n v="359"/>
    <x v="2"/>
    <x v="1"/>
    <x v="1"/>
  </r>
  <r>
    <s v="Bigard"/>
    <s v="Grazing"/>
    <s v="East Asia and Southeast Asia"/>
    <n v="0"/>
    <x v="2"/>
    <x v="1"/>
    <x v="1"/>
  </r>
  <r>
    <s v="Bigard"/>
    <s v="Grazing"/>
    <s v="Eastern Europe"/>
    <n v="0"/>
    <x v="2"/>
    <x v="1"/>
    <x v="1"/>
  </r>
  <r>
    <s v="Bigard"/>
    <s v="Grazing"/>
    <s v="Latin America and the Caribbean"/>
    <n v="0"/>
    <x v="2"/>
    <x v="1"/>
    <x v="1"/>
  </r>
  <r>
    <s v="Bigard"/>
    <s v="Grazing"/>
    <s v="Near East and North Africa"/>
    <n v="0"/>
    <x v="2"/>
    <x v="1"/>
    <x v="1"/>
  </r>
  <r>
    <s v="Bigard"/>
    <s v="Grazing"/>
    <s v="North America"/>
    <n v="0"/>
    <x v="2"/>
    <x v="1"/>
    <x v="1"/>
  </r>
  <r>
    <s v="Bigard"/>
    <s v="Grazing"/>
    <s v="Oceania"/>
    <n v="0"/>
    <x v="2"/>
    <x v="1"/>
    <x v="1"/>
  </r>
  <r>
    <s v="Bigard"/>
    <s v="Grazing"/>
    <s v="RoW"/>
    <n v="0"/>
    <x v="2"/>
    <x v="1"/>
    <x v="1"/>
  </r>
  <r>
    <s v="Bigard"/>
    <s v="Grazing"/>
    <s v="Russian Federation"/>
    <n v="0"/>
    <x v="2"/>
    <x v="1"/>
    <x v="1"/>
  </r>
  <r>
    <s v="Bigard"/>
    <s v="Grazing"/>
    <s v="South Asia"/>
    <n v="0"/>
    <x v="2"/>
    <x v="1"/>
    <x v="1"/>
  </r>
  <r>
    <s v="Bigard"/>
    <s v="Grazing"/>
    <s v="Sub-Saharan Africa"/>
    <n v="0"/>
    <x v="2"/>
    <x v="1"/>
    <x v="1"/>
  </r>
  <r>
    <s v="Bigard"/>
    <s v="Grazing"/>
    <s v="Western Europe"/>
    <n v="0"/>
    <x v="2"/>
    <x v="1"/>
    <x v="1"/>
  </r>
  <r>
    <s v="Bigard"/>
    <s v="Croplands"/>
    <s v="East Asia and Southeast Asia"/>
    <n v="1709"/>
    <x v="2"/>
    <x v="1"/>
    <x v="1"/>
  </r>
  <r>
    <s v="Bigard"/>
    <s v="Croplands"/>
    <s v="Eastern Europe"/>
    <n v="21039"/>
    <x v="2"/>
    <x v="1"/>
    <x v="1"/>
  </r>
  <r>
    <s v="Bigard"/>
    <s v="Croplands"/>
    <s v="Latin America and the Caribbean"/>
    <n v="1653"/>
    <x v="2"/>
    <x v="1"/>
    <x v="1"/>
  </r>
  <r>
    <s v="Bigard"/>
    <s v="Croplands"/>
    <s v="Near East and North Africa"/>
    <n v="15421"/>
    <x v="2"/>
    <x v="1"/>
    <x v="1"/>
  </r>
  <r>
    <s v="Bigard"/>
    <s v="Croplands"/>
    <s v="North America"/>
    <n v="8947"/>
    <x v="2"/>
    <x v="1"/>
    <x v="1"/>
  </r>
  <r>
    <s v="Bigard"/>
    <s v="Croplands"/>
    <s v="Oceania"/>
    <n v="53"/>
    <x v="2"/>
    <x v="1"/>
    <x v="1"/>
  </r>
  <r>
    <s v="Bigard"/>
    <s v="Croplands"/>
    <s v="RoW"/>
    <n v="0"/>
    <x v="2"/>
    <x v="1"/>
    <x v="1"/>
  </r>
  <r>
    <s v="Bigard"/>
    <s v="Croplands"/>
    <s v="Russian Federation"/>
    <n v="3668"/>
    <x v="2"/>
    <x v="1"/>
    <x v="1"/>
  </r>
  <r>
    <s v="Bigard"/>
    <s v="Croplands"/>
    <s v="South Asia"/>
    <n v="5519"/>
    <x v="2"/>
    <x v="1"/>
    <x v="1"/>
  </r>
  <r>
    <s v="Bigard"/>
    <s v="Croplands"/>
    <s v="Sub-Saharan Africa"/>
    <n v="417"/>
    <x v="2"/>
    <x v="1"/>
    <x v="1"/>
  </r>
  <r>
    <s v="Bigard"/>
    <s v="Croplands"/>
    <s v="Western Europe"/>
    <n v="273042"/>
    <x v="2"/>
    <x v="1"/>
    <x v="1"/>
  </r>
  <r>
    <s v="BRF"/>
    <s v="Grazing"/>
    <s v="East Asia and Southeast Asia"/>
    <n v="0"/>
    <x v="2"/>
    <x v="1"/>
    <x v="1"/>
  </r>
  <r>
    <s v="BRF"/>
    <s v="Grazing"/>
    <s v="Eastern Europe"/>
    <n v="0"/>
    <x v="2"/>
    <x v="1"/>
    <x v="1"/>
  </r>
  <r>
    <s v="BRF"/>
    <s v="Grazing"/>
    <s v="Latin America and the Caribbean"/>
    <n v="0"/>
    <x v="2"/>
    <x v="1"/>
    <x v="1"/>
  </r>
  <r>
    <s v="BRF"/>
    <s v="Grazing"/>
    <s v="Near East and North Africa"/>
    <n v="0"/>
    <x v="2"/>
    <x v="1"/>
    <x v="1"/>
  </r>
  <r>
    <s v="BRF"/>
    <s v="Grazing"/>
    <s v="North America"/>
    <n v="0"/>
    <x v="2"/>
    <x v="1"/>
    <x v="1"/>
  </r>
  <r>
    <s v="BRF"/>
    <s v="Grazing"/>
    <s v="Oceania"/>
    <n v="0"/>
    <x v="2"/>
    <x v="1"/>
    <x v="1"/>
  </r>
  <r>
    <s v="BRF"/>
    <s v="Grazing"/>
    <s v="RoW"/>
    <n v="0"/>
    <x v="2"/>
    <x v="1"/>
    <x v="1"/>
  </r>
  <r>
    <s v="BRF"/>
    <s v="Grazing"/>
    <s v="Russian Federation"/>
    <n v="0"/>
    <x v="2"/>
    <x v="1"/>
    <x v="1"/>
  </r>
  <r>
    <s v="BRF"/>
    <s v="Grazing"/>
    <s v="South Asia"/>
    <n v="0"/>
    <x v="2"/>
    <x v="1"/>
    <x v="1"/>
  </r>
  <r>
    <s v="BRF"/>
    <s v="Grazing"/>
    <s v="Sub-Saharan Africa"/>
    <n v="0"/>
    <x v="2"/>
    <x v="1"/>
    <x v="1"/>
  </r>
  <r>
    <s v="BRF"/>
    <s v="Grazing"/>
    <s v="Western Europe"/>
    <n v="0"/>
    <x v="2"/>
    <x v="1"/>
    <x v="1"/>
  </r>
  <r>
    <s v="BRF"/>
    <s v="Croplands"/>
    <s v="East Asia and Southeast Asia"/>
    <n v="490"/>
    <x v="2"/>
    <x v="1"/>
    <x v="1"/>
  </r>
  <r>
    <s v="BRF"/>
    <s v="Croplands"/>
    <s v="Eastern Europe"/>
    <n v="68"/>
    <x v="2"/>
    <x v="1"/>
    <x v="1"/>
  </r>
  <r>
    <s v="BRF"/>
    <s v="Croplands"/>
    <s v="Latin America and the Caribbean"/>
    <n v="232323"/>
    <x v="2"/>
    <x v="1"/>
    <x v="1"/>
  </r>
  <r>
    <s v="BRF"/>
    <s v="Croplands"/>
    <s v="Near East and North Africa"/>
    <n v="14614"/>
    <x v="2"/>
    <x v="1"/>
    <x v="1"/>
  </r>
  <r>
    <s v="BRF"/>
    <s v="Croplands"/>
    <s v="North America"/>
    <n v="49415"/>
    <x v="2"/>
    <x v="1"/>
    <x v="1"/>
  </r>
  <r>
    <s v="BRF"/>
    <s v="Croplands"/>
    <s v="Oceania"/>
    <n v="33"/>
    <x v="2"/>
    <x v="1"/>
    <x v="1"/>
  </r>
  <r>
    <s v="BRF"/>
    <s v="Croplands"/>
    <s v="RoW"/>
    <n v="0"/>
    <x v="2"/>
    <x v="1"/>
    <x v="1"/>
  </r>
  <r>
    <s v="BRF"/>
    <s v="Croplands"/>
    <s v="Russian Federation"/>
    <n v="546"/>
    <x v="2"/>
    <x v="1"/>
    <x v="1"/>
  </r>
  <r>
    <s v="BRF"/>
    <s v="Croplands"/>
    <s v="South Asia"/>
    <n v="2662"/>
    <x v="2"/>
    <x v="1"/>
    <x v="1"/>
  </r>
  <r>
    <s v="BRF"/>
    <s v="Croplands"/>
    <s v="Sub-Saharan Africa"/>
    <n v="484"/>
    <x v="2"/>
    <x v="1"/>
    <x v="1"/>
  </r>
  <r>
    <s v="BRF"/>
    <s v="Croplands"/>
    <s v="Western Europe"/>
    <n v="474"/>
    <x v="2"/>
    <x v="1"/>
    <x v="1"/>
  </r>
  <r>
    <s v="Charoen Pokphand"/>
    <s v="Grazing"/>
    <s v="East Asia and Southeast Asia"/>
    <n v="0"/>
    <x v="2"/>
    <x v="1"/>
    <x v="1"/>
  </r>
  <r>
    <s v="Charoen Pokphand"/>
    <s v="Grazing"/>
    <s v="Eastern Europe"/>
    <n v="0"/>
    <x v="2"/>
    <x v="1"/>
    <x v="1"/>
  </r>
  <r>
    <s v="Charoen Pokphand"/>
    <s v="Grazing"/>
    <s v="Latin America and the Caribbean"/>
    <n v="0"/>
    <x v="2"/>
    <x v="1"/>
    <x v="1"/>
  </r>
  <r>
    <s v="Charoen Pokphand"/>
    <s v="Grazing"/>
    <s v="Near East and North Africa"/>
    <n v="0"/>
    <x v="2"/>
    <x v="1"/>
    <x v="1"/>
  </r>
  <r>
    <s v="Charoen Pokphand"/>
    <s v="Grazing"/>
    <s v="North America"/>
    <n v="0"/>
    <x v="2"/>
    <x v="1"/>
    <x v="1"/>
  </r>
  <r>
    <s v="Charoen Pokphand"/>
    <s v="Grazing"/>
    <s v="Oceania"/>
    <n v="0"/>
    <x v="2"/>
    <x v="1"/>
    <x v="1"/>
  </r>
  <r>
    <s v="Charoen Pokphand"/>
    <s v="Grazing"/>
    <s v="RoW"/>
    <n v="0"/>
    <x v="2"/>
    <x v="1"/>
    <x v="1"/>
  </r>
  <r>
    <s v="Charoen Pokphand"/>
    <s v="Grazing"/>
    <s v="Russian Federation"/>
    <n v="0"/>
    <x v="2"/>
    <x v="1"/>
    <x v="1"/>
  </r>
  <r>
    <s v="Charoen Pokphand"/>
    <s v="Grazing"/>
    <s v="South Asia"/>
    <n v="0"/>
    <x v="2"/>
    <x v="1"/>
    <x v="1"/>
  </r>
  <r>
    <s v="Charoen Pokphand"/>
    <s v="Grazing"/>
    <s v="Sub-Saharan Africa"/>
    <n v="0"/>
    <x v="2"/>
    <x v="1"/>
    <x v="1"/>
  </r>
  <r>
    <s v="Charoen Pokphand"/>
    <s v="Grazing"/>
    <s v="Western Europe"/>
    <n v="0"/>
    <x v="2"/>
    <x v="1"/>
    <x v="1"/>
  </r>
  <r>
    <s v="Charoen Pokphand"/>
    <s v="Croplands"/>
    <s v="East Asia and Southeast Asia"/>
    <n v="62407"/>
    <x v="2"/>
    <x v="1"/>
    <x v="1"/>
  </r>
  <r>
    <s v="Charoen Pokphand"/>
    <s v="Croplands"/>
    <s v="Eastern Europe"/>
    <n v="765"/>
    <x v="2"/>
    <x v="1"/>
    <x v="1"/>
  </r>
  <r>
    <s v="Charoen Pokphand"/>
    <s v="Croplands"/>
    <s v="Latin America and the Caribbean"/>
    <n v="880"/>
    <x v="2"/>
    <x v="1"/>
    <x v="1"/>
  </r>
  <r>
    <s v="Charoen Pokphand"/>
    <s v="Croplands"/>
    <s v="Near East and North Africa"/>
    <n v="3054"/>
    <x v="2"/>
    <x v="1"/>
    <x v="1"/>
  </r>
  <r>
    <s v="Charoen Pokphand"/>
    <s v="Croplands"/>
    <s v="North America"/>
    <n v="180523"/>
    <x v="2"/>
    <x v="1"/>
    <x v="1"/>
  </r>
  <r>
    <s v="Charoen Pokphand"/>
    <s v="Croplands"/>
    <s v="Oceania"/>
    <n v="170"/>
    <x v="2"/>
    <x v="1"/>
    <x v="1"/>
  </r>
  <r>
    <s v="Charoen Pokphand"/>
    <s v="Croplands"/>
    <s v="RoW"/>
    <n v="0"/>
    <x v="2"/>
    <x v="1"/>
    <x v="1"/>
  </r>
  <r>
    <s v="Charoen Pokphand"/>
    <s v="Croplands"/>
    <s v="Russian Federation"/>
    <n v="193298"/>
    <x v="2"/>
    <x v="1"/>
    <x v="1"/>
  </r>
  <r>
    <s v="Charoen Pokphand"/>
    <s v="Croplands"/>
    <s v="South Asia"/>
    <n v="2714"/>
    <x v="2"/>
    <x v="1"/>
    <x v="1"/>
  </r>
  <r>
    <s v="Charoen Pokphand"/>
    <s v="Croplands"/>
    <s v="Sub-Saharan Africa"/>
    <n v="293"/>
    <x v="2"/>
    <x v="1"/>
    <x v="1"/>
  </r>
  <r>
    <s v="Charoen Pokphand"/>
    <s v="Croplands"/>
    <s v="Western Europe"/>
    <n v="580"/>
    <x v="2"/>
    <x v="1"/>
    <x v="1"/>
  </r>
  <r>
    <s v="Clemens Food Group"/>
    <s v="Grazing"/>
    <s v="East Asia and Southeast Asia"/>
    <n v="0"/>
    <x v="2"/>
    <x v="1"/>
    <x v="1"/>
  </r>
  <r>
    <s v="Clemens Food Group"/>
    <s v="Grazing"/>
    <s v="Eastern Europe"/>
    <n v="0"/>
    <x v="2"/>
    <x v="1"/>
    <x v="1"/>
  </r>
  <r>
    <s v="Clemens Food Group"/>
    <s v="Grazing"/>
    <s v="Latin America and the Caribbean"/>
    <n v="0"/>
    <x v="2"/>
    <x v="1"/>
    <x v="1"/>
  </r>
  <r>
    <s v="Clemens Food Group"/>
    <s v="Grazing"/>
    <s v="Near East and North Africa"/>
    <n v="0"/>
    <x v="2"/>
    <x v="1"/>
    <x v="1"/>
  </r>
  <r>
    <s v="Clemens Food Group"/>
    <s v="Grazing"/>
    <s v="North America"/>
    <n v="0"/>
    <x v="2"/>
    <x v="1"/>
    <x v="1"/>
  </r>
  <r>
    <s v="Clemens Food Group"/>
    <s v="Grazing"/>
    <s v="Oceania"/>
    <n v="0"/>
    <x v="2"/>
    <x v="1"/>
    <x v="1"/>
  </r>
  <r>
    <s v="Clemens Food Group"/>
    <s v="Grazing"/>
    <s v="RoW"/>
    <n v="0"/>
    <x v="2"/>
    <x v="1"/>
    <x v="1"/>
  </r>
  <r>
    <s v="Clemens Food Group"/>
    <s v="Grazing"/>
    <s v="Russian Federation"/>
    <n v="0"/>
    <x v="2"/>
    <x v="1"/>
    <x v="1"/>
  </r>
  <r>
    <s v="Clemens Food Group"/>
    <s v="Grazing"/>
    <s v="South Asia"/>
    <n v="0"/>
    <x v="2"/>
    <x v="1"/>
    <x v="1"/>
  </r>
  <r>
    <s v="Clemens Food Group"/>
    <s v="Grazing"/>
    <s v="Sub-Saharan Africa"/>
    <n v="0"/>
    <x v="2"/>
    <x v="1"/>
    <x v="1"/>
  </r>
  <r>
    <s v="Clemens Food Group"/>
    <s v="Grazing"/>
    <s v="Western Europe"/>
    <n v="0"/>
    <x v="2"/>
    <x v="1"/>
    <x v="1"/>
  </r>
  <r>
    <s v="Clemens Food Group"/>
    <s v="Croplands"/>
    <s v="East Asia and Southeast Asia"/>
    <n v="99"/>
    <x v="2"/>
    <x v="1"/>
    <x v="1"/>
  </r>
  <r>
    <s v="Clemens Food Group"/>
    <s v="Croplands"/>
    <s v="Eastern Europe"/>
    <n v="34"/>
    <x v="2"/>
    <x v="1"/>
    <x v="1"/>
  </r>
  <r>
    <s v="Clemens Food Group"/>
    <s v="Croplands"/>
    <s v="Latin America and the Caribbean"/>
    <n v="304"/>
    <x v="2"/>
    <x v="1"/>
    <x v="1"/>
  </r>
  <r>
    <s v="Clemens Food Group"/>
    <s v="Croplands"/>
    <s v="Near East and North Africa"/>
    <n v="57"/>
    <x v="2"/>
    <x v="1"/>
    <x v="1"/>
  </r>
  <r>
    <s v="Clemens Food Group"/>
    <s v="Croplands"/>
    <s v="North America"/>
    <n v="154415"/>
    <x v="2"/>
    <x v="1"/>
    <x v="1"/>
  </r>
  <r>
    <s v="Clemens Food Group"/>
    <s v="Croplands"/>
    <s v="Oceania"/>
    <n v="24"/>
    <x v="2"/>
    <x v="1"/>
    <x v="1"/>
  </r>
  <r>
    <s v="Clemens Food Group"/>
    <s v="Croplands"/>
    <s v="RoW"/>
    <n v="0"/>
    <x v="2"/>
    <x v="1"/>
    <x v="1"/>
  </r>
  <r>
    <s v="Clemens Food Group"/>
    <s v="Croplands"/>
    <s v="Russian Federation"/>
    <n v="6"/>
    <x v="2"/>
    <x v="1"/>
    <x v="1"/>
  </r>
  <r>
    <s v="Clemens Food Group"/>
    <s v="Croplands"/>
    <s v="South Asia"/>
    <n v="437"/>
    <x v="2"/>
    <x v="1"/>
    <x v="1"/>
  </r>
  <r>
    <s v="Clemens Food Group"/>
    <s v="Croplands"/>
    <s v="Sub-Saharan Africa"/>
    <n v="162"/>
    <x v="2"/>
    <x v="1"/>
    <x v="1"/>
  </r>
  <r>
    <s v="Clemens Food Group"/>
    <s v="Croplands"/>
    <s v="Western Europe"/>
    <n v="394"/>
    <x v="2"/>
    <x v="1"/>
    <x v="1"/>
  </r>
  <r>
    <s v="COFCO Group"/>
    <s v="Grazing"/>
    <s v="East Asia and Southeast Asia"/>
    <n v="0"/>
    <x v="2"/>
    <x v="1"/>
    <x v="1"/>
  </r>
  <r>
    <s v="COFCO Group"/>
    <s v="Grazing"/>
    <s v="Eastern Europe"/>
    <n v="0"/>
    <x v="2"/>
    <x v="1"/>
    <x v="1"/>
  </r>
  <r>
    <s v="COFCO Group"/>
    <s v="Grazing"/>
    <s v="Latin America and the Caribbean"/>
    <n v="0"/>
    <x v="2"/>
    <x v="1"/>
    <x v="1"/>
  </r>
  <r>
    <s v="COFCO Group"/>
    <s v="Grazing"/>
    <s v="Near East and North Africa"/>
    <n v="0"/>
    <x v="2"/>
    <x v="1"/>
    <x v="1"/>
  </r>
  <r>
    <s v="COFCO Group"/>
    <s v="Grazing"/>
    <s v="North America"/>
    <n v="0"/>
    <x v="2"/>
    <x v="1"/>
    <x v="1"/>
  </r>
  <r>
    <s v="COFCO Group"/>
    <s v="Grazing"/>
    <s v="Oceania"/>
    <n v="0"/>
    <x v="2"/>
    <x v="1"/>
    <x v="1"/>
  </r>
  <r>
    <s v="COFCO Group"/>
    <s v="Grazing"/>
    <s v="RoW"/>
    <n v="0"/>
    <x v="2"/>
    <x v="1"/>
    <x v="1"/>
  </r>
  <r>
    <s v="COFCO Group"/>
    <s v="Grazing"/>
    <s v="Russian Federation"/>
    <n v="0"/>
    <x v="2"/>
    <x v="1"/>
    <x v="1"/>
  </r>
  <r>
    <s v="COFCO Group"/>
    <s v="Grazing"/>
    <s v="South Asia"/>
    <n v="0"/>
    <x v="2"/>
    <x v="1"/>
    <x v="1"/>
  </r>
  <r>
    <s v="COFCO Group"/>
    <s v="Grazing"/>
    <s v="Sub-Saharan Africa"/>
    <n v="0"/>
    <x v="2"/>
    <x v="1"/>
    <x v="1"/>
  </r>
  <r>
    <s v="COFCO Group"/>
    <s v="Grazing"/>
    <s v="Western Europe"/>
    <n v="0"/>
    <x v="2"/>
    <x v="1"/>
    <x v="1"/>
  </r>
  <r>
    <s v="COFCO Group"/>
    <s v="Croplands"/>
    <s v="East Asia and Southeast Asia"/>
    <n v="286354"/>
    <x v="2"/>
    <x v="1"/>
    <x v="1"/>
  </r>
  <r>
    <s v="COFCO Group"/>
    <s v="Croplands"/>
    <s v="Eastern Europe"/>
    <n v="2489"/>
    <x v="2"/>
    <x v="1"/>
    <x v="1"/>
  </r>
  <r>
    <s v="COFCO Group"/>
    <s v="Croplands"/>
    <s v="Latin America and the Caribbean"/>
    <n v="2221"/>
    <x v="2"/>
    <x v="1"/>
    <x v="1"/>
  </r>
  <r>
    <s v="COFCO Group"/>
    <s v="Croplands"/>
    <s v="Near East and North Africa"/>
    <n v="3877"/>
    <x v="2"/>
    <x v="1"/>
    <x v="1"/>
  </r>
  <r>
    <s v="COFCO Group"/>
    <s v="Croplands"/>
    <s v="North America"/>
    <n v="32337"/>
    <x v="2"/>
    <x v="1"/>
    <x v="1"/>
  </r>
  <r>
    <s v="COFCO Group"/>
    <s v="Croplands"/>
    <s v="Oceania"/>
    <n v="650"/>
    <x v="2"/>
    <x v="1"/>
    <x v="1"/>
  </r>
  <r>
    <s v="COFCO Group"/>
    <s v="Croplands"/>
    <s v="RoW"/>
    <n v="0"/>
    <x v="2"/>
    <x v="1"/>
    <x v="1"/>
  </r>
  <r>
    <s v="COFCO Group"/>
    <s v="Croplands"/>
    <s v="Russian Federation"/>
    <n v="2423"/>
    <x v="2"/>
    <x v="1"/>
    <x v="1"/>
  </r>
  <r>
    <s v="COFCO Group"/>
    <s v="Croplands"/>
    <s v="South Asia"/>
    <n v="9745"/>
    <x v="2"/>
    <x v="1"/>
    <x v="1"/>
  </r>
  <r>
    <s v="COFCO Group"/>
    <s v="Croplands"/>
    <s v="Sub-Saharan Africa"/>
    <n v="504"/>
    <x v="2"/>
    <x v="1"/>
    <x v="1"/>
  </r>
  <r>
    <s v="COFCO Group"/>
    <s v="Croplands"/>
    <s v="Western Europe"/>
    <n v="399"/>
    <x v="2"/>
    <x v="1"/>
    <x v="1"/>
  </r>
  <r>
    <s v="Cooperl Arc Atlantique"/>
    <s v="Grazing"/>
    <s v="East Asia and Southeast Asia"/>
    <n v="0"/>
    <x v="2"/>
    <x v="1"/>
    <x v="1"/>
  </r>
  <r>
    <s v="Cooperl Arc Atlantique"/>
    <s v="Grazing"/>
    <s v="Eastern Europe"/>
    <n v="0"/>
    <x v="2"/>
    <x v="1"/>
    <x v="1"/>
  </r>
  <r>
    <s v="Cooperl Arc Atlantique"/>
    <s v="Grazing"/>
    <s v="Latin America and the Caribbean"/>
    <n v="0"/>
    <x v="2"/>
    <x v="1"/>
    <x v="1"/>
  </r>
  <r>
    <s v="Cooperl Arc Atlantique"/>
    <s v="Grazing"/>
    <s v="Near East and North Africa"/>
    <n v="0"/>
    <x v="2"/>
    <x v="1"/>
    <x v="1"/>
  </r>
  <r>
    <s v="Cooperl Arc Atlantique"/>
    <s v="Grazing"/>
    <s v="North America"/>
    <n v="0"/>
    <x v="2"/>
    <x v="1"/>
    <x v="1"/>
  </r>
  <r>
    <s v="Cooperl Arc Atlantique"/>
    <s v="Grazing"/>
    <s v="Oceania"/>
    <n v="0"/>
    <x v="2"/>
    <x v="1"/>
    <x v="1"/>
  </r>
  <r>
    <s v="Cooperl Arc Atlantique"/>
    <s v="Grazing"/>
    <s v="RoW"/>
    <n v="0"/>
    <x v="2"/>
    <x v="1"/>
    <x v="1"/>
  </r>
  <r>
    <s v="Cooperl Arc Atlantique"/>
    <s v="Grazing"/>
    <s v="Russian Federation"/>
    <n v="0"/>
    <x v="2"/>
    <x v="1"/>
    <x v="1"/>
  </r>
  <r>
    <s v="Cooperl Arc Atlantique"/>
    <s v="Grazing"/>
    <s v="South Asia"/>
    <n v="0"/>
    <x v="2"/>
    <x v="1"/>
    <x v="1"/>
  </r>
  <r>
    <s v="Cooperl Arc Atlantique"/>
    <s v="Grazing"/>
    <s v="Sub-Saharan Africa"/>
    <n v="0"/>
    <x v="2"/>
    <x v="1"/>
    <x v="1"/>
  </r>
  <r>
    <s v="Cooperl Arc Atlantique"/>
    <s v="Grazing"/>
    <s v="Western Europe"/>
    <n v="0"/>
    <x v="2"/>
    <x v="1"/>
    <x v="1"/>
  </r>
  <r>
    <s v="Cooperl Arc Atlantique"/>
    <s v="Croplands"/>
    <s v="East Asia and Southeast Asia"/>
    <n v="877"/>
    <x v="2"/>
    <x v="1"/>
    <x v="1"/>
  </r>
  <r>
    <s v="Cooperl Arc Atlantique"/>
    <s v="Croplands"/>
    <s v="Eastern Europe"/>
    <n v="10793"/>
    <x v="2"/>
    <x v="1"/>
    <x v="1"/>
  </r>
  <r>
    <s v="Cooperl Arc Atlantique"/>
    <s v="Croplands"/>
    <s v="Latin America and the Caribbean"/>
    <n v="848"/>
    <x v="2"/>
    <x v="1"/>
    <x v="1"/>
  </r>
  <r>
    <s v="Cooperl Arc Atlantique"/>
    <s v="Croplands"/>
    <s v="Near East and North Africa"/>
    <n v="7911"/>
    <x v="2"/>
    <x v="1"/>
    <x v="1"/>
  </r>
  <r>
    <s v="Cooperl Arc Atlantique"/>
    <s v="Croplands"/>
    <s v="North America"/>
    <n v="4590"/>
    <x v="2"/>
    <x v="1"/>
    <x v="1"/>
  </r>
  <r>
    <s v="Cooperl Arc Atlantique"/>
    <s v="Croplands"/>
    <s v="Oceania"/>
    <n v="27"/>
    <x v="2"/>
    <x v="1"/>
    <x v="1"/>
  </r>
  <r>
    <s v="Cooperl Arc Atlantique"/>
    <s v="Croplands"/>
    <s v="RoW"/>
    <n v="0"/>
    <x v="2"/>
    <x v="1"/>
    <x v="1"/>
  </r>
  <r>
    <s v="Cooperl Arc Atlantique"/>
    <s v="Croplands"/>
    <s v="Russian Federation"/>
    <n v="1882"/>
    <x v="2"/>
    <x v="1"/>
    <x v="1"/>
  </r>
  <r>
    <s v="Cooperl Arc Atlantique"/>
    <s v="Croplands"/>
    <s v="South Asia"/>
    <n v="2831"/>
    <x v="2"/>
    <x v="1"/>
    <x v="1"/>
  </r>
  <r>
    <s v="Cooperl Arc Atlantique"/>
    <s v="Croplands"/>
    <s v="Sub-Saharan Africa"/>
    <n v="214"/>
    <x v="2"/>
    <x v="1"/>
    <x v="1"/>
  </r>
  <r>
    <s v="Cooperl Arc Atlantique"/>
    <s v="Croplands"/>
    <s v="Western Europe"/>
    <n v="140072"/>
    <x v="2"/>
    <x v="1"/>
    <x v="1"/>
  </r>
  <r>
    <s v="Danish Crown"/>
    <s v="Grazing"/>
    <s v="East Asia and Southeast Asia"/>
    <n v="0"/>
    <x v="2"/>
    <x v="1"/>
    <x v="1"/>
  </r>
  <r>
    <s v="Danish Crown"/>
    <s v="Grazing"/>
    <s v="Eastern Europe"/>
    <n v="0"/>
    <x v="2"/>
    <x v="1"/>
    <x v="1"/>
  </r>
  <r>
    <s v="Danish Crown"/>
    <s v="Grazing"/>
    <s v="Latin America and the Caribbean"/>
    <n v="0"/>
    <x v="2"/>
    <x v="1"/>
    <x v="1"/>
  </r>
  <r>
    <s v="Danish Crown"/>
    <s v="Grazing"/>
    <s v="Near East and North Africa"/>
    <n v="0"/>
    <x v="2"/>
    <x v="1"/>
    <x v="1"/>
  </r>
  <r>
    <s v="Danish Crown"/>
    <s v="Grazing"/>
    <s v="North America"/>
    <n v="0"/>
    <x v="2"/>
    <x v="1"/>
    <x v="1"/>
  </r>
  <r>
    <s v="Danish Crown"/>
    <s v="Grazing"/>
    <s v="Oceania"/>
    <n v="0"/>
    <x v="2"/>
    <x v="1"/>
    <x v="1"/>
  </r>
  <r>
    <s v="Danish Crown"/>
    <s v="Grazing"/>
    <s v="RoW"/>
    <n v="0"/>
    <x v="2"/>
    <x v="1"/>
    <x v="1"/>
  </r>
  <r>
    <s v="Danish Crown"/>
    <s v="Grazing"/>
    <s v="Russian Federation"/>
    <n v="0"/>
    <x v="2"/>
    <x v="1"/>
    <x v="1"/>
  </r>
  <r>
    <s v="Danish Crown"/>
    <s v="Grazing"/>
    <s v="South Asia"/>
    <n v="0"/>
    <x v="2"/>
    <x v="1"/>
    <x v="1"/>
  </r>
  <r>
    <s v="Danish Crown"/>
    <s v="Grazing"/>
    <s v="Sub-Saharan Africa"/>
    <n v="0"/>
    <x v="2"/>
    <x v="1"/>
    <x v="1"/>
  </r>
  <r>
    <s v="Danish Crown"/>
    <s v="Grazing"/>
    <s v="Western Europe"/>
    <n v="0"/>
    <x v="2"/>
    <x v="1"/>
    <x v="1"/>
  </r>
  <r>
    <s v="Danish Crown"/>
    <s v="Croplands"/>
    <s v="East Asia and Southeast Asia"/>
    <n v="3231"/>
    <x v="2"/>
    <x v="1"/>
    <x v="1"/>
  </r>
  <r>
    <s v="Danish Crown"/>
    <s v="Croplands"/>
    <s v="Eastern Europe"/>
    <n v="60104"/>
    <x v="2"/>
    <x v="1"/>
    <x v="1"/>
  </r>
  <r>
    <s v="Danish Crown"/>
    <s v="Croplands"/>
    <s v="Latin America and the Caribbean"/>
    <n v="3132"/>
    <x v="2"/>
    <x v="1"/>
    <x v="1"/>
  </r>
  <r>
    <s v="Danish Crown"/>
    <s v="Croplands"/>
    <s v="Near East and North Africa"/>
    <n v="28072"/>
    <x v="2"/>
    <x v="1"/>
    <x v="1"/>
  </r>
  <r>
    <s v="Danish Crown"/>
    <s v="Croplands"/>
    <s v="North America"/>
    <n v="15874"/>
    <x v="2"/>
    <x v="1"/>
    <x v="1"/>
  </r>
  <r>
    <s v="Danish Crown"/>
    <s v="Croplands"/>
    <s v="Oceania"/>
    <n v="95"/>
    <x v="2"/>
    <x v="1"/>
    <x v="1"/>
  </r>
  <r>
    <s v="Danish Crown"/>
    <s v="Croplands"/>
    <s v="RoW"/>
    <n v="2"/>
    <x v="2"/>
    <x v="1"/>
    <x v="1"/>
  </r>
  <r>
    <s v="Danish Crown"/>
    <s v="Croplands"/>
    <s v="Russian Federation"/>
    <n v="6875"/>
    <x v="2"/>
    <x v="1"/>
    <x v="1"/>
  </r>
  <r>
    <s v="Danish Crown"/>
    <s v="Croplands"/>
    <s v="South Asia"/>
    <n v="10290"/>
    <x v="2"/>
    <x v="1"/>
    <x v="1"/>
  </r>
  <r>
    <s v="Danish Crown"/>
    <s v="Croplands"/>
    <s v="Sub-Saharan Africa"/>
    <n v="754"/>
    <x v="2"/>
    <x v="1"/>
    <x v="1"/>
  </r>
  <r>
    <s v="Danish Crown"/>
    <s v="Croplands"/>
    <s v="Western Europe"/>
    <n v="477270"/>
    <x v="2"/>
    <x v="1"/>
    <x v="1"/>
  </r>
  <r>
    <s v="Grupo Jorges"/>
    <s v="Grazing"/>
    <s v="East Asia and Southeast Asia"/>
    <n v="0"/>
    <x v="2"/>
    <x v="1"/>
    <x v="1"/>
  </r>
  <r>
    <s v="Grupo Jorges"/>
    <s v="Grazing"/>
    <s v="Eastern Europe"/>
    <n v="0"/>
    <x v="2"/>
    <x v="1"/>
    <x v="1"/>
  </r>
  <r>
    <s v="Grupo Jorges"/>
    <s v="Grazing"/>
    <s v="Latin America and the Caribbean"/>
    <n v="0"/>
    <x v="2"/>
    <x v="1"/>
    <x v="1"/>
  </r>
  <r>
    <s v="Grupo Jorges"/>
    <s v="Grazing"/>
    <s v="Near East and North Africa"/>
    <n v="0"/>
    <x v="2"/>
    <x v="1"/>
    <x v="1"/>
  </r>
  <r>
    <s v="Grupo Jorges"/>
    <s v="Grazing"/>
    <s v="North America"/>
    <n v="0"/>
    <x v="2"/>
    <x v="1"/>
    <x v="1"/>
  </r>
  <r>
    <s v="Grupo Jorges"/>
    <s v="Grazing"/>
    <s v="Oceania"/>
    <n v="0"/>
    <x v="2"/>
    <x v="1"/>
    <x v="1"/>
  </r>
  <r>
    <s v="Grupo Jorges"/>
    <s v="Grazing"/>
    <s v="RoW"/>
    <n v="0"/>
    <x v="2"/>
    <x v="1"/>
    <x v="1"/>
  </r>
  <r>
    <s v="Grupo Jorges"/>
    <s v="Grazing"/>
    <s v="Russian Federation"/>
    <n v="0"/>
    <x v="2"/>
    <x v="1"/>
    <x v="1"/>
  </r>
  <r>
    <s v="Grupo Jorges"/>
    <s v="Grazing"/>
    <s v="South Asia"/>
    <n v="0"/>
    <x v="2"/>
    <x v="1"/>
    <x v="1"/>
  </r>
  <r>
    <s v="Grupo Jorges"/>
    <s v="Grazing"/>
    <s v="Sub-Saharan Africa"/>
    <n v="0"/>
    <x v="2"/>
    <x v="1"/>
    <x v="1"/>
  </r>
  <r>
    <s v="Grupo Jorges"/>
    <s v="Grazing"/>
    <s v="Western Europe"/>
    <n v="0"/>
    <x v="2"/>
    <x v="1"/>
    <x v="1"/>
  </r>
  <r>
    <s v="Grupo Jorges"/>
    <s v="Croplands"/>
    <s v="East Asia and Southeast Asia"/>
    <n v="1305"/>
    <x v="2"/>
    <x v="1"/>
    <x v="1"/>
  </r>
  <r>
    <s v="Grupo Jorges"/>
    <s v="Croplands"/>
    <s v="Eastern Europe"/>
    <n v="16064"/>
    <x v="2"/>
    <x v="1"/>
    <x v="1"/>
  </r>
  <r>
    <s v="Grupo Jorges"/>
    <s v="Croplands"/>
    <s v="Latin America and the Caribbean"/>
    <n v="1262"/>
    <x v="2"/>
    <x v="1"/>
    <x v="1"/>
  </r>
  <r>
    <s v="Grupo Jorges"/>
    <s v="Croplands"/>
    <s v="Near East and North Africa"/>
    <n v="11775"/>
    <x v="2"/>
    <x v="1"/>
    <x v="1"/>
  </r>
  <r>
    <s v="Grupo Jorges"/>
    <s v="Croplands"/>
    <s v="North America"/>
    <n v="6832"/>
    <x v="2"/>
    <x v="1"/>
    <x v="1"/>
  </r>
  <r>
    <s v="Grupo Jorges"/>
    <s v="Croplands"/>
    <s v="Oceania"/>
    <n v="40"/>
    <x v="2"/>
    <x v="1"/>
    <x v="1"/>
  </r>
  <r>
    <s v="Grupo Jorges"/>
    <s v="Croplands"/>
    <s v="RoW"/>
    <n v="0"/>
    <x v="2"/>
    <x v="1"/>
    <x v="1"/>
  </r>
  <r>
    <s v="Grupo Jorges"/>
    <s v="Croplands"/>
    <s v="Russian Federation"/>
    <n v="2801"/>
    <x v="2"/>
    <x v="1"/>
    <x v="1"/>
  </r>
  <r>
    <s v="Grupo Jorges"/>
    <s v="Croplands"/>
    <s v="South Asia"/>
    <n v="4214"/>
    <x v="2"/>
    <x v="1"/>
    <x v="1"/>
  </r>
  <r>
    <s v="Grupo Jorges"/>
    <s v="Croplands"/>
    <s v="Sub-Saharan Africa"/>
    <n v="319"/>
    <x v="2"/>
    <x v="1"/>
    <x v="1"/>
  </r>
  <r>
    <s v="Grupo Jorges"/>
    <s v="Croplands"/>
    <s v="Western Europe"/>
    <n v="208480"/>
    <x v="2"/>
    <x v="1"/>
    <x v="1"/>
  </r>
  <r>
    <s v="Grupo Vall"/>
    <s v="Grazing"/>
    <s v="East Asia and Southeast Asia"/>
    <n v="0"/>
    <x v="2"/>
    <x v="1"/>
    <x v="1"/>
  </r>
  <r>
    <s v="Grupo Vall"/>
    <s v="Grazing"/>
    <s v="Eastern Europe"/>
    <n v="0"/>
    <x v="2"/>
    <x v="1"/>
    <x v="1"/>
  </r>
  <r>
    <s v="Grupo Vall"/>
    <s v="Grazing"/>
    <s v="Latin America and the Caribbean"/>
    <n v="0"/>
    <x v="2"/>
    <x v="1"/>
    <x v="1"/>
  </r>
  <r>
    <s v="Grupo Vall"/>
    <s v="Grazing"/>
    <s v="Near East and North Africa"/>
    <n v="0"/>
    <x v="2"/>
    <x v="1"/>
    <x v="1"/>
  </r>
  <r>
    <s v="Grupo Vall"/>
    <s v="Grazing"/>
    <s v="North America"/>
    <n v="0"/>
    <x v="2"/>
    <x v="1"/>
    <x v="1"/>
  </r>
  <r>
    <s v="Grupo Vall"/>
    <s v="Grazing"/>
    <s v="Oceania"/>
    <n v="0"/>
    <x v="2"/>
    <x v="1"/>
    <x v="1"/>
  </r>
  <r>
    <s v="Grupo Vall"/>
    <s v="Grazing"/>
    <s v="RoW"/>
    <n v="0"/>
    <x v="2"/>
    <x v="1"/>
    <x v="1"/>
  </r>
  <r>
    <s v="Grupo Vall"/>
    <s v="Grazing"/>
    <s v="Russian Federation"/>
    <n v="0"/>
    <x v="2"/>
    <x v="1"/>
    <x v="1"/>
  </r>
  <r>
    <s v="Grupo Vall"/>
    <s v="Grazing"/>
    <s v="South Asia"/>
    <n v="0"/>
    <x v="2"/>
    <x v="1"/>
    <x v="1"/>
  </r>
  <r>
    <s v="Grupo Vall"/>
    <s v="Grazing"/>
    <s v="Sub-Saharan Africa"/>
    <n v="0"/>
    <x v="2"/>
    <x v="1"/>
    <x v="1"/>
  </r>
  <r>
    <s v="Grupo Vall"/>
    <s v="Grazing"/>
    <s v="Western Europe"/>
    <n v="0"/>
    <x v="2"/>
    <x v="1"/>
    <x v="1"/>
  </r>
  <r>
    <s v="Grupo Vall"/>
    <s v="Croplands"/>
    <s v="East Asia and Southeast Asia"/>
    <n v="1734"/>
    <x v="2"/>
    <x v="1"/>
    <x v="1"/>
  </r>
  <r>
    <s v="Grupo Vall"/>
    <s v="Croplands"/>
    <s v="Eastern Europe"/>
    <n v="21350"/>
    <x v="2"/>
    <x v="1"/>
    <x v="1"/>
  </r>
  <r>
    <s v="Grupo Vall"/>
    <s v="Croplands"/>
    <s v="Latin America and the Caribbean"/>
    <n v="1677"/>
    <x v="2"/>
    <x v="1"/>
    <x v="1"/>
  </r>
  <r>
    <s v="Grupo Vall"/>
    <s v="Croplands"/>
    <s v="Near East and North Africa"/>
    <n v="15649"/>
    <x v="2"/>
    <x v="1"/>
    <x v="1"/>
  </r>
  <r>
    <s v="Grupo Vall"/>
    <s v="Croplands"/>
    <s v="North America"/>
    <n v="9079"/>
    <x v="2"/>
    <x v="1"/>
    <x v="1"/>
  </r>
  <r>
    <s v="Grupo Vall"/>
    <s v="Croplands"/>
    <s v="Oceania"/>
    <n v="54"/>
    <x v="2"/>
    <x v="1"/>
    <x v="1"/>
  </r>
  <r>
    <s v="Grupo Vall"/>
    <s v="Croplands"/>
    <s v="RoW"/>
    <n v="0"/>
    <x v="2"/>
    <x v="1"/>
    <x v="1"/>
  </r>
  <r>
    <s v="Grupo Vall"/>
    <s v="Croplands"/>
    <s v="Russian Federation"/>
    <n v="3722"/>
    <x v="2"/>
    <x v="1"/>
    <x v="1"/>
  </r>
  <r>
    <s v="Grupo Vall"/>
    <s v="Croplands"/>
    <s v="South Asia"/>
    <n v="5600"/>
    <x v="2"/>
    <x v="1"/>
    <x v="1"/>
  </r>
  <r>
    <s v="Grupo Vall"/>
    <s v="Croplands"/>
    <s v="Sub-Saharan Africa"/>
    <n v="424"/>
    <x v="2"/>
    <x v="1"/>
    <x v="1"/>
  </r>
  <r>
    <s v="Grupo Vall"/>
    <s v="Croplands"/>
    <s v="Western Europe"/>
    <n v="277075"/>
    <x v="2"/>
    <x v="1"/>
    <x v="1"/>
  </r>
  <r>
    <s v="Gruppo Cremonini"/>
    <s v="Grazing"/>
    <s v="East Asia and Southeast Asia"/>
    <n v="0"/>
    <x v="2"/>
    <x v="1"/>
    <x v="1"/>
  </r>
  <r>
    <s v="Gruppo Cremonini"/>
    <s v="Grazing"/>
    <s v="Eastern Europe"/>
    <n v="0"/>
    <x v="2"/>
    <x v="1"/>
    <x v="1"/>
  </r>
  <r>
    <s v="Gruppo Cremonini"/>
    <s v="Grazing"/>
    <s v="Latin America and the Caribbean"/>
    <n v="0"/>
    <x v="2"/>
    <x v="1"/>
    <x v="1"/>
  </r>
  <r>
    <s v="Gruppo Cremonini"/>
    <s v="Grazing"/>
    <s v="Near East and North Africa"/>
    <n v="0"/>
    <x v="2"/>
    <x v="1"/>
    <x v="1"/>
  </r>
  <r>
    <s v="Gruppo Cremonini"/>
    <s v="Grazing"/>
    <s v="North America"/>
    <n v="0"/>
    <x v="2"/>
    <x v="1"/>
    <x v="1"/>
  </r>
  <r>
    <s v="Gruppo Cremonini"/>
    <s v="Grazing"/>
    <s v="Oceania"/>
    <n v="0"/>
    <x v="2"/>
    <x v="1"/>
    <x v="1"/>
  </r>
  <r>
    <s v="Gruppo Cremonini"/>
    <s v="Grazing"/>
    <s v="RoW"/>
    <n v="0"/>
    <x v="2"/>
    <x v="1"/>
    <x v="1"/>
  </r>
  <r>
    <s v="Gruppo Cremonini"/>
    <s v="Grazing"/>
    <s v="Russian Federation"/>
    <n v="0"/>
    <x v="2"/>
    <x v="1"/>
    <x v="1"/>
  </r>
  <r>
    <s v="Gruppo Cremonini"/>
    <s v="Grazing"/>
    <s v="South Asia"/>
    <n v="0"/>
    <x v="2"/>
    <x v="1"/>
    <x v="1"/>
  </r>
  <r>
    <s v="Gruppo Cremonini"/>
    <s v="Grazing"/>
    <s v="Sub-Saharan Africa"/>
    <n v="0"/>
    <x v="2"/>
    <x v="1"/>
    <x v="1"/>
  </r>
  <r>
    <s v="Gruppo Cremonini"/>
    <s v="Grazing"/>
    <s v="Western Europe"/>
    <n v="0"/>
    <x v="2"/>
    <x v="1"/>
    <x v="1"/>
  </r>
  <r>
    <s v="Gruppo Cremonini"/>
    <s v="Croplands"/>
    <s v="East Asia and Southeast Asia"/>
    <n v="144"/>
    <x v="2"/>
    <x v="1"/>
    <x v="1"/>
  </r>
  <r>
    <s v="Gruppo Cremonini"/>
    <s v="Croplands"/>
    <s v="Eastern Europe"/>
    <n v="1775"/>
    <x v="2"/>
    <x v="1"/>
    <x v="1"/>
  </r>
  <r>
    <s v="Gruppo Cremonini"/>
    <s v="Croplands"/>
    <s v="Latin America and the Caribbean"/>
    <n v="139"/>
    <x v="2"/>
    <x v="1"/>
    <x v="1"/>
  </r>
  <r>
    <s v="Gruppo Cremonini"/>
    <s v="Croplands"/>
    <s v="Near East and North Africa"/>
    <n v="1301"/>
    <x v="2"/>
    <x v="1"/>
    <x v="1"/>
  </r>
  <r>
    <s v="Gruppo Cremonini"/>
    <s v="Croplands"/>
    <s v="North America"/>
    <n v="755"/>
    <x v="2"/>
    <x v="1"/>
    <x v="1"/>
  </r>
  <r>
    <s v="Gruppo Cremonini"/>
    <s v="Croplands"/>
    <s v="Oceania"/>
    <n v="4"/>
    <x v="2"/>
    <x v="1"/>
    <x v="1"/>
  </r>
  <r>
    <s v="Gruppo Cremonini"/>
    <s v="Croplands"/>
    <s v="RoW"/>
    <n v="0"/>
    <x v="2"/>
    <x v="1"/>
    <x v="1"/>
  </r>
  <r>
    <s v="Gruppo Cremonini"/>
    <s v="Croplands"/>
    <s v="Russian Federation"/>
    <n v="310"/>
    <x v="2"/>
    <x v="1"/>
    <x v="1"/>
  </r>
  <r>
    <s v="Gruppo Cremonini"/>
    <s v="Croplands"/>
    <s v="South Asia"/>
    <n v="466"/>
    <x v="2"/>
    <x v="1"/>
    <x v="1"/>
  </r>
  <r>
    <s v="Gruppo Cremonini"/>
    <s v="Croplands"/>
    <s v="Sub-Saharan Africa"/>
    <n v="35"/>
    <x v="2"/>
    <x v="1"/>
    <x v="1"/>
  </r>
  <r>
    <s v="Gruppo Cremonini"/>
    <s v="Croplands"/>
    <s v="Western Europe"/>
    <n v="23042"/>
    <x v="2"/>
    <x v="1"/>
    <x v="1"/>
  </r>
  <r>
    <s v="JBS"/>
    <s v="Grazing"/>
    <s v="East Asia and Southeast Asia"/>
    <n v="0"/>
    <x v="2"/>
    <x v="1"/>
    <x v="1"/>
  </r>
  <r>
    <s v="JBS"/>
    <s v="Grazing"/>
    <s v="Eastern Europe"/>
    <n v="0"/>
    <x v="2"/>
    <x v="1"/>
    <x v="1"/>
  </r>
  <r>
    <s v="JBS"/>
    <s v="Grazing"/>
    <s v="Latin America and the Caribbean"/>
    <n v="0"/>
    <x v="2"/>
    <x v="1"/>
    <x v="1"/>
  </r>
  <r>
    <s v="JBS"/>
    <s v="Grazing"/>
    <s v="Near East and North Africa"/>
    <n v="0"/>
    <x v="2"/>
    <x v="1"/>
    <x v="1"/>
  </r>
  <r>
    <s v="JBS"/>
    <s v="Grazing"/>
    <s v="North America"/>
    <n v="0"/>
    <x v="2"/>
    <x v="1"/>
    <x v="1"/>
  </r>
  <r>
    <s v="JBS"/>
    <s v="Grazing"/>
    <s v="Oceania"/>
    <n v="0"/>
    <x v="2"/>
    <x v="1"/>
    <x v="1"/>
  </r>
  <r>
    <s v="JBS"/>
    <s v="Grazing"/>
    <s v="RoW"/>
    <n v="0"/>
    <x v="2"/>
    <x v="1"/>
    <x v="1"/>
  </r>
  <r>
    <s v="JBS"/>
    <s v="Grazing"/>
    <s v="Russian Federation"/>
    <n v="0"/>
    <x v="2"/>
    <x v="1"/>
    <x v="1"/>
  </r>
  <r>
    <s v="JBS"/>
    <s v="Grazing"/>
    <s v="South Asia"/>
    <n v="0"/>
    <x v="2"/>
    <x v="1"/>
    <x v="1"/>
  </r>
  <r>
    <s v="JBS"/>
    <s v="Grazing"/>
    <s v="Sub-Saharan Africa"/>
    <n v="0"/>
    <x v="2"/>
    <x v="1"/>
    <x v="1"/>
  </r>
  <r>
    <s v="JBS"/>
    <s v="Grazing"/>
    <s v="Western Europe"/>
    <n v="0"/>
    <x v="2"/>
    <x v="1"/>
    <x v="1"/>
  </r>
  <r>
    <s v="JBS"/>
    <s v="Croplands"/>
    <s v="East Asia and Southeast Asia"/>
    <n v="2408"/>
    <x v="2"/>
    <x v="1"/>
    <x v="1"/>
  </r>
  <r>
    <s v="JBS"/>
    <s v="Croplands"/>
    <s v="Eastern Europe"/>
    <n v="5509"/>
    <x v="2"/>
    <x v="1"/>
    <x v="1"/>
  </r>
  <r>
    <s v="JBS"/>
    <s v="Croplands"/>
    <s v="Latin America and the Caribbean"/>
    <n v="215476"/>
    <x v="2"/>
    <x v="1"/>
    <x v="1"/>
  </r>
  <r>
    <s v="JBS"/>
    <s v="Croplands"/>
    <s v="Near East and North Africa"/>
    <n v="19670"/>
    <x v="2"/>
    <x v="1"/>
    <x v="1"/>
  </r>
  <r>
    <s v="JBS"/>
    <s v="Croplands"/>
    <s v="North America"/>
    <n v="1274006"/>
    <x v="2"/>
    <x v="1"/>
    <x v="1"/>
  </r>
  <r>
    <s v="JBS"/>
    <s v="Croplands"/>
    <s v="Oceania"/>
    <n v="83010"/>
    <x v="2"/>
    <x v="1"/>
    <x v="1"/>
  </r>
  <r>
    <s v="JBS"/>
    <s v="Croplands"/>
    <s v="RoW"/>
    <n v="0"/>
    <x v="2"/>
    <x v="1"/>
    <x v="1"/>
  </r>
  <r>
    <s v="JBS"/>
    <s v="Croplands"/>
    <s v="Russian Federation"/>
    <n v="1536"/>
    <x v="2"/>
    <x v="1"/>
    <x v="1"/>
  </r>
  <r>
    <s v="JBS"/>
    <s v="Croplands"/>
    <s v="South Asia"/>
    <n v="8790"/>
    <x v="2"/>
    <x v="1"/>
    <x v="1"/>
  </r>
  <r>
    <s v="JBS"/>
    <s v="Croplands"/>
    <s v="Sub-Saharan Africa"/>
    <n v="1912"/>
    <x v="2"/>
    <x v="1"/>
    <x v="1"/>
  </r>
  <r>
    <s v="JBS"/>
    <s v="Croplands"/>
    <s v="Western Europe"/>
    <n v="70171"/>
    <x v="2"/>
    <x v="1"/>
    <x v="1"/>
  </r>
  <r>
    <s v="Muyuan Foodstuff"/>
    <s v="Grazing"/>
    <s v="East Asia and Southeast Asia"/>
    <n v="0"/>
    <x v="2"/>
    <x v="1"/>
    <x v="1"/>
  </r>
  <r>
    <s v="Muyuan Foodstuff"/>
    <s v="Grazing"/>
    <s v="Eastern Europe"/>
    <n v="0"/>
    <x v="2"/>
    <x v="1"/>
    <x v="1"/>
  </r>
  <r>
    <s v="Muyuan Foodstuff"/>
    <s v="Grazing"/>
    <s v="Latin America and the Caribbean"/>
    <n v="0"/>
    <x v="2"/>
    <x v="1"/>
    <x v="1"/>
  </r>
  <r>
    <s v="Muyuan Foodstuff"/>
    <s v="Grazing"/>
    <s v="Near East and North Africa"/>
    <n v="0"/>
    <x v="2"/>
    <x v="1"/>
    <x v="1"/>
  </r>
  <r>
    <s v="Muyuan Foodstuff"/>
    <s v="Grazing"/>
    <s v="North America"/>
    <n v="0"/>
    <x v="2"/>
    <x v="1"/>
    <x v="1"/>
  </r>
  <r>
    <s v="Muyuan Foodstuff"/>
    <s v="Grazing"/>
    <s v="Oceania"/>
    <n v="0"/>
    <x v="2"/>
    <x v="1"/>
    <x v="1"/>
  </r>
  <r>
    <s v="Muyuan Foodstuff"/>
    <s v="Grazing"/>
    <s v="RoW"/>
    <n v="0"/>
    <x v="2"/>
    <x v="1"/>
    <x v="1"/>
  </r>
  <r>
    <s v="Muyuan Foodstuff"/>
    <s v="Grazing"/>
    <s v="Russian Federation"/>
    <n v="0"/>
    <x v="2"/>
    <x v="1"/>
    <x v="1"/>
  </r>
  <r>
    <s v="Muyuan Foodstuff"/>
    <s v="Grazing"/>
    <s v="South Asia"/>
    <n v="0"/>
    <x v="2"/>
    <x v="1"/>
    <x v="1"/>
  </r>
  <r>
    <s v="Muyuan Foodstuff"/>
    <s v="Grazing"/>
    <s v="Sub-Saharan Africa"/>
    <n v="0"/>
    <x v="2"/>
    <x v="1"/>
    <x v="1"/>
  </r>
  <r>
    <s v="Muyuan Foodstuff"/>
    <s v="Grazing"/>
    <s v="Western Europe"/>
    <n v="0"/>
    <x v="2"/>
    <x v="1"/>
    <x v="1"/>
  </r>
  <r>
    <s v="Muyuan Foodstuff"/>
    <s v="Croplands"/>
    <s v="East Asia and Southeast Asia"/>
    <n v="730202"/>
    <x v="2"/>
    <x v="1"/>
    <x v="1"/>
  </r>
  <r>
    <s v="Muyuan Foodstuff"/>
    <s v="Croplands"/>
    <s v="Eastern Europe"/>
    <n v="6346"/>
    <x v="2"/>
    <x v="1"/>
    <x v="1"/>
  </r>
  <r>
    <s v="Muyuan Foodstuff"/>
    <s v="Croplands"/>
    <s v="Latin America and the Caribbean"/>
    <n v="5664"/>
    <x v="2"/>
    <x v="1"/>
    <x v="1"/>
  </r>
  <r>
    <s v="Muyuan Foodstuff"/>
    <s v="Croplands"/>
    <s v="Near East and North Africa"/>
    <n v="9887"/>
    <x v="2"/>
    <x v="1"/>
    <x v="1"/>
  </r>
  <r>
    <s v="Muyuan Foodstuff"/>
    <s v="Croplands"/>
    <s v="North America"/>
    <n v="82459"/>
    <x v="2"/>
    <x v="1"/>
    <x v="1"/>
  </r>
  <r>
    <s v="Muyuan Foodstuff"/>
    <s v="Croplands"/>
    <s v="Oceania"/>
    <n v="1657"/>
    <x v="2"/>
    <x v="1"/>
    <x v="1"/>
  </r>
  <r>
    <s v="Muyuan Foodstuff"/>
    <s v="Croplands"/>
    <s v="RoW"/>
    <n v="0"/>
    <x v="2"/>
    <x v="1"/>
    <x v="1"/>
  </r>
  <r>
    <s v="Muyuan Foodstuff"/>
    <s v="Croplands"/>
    <s v="Russian Federation"/>
    <n v="6179"/>
    <x v="2"/>
    <x v="1"/>
    <x v="1"/>
  </r>
  <r>
    <s v="Muyuan Foodstuff"/>
    <s v="Croplands"/>
    <s v="South Asia"/>
    <n v="24849"/>
    <x v="2"/>
    <x v="1"/>
    <x v="1"/>
  </r>
  <r>
    <s v="Muyuan Foodstuff"/>
    <s v="Croplands"/>
    <s v="Sub-Saharan Africa"/>
    <n v="1284"/>
    <x v="2"/>
    <x v="1"/>
    <x v="1"/>
  </r>
  <r>
    <s v="Muyuan Foodstuff"/>
    <s v="Croplands"/>
    <s v="Western Europe"/>
    <n v="1016"/>
    <x v="2"/>
    <x v="1"/>
    <x v="1"/>
  </r>
  <r>
    <s v="New Hope Group"/>
    <s v="Grazing"/>
    <s v="East Asia and Southeast Asia"/>
    <n v="0"/>
    <x v="2"/>
    <x v="1"/>
    <x v="1"/>
  </r>
  <r>
    <s v="New Hope Group"/>
    <s v="Grazing"/>
    <s v="Eastern Europe"/>
    <n v="0"/>
    <x v="2"/>
    <x v="1"/>
    <x v="1"/>
  </r>
  <r>
    <s v="New Hope Group"/>
    <s v="Grazing"/>
    <s v="Latin America and the Caribbean"/>
    <n v="0"/>
    <x v="2"/>
    <x v="1"/>
    <x v="1"/>
  </r>
  <r>
    <s v="New Hope Group"/>
    <s v="Grazing"/>
    <s v="Near East and North Africa"/>
    <n v="0"/>
    <x v="2"/>
    <x v="1"/>
    <x v="1"/>
  </r>
  <r>
    <s v="New Hope Group"/>
    <s v="Grazing"/>
    <s v="North America"/>
    <n v="0"/>
    <x v="2"/>
    <x v="1"/>
    <x v="1"/>
  </r>
  <r>
    <s v="New Hope Group"/>
    <s v="Grazing"/>
    <s v="Oceania"/>
    <n v="0"/>
    <x v="2"/>
    <x v="1"/>
    <x v="1"/>
  </r>
  <r>
    <s v="New Hope Group"/>
    <s v="Grazing"/>
    <s v="RoW"/>
    <n v="0"/>
    <x v="2"/>
    <x v="1"/>
    <x v="1"/>
  </r>
  <r>
    <s v="New Hope Group"/>
    <s v="Grazing"/>
    <s v="Russian Federation"/>
    <n v="0"/>
    <x v="2"/>
    <x v="1"/>
    <x v="1"/>
  </r>
  <r>
    <s v="New Hope Group"/>
    <s v="Grazing"/>
    <s v="South Asia"/>
    <n v="0"/>
    <x v="2"/>
    <x v="1"/>
    <x v="1"/>
  </r>
  <r>
    <s v="New Hope Group"/>
    <s v="Grazing"/>
    <s v="Sub-Saharan Africa"/>
    <n v="0"/>
    <x v="2"/>
    <x v="1"/>
    <x v="1"/>
  </r>
  <r>
    <s v="New Hope Group"/>
    <s v="Grazing"/>
    <s v="Western Europe"/>
    <n v="0"/>
    <x v="2"/>
    <x v="1"/>
    <x v="1"/>
  </r>
  <r>
    <s v="New Hope Group"/>
    <s v="Croplands"/>
    <s v="East Asia and Southeast Asia"/>
    <n v="218069"/>
    <x v="2"/>
    <x v="1"/>
    <x v="1"/>
  </r>
  <r>
    <s v="New Hope Group"/>
    <s v="Croplands"/>
    <s v="Eastern Europe"/>
    <n v="1895"/>
    <x v="2"/>
    <x v="1"/>
    <x v="1"/>
  </r>
  <r>
    <s v="New Hope Group"/>
    <s v="Croplands"/>
    <s v="Latin America and the Caribbean"/>
    <n v="1692"/>
    <x v="2"/>
    <x v="1"/>
    <x v="1"/>
  </r>
  <r>
    <s v="New Hope Group"/>
    <s v="Croplands"/>
    <s v="Near East and North Africa"/>
    <n v="2953"/>
    <x v="2"/>
    <x v="1"/>
    <x v="1"/>
  </r>
  <r>
    <s v="New Hope Group"/>
    <s v="Croplands"/>
    <s v="North America"/>
    <n v="24626"/>
    <x v="2"/>
    <x v="1"/>
    <x v="1"/>
  </r>
  <r>
    <s v="New Hope Group"/>
    <s v="Croplands"/>
    <s v="Oceania"/>
    <n v="495"/>
    <x v="2"/>
    <x v="1"/>
    <x v="1"/>
  </r>
  <r>
    <s v="New Hope Group"/>
    <s v="Croplands"/>
    <s v="RoW"/>
    <n v="0"/>
    <x v="2"/>
    <x v="1"/>
    <x v="1"/>
  </r>
  <r>
    <s v="New Hope Group"/>
    <s v="Croplands"/>
    <s v="Russian Federation"/>
    <n v="1845"/>
    <x v="2"/>
    <x v="1"/>
    <x v="1"/>
  </r>
  <r>
    <s v="New Hope Group"/>
    <s v="Croplands"/>
    <s v="South Asia"/>
    <n v="7421"/>
    <x v="2"/>
    <x v="1"/>
    <x v="1"/>
  </r>
  <r>
    <s v="New Hope Group"/>
    <s v="Croplands"/>
    <s v="Sub-Saharan Africa"/>
    <n v="384"/>
    <x v="2"/>
    <x v="1"/>
    <x v="1"/>
  </r>
  <r>
    <s v="New Hope Group"/>
    <s v="Croplands"/>
    <s v="Western Europe"/>
    <n v="304"/>
    <x v="2"/>
    <x v="1"/>
    <x v="1"/>
  </r>
  <r>
    <s v="Seaboard"/>
    <s v="Grazing"/>
    <s v="East Asia and Southeast Asia"/>
    <n v="0"/>
    <x v="2"/>
    <x v="1"/>
    <x v="1"/>
  </r>
  <r>
    <s v="Seaboard"/>
    <s v="Grazing"/>
    <s v="Eastern Europe"/>
    <n v="0"/>
    <x v="2"/>
    <x v="1"/>
    <x v="1"/>
  </r>
  <r>
    <s v="Seaboard"/>
    <s v="Grazing"/>
    <s v="Latin America and the Caribbean"/>
    <n v="0"/>
    <x v="2"/>
    <x v="1"/>
    <x v="1"/>
  </r>
  <r>
    <s v="Seaboard"/>
    <s v="Grazing"/>
    <s v="Near East and North Africa"/>
    <n v="0"/>
    <x v="2"/>
    <x v="1"/>
    <x v="1"/>
  </r>
  <r>
    <s v="Seaboard"/>
    <s v="Grazing"/>
    <s v="North America"/>
    <n v="0"/>
    <x v="2"/>
    <x v="1"/>
    <x v="1"/>
  </r>
  <r>
    <s v="Seaboard"/>
    <s v="Grazing"/>
    <s v="Oceania"/>
    <n v="0"/>
    <x v="2"/>
    <x v="1"/>
    <x v="1"/>
  </r>
  <r>
    <s v="Seaboard"/>
    <s v="Grazing"/>
    <s v="RoW"/>
    <n v="0"/>
    <x v="2"/>
    <x v="1"/>
    <x v="1"/>
  </r>
  <r>
    <s v="Seaboard"/>
    <s v="Grazing"/>
    <s v="Russian Federation"/>
    <n v="0"/>
    <x v="2"/>
    <x v="1"/>
    <x v="1"/>
  </r>
  <r>
    <s v="Seaboard"/>
    <s v="Grazing"/>
    <s v="South Asia"/>
    <n v="0"/>
    <x v="2"/>
    <x v="1"/>
    <x v="1"/>
  </r>
  <r>
    <s v="Seaboard"/>
    <s v="Grazing"/>
    <s v="Sub-Saharan Africa"/>
    <n v="0"/>
    <x v="2"/>
    <x v="1"/>
    <x v="1"/>
  </r>
  <r>
    <s v="Seaboard"/>
    <s v="Grazing"/>
    <s v="Western Europe"/>
    <n v="0"/>
    <x v="2"/>
    <x v="1"/>
    <x v="1"/>
  </r>
  <r>
    <s v="Seaboard"/>
    <s v="Croplands"/>
    <s v="East Asia and Southeast Asia"/>
    <n v="176"/>
    <x v="2"/>
    <x v="1"/>
    <x v="1"/>
  </r>
  <r>
    <s v="Seaboard"/>
    <s v="Croplands"/>
    <s v="Eastern Europe"/>
    <n v="60"/>
    <x v="2"/>
    <x v="1"/>
    <x v="1"/>
  </r>
  <r>
    <s v="Seaboard"/>
    <s v="Croplands"/>
    <s v="Latin America and the Caribbean"/>
    <n v="539"/>
    <x v="2"/>
    <x v="1"/>
    <x v="1"/>
  </r>
  <r>
    <s v="Seaboard"/>
    <s v="Croplands"/>
    <s v="Near East and North Africa"/>
    <n v="101"/>
    <x v="2"/>
    <x v="1"/>
    <x v="1"/>
  </r>
  <r>
    <s v="Seaboard"/>
    <s v="Croplands"/>
    <s v="North America"/>
    <n v="273915"/>
    <x v="2"/>
    <x v="1"/>
    <x v="1"/>
  </r>
  <r>
    <s v="Seaboard"/>
    <s v="Croplands"/>
    <s v="Oceania"/>
    <n v="43"/>
    <x v="2"/>
    <x v="1"/>
    <x v="1"/>
  </r>
  <r>
    <s v="Seaboard"/>
    <s v="Croplands"/>
    <s v="RoW"/>
    <n v="0"/>
    <x v="2"/>
    <x v="1"/>
    <x v="1"/>
  </r>
  <r>
    <s v="Seaboard"/>
    <s v="Croplands"/>
    <s v="Russian Federation"/>
    <n v="11"/>
    <x v="2"/>
    <x v="1"/>
    <x v="1"/>
  </r>
  <r>
    <s v="Seaboard"/>
    <s v="Croplands"/>
    <s v="South Asia"/>
    <n v="774"/>
    <x v="2"/>
    <x v="1"/>
    <x v="1"/>
  </r>
  <r>
    <s v="Seaboard"/>
    <s v="Croplands"/>
    <s v="Sub-Saharan Africa"/>
    <n v="287"/>
    <x v="2"/>
    <x v="1"/>
    <x v="1"/>
  </r>
  <r>
    <s v="Seaboard"/>
    <s v="Croplands"/>
    <s v="Western Europe"/>
    <n v="699"/>
    <x v="2"/>
    <x v="1"/>
    <x v="1"/>
  </r>
  <r>
    <s v="Tönnies Group"/>
    <s v="Grazing"/>
    <s v="East Asia and Southeast Asia"/>
    <n v="0"/>
    <x v="2"/>
    <x v="1"/>
    <x v="1"/>
  </r>
  <r>
    <s v="Tönnies Group"/>
    <s v="Grazing"/>
    <s v="Eastern Europe"/>
    <n v="0"/>
    <x v="2"/>
    <x v="1"/>
    <x v="1"/>
  </r>
  <r>
    <s v="Tönnies Group"/>
    <s v="Grazing"/>
    <s v="Latin America and the Caribbean"/>
    <n v="0"/>
    <x v="2"/>
    <x v="1"/>
    <x v="1"/>
  </r>
  <r>
    <s v="Tönnies Group"/>
    <s v="Grazing"/>
    <s v="Near East and North Africa"/>
    <n v="0"/>
    <x v="2"/>
    <x v="1"/>
    <x v="1"/>
  </r>
  <r>
    <s v="Tönnies Group"/>
    <s v="Grazing"/>
    <s v="North America"/>
    <n v="0"/>
    <x v="2"/>
    <x v="1"/>
    <x v="1"/>
  </r>
  <r>
    <s v="Tönnies Group"/>
    <s v="Grazing"/>
    <s v="Oceania"/>
    <n v="0"/>
    <x v="2"/>
    <x v="1"/>
    <x v="1"/>
  </r>
  <r>
    <s v="Tönnies Group"/>
    <s v="Grazing"/>
    <s v="RoW"/>
    <n v="0"/>
    <x v="2"/>
    <x v="1"/>
    <x v="1"/>
  </r>
  <r>
    <s v="Tönnies Group"/>
    <s v="Grazing"/>
    <s v="Russian Federation"/>
    <n v="0"/>
    <x v="2"/>
    <x v="1"/>
    <x v="1"/>
  </r>
  <r>
    <s v="Tönnies Group"/>
    <s v="Grazing"/>
    <s v="South Asia"/>
    <n v="0"/>
    <x v="2"/>
    <x v="1"/>
    <x v="1"/>
  </r>
  <r>
    <s v="Tönnies Group"/>
    <s v="Grazing"/>
    <s v="Sub-Saharan Africa"/>
    <n v="0"/>
    <x v="2"/>
    <x v="1"/>
    <x v="1"/>
  </r>
  <r>
    <s v="Tönnies Group"/>
    <s v="Grazing"/>
    <s v="Western Europe"/>
    <n v="0"/>
    <x v="2"/>
    <x v="1"/>
    <x v="1"/>
  </r>
  <r>
    <s v="Tönnies Group"/>
    <s v="Croplands"/>
    <s v="East Asia and Southeast Asia"/>
    <n v="3627"/>
    <x v="2"/>
    <x v="1"/>
    <x v="1"/>
  </r>
  <r>
    <s v="Tönnies Group"/>
    <s v="Croplands"/>
    <s v="Eastern Europe"/>
    <n v="44654"/>
    <x v="2"/>
    <x v="1"/>
    <x v="1"/>
  </r>
  <r>
    <s v="Tönnies Group"/>
    <s v="Croplands"/>
    <s v="Latin America and the Caribbean"/>
    <n v="3508"/>
    <x v="2"/>
    <x v="1"/>
    <x v="1"/>
  </r>
  <r>
    <s v="Tönnies Group"/>
    <s v="Croplands"/>
    <s v="Near East and North Africa"/>
    <n v="32730"/>
    <x v="2"/>
    <x v="1"/>
    <x v="1"/>
  </r>
  <r>
    <s v="Tönnies Group"/>
    <s v="Croplands"/>
    <s v="North America"/>
    <n v="18990"/>
    <x v="2"/>
    <x v="1"/>
    <x v="1"/>
  </r>
  <r>
    <s v="Tönnies Group"/>
    <s v="Croplands"/>
    <s v="Oceania"/>
    <n v="112"/>
    <x v="2"/>
    <x v="1"/>
    <x v="1"/>
  </r>
  <r>
    <s v="Tönnies Group"/>
    <s v="Croplands"/>
    <s v="RoW"/>
    <n v="2"/>
    <x v="2"/>
    <x v="1"/>
    <x v="1"/>
  </r>
  <r>
    <s v="Tönnies Group"/>
    <s v="Croplands"/>
    <s v="Russian Federation"/>
    <n v="7786"/>
    <x v="2"/>
    <x v="1"/>
    <x v="1"/>
  </r>
  <r>
    <s v="Tönnies Group"/>
    <s v="Croplands"/>
    <s v="South Asia"/>
    <n v="11713"/>
    <x v="2"/>
    <x v="1"/>
    <x v="1"/>
  </r>
  <r>
    <s v="Tönnies Group"/>
    <s v="Croplands"/>
    <s v="Sub-Saharan Africa"/>
    <n v="886"/>
    <x v="2"/>
    <x v="1"/>
    <x v="1"/>
  </r>
  <r>
    <s v="Tönnies Group"/>
    <s v="Croplands"/>
    <s v="Western Europe"/>
    <n v="579509"/>
    <x v="2"/>
    <x v="1"/>
    <x v="1"/>
  </r>
  <r>
    <s v="Triumph Foods"/>
    <s v="Grazing"/>
    <s v="East Asia and Southeast Asia"/>
    <n v="0"/>
    <x v="2"/>
    <x v="1"/>
    <x v="1"/>
  </r>
  <r>
    <s v="Triumph Foods"/>
    <s v="Grazing"/>
    <s v="Eastern Europe"/>
    <n v="0"/>
    <x v="2"/>
    <x v="1"/>
    <x v="1"/>
  </r>
  <r>
    <s v="Triumph Foods"/>
    <s v="Grazing"/>
    <s v="Latin America and the Caribbean"/>
    <n v="0"/>
    <x v="2"/>
    <x v="1"/>
    <x v="1"/>
  </r>
  <r>
    <s v="Triumph Foods"/>
    <s v="Grazing"/>
    <s v="Near East and North Africa"/>
    <n v="0"/>
    <x v="2"/>
    <x v="1"/>
    <x v="1"/>
  </r>
  <r>
    <s v="Triumph Foods"/>
    <s v="Grazing"/>
    <s v="North America"/>
    <n v="0"/>
    <x v="2"/>
    <x v="1"/>
    <x v="1"/>
  </r>
  <r>
    <s v="Triumph Foods"/>
    <s v="Grazing"/>
    <s v="Oceania"/>
    <n v="0"/>
    <x v="2"/>
    <x v="1"/>
    <x v="1"/>
  </r>
  <r>
    <s v="Triumph Foods"/>
    <s v="Grazing"/>
    <s v="RoW"/>
    <n v="0"/>
    <x v="2"/>
    <x v="1"/>
    <x v="1"/>
  </r>
  <r>
    <s v="Triumph Foods"/>
    <s v="Grazing"/>
    <s v="Russian Federation"/>
    <n v="0"/>
    <x v="2"/>
    <x v="1"/>
    <x v="1"/>
  </r>
  <r>
    <s v="Triumph Foods"/>
    <s v="Grazing"/>
    <s v="South Asia"/>
    <n v="0"/>
    <x v="2"/>
    <x v="1"/>
    <x v="1"/>
  </r>
  <r>
    <s v="Triumph Foods"/>
    <s v="Grazing"/>
    <s v="Sub-Saharan Africa"/>
    <n v="0"/>
    <x v="2"/>
    <x v="1"/>
    <x v="1"/>
  </r>
  <r>
    <s v="Triumph Foods"/>
    <s v="Grazing"/>
    <s v="Western Europe"/>
    <n v="0"/>
    <x v="2"/>
    <x v="1"/>
    <x v="1"/>
  </r>
  <r>
    <s v="Triumph Foods"/>
    <s v="Croplands"/>
    <s v="East Asia and Southeast Asia"/>
    <n v="152"/>
    <x v="2"/>
    <x v="1"/>
    <x v="1"/>
  </r>
  <r>
    <s v="Triumph Foods"/>
    <s v="Croplands"/>
    <s v="Eastern Europe"/>
    <n v="52"/>
    <x v="2"/>
    <x v="1"/>
    <x v="1"/>
  </r>
  <r>
    <s v="Triumph Foods"/>
    <s v="Croplands"/>
    <s v="Latin America and the Caribbean"/>
    <n v="467"/>
    <x v="2"/>
    <x v="1"/>
    <x v="1"/>
  </r>
  <r>
    <s v="Triumph Foods"/>
    <s v="Croplands"/>
    <s v="Near East and North Africa"/>
    <n v="87"/>
    <x v="2"/>
    <x v="1"/>
    <x v="1"/>
  </r>
  <r>
    <s v="Triumph Foods"/>
    <s v="Croplands"/>
    <s v="North America"/>
    <n v="237393"/>
    <x v="2"/>
    <x v="1"/>
    <x v="1"/>
  </r>
  <r>
    <s v="Triumph Foods"/>
    <s v="Croplands"/>
    <s v="Oceania"/>
    <n v="37"/>
    <x v="2"/>
    <x v="1"/>
    <x v="1"/>
  </r>
  <r>
    <s v="Triumph Foods"/>
    <s v="Croplands"/>
    <s v="RoW"/>
    <n v="0"/>
    <x v="2"/>
    <x v="1"/>
    <x v="1"/>
  </r>
  <r>
    <s v="Triumph Foods"/>
    <s v="Croplands"/>
    <s v="Russian Federation"/>
    <n v="10"/>
    <x v="2"/>
    <x v="1"/>
    <x v="1"/>
  </r>
  <r>
    <s v="Triumph Foods"/>
    <s v="Croplands"/>
    <s v="South Asia"/>
    <n v="671"/>
    <x v="2"/>
    <x v="1"/>
    <x v="1"/>
  </r>
  <r>
    <s v="Triumph Foods"/>
    <s v="Croplands"/>
    <s v="Sub-Saharan Africa"/>
    <n v="249"/>
    <x v="2"/>
    <x v="1"/>
    <x v="1"/>
  </r>
  <r>
    <s v="Triumph Foods"/>
    <s v="Croplands"/>
    <s v="Western Europe"/>
    <n v="605"/>
    <x v="2"/>
    <x v="1"/>
    <x v="1"/>
  </r>
  <r>
    <s v="Tyson"/>
    <s v="Grazing"/>
    <s v="East Asia and Southeast Asia"/>
    <n v="0"/>
    <x v="2"/>
    <x v="1"/>
    <x v="1"/>
  </r>
  <r>
    <s v="Tyson"/>
    <s v="Grazing"/>
    <s v="Eastern Europe"/>
    <n v="0"/>
    <x v="2"/>
    <x v="1"/>
    <x v="1"/>
  </r>
  <r>
    <s v="Tyson"/>
    <s v="Grazing"/>
    <s v="Latin America and the Caribbean"/>
    <n v="0"/>
    <x v="2"/>
    <x v="1"/>
    <x v="1"/>
  </r>
  <r>
    <s v="Tyson"/>
    <s v="Grazing"/>
    <s v="Near East and North Africa"/>
    <n v="0"/>
    <x v="2"/>
    <x v="1"/>
    <x v="1"/>
  </r>
  <r>
    <s v="Tyson"/>
    <s v="Grazing"/>
    <s v="North America"/>
    <n v="0"/>
    <x v="2"/>
    <x v="1"/>
    <x v="1"/>
  </r>
  <r>
    <s v="Tyson"/>
    <s v="Grazing"/>
    <s v="Oceania"/>
    <n v="0"/>
    <x v="2"/>
    <x v="1"/>
    <x v="1"/>
  </r>
  <r>
    <s v="Tyson"/>
    <s v="Grazing"/>
    <s v="RoW"/>
    <n v="0"/>
    <x v="2"/>
    <x v="1"/>
    <x v="1"/>
  </r>
  <r>
    <s v="Tyson"/>
    <s v="Grazing"/>
    <s v="Russian Federation"/>
    <n v="0"/>
    <x v="2"/>
    <x v="1"/>
    <x v="1"/>
  </r>
  <r>
    <s v="Tyson"/>
    <s v="Grazing"/>
    <s v="South Asia"/>
    <n v="0"/>
    <x v="2"/>
    <x v="1"/>
    <x v="1"/>
  </r>
  <r>
    <s v="Tyson"/>
    <s v="Grazing"/>
    <s v="Sub-Saharan Africa"/>
    <n v="0"/>
    <x v="2"/>
    <x v="1"/>
    <x v="1"/>
  </r>
  <r>
    <s v="Tyson"/>
    <s v="Grazing"/>
    <s v="Western Europe"/>
    <n v="0"/>
    <x v="2"/>
    <x v="1"/>
    <x v="1"/>
  </r>
  <r>
    <s v="Tyson"/>
    <s v="Croplands"/>
    <s v="East Asia and Southeast Asia"/>
    <n v="602"/>
    <x v="2"/>
    <x v="1"/>
    <x v="1"/>
  </r>
  <r>
    <s v="Tyson"/>
    <s v="Croplands"/>
    <s v="Eastern Europe"/>
    <n v="205"/>
    <x v="2"/>
    <x v="1"/>
    <x v="1"/>
  </r>
  <r>
    <s v="Tyson"/>
    <s v="Croplands"/>
    <s v="Latin America and the Caribbean"/>
    <n v="1849"/>
    <x v="2"/>
    <x v="1"/>
    <x v="1"/>
  </r>
  <r>
    <s v="Tyson"/>
    <s v="Croplands"/>
    <s v="Near East and North Africa"/>
    <n v="345"/>
    <x v="2"/>
    <x v="1"/>
    <x v="1"/>
  </r>
  <r>
    <s v="Tyson"/>
    <s v="Croplands"/>
    <s v="North America"/>
    <n v="939222"/>
    <x v="2"/>
    <x v="1"/>
    <x v="1"/>
  </r>
  <r>
    <s v="Tyson"/>
    <s v="Croplands"/>
    <s v="Oceania"/>
    <n v="147"/>
    <x v="2"/>
    <x v="1"/>
    <x v="1"/>
  </r>
  <r>
    <s v="Tyson"/>
    <s v="Croplands"/>
    <s v="RoW"/>
    <n v="0"/>
    <x v="2"/>
    <x v="1"/>
    <x v="1"/>
  </r>
  <r>
    <s v="Tyson"/>
    <s v="Croplands"/>
    <s v="Russian Federation"/>
    <n v="39"/>
    <x v="2"/>
    <x v="1"/>
    <x v="1"/>
  </r>
  <r>
    <s v="Tyson"/>
    <s v="Croplands"/>
    <s v="South Asia"/>
    <n v="2655"/>
    <x v="2"/>
    <x v="1"/>
    <x v="1"/>
  </r>
  <r>
    <s v="Tyson"/>
    <s v="Croplands"/>
    <s v="Sub-Saharan Africa"/>
    <n v="985"/>
    <x v="2"/>
    <x v="1"/>
    <x v="1"/>
  </r>
  <r>
    <s v="Tyson"/>
    <s v="Croplands"/>
    <s v="Western Europe"/>
    <n v="2395"/>
    <x v="2"/>
    <x v="1"/>
    <x v="1"/>
  </r>
  <r>
    <s v="Vion Food Group"/>
    <s v="Grazing"/>
    <s v="East Asia and Southeast Asia"/>
    <n v="0"/>
    <x v="2"/>
    <x v="1"/>
    <x v="1"/>
  </r>
  <r>
    <s v="Vion Food Group"/>
    <s v="Grazing"/>
    <s v="Eastern Europe"/>
    <n v="0"/>
    <x v="2"/>
    <x v="1"/>
    <x v="1"/>
  </r>
  <r>
    <s v="Vion Food Group"/>
    <s v="Grazing"/>
    <s v="Latin America and the Caribbean"/>
    <n v="0"/>
    <x v="2"/>
    <x v="1"/>
    <x v="1"/>
  </r>
  <r>
    <s v="Vion Food Group"/>
    <s v="Grazing"/>
    <s v="Near East and North Africa"/>
    <n v="0"/>
    <x v="2"/>
    <x v="1"/>
    <x v="1"/>
  </r>
  <r>
    <s v="Vion Food Group"/>
    <s v="Grazing"/>
    <s v="North America"/>
    <n v="0"/>
    <x v="2"/>
    <x v="1"/>
    <x v="1"/>
  </r>
  <r>
    <s v="Vion Food Group"/>
    <s v="Grazing"/>
    <s v="Oceania"/>
    <n v="0"/>
    <x v="2"/>
    <x v="1"/>
    <x v="1"/>
  </r>
  <r>
    <s v="Vion Food Group"/>
    <s v="Grazing"/>
    <s v="RoW"/>
    <n v="0"/>
    <x v="2"/>
    <x v="1"/>
    <x v="1"/>
  </r>
  <r>
    <s v="Vion Food Group"/>
    <s v="Grazing"/>
    <s v="Russian Federation"/>
    <n v="0"/>
    <x v="2"/>
    <x v="1"/>
    <x v="1"/>
  </r>
  <r>
    <s v="Vion Food Group"/>
    <s v="Grazing"/>
    <s v="South Asia"/>
    <n v="0"/>
    <x v="2"/>
    <x v="1"/>
    <x v="1"/>
  </r>
  <r>
    <s v="Vion Food Group"/>
    <s v="Grazing"/>
    <s v="Sub-Saharan Africa"/>
    <n v="0"/>
    <x v="2"/>
    <x v="1"/>
    <x v="1"/>
  </r>
  <r>
    <s v="Vion Food Group"/>
    <s v="Grazing"/>
    <s v="Western Europe"/>
    <n v="0"/>
    <x v="2"/>
    <x v="1"/>
    <x v="1"/>
  </r>
  <r>
    <s v="Vion Food Group"/>
    <s v="Croplands"/>
    <s v="East Asia and Southeast Asia"/>
    <n v="3103"/>
    <x v="2"/>
    <x v="1"/>
    <x v="1"/>
  </r>
  <r>
    <s v="Vion Food Group"/>
    <s v="Croplands"/>
    <s v="Eastern Europe"/>
    <n v="38209"/>
    <x v="2"/>
    <x v="1"/>
    <x v="1"/>
  </r>
  <r>
    <s v="Vion Food Group"/>
    <s v="Croplands"/>
    <s v="Latin America and the Caribbean"/>
    <n v="3002"/>
    <x v="2"/>
    <x v="1"/>
    <x v="1"/>
  </r>
  <r>
    <s v="Vion Food Group"/>
    <s v="Croplands"/>
    <s v="Near East and North Africa"/>
    <n v="28007"/>
    <x v="2"/>
    <x v="1"/>
    <x v="1"/>
  </r>
  <r>
    <s v="Vion Food Group"/>
    <s v="Croplands"/>
    <s v="North America"/>
    <n v="16249"/>
    <x v="2"/>
    <x v="1"/>
    <x v="1"/>
  </r>
  <r>
    <s v="Vion Food Group"/>
    <s v="Croplands"/>
    <s v="Oceania"/>
    <n v="96"/>
    <x v="2"/>
    <x v="1"/>
    <x v="1"/>
  </r>
  <r>
    <s v="Vion Food Group"/>
    <s v="Croplands"/>
    <s v="RoW"/>
    <n v="2"/>
    <x v="2"/>
    <x v="1"/>
    <x v="1"/>
  </r>
  <r>
    <s v="Vion Food Group"/>
    <s v="Croplands"/>
    <s v="Russian Federation"/>
    <n v="6662"/>
    <x v="2"/>
    <x v="1"/>
    <x v="1"/>
  </r>
  <r>
    <s v="Vion Food Group"/>
    <s v="Croplands"/>
    <s v="South Asia"/>
    <n v="10023"/>
    <x v="2"/>
    <x v="1"/>
    <x v="1"/>
  </r>
  <r>
    <s v="Vion Food Group"/>
    <s v="Croplands"/>
    <s v="Sub-Saharan Africa"/>
    <n v="758"/>
    <x v="2"/>
    <x v="1"/>
    <x v="1"/>
  </r>
  <r>
    <s v="Vion Food Group"/>
    <s v="Croplands"/>
    <s v="Western Europe"/>
    <n v="495872"/>
    <x v="2"/>
    <x v="1"/>
    <x v="1"/>
  </r>
  <r>
    <s v="Wen's Food Group"/>
    <s v="Grazing"/>
    <s v="East Asia and Southeast Asia"/>
    <n v="0"/>
    <x v="2"/>
    <x v="1"/>
    <x v="1"/>
  </r>
  <r>
    <s v="Wen's Food Group"/>
    <s v="Grazing"/>
    <s v="Eastern Europe"/>
    <n v="0"/>
    <x v="2"/>
    <x v="1"/>
    <x v="1"/>
  </r>
  <r>
    <s v="Wen's Food Group"/>
    <s v="Grazing"/>
    <s v="Latin America and the Caribbean"/>
    <n v="0"/>
    <x v="2"/>
    <x v="1"/>
    <x v="1"/>
  </r>
  <r>
    <s v="Wen's Food Group"/>
    <s v="Grazing"/>
    <s v="Near East and North Africa"/>
    <n v="0"/>
    <x v="2"/>
    <x v="1"/>
    <x v="1"/>
  </r>
  <r>
    <s v="Wen's Food Group"/>
    <s v="Grazing"/>
    <s v="North America"/>
    <n v="0"/>
    <x v="2"/>
    <x v="1"/>
    <x v="1"/>
  </r>
  <r>
    <s v="Wen's Food Group"/>
    <s v="Grazing"/>
    <s v="Oceania"/>
    <n v="0"/>
    <x v="2"/>
    <x v="1"/>
    <x v="1"/>
  </r>
  <r>
    <s v="Wen's Food Group"/>
    <s v="Grazing"/>
    <s v="RoW"/>
    <n v="0"/>
    <x v="2"/>
    <x v="1"/>
    <x v="1"/>
  </r>
  <r>
    <s v="Wen's Food Group"/>
    <s v="Grazing"/>
    <s v="Russian Federation"/>
    <n v="0"/>
    <x v="2"/>
    <x v="1"/>
    <x v="1"/>
  </r>
  <r>
    <s v="Wen's Food Group"/>
    <s v="Grazing"/>
    <s v="South Asia"/>
    <n v="0"/>
    <x v="2"/>
    <x v="1"/>
    <x v="1"/>
  </r>
  <r>
    <s v="Wen's Food Group"/>
    <s v="Grazing"/>
    <s v="Sub-Saharan Africa"/>
    <n v="0"/>
    <x v="2"/>
    <x v="1"/>
    <x v="1"/>
  </r>
  <r>
    <s v="Wen's Food Group"/>
    <s v="Grazing"/>
    <s v="Western Europe"/>
    <n v="0"/>
    <x v="2"/>
    <x v="1"/>
    <x v="1"/>
  </r>
  <r>
    <s v="Wen's Food Group"/>
    <s v="Croplands"/>
    <s v="East Asia and Southeast Asia"/>
    <n v="211461"/>
    <x v="2"/>
    <x v="1"/>
    <x v="1"/>
  </r>
  <r>
    <s v="Wen's Food Group"/>
    <s v="Croplands"/>
    <s v="Eastern Europe"/>
    <n v="1838"/>
    <x v="2"/>
    <x v="1"/>
    <x v="1"/>
  </r>
  <r>
    <s v="Wen's Food Group"/>
    <s v="Croplands"/>
    <s v="Latin America and the Caribbean"/>
    <n v="1640"/>
    <x v="2"/>
    <x v="1"/>
    <x v="1"/>
  </r>
  <r>
    <s v="Wen's Food Group"/>
    <s v="Croplands"/>
    <s v="Near East and North Africa"/>
    <n v="2863"/>
    <x v="2"/>
    <x v="1"/>
    <x v="1"/>
  </r>
  <r>
    <s v="Wen's Food Group"/>
    <s v="Croplands"/>
    <s v="North America"/>
    <n v="23880"/>
    <x v="2"/>
    <x v="1"/>
    <x v="1"/>
  </r>
  <r>
    <s v="Wen's Food Group"/>
    <s v="Croplands"/>
    <s v="Oceania"/>
    <n v="480"/>
    <x v="2"/>
    <x v="1"/>
    <x v="1"/>
  </r>
  <r>
    <s v="Wen's Food Group"/>
    <s v="Croplands"/>
    <s v="RoW"/>
    <n v="0"/>
    <x v="2"/>
    <x v="1"/>
    <x v="1"/>
  </r>
  <r>
    <s v="Wen's Food Group"/>
    <s v="Croplands"/>
    <s v="Russian Federation"/>
    <n v="1789"/>
    <x v="2"/>
    <x v="1"/>
    <x v="1"/>
  </r>
  <r>
    <s v="Wen's Food Group"/>
    <s v="Croplands"/>
    <s v="South Asia"/>
    <n v="7196"/>
    <x v="2"/>
    <x v="1"/>
    <x v="1"/>
  </r>
  <r>
    <s v="Wen's Food Group"/>
    <s v="Croplands"/>
    <s v="Sub-Saharan Africa"/>
    <n v="372"/>
    <x v="2"/>
    <x v="1"/>
    <x v="1"/>
  </r>
  <r>
    <s v="Wen's Food Group"/>
    <s v="Croplands"/>
    <s v="Western Europe"/>
    <n v="294"/>
    <x v="2"/>
    <x v="1"/>
    <x v="1"/>
  </r>
  <r>
    <s v="Westfleisch"/>
    <s v="Grazing"/>
    <s v="East Asia and Southeast Asia"/>
    <n v="0"/>
    <x v="2"/>
    <x v="1"/>
    <x v="1"/>
  </r>
  <r>
    <s v="Westfleisch"/>
    <s v="Grazing"/>
    <s v="Eastern Europe"/>
    <n v="0"/>
    <x v="2"/>
    <x v="1"/>
    <x v="1"/>
  </r>
  <r>
    <s v="Westfleisch"/>
    <s v="Grazing"/>
    <s v="Latin America and the Caribbean"/>
    <n v="0"/>
    <x v="2"/>
    <x v="1"/>
    <x v="1"/>
  </r>
  <r>
    <s v="Westfleisch"/>
    <s v="Grazing"/>
    <s v="Near East and North Africa"/>
    <n v="0"/>
    <x v="2"/>
    <x v="1"/>
    <x v="1"/>
  </r>
  <r>
    <s v="Westfleisch"/>
    <s v="Grazing"/>
    <s v="North America"/>
    <n v="0"/>
    <x v="2"/>
    <x v="1"/>
    <x v="1"/>
  </r>
  <r>
    <s v="Westfleisch"/>
    <s v="Grazing"/>
    <s v="Oceania"/>
    <n v="0"/>
    <x v="2"/>
    <x v="1"/>
    <x v="1"/>
  </r>
  <r>
    <s v="Westfleisch"/>
    <s v="Grazing"/>
    <s v="RoW"/>
    <n v="0"/>
    <x v="2"/>
    <x v="1"/>
    <x v="1"/>
  </r>
  <r>
    <s v="Westfleisch"/>
    <s v="Grazing"/>
    <s v="Russian Federation"/>
    <n v="0"/>
    <x v="2"/>
    <x v="1"/>
    <x v="1"/>
  </r>
  <r>
    <s v="Westfleisch"/>
    <s v="Grazing"/>
    <s v="South Asia"/>
    <n v="0"/>
    <x v="2"/>
    <x v="1"/>
    <x v="1"/>
  </r>
  <r>
    <s v="Westfleisch"/>
    <s v="Grazing"/>
    <s v="Sub-Saharan Africa"/>
    <n v="0"/>
    <x v="2"/>
    <x v="1"/>
    <x v="1"/>
  </r>
  <r>
    <s v="Westfleisch"/>
    <s v="Grazing"/>
    <s v="Western Europe"/>
    <n v="0"/>
    <x v="2"/>
    <x v="1"/>
    <x v="1"/>
  </r>
  <r>
    <s v="Westfleisch"/>
    <s v="Croplands"/>
    <s v="East Asia and Southeast Asia"/>
    <n v="1346"/>
    <x v="2"/>
    <x v="1"/>
    <x v="1"/>
  </r>
  <r>
    <s v="Westfleisch"/>
    <s v="Croplands"/>
    <s v="Eastern Europe"/>
    <n v="16566"/>
    <x v="2"/>
    <x v="1"/>
    <x v="1"/>
  </r>
  <r>
    <s v="Westfleisch"/>
    <s v="Croplands"/>
    <s v="Latin America and the Caribbean"/>
    <n v="1302"/>
    <x v="2"/>
    <x v="1"/>
    <x v="1"/>
  </r>
  <r>
    <s v="Westfleisch"/>
    <s v="Croplands"/>
    <s v="Near East and North Africa"/>
    <n v="12143"/>
    <x v="2"/>
    <x v="1"/>
    <x v="1"/>
  </r>
  <r>
    <s v="Westfleisch"/>
    <s v="Croplands"/>
    <s v="North America"/>
    <n v="7045"/>
    <x v="2"/>
    <x v="1"/>
    <x v="1"/>
  </r>
  <r>
    <s v="Westfleisch"/>
    <s v="Croplands"/>
    <s v="Oceania"/>
    <n v="42"/>
    <x v="2"/>
    <x v="1"/>
    <x v="1"/>
  </r>
  <r>
    <s v="Westfleisch"/>
    <s v="Croplands"/>
    <s v="RoW"/>
    <n v="0"/>
    <x v="2"/>
    <x v="1"/>
    <x v="1"/>
  </r>
  <r>
    <s v="Westfleisch"/>
    <s v="Croplands"/>
    <s v="Russian Federation"/>
    <n v="2888"/>
    <x v="2"/>
    <x v="1"/>
    <x v="1"/>
  </r>
  <r>
    <s v="Westfleisch"/>
    <s v="Croplands"/>
    <s v="South Asia"/>
    <n v="4346"/>
    <x v="2"/>
    <x v="1"/>
    <x v="1"/>
  </r>
  <r>
    <s v="Westfleisch"/>
    <s v="Croplands"/>
    <s v="Sub-Saharan Africa"/>
    <n v="329"/>
    <x v="2"/>
    <x v="1"/>
    <x v="1"/>
  </r>
  <r>
    <s v="Westfleisch"/>
    <s v="Croplands"/>
    <s v="Western Europe"/>
    <n v="214995"/>
    <x v="2"/>
    <x v="1"/>
    <x v="1"/>
  </r>
  <r>
    <s v="WH Group"/>
    <s v="Grazing"/>
    <s v="East Asia and Southeast Asia"/>
    <n v="0"/>
    <x v="2"/>
    <x v="1"/>
    <x v="1"/>
  </r>
  <r>
    <s v="WH Group"/>
    <s v="Grazing"/>
    <s v="Eastern Europe"/>
    <n v="0"/>
    <x v="2"/>
    <x v="1"/>
    <x v="1"/>
  </r>
  <r>
    <s v="WH Group"/>
    <s v="Grazing"/>
    <s v="Latin America and the Caribbean"/>
    <n v="0"/>
    <x v="2"/>
    <x v="1"/>
    <x v="1"/>
  </r>
  <r>
    <s v="WH Group"/>
    <s v="Grazing"/>
    <s v="Near East and North Africa"/>
    <n v="0"/>
    <x v="2"/>
    <x v="1"/>
    <x v="1"/>
  </r>
  <r>
    <s v="WH Group"/>
    <s v="Grazing"/>
    <s v="North America"/>
    <n v="0"/>
    <x v="2"/>
    <x v="1"/>
    <x v="1"/>
  </r>
  <r>
    <s v="WH Group"/>
    <s v="Grazing"/>
    <s v="Oceania"/>
    <n v="0"/>
    <x v="2"/>
    <x v="1"/>
    <x v="1"/>
  </r>
  <r>
    <s v="WH Group"/>
    <s v="Grazing"/>
    <s v="RoW"/>
    <n v="0"/>
    <x v="2"/>
    <x v="1"/>
    <x v="1"/>
  </r>
  <r>
    <s v="WH Group"/>
    <s v="Grazing"/>
    <s v="Russian Federation"/>
    <n v="0"/>
    <x v="2"/>
    <x v="1"/>
    <x v="1"/>
  </r>
  <r>
    <s v="WH Group"/>
    <s v="Grazing"/>
    <s v="South Asia"/>
    <n v="0"/>
    <x v="2"/>
    <x v="1"/>
    <x v="1"/>
  </r>
  <r>
    <s v="WH Group"/>
    <s v="Grazing"/>
    <s v="Sub-Saharan Africa"/>
    <n v="0"/>
    <x v="2"/>
    <x v="1"/>
    <x v="1"/>
  </r>
  <r>
    <s v="WH Group"/>
    <s v="Grazing"/>
    <s v="Western Europe"/>
    <n v="0"/>
    <x v="2"/>
    <x v="1"/>
    <x v="1"/>
  </r>
  <r>
    <s v="WH Group"/>
    <s v="Croplands"/>
    <s v="East Asia and Southeast Asia"/>
    <n v="727800"/>
    <x v="2"/>
    <x v="1"/>
    <x v="1"/>
  </r>
  <r>
    <s v="WH Group"/>
    <s v="Croplands"/>
    <s v="Eastern Europe"/>
    <n v="122139"/>
    <x v="2"/>
    <x v="1"/>
    <x v="1"/>
  </r>
  <r>
    <s v="WH Group"/>
    <s v="Croplands"/>
    <s v="Latin America and the Caribbean"/>
    <n v="9542"/>
    <x v="2"/>
    <x v="1"/>
    <x v="1"/>
  </r>
  <r>
    <s v="WH Group"/>
    <s v="Croplands"/>
    <s v="Near East and North Africa"/>
    <n v="16232"/>
    <x v="2"/>
    <x v="1"/>
    <x v="1"/>
  </r>
  <r>
    <s v="WH Group"/>
    <s v="Croplands"/>
    <s v="North America"/>
    <n v="1440611"/>
    <x v="2"/>
    <x v="1"/>
    <x v="1"/>
  </r>
  <r>
    <s v="WH Group"/>
    <s v="Croplands"/>
    <s v="Oceania"/>
    <n v="1874"/>
    <x v="2"/>
    <x v="1"/>
    <x v="1"/>
  </r>
  <r>
    <s v="WH Group"/>
    <s v="Croplands"/>
    <s v="RoW"/>
    <n v="0"/>
    <x v="2"/>
    <x v="1"/>
    <x v="1"/>
  </r>
  <r>
    <s v="WH Group"/>
    <s v="Croplands"/>
    <s v="Russian Federation"/>
    <n v="8576"/>
    <x v="2"/>
    <x v="1"/>
    <x v="1"/>
  </r>
  <r>
    <s v="WH Group"/>
    <s v="Croplands"/>
    <s v="South Asia"/>
    <n v="31847"/>
    <x v="2"/>
    <x v="1"/>
    <x v="1"/>
  </r>
  <r>
    <s v="WH Group"/>
    <s v="Croplands"/>
    <s v="Sub-Saharan Africa"/>
    <n v="2833"/>
    <x v="2"/>
    <x v="1"/>
    <x v="1"/>
  </r>
  <r>
    <s v="WH Group"/>
    <s v="Croplands"/>
    <s v="Western Europe"/>
    <n v="11631"/>
    <x v="2"/>
    <x v="1"/>
    <x v="1"/>
  </r>
  <r>
    <s v="Zhengbang Group"/>
    <s v="Grazing"/>
    <s v="East Asia and Southeast Asia"/>
    <n v="0"/>
    <x v="2"/>
    <x v="1"/>
    <x v="1"/>
  </r>
  <r>
    <s v="Zhengbang Group"/>
    <s v="Grazing"/>
    <s v="Eastern Europe"/>
    <n v="0"/>
    <x v="2"/>
    <x v="1"/>
    <x v="1"/>
  </r>
  <r>
    <s v="Zhengbang Group"/>
    <s v="Grazing"/>
    <s v="Latin America and the Caribbean"/>
    <n v="0"/>
    <x v="2"/>
    <x v="1"/>
    <x v="1"/>
  </r>
  <r>
    <s v="Zhengbang Group"/>
    <s v="Grazing"/>
    <s v="Near East and North Africa"/>
    <n v="0"/>
    <x v="2"/>
    <x v="1"/>
    <x v="1"/>
  </r>
  <r>
    <s v="Zhengbang Group"/>
    <s v="Grazing"/>
    <s v="North America"/>
    <n v="0"/>
    <x v="2"/>
    <x v="1"/>
    <x v="1"/>
  </r>
  <r>
    <s v="Zhengbang Group"/>
    <s v="Grazing"/>
    <s v="Oceania"/>
    <n v="0"/>
    <x v="2"/>
    <x v="1"/>
    <x v="1"/>
  </r>
  <r>
    <s v="Zhengbang Group"/>
    <s v="Grazing"/>
    <s v="RoW"/>
    <n v="0"/>
    <x v="2"/>
    <x v="1"/>
    <x v="1"/>
  </r>
  <r>
    <s v="Zhengbang Group"/>
    <s v="Grazing"/>
    <s v="Russian Federation"/>
    <n v="0"/>
    <x v="2"/>
    <x v="1"/>
    <x v="1"/>
  </r>
  <r>
    <s v="Zhengbang Group"/>
    <s v="Grazing"/>
    <s v="South Asia"/>
    <n v="0"/>
    <x v="2"/>
    <x v="1"/>
    <x v="1"/>
  </r>
  <r>
    <s v="Zhengbang Group"/>
    <s v="Grazing"/>
    <s v="Sub-Saharan Africa"/>
    <n v="0"/>
    <x v="2"/>
    <x v="1"/>
    <x v="1"/>
  </r>
  <r>
    <s v="Zhengbang Group"/>
    <s v="Grazing"/>
    <s v="Western Europe"/>
    <n v="0"/>
    <x v="2"/>
    <x v="1"/>
    <x v="1"/>
  </r>
  <r>
    <s v="Zhengbang Group"/>
    <s v="Croplands"/>
    <s v="East Asia and Southeast Asia"/>
    <n v="465325"/>
    <x v="2"/>
    <x v="1"/>
    <x v="1"/>
  </r>
  <r>
    <s v="Zhengbang Group"/>
    <s v="Croplands"/>
    <s v="Eastern Europe"/>
    <n v="4044"/>
    <x v="2"/>
    <x v="1"/>
    <x v="1"/>
  </r>
  <r>
    <s v="Zhengbang Group"/>
    <s v="Croplands"/>
    <s v="Latin America and the Caribbean"/>
    <n v="3610"/>
    <x v="2"/>
    <x v="1"/>
    <x v="1"/>
  </r>
  <r>
    <s v="Zhengbang Group"/>
    <s v="Croplands"/>
    <s v="Near East and North Africa"/>
    <n v="6301"/>
    <x v="2"/>
    <x v="1"/>
    <x v="1"/>
  </r>
  <r>
    <s v="Zhengbang Group"/>
    <s v="Croplands"/>
    <s v="North America"/>
    <n v="52547"/>
    <x v="2"/>
    <x v="1"/>
    <x v="1"/>
  </r>
  <r>
    <s v="Zhengbang Group"/>
    <s v="Croplands"/>
    <s v="Oceania"/>
    <n v="1056"/>
    <x v="2"/>
    <x v="1"/>
    <x v="1"/>
  </r>
  <r>
    <s v="Zhengbang Group"/>
    <s v="Croplands"/>
    <s v="RoW"/>
    <n v="0"/>
    <x v="2"/>
    <x v="1"/>
    <x v="1"/>
  </r>
  <r>
    <s v="Zhengbang Group"/>
    <s v="Croplands"/>
    <s v="Russian Federation"/>
    <n v="3938"/>
    <x v="2"/>
    <x v="1"/>
    <x v="1"/>
  </r>
  <r>
    <s v="Zhengbang Group"/>
    <s v="Croplands"/>
    <s v="South Asia"/>
    <n v="15835"/>
    <x v="2"/>
    <x v="1"/>
    <x v="1"/>
  </r>
  <r>
    <s v="Zhengbang Group"/>
    <s v="Croplands"/>
    <s v="Sub-Saharan Africa"/>
    <n v="818"/>
    <x v="2"/>
    <x v="1"/>
    <x v="1"/>
  </r>
  <r>
    <s v="Zhengbang Group"/>
    <s v="Croplands"/>
    <s v="Western Europe"/>
    <n v="648"/>
    <x v="2"/>
    <x v="1"/>
    <x v="1"/>
  </r>
  <r>
    <s v="Aurora Alimentos"/>
    <s v="Grazing"/>
    <s v="East Asia and Southeast Asia"/>
    <n v="10"/>
    <x v="2"/>
    <x v="2"/>
    <x v="1"/>
  </r>
  <r>
    <s v="Aurora Alimentos"/>
    <s v="Grazing"/>
    <s v="Eastern Europe"/>
    <n v="35"/>
    <x v="2"/>
    <x v="2"/>
    <x v="1"/>
  </r>
  <r>
    <s v="Aurora Alimentos"/>
    <s v="Grazing"/>
    <s v="Latin America and the Caribbean"/>
    <n v="65037"/>
    <x v="2"/>
    <x v="2"/>
    <x v="1"/>
  </r>
  <r>
    <s v="Aurora Alimentos"/>
    <s v="Grazing"/>
    <s v="Near East and North Africa"/>
    <n v="19"/>
    <x v="2"/>
    <x v="2"/>
    <x v="1"/>
  </r>
  <r>
    <s v="Aurora Alimentos"/>
    <s v="Grazing"/>
    <s v="North America"/>
    <n v="548"/>
    <x v="2"/>
    <x v="2"/>
    <x v="1"/>
  </r>
  <r>
    <s v="Aurora Alimentos"/>
    <s v="Grazing"/>
    <s v="Oceania"/>
    <n v="113"/>
    <x v="2"/>
    <x v="2"/>
    <x v="1"/>
  </r>
  <r>
    <s v="Aurora Alimentos"/>
    <s v="Grazing"/>
    <s v="RoW"/>
    <n v="0"/>
    <x v="2"/>
    <x v="2"/>
    <x v="1"/>
  </r>
  <r>
    <s v="Aurora Alimentos"/>
    <s v="Grazing"/>
    <s v="Russian Federation"/>
    <n v="4"/>
    <x v="2"/>
    <x v="2"/>
    <x v="1"/>
  </r>
  <r>
    <s v="Aurora Alimentos"/>
    <s v="Grazing"/>
    <s v="South Asia"/>
    <n v="6"/>
    <x v="2"/>
    <x v="2"/>
    <x v="1"/>
  </r>
  <r>
    <s v="Aurora Alimentos"/>
    <s v="Grazing"/>
    <s v="Sub-Saharan Africa"/>
    <n v="13"/>
    <x v="2"/>
    <x v="2"/>
    <x v="1"/>
  </r>
  <r>
    <s v="Aurora Alimentos"/>
    <s v="Grazing"/>
    <s v="Western Europe"/>
    <n v="178"/>
    <x v="2"/>
    <x v="2"/>
    <x v="1"/>
  </r>
  <r>
    <s v="Aurora Alimentos"/>
    <s v="Croplands"/>
    <s v="East Asia and Southeast Asia"/>
    <n v="4219"/>
    <x v="2"/>
    <x v="2"/>
    <x v="1"/>
  </r>
  <r>
    <s v="Aurora Alimentos"/>
    <s v="Croplands"/>
    <s v="Eastern Europe"/>
    <n v="3415"/>
    <x v="2"/>
    <x v="2"/>
    <x v="1"/>
  </r>
  <r>
    <s v="Aurora Alimentos"/>
    <s v="Croplands"/>
    <s v="Latin America and the Caribbean"/>
    <n v="5104797"/>
    <x v="2"/>
    <x v="2"/>
    <x v="1"/>
  </r>
  <r>
    <s v="Aurora Alimentos"/>
    <s v="Croplands"/>
    <s v="Near East and North Africa"/>
    <n v="12428"/>
    <x v="2"/>
    <x v="2"/>
    <x v="1"/>
  </r>
  <r>
    <s v="Aurora Alimentos"/>
    <s v="Croplands"/>
    <s v="North America"/>
    <n v="490244"/>
    <x v="2"/>
    <x v="2"/>
    <x v="1"/>
  </r>
  <r>
    <s v="Aurora Alimentos"/>
    <s v="Croplands"/>
    <s v="Oceania"/>
    <n v="370"/>
    <x v="2"/>
    <x v="2"/>
    <x v="1"/>
  </r>
  <r>
    <s v="Aurora Alimentos"/>
    <s v="Croplands"/>
    <s v="RoW"/>
    <n v="0"/>
    <x v="2"/>
    <x v="2"/>
    <x v="1"/>
  </r>
  <r>
    <s v="Aurora Alimentos"/>
    <s v="Croplands"/>
    <s v="Russian Federation"/>
    <n v="19512"/>
    <x v="2"/>
    <x v="2"/>
    <x v="1"/>
  </r>
  <r>
    <s v="Aurora Alimentos"/>
    <s v="Croplands"/>
    <s v="South Asia"/>
    <n v="11532"/>
    <x v="2"/>
    <x v="2"/>
    <x v="1"/>
  </r>
  <r>
    <s v="Aurora Alimentos"/>
    <s v="Croplands"/>
    <s v="Sub-Saharan Africa"/>
    <n v="8354"/>
    <x v="2"/>
    <x v="2"/>
    <x v="1"/>
  </r>
  <r>
    <s v="Aurora Alimentos"/>
    <s v="Croplands"/>
    <s v="Western Europe"/>
    <n v="3386"/>
    <x v="2"/>
    <x v="2"/>
    <x v="1"/>
  </r>
  <r>
    <s v="Bigard"/>
    <s v="Grazing"/>
    <s v="East Asia and Southeast Asia"/>
    <n v="385"/>
    <x v="2"/>
    <x v="2"/>
    <x v="1"/>
  </r>
  <r>
    <s v="Bigard"/>
    <s v="Grazing"/>
    <s v="Eastern Europe"/>
    <n v="1002"/>
    <x v="2"/>
    <x v="2"/>
    <x v="1"/>
  </r>
  <r>
    <s v="Bigard"/>
    <s v="Grazing"/>
    <s v="Latin America and the Caribbean"/>
    <n v="991"/>
    <x v="2"/>
    <x v="2"/>
    <x v="1"/>
  </r>
  <r>
    <s v="Bigard"/>
    <s v="Grazing"/>
    <s v="Near East and North Africa"/>
    <n v="73"/>
    <x v="2"/>
    <x v="2"/>
    <x v="1"/>
  </r>
  <r>
    <s v="Bigard"/>
    <s v="Grazing"/>
    <s v="North America"/>
    <n v="1337"/>
    <x v="2"/>
    <x v="2"/>
    <x v="1"/>
  </r>
  <r>
    <s v="Bigard"/>
    <s v="Grazing"/>
    <s v="Oceania"/>
    <n v="227"/>
    <x v="2"/>
    <x v="2"/>
    <x v="1"/>
  </r>
  <r>
    <s v="Bigard"/>
    <s v="Grazing"/>
    <s v="RoW"/>
    <n v="0"/>
    <x v="2"/>
    <x v="2"/>
    <x v="1"/>
  </r>
  <r>
    <s v="Bigard"/>
    <s v="Grazing"/>
    <s v="Russian Federation"/>
    <n v="14"/>
    <x v="2"/>
    <x v="2"/>
    <x v="1"/>
  </r>
  <r>
    <s v="Bigard"/>
    <s v="Grazing"/>
    <s v="South Asia"/>
    <n v="213"/>
    <x v="2"/>
    <x v="2"/>
    <x v="1"/>
  </r>
  <r>
    <s v="Bigard"/>
    <s v="Grazing"/>
    <s v="Sub-Saharan Africa"/>
    <n v="1215"/>
    <x v="2"/>
    <x v="2"/>
    <x v="1"/>
  </r>
  <r>
    <s v="Bigard"/>
    <s v="Grazing"/>
    <s v="Western Europe"/>
    <n v="62192"/>
    <x v="2"/>
    <x v="2"/>
    <x v="1"/>
  </r>
  <r>
    <s v="Bigard"/>
    <s v="Croplands"/>
    <s v="East Asia and Southeast Asia"/>
    <n v="112461"/>
    <x v="2"/>
    <x v="2"/>
    <x v="1"/>
  </r>
  <r>
    <s v="Bigard"/>
    <s v="Croplands"/>
    <s v="Eastern Europe"/>
    <n v="857783"/>
    <x v="2"/>
    <x v="2"/>
    <x v="1"/>
  </r>
  <r>
    <s v="Bigard"/>
    <s v="Croplands"/>
    <s v="Latin America and the Caribbean"/>
    <n v="898354"/>
    <x v="2"/>
    <x v="2"/>
    <x v="1"/>
  </r>
  <r>
    <s v="Bigard"/>
    <s v="Croplands"/>
    <s v="Near East and North Africa"/>
    <n v="28252"/>
    <x v="2"/>
    <x v="2"/>
    <x v="1"/>
  </r>
  <r>
    <s v="Bigard"/>
    <s v="Croplands"/>
    <s v="North America"/>
    <n v="296051"/>
    <x v="2"/>
    <x v="2"/>
    <x v="1"/>
  </r>
  <r>
    <s v="Bigard"/>
    <s v="Croplands"/>
    <s v="Oceania"/>
    <n v="30423"/>
    <x v="2"/>
    <x v="2"/>
    <x v="1"/>
  </r>
  <r>
    <s v="Bigard"/>
    <s v="Croplands"/>
    <s v="RoW"/>
    <n v="1"/>
    <x v="2"/>
    <x v="2"/>
    <x v="1"/>
  </r>
  <r>
    <s v="Bigard"/>
    <s v="Croplands"/>
    <s v="Russian Federation"/>
    <n v="119741"/>
    <x v="2"/>
    <x v="2"/>
    <x v="1"/>
  </r>
  <r>
    <s v="Bigard"/>
    <s v="Croplands"/>
    <s v="South Asia"/>
    <n v="33305"/>
    <x v="2"/>
    <x v="2"/>
    <x v="1"/>
  </r>
  <r>
    <s v="Bigard"/>
    <s v="Croplands"/>
    <s v="Sub-Saharan Africa"/>
    <n v="19588"/>
    <x v="2"/>
    <x v="2"/>
    <x v="1"/>
  </r>
  <r>
    <s v="Bigard"/>
    <s v="Croplands"/>
    <s v="Western Europe"/>
    <n v="2632031"/>
    <x v="2"/>
    <x v="2"/>
    <x v="1"/>
  </r>
  <r>
    <s v="BRF"/>
    <s v="Grazing"/>
    <s v="East Asia and Southeast Asia"/>
    <n v="13"/>
    <x v="2"/>
    <x v="2"/>
    <x v="1"/>
  </r>
  <r>
    <s v="BRF"/>
    <s v="Grazing"/>
    <s v="Eastern Europe"/>
    <n v="47"/>
    <x v="2"/>
    <x v="2"/>
    <x v="1"/>
  </r>
  <r>
    <s v="BRF"/>
    <s v="Grazing"/>
    <s v="Latin America and the Caribbean"/>
    <n v="85881"/>
    <x v="2"/>
    <x v="2"/>
    <x v="1"/>
  </r>
  <r>
    <s v="BRF"/>
    <s v="Grazing"/>
    <s v="Near East and North Africa"/>
    <n v="25"/>
    <x v="2"/>
    <x v="2"/>
    <x v="1"/>
  </r>
  <r>
    <s v="BRF"/>
    <s v="Grazing"/>
    <s v="North America"/>
    <n v="723"/>
    <x v="2"/>
    <x v="2"/>
    <x v="1"/>
  </r>
  <r>
    <s v="BRF"/>
    <s v="Grazing"/>
    <s v="Oceania"/>
    <n v="149"/>
    <x v="2"/>
    <x v="2"/>
    <x v="1"/>
  </r>
  <r>
    <s v="BRF"/>
    <s v="Grazing"/>
    <s v="RoW"/>
    <n v="0"/>
    <x v="2"/>
    <x v="2"/>
    <x v="1"/>
  </r>
  <r>
    <s v="BRF"/>
    <s v="Grazing"/>
    <s v="Russian Federation"/>
    <n v="5"/>
    <x v="2"/>
    <x v="2"/>
    <x v="1"/>
  </r>
  <r>
    <s v="BRF"/>
    <s v="Grazing"/>
    <s v="South Asia"/>
    <n v="8"/>
    <x v="2"/>
    <x v="2"/>
    <x v="1"/>
  </r>
  <r>
    <s v="BRF"/>
    <s v="Grazing"/>
    <s v="Sub-Saharan Africa"/>
    <n v="17"/>
    <x v="2"/>
    <x v="2"/>
    <x v="1"/>
  </r>
  <r>
    <s v="BRF"/>
    <s v="Grazing"/>
    <s v="Western Europe"/>
    <n v="235"/>
    <x v="2"/>
    <x v="2"/>
    <x v="1"/>
  </r>
  <r>
    <s v="BRF"/>
    <s v="Croplands"/>
    <s v="East Asia and Southeast Asia"/>
    <n v="5571"/>
    <x v="2"/>
    <x v="2"/>
    <x v="1"/>
  </r>
  <r>
    <s v="BRF"/>
    <s v="Croplands"/>
    <s v="Eastern Europe"/>
    <n v="4509"/>
    <x v="2"/>
    <x v="2"/>
    <x v="1"/>
  </r>
  <r>
    <s v="BRF"/>
    <s v="Croplands"/>
    <s v="Latin America and the Caribbean"/>
    <n v="6740816"/>
    <x v="2"/>
    <x v="2"/>
    <x v="1"/>
  </r>
  <r>
    <s v="BRF"/>
    <s v="Croplands"/>
    <s v="Near East and North Africa"/>
    <n v="16412"/>
    <x v="2"/>
    <x v="2"/>
    <x v="1"/>
  </r>
  <r>
    <s v="BRF"/>
    <s v="Croplands"/>
    <s v="North America"/>
    <n v="647361"/>
    <x v="2"/>
    <x v="2"/>
    <x v="1"/>
  </r>
  <r>
    <s v="BRF"/>
    <s v="Croplands"/>
    <s v="Oceania"/>
    <n v="489"/>
    <x v="2"/>
    <x v="2"/>
    <x v="1"/>
  </r>
  <r>
    <s v="BRF"/>
    <s v="Croplands"/>
    <s v="RoW"/>
    <n v="0"/>
    <x v="2"/>
    <x v="2"/>
    <x v="1"/>
  </r>
  <r>
    <s v="BRF"/>
    <s v="Croplands"/>
    <s v="Russian Federation"/>
    <n v="25765"/>
    <x v="2"/>
    <x v="2"/>
    <x v="1"/>
  </r>
  <r>
    <s v="BRF"/>
    <s v="Croplands"/>
    <s v="South Asia"/>
    <n v="15228"/>
    <x v="2"/>
    <x v="2"/>
    <x v="1"/>
  </r>
  <r>
    <s v="BRF"/>
    <s v="Croplands"/>
    <s v="Sub-Saharan Africa"/>
    <n v="11031"/>
    <x v="2"/>
    <x v="2"/>
    <x v="1"/>
  </r>
  <r>
    <s v="BRF"/>
    <s v="Croplands"/>
    <s v="Western Europe"/>
    <n v="4471"/>
    <x v="2"/>
    <x v="2"/>
    <x v="1"/>
  </r>
  <r>
    <s v="Charoen Pokphand"/>
    <s v="Grazing"/>
    <s v="East Asia and Southeast Asia"/>
    <n v="6489"/>
    <x v="2"/>
    <x v="2"/>
    <x v="1"/>
  </r>
  <r>
    <s v="Charoen Pokphand"/>
    <s v="Grazing"/>
    <s v="Eastern Europe"/>
    <n v="2618"/>
    <x v="2"/>
    <x v="2"/>
    <x v="1"/>
  </r>
  <r>
    <s v="Charoen Pokphand"/>
    <s v="Grazing"/>
    <s v="Latin America and the Caribbean"/>
    <n v="3914"/>
    <x v="2"/>
    <x v="2"/>
    <x v="1"/>
  </r>
  <r>
    <s v="Charoen Pokphand"/>
    <s v="Grazing"/>
    <s v="Near East and North Africa"/>
    <n v="223"/>
    <x v="2"/>
    <x v="2"/>
    <x v="1"/>
  </r>
  <r>
    <s v="Charoen Pokphand"/>
    <s v="Grazing"/>
    <s v="North America"/>
    <n v="63186"/>
    <x v="2"/>
    <x v="2"/>
    <x v="1"/>
  </r>
  <r>
    <s v="Charoen Pokphand"/>
    <s v="Grazing"/>
    <s v="Oceania"/>
    <n v="1050"/>
    <x v="2"/>
    <x v="2"/>
    <x v="1"/>
  </r>
  <r>
    <s v="Charoen Pokphand"/>
    <s v="Grazing"/>
    <s v="RoW"/>
    <n v="0"/>
    <x v="2"/>
    <x v="2"/>
    <x v="1"/>
  </r>
  <r>
    <s v="Charoen Pokphand"/>
    <s v="Grazing"/>
    <s v="Russian Federation"/>
    <n v="40860"/>
    <x v="2"/>
    <x v="2"/>
    <x v="1"/>
  </r>
  <r>
    <s v="Charoen Pokphand"/>
    <s v="Grazing"/>
    <s v="South Asia"/>
    <n v="59"/>
    <x v="2"/>
    <x v="2"/>
    <x v="1"/>
  </r>
  <r>
    <s v="Charoen Pokphand"/>
    <s v="Grazing"/>
    <s v="Sub-Saharan Africa"/>
    <n v="44"/>
    <x v="2"/>
    <x v="2"/>
    <x v="1"/>
  </r>
  <r>
    <s v="Charoen Pokphand"/>
    <s v="Grazing"/>
    <s v="Western Europe"/>
    <n v="557"/>
    <x v="2"/>
    <x v="2"/>
    <x v="1"/>
  </r>
  <r>
    <s v="Charoen Pokphand"/>
    <s v="Croplands"/>
    <s v="East Asia and Southeast Asia"/>
    <n v="475360"/>
    <x v="2"/>
    <x v="2"/>
    <x v="1"/>
  </r>
  <r>
    <s v="Charoen Pokphand"/>
    <s v="Croplands"/>
    <s v="Eastern Europe"/>
    <n v="51001"/>
    <x v="2"/>
    <x v="2"/>
    <x v="1"/>
  </r>
  <r>
    <s v="Charoen Pokphand"/>
    <s v="Croplands"/>
    <s v="Latin America and the Caribbean"/>
    <n v="336625"/>
    <x v="2"/>
    <x v="2"/>
    <x v="1"/>
  </r>
  <r>
    <s v="Charoen Pokphand"/>
    <s v="Croplands"/>
    <s v="Near East and North Africa"/>
    <n v="14259"/>
    <x v="2"/>
    <x v="2"/>
    <x v="1"/>
  </r>
  <r>
    <s v="Charoen Pokphand"/>
    <s v="Croplands"/>
    <s v="North America"/>
    <n v="1984266"/>
    <x v="2"/>
    <x v="2"/>
    <x v="1"/>
  </r>
  <r>
    <s v="Charoen Pokphand"/>
    <s v="Croplands"/>
    <s v="Oceania"/>
    <n v="9131"/>
    <x v="2"/>
    <x v="2"/>
    <x v="1"/>
  </r>
  <r>
    <s v="Charoen Pokphand"/>
    <s v="Croplands"/>
    <s v="RoW"/>
    <n v="12"/>
    <x v="2"/>
    <x v="2"/>
    <x v="1"/>
  </r>
  <r>
    <s v="Charoen Pokphand"/>
    <s v="Croplands"/>
    <s v="Russian Federation"/>
    <n v="2947360"/>
    <x v="2"/>
    <x v="2"/>
    <x v="1"/>
  </r>
  <r>
    <s v="Charoen Pokphand"/>
    <s v="Croplands"/>
    <s v="South Asia"/>
    <n v="30363"/>
    <x v="2"/>
    <x v="2"/>
    <x v="1"/>
  </r>
  <r>
    <s v="Charoen Pokphand"/>
    <s v="Croplands"/>
    <s v="Sub-Saharan Africa"/>
    <n v="5634"/>
    <x v="2"/>
    <x v="2"/>
    <x v="1"/>
  </r>
  <r>
    <s v="Charoen Pokphand"/>
    <s v="Croplands"/>
    <s v="Western Europe"/>
    <n v="8733"/>
    <x v="2"/>
    <x v="2"/>
    <x v="1"/>
  </r>
  <r>
    <s v="Clemens Food Group"/>
    <s v="Grazing"/>
    <s v="East Asia and Southeast Asia"/>
    <n v="315"/>
    <x v="2"/>
    <x v="2"/>
    <x v="1"/>
  </r>
  <r>
    <s v="Clemens Food Group"/>
    <s v="Grazing"/>
    <s v="Eastern Europe"/>
    <n v="7"/>
    <x v="2"/>
    <x v="2"/>
    <x v="1"/>
  </r>
  <r>
    <s v="Clemens Food Group"/>
    <s v="Grazing"/>
    <s v="Latin America and the Caribbean"/>
    <n v="2117"/>
    <x v="2"/>
    <x v="2"/>
    <x v="1"/>
  </r>
  <r>
    <s v="Clemens Food Group"/>
    <s v="Grazing"/>
    <s v="Near East and North Africa"/>
    <n v="7"/>
    <x v="2"/>
    <x v="2"/>
    <x v="1"/>
  </r>
  <r>
    <s v="Clemens Food Group"/>
    <s v="Grazing"/>
    <s v="North America"/>
    <n v="56135"/>
    <x v="2"/>
    <x v="2"/>
    <x v="1"/>
  </r>
  <r>
    <s v="Clemens Food Group"/>
    <s v="Grazing"/>
    <s v="Oceania"/>
    <n v="548"/>
    <x v="2"/>
    <x v="2"/>
    <x v="1"/>
  </r>
  <r>
    <s v="Clemens Food Group"/>
    <s v="Grazing"/>
    <s v="RoW"/>
    <n v="0"/>
    <x v="2"/>
    <x v="2"/>
    <x v="1"/>
  </r>
  <r>
    <s v="Clemens Food Group"/>
    <s v="Grazing"/>
    <s v="Russian Federation"/>
    <n v="1"/>
    <x v="2"/>
    <x v="2"/>
    <x v="1"/>
  </r>
  <r>
    <s v="Clemens Food Group"/>
    <s v="Grazing"/>
    <s v="South Asia"/>
    <n v="42"/>
    <x v="2"/>
    <x v="2"/>
    <x v="1"/>
  </r>
  <r>
    <s v="Clemens Food Group"/>
    <s v="Grazing"/>
    <s v="Sub-Saharan Africa"/>
    <n v="9"/>
    <x v="2"/>
    <x v="2"/>
    <x v="1"/>
  </r>
  <r>
    <s v="Clemens Food Group"/>
    <s v="Grazing"/>
    <s v="Western Europe"/>
    <n v="131"/>
    <x v="2"/>
    <x v="2"/>
    <x v="1"/>
  </r>
  <r>
    <s v="Clemens Food Group"/>
    <s v="Croplands"/>
    <s v="East Asia and Southeast Asia"/>
    <n v="1454"/>
    <x v="2"/>
    <x v="2"/>
    <x v="1"/>
  </r>
  <r>
    <s v="Clemens Food Group"/>
    <s v="Croplands"/>
    <s v="Eastern Europe"/>
    <n v="2640"/>
    <x v="2"/>
    <x v="2"/>
    <x v="1"/>
  </r>
  <r>
    <s v="Clemens Food Group"/>
    <s v="Croplands"/>
    <s v="Latin America and the Caribbean"/>
    <n v="7989"/>
    <x v="2"/>
    <x v="2"/>
    <x v="1"/>
  </r>
  <r>
    <s v="Clemens Food Group"/>
    <s v="Croplands"/>
    <s v="Near East and North Africa"/>
    <n v="268"/>
    <x v="2"/>
    <x v="2"/>
    <x v="1"/>
  </r>
  <r>
    <s v="Clemens Food Group"/>
    <s v="Croplands"/>
    <s v="North America"/>
    <n v="1651779"/>
    <x v="2"/>
    <x v="2"/>
    <x v="1"/>
  </r>
  <r>
    <s v="Clemens Food Group"/>
    <s v="Croplands"/>
    <s v="Oceania"/>
    <n v="335"/>
    <x v="2"/>
    <x v="2"/>
    <x v="1"/>
  </r>
  <r>
    <s v="Clemens Food Group"/>
    <s v="Croplands"/>
    <s v="RoW"/>
    <n v="11"/>
    <x v="2"/>
    <x v="2"/>
    <x v="1"/>
  </r>
  <r>
    <s v="Clemens Food Group"/>
    <s v="Croplands"/>
    <s v="Russian Federation"/>
    <n v="523"/>
    <x v="2"/>
    <x v="2"/>
    <x v="1"/>
  </r>
  <r>
    <s v="Clemens Food Group"/>
    <s v="Croplands"/>
    <s v="South Asia"/>
    <n v="21686"/>
    <x v="2"/>
    <x v="2"/>
    <x v="1"/>
  </r>
  <r>
    <s v="Clemens Food Group"/>
    <s v="Croplands"/>
    <s v="Sub-Saharan Africa"/>
    <n v="622"/>
    <x v="2"/>
    <x v="2"/>
    <x v="1"/>
  </r>
  <r>
    <s v="Clemens Food Group"/>
    <s v="Croplands"/>
    <s v="Western Europe"/>
    <n v="3198"/>
    <x v="2"/>
    <x v="2"/>
    <x v="1"/>
  </r>
  <r>
    <s v="COFCO Group"/>
    <s v="Grazing"/>
    <s v="East Asia and Southeast Asia"/>
    <n v="28219"/>
    <x v="2"/>
    <x v="2"/>
    <x v="1"/>
  </r>
  <r>
    <s v="COFCO Group"/>
    <s v="Grazing"/>
    <s v="Eastern Europe"/>
    <n v="505"/>
    <x v="2"/>
    <x v="2"/>
    <x v="1"/>
  </r>
  <r>
    <s v="COFCO Group"/>
    <s v="Grazing"/>
    <s v="Latin America and the Caribbean"/>
    <n v="903"/>
    <x v="2"/>
    <x v="2"/>
    <x v="1"/>
  </r>
  <r>
    <s v="COFCO Group"/>
    <s v="Grazing"/>
    <s v="Near East and North Africa"/>
    <n v="88"/>
    <x v="2"/>
    <x v="2"/>
    <x v="1"/>
  </r>
  <r>
    <s v="COFCO Group"/>
    <s v="Grazing"/>
    <s v="North America"/>
    <n v="548"/>
    <x v="2"/>
    <x v="2"/>
    <x v="1"/>
  </r>
  <r>
    <s v="COFCO Group"/>
    <s v="Grazing"/>
    <s v="Oceania"/>
    <n v="1927"/>
    <x v="2"/>
    <x v="2"/>
    <x v="1"/>
  </r>
  <r>
    <s v="COFCO Group"/>
    <s v="Grazing"/>
    <s v="RoW"/>
    <n v="0"/>
    <x v="2"/>
    <x v="2"/>
    <x v="1"/>
  </r>
  <r>
    <s v="COFCO Group"/>
    <s v="Grazing"/>
    <s v="Russian Federation"/>
    <n v="35"/>
    <x v="2"/>
    <x v="2"/>
    <x v="1"/>
  </r>
  <r>
    <s v="COFCO Group"/>
    <s v="Grazing"/>
    <s v="South Asia"/>
    <n v="38"/>
    <x v="2"/>
    <x v="2"/>
    <x v="1"/>
  </r>
  <r>
    <s v="COFCO Group"/>
    <s v="Grazing"/>
    <s v="Sub-Saharan Africa"/>
    <n v="140"/>
    <x v="2"/>
    <x v="2"/>
    <x v="1"/>
  </r>
  <r>
    <s v="COFCO Group"/>
    <s v="Grazing"/>
    <s v="Western Europe"/>
    <n v="1374"/>
    <x v="2"/>
    <x v="2"/>
    <x v="1"/>
  </r>
  <r>
    <s v="COFCO Group"/>
    <s v="Croplands"/>
    <s v="East Asia and Southeast Asia"/>
    <n v="2176116"/>
    <x v="2"/>
    <x v="2"/>
    <x v="1"/>
  </r>
  <r>
    <s v="COFCO Group"/>
    <s v="Croplands"/>
    <s v="Eastern Europe"/>
    <n v="97944"/>
    <x v="2"/>
    <x v="2"/>
    <x v="1"/>
  </r>
  <r>
    <s v="COFCO Group"/>
    <s v="Croplands"/>
    <s v="Latin America and the Caribbean"/>
    <n v="1188216"/>
    <x v="2"/>
    <x v="2"/>
    <x v="1"/>
  </r>
  <r>
    <s v="COFCO Group"/>
    <s v="Croplands"/>
    <s v="Near East and North Africa"/>
    <n v="20516"/>
    <x v="2"/>
    <x v="2"/>
    <x v="1"/>
  </r>
  <r>
    <s v="COFCO Group"/>
    <s v="Croplands"/>
    <s v="North America"/>
    <n v="589629"/>
    <x v="2"/>
    <x v="2"/>
    <x v="1"/>
  </r>
  <r>
    <s v="COFCO Group"/>
    <s v="Croplands"/>
    <s v="Oceania"/>
    <n v="40002"/>
    <x v="2"/>
    <x v="2"/>
    <x v="1"/>
  </r>
  <r>
    <s v="COFCO Group"/>
    <s v="Croplands"/>
    <s v="RoW"/>
    <n v="0"/>
    <x v="2"/>
    <x v="2"/>
    <x v="1"/>
  </r>
  <r>
    <s v="COFCO Group"/>
    <s v="Croplands"/>
    <s v="Russian Federation"/>
    <n v="39479"/>
    <x v="2"/>
    <x v="2"/>
    <x v="1"/>
  </r>
  <r>
    <s v="COFCO Group"/>
    <s v="Croplands"/>
    <s v="South Asia"/>
    <n v="22589"/>
    <x v="2"/>
    <x v="2"/>
    <x v="1"/>
  </r>
  <r>
    <s v="COFCO Group"/>
    <s v="Croplands"/>
    <s v="Sub-Saharan Africa"/>
    <n v="21822"/>
    <x v="2"/>
    <x v="2"/>
    <x v="1"/>
  </r>
  <r>
    <s v="COFCO Group"/>
    <s v="Croplands"/>
    <s v="Western Europe"/>
    <n v="10445"/>
    <x v="2"/>
    <x v="2"/>
    <x v="1"/>
  </r>
  <r>
    <s v="Cooperl Arc Atlantique"/>
    <s v="Grazing"/>
    <s v="East Asia and Southeast Asia"/>
    <n v="198"/>
    <x v="2"/>
    <x v="2"/>
    <x v="1"/>
  </r>
  <r>
    <s v="Cooperl Arc Atlantique"/>
    <s v="Grazing"/>
    <s v="Eastern Europe"/>
    <n v="514"/>
    <x v="2"/>
    <x v="2"/>
    <x v="1"/>
  </r>
  <r>
    <s v="Cooperl Arc Atlantique"/>
    <s v="Grazing"/>
    <s v="Latin America and the Caribbean"/>
    <n v="508"/>
    <x v="2"/>
    <x v="2"/>
    <x v="1"/>
  </r>
  <r>
    <s v="Cooperl Arc Atlantique"/>
    <s v="Grazing"/>
    <s v="Near East and North Africa"/>
    <n v="37"/>
    <x v="2"/>
    <x v="2"/>
    <x v="1"/>
  </r>
  <r>
    <s v="Cooperl Arc Atlantique"/>
    <s v="Grazing"/>
    <s v="North America"/>
    <n v="686"/>
    <x v="2"/>
    <x v="2"/>
    <x v="1"/>
  </r>
  <r>
    <s v="Cooperl Arc Atlantique"/>
    <s v="Grazing"/>
    <s v="Oceania"/>
    <n v="116"/>
    <x v="2"/>
    <x v="2"/>
    <x v="1"/>
  </r>
  <r>
    <s v="Cooperl Arc Atlantique"/>
    <s v="Grazing"/>
    <s v="RoW"/>
    <n v="0"/>
    <x v="2"/>
    <x v="2"/>
    <x v="1"/>
  </r>
  <r>
    <s v="Cooperl Arc Atlantique"/>
    <s v="Grazing"/>
    <s v="Russian Federation"/>
    <n v="7"/>
    <x v="2"/>
    <x v="2"/>
    <x v="1"/>
  </r>
  <r>
    <s v="Cooperl Arc Atlantique"/>
    <s v="Grazing"/>
    <s v="South Asia"/>
    <n v="109"/>
    <x v="2"/>
    <x v="2"/>
    <x v="1"/>
  </r>
  <r>
    <s v="Cooperl Arc Atlantique"/>
    <s v="Grazing"/>
    <s v="Sub-Saharan Africa"/>
    <n v="623"/>
    <x v="2"/>
    <x v="2"/>
    <x v="1"/>
  </r>
  <r>
    <s v="Cooperl Arc Atlantique"/>
    <s v="Grazing"/>
    <s v="Western Europe"/>
    <n v="31905"/>
    <x v="2"/>
    <x v="2"/>
    <x v="1"/>
  </r>
  <r>
    <s v="Cooperl Arc Atlantique"/>
    <s v="Croplands"/>
    <s v="East Asia and Southeast Asia"/>
    <n v="57693"/>
    <x v="2"/>
    <x v="2"/>
    <x v="1"/>
  </r>
  <r>
    <s v="Cooperl Arc Atlantique"/>
    <s v="Croplands"/>
    <s v="Eastern Europe"/>
    <n v="440048"/>
    <x v="2"/>
    <x v="2"/>
    <x v="1"/>
  </r>
  <r>
    <s v="Cooperl Arc Atlantique"/>
    <s v="Croplands"/>
    <s v="Latin America and the Caribbean"/>
    <n v="460861"/>
    <x v="2"/>
    <x v="2"/>
    <x v="1"/>
  </r>
  <r>
    <s v="Cooperl Arc Atlantique"/>
    <s v="Croplands"/>
    <s v="Near East and North Africa"/>
    <n v="14493"/>
    <x v="2"/>
    <x v="2"/>
    <x v="1"/>
  </r>
  <r>
    <s v="Cooperl Arc Atlantique"/>
    <s v="Croplands"/>
    <s v="North America"/>
    <n v="151876"/>
    <x v="2"/>
    <x v="2"/>
    <x v="1"/>
  </r>
  <r>
    <s v="Cooperl Arc Atlantique"/>
    <s v="Croplands"/>
    <s v="Oceania"/>
    <n v="15607"/>
    <x v="2"/>
    <x v="2"/>
    <x v="1"/>
  </r>
  <r>
    <s v="Cooperl Arc Atlantique"/>
    <s v="Croplands"/>
    <s v="RoW"/>
    <n v="0"/>
    <x v="2"/>
    <x v="2"/>
    <x v="1"/>
  </r>
  <r>
    <s v="Cooperl Arc Atlantique"/>
    <s v="Croplands"/>
    <s v="Russian Federation"/>
    <n v="61428"/>
    <x v="2"/>
    <x v="2"/>
    <x v="1"/>
  </r>
  <r>
    <s v="Cooperl Arc Atlantique"/>
    <s v="Croplands"/>
    <s v="South Asia"/>
    <n v="17086"/>
    <x v="2"/>
    <x v="2"/>
    <x v="1"/>
  </r>
  <r>
    <s v="Cooperl Arc Atlantique"/>
    <s v="Croplands"/>
    <s v="Sub-Saharan Africa"/>
    <n v="10049"/>
    <x v="2"/>
    <x v="2"/>
    <x v="1"/>
  </r>
  <r>
    <s v="Cooperl Arc Atlantique"/>
    <s v="Croplands"/>
    <s v="Western Europe"/>
    <n v="1350249"/>
    <x v="2"/>
    <x v="2"/>
    <x v="1"/>
  </r>
  <r>
    <s v="Danish Crown"/>
    <s v="Grazing"/>
    <s v="East Asia and Southeast Asia"/>
    <n v="674"/>
    <x v="2"/>
    <x v="2"/>
    <x v="1"/>
  </r>
  <r>
    <s v="Danish Crown"/>
    <s v="Grazing"/>
    <s v="Eastern Europe"/>
    <n v="7760"/>
    <x v="2"/>
    <x v="2"/>
    <x v="1"/>
  </r>
  <r>
    <s v="Danish Crown"/>
    <s v="Grazing"/>
    <s v="Latin America and the Caribbean"/>
    <n v="1734"/>
    <x v="2"/>
    <x v="2"/>
    <x v="1"/>
  </r>
  <r>
    <s v="Danish Crown"/>
    <s v="Grazing"/>
    <s v="Near East and North Africa"/>
    <n v="134"/>
    <x v="2"/>
    <x v="2"/>
    <x v="1"/>
  </r>
  <r>
    <s v="Danish Crown"/>
    <s v="Grazing"/>
    <s v="North America"/>
    <n v="2344"/>
    <x v="2"/>
    <x v="2"/>
    <x v="1"/>
  </r>
  <r>
    <s v="Danish Crown"/>
    <s v="Grazing"/>
    <s v="Oceania"/>
    <n v="417"/>
    <x v="2"/>
    <x v="2"/>
    <x v="1"/>
  </r>
  <r>
    <s v="Danish Crown"/>
    <s v="Grazing"/>
    <s v="RoW"/>
    <n v="0"/>
    <x v="2"/>
    <x v="2"/>
    <x v="1"/>
  </r>
  <r>
    <s v="Danish Crown"/>
    <s v="Grazing"/>
    <s v="Russian Federation"/>
    <n v="40"/>
    <x v="2"/>
    <x v="2"/>
    <x v="1"/>
  </r>
  <r>
    <s v="Danish Crown"/>
    <s v="Grazing"/>
    <s v="South Asia"/>
    <n v="372"/>
    <x v="2"/>
    <x v="2"/>
    <x v="1"/>
  </r>
  <r>
    <s v="Danish Crown"/>
    <s v="Grazing"/>
    <s v="Sub-Saharan Africa"/>
    <n v="2122"/>
    <x v="2"/>
    <x v="2"/>
    <x v="1"/>
  </r>
  <r>
    <s v="Danish Crown"/>
    <s v="Grazing"/>
    <s v="Western Europe"/>
    <n v="109762"/>
    <x v="2"/>
    <x v="2"/>
    <x v="1"/>
  </r>
  <r>
    <s v="Danish Crown"/>
    <s v="Croplands"/>
    <s v="East Asia and Southeast Asia"/>
    <n v="200667"/>
    <x v="2"/>
    <x v="2"/>
    <x v="1"/>
  </r>
  <r>
    <s v="Danish Crown"/>
    <s v="Croplands"/>
    <s v="Eastern Europe"/>
    <n v="2379531"/>
    <x v="2"/>
    <x v="2"/>
    <x v="1"/>
  </r>
  <r>
    <s v="Danish Crown"/>
    <s v="Croplands"/>
    <s v="Latin America and the Caribbean"/>
    <n v="1661072"/>
    <x v="2"/>
    <x v="2"/>
    <x v="1"/>
  </r>
  <r>
    <s v="Danish Crown"/>
    <s v="Croplands"/>
    <s v="Near East and North Africa"/>
    <n v="51681"/>
    <x v="2"/>
    <x v="2"/>
    <x v="1"/>
  </r>
  <r>
    <s v="Danish Crown"/>
    <s v="Croplands"/>
    <s v="North America"/>
    <n v="523760"/>
    <x v="2"/>
    <x v="2"/>
    <x v="1"/>
  </r>
  <r>
    <s v="Danish Crown"/>
    <s v="Croplands"/>
    <s v="Oceania"/>
    <n v="53557"/>
    <x v="2"/>
    <x v="2"/>
    <x v="1"/>
  </r>
  <r>
    <s v="Danish Crown"/>
    <s v="Croplands"/>
    <s v="RoW"/>
    <n v="3"/>
    <x v="2"/>
    <x v="2"/>
    <x v="1"/>
  </r>
  <r>
    <s v="Danish Crown"/>
    <s v="Croplands"/>
    <s v="Russian Federation"/>
    <n v="233172"/>
    <x v="2"/>
    <x v="2"/>
    <x v="1"/>
  </r>
  <r>
    <s v="Danish Crown"/>
    <s v="Croplands"/>
    <s v="South Asia"/>
    <n v="60202"/>
    <x v="2"/>
    <x v="2"/>
    <x v="1"/>
  </r>
  <r>
    <s v="Danish Crown"/>
    <s v="Croplands"/>
    <s v="Sub-Saharan Africa"/>
    <n v="35525"/>
    <x v="2"/>
    <x v="2"/>
    <x v="1"/>
  </r>
  <r>
    <s v="Danish Crown"/>
    <s v="Croplands"/>
    <s v="Western Europe"/>
    <n v="4647588"/>
    <x v="2"/>
    <x v="2"/>
    <x v="1"/>
  </r>
  <r>
    <s v="Grupo Jorges"/>
    <s v="Grazing"/>
    <s v="East Asia and Southeast Asia"/>
    <n v="294"/>
    <x v="2"/>
    <x v="2"/>
    <x v="1"/>
  </r>
  <r>
    <s v="Grupo Jorges"/>
    <s v="Grazing"/>
    <s v="Eastern Europe"/>
    <n v="765"/>
    <x v="2"/>
    <x v="2"/>
    <x v="1"/>
  </r>
  <r>
    <s v="Grupo Jorges"/>
    <s v="Grazing"/>
    <s v="Latin America and the Caribbean"/>
    <n v="757"/>
    <x v="2"/>
    <x v="2"/>
    <x v="1"/>
  </r>
  <r>
    <s v="Grupo Jorges"/>
    <s v="Grazing"/>
    <s v="Near East and North Africa"/>
    <n v="56"/>
    <x v="2"/>
    <x v="2"/>
    <x v="1"/>
  </r>
  <r>
    <s v="Grupo Jorges"/>
    <s v="Grazing"/>
    <s v="North America"/>
    <n v="1021"/>
    <x v="2"/>
    <x v="2"/>
    <x v="1"/>
  </r>
  <r>
    <s v="Grupo Jorges"/>
    <s v="Grazing"/>
    <s v="Oceania"/>
    <n v="173"/>
    <x v="2"/>
    <x v="2"/>
    <x v="1"/>
  </r>
  <r>
    <s v="Grupo Jorges"/>
    <s v="Grazing"/>
    <s v="RoW"/>
    <n v="0"/>
    <x v="2"/>
    <x v="2"/>
    <x v="1"/>
  </r>
  <r>
    <s v="Grupo Jorges"/>
    <s v="Grazing"/>
    <s v="Russian Federation"/>
    <n v="10"/>
    <x v="2"/>
    <x v="2"/>
    <x v="1"/>
  </r>
  <r>
    <s v="Grupo Jorges"/>
    <s v="Grazing"/>
    <s v="South Asia"/>
    <n v="163"/>
    <x v="2"/>
    <x v="2"/>
    <x v="1"/>
  </r>
  <r>
    <s v="Grupo Jorges"/>
    <s v="Grazing"/>
    <s v="Sub-Saharan Africa"/>
    <n v="928"/>
    <x v="2"/>
    <x v="2"/>
    <x v="1"/>
  </r>
  <r>
    <s v="Grupo Jorges"/>
    <s v="Grazing"/>
    <s v="Western Europe"/>
    <n v="47486"/>
    <x v="2"/>
    <x v="2"/>
    <x v="1"/>
  </r>
  <r>
    <s v="Grupo Jorges"/>
    <s v="Croplands"/>
    <s v="East Asia and Southeast Asia"/>
    <n v="85869"/>
    <x v="2"/>
    <x v="2"/>
    <x v="1"/>
  </r>
  <r>
    <s v="Grupo Jorges"/>
    <s v="Croplands"/>
    <s v="Eastern Europe"/>
    <n v="654955"/>
    <x v="2"/>
    <x v="2"/>
    <x v="1"/>
  </r>
  <r>
    <s v="Grupo Jorges"/>
    <s v="Croplands"/>
    <s v="Latin America and the Caribbean"/>
    <n v="685933"/>
    <x v="2"/>
    <x v="2"/>
    <x v="1"/>
  </r>
  <r>
    <s v="Grupo Jorges"/>
    <s v="Croplands"/>
    <s v="Near East and North Africa"/>
    <n v="21572"/>
    <x v="2"/>
    <x v="2"/>
    <x v="1"/>
  </r>
  <r>
    <s v="Grupo Jorges"/>
    <s v="Croplands"/>
    <s v="North America"/>
    <n v="226048"/>
    <x v="2"/>
    <x v="2"/>
    <x v="1"/>
  </r>
  <r>
    <s v="Grupo Jorges"/>
    <s v="Croplands"/>
    <s v="Oceania"/>
    <n v="23230"/>
    <x v="2"/>
    <x v="2"/>
    <x v="1"/>
  </r>
  <r>
    <s v="Grupo Jorges"/>
    <s v="Croplands"/>
    <s v="RoW"/>
    <n v="1"/>
    <x v="2"/>
    <x v="2"/>
    <x v="1"/>
  </r>
  <r>
    <s v="Grupo Jorges"/>
    <s v="Croplands"/>
    <s v="Russian Federation"/>
    <n v="91428"/>
    <x v="2"/>
    <x v="2"/>
    <x v="1"/>
  </r>
  <r>
    <s v="Grupo Jorges"/>
    <s v="Croplands"/>
    <s v="South Asia"/>
    <n v="25430"/>
    <x v="2"/>
    <x v="2"/>
    <x v="1"/>
  </r>
  <r>
    <s v="Grupo Jorges"/>
    <s v="Croplands"/>
    <s v="Sub-Saharan Africa"/>
    <n v="14956"/>
    <x v="2"/>
    <x v="2"/>
    <x v="1"/>
  </r>
  <r>
    <s v="Grupo Jorges"/>
    <s v="Croplands"/>
    <s v="Western Europe"/>
    <n v="2009672"/>
    <x v="2"/>
    <x v="2"/>
    <x v="1"/>
  </r>
  <r>
    <s v="Grupo Vall"/>
    <s v="Grazing"/>
    <s v="East Asia and Southeast Asia"/>
    <n v="391"/>
    <x v="2"/>
    <x v="2"/>
    <x v="1"/>
  </r>
  <r>
    <s v="Grupo Vall"/>
    <s v="Grazing"/>
    <s v="Eastern Europe"/>
    <n v="1016"/>
    <x v="2"/>
    <x v="2"/>
    <x v="1"/>
  </r>
  <r>
    <s v="Grupo Vall"/>
    <s v="Grazing"/>
    <s v="Latin America and the Caribbean"/>
    <n v="1005"/>
    <x v="2"/>
    <x v="2"/>
    <x v="1"/>
  </r>
  <r>
    <s v="Grupo Vall"/>
    <s v="Grazing"/>
    <s v="Near East and North Africa"/>
    <n v="74"/>
    <x v="2"/>
    <x v="2"/>
    <x v="1"/>
  </r>
  <r>
    <s v="Grupo Vall"/>
    <s v="Grazing"/>
    <s v="North America"/>
    <n v="1357"/>
    <x v="2"/>
    <x v="2"/>
    <x v="1"/>
  </r>
  <r>
    <s v="Grupo Vall"/>
    <s v="Grazing"/>
    <s v="Oceania"/>
    <n v="230"/>
    <x v="2"/>
    <x v="2"/>
    <x v="1"/>
  </r>
  <r>
    <s v="Grupo Vall"/>
    <s v="Grazing"/>
    <s v="RoW"/>
    <n v="0"/>
    <x v="2"/>
    <x v="2"/>
    <x v="1"/>
  </r>
  <r>
    <s v="Grupo Vall"/>
    <s v="Grazing"/>
    <s v="Russian Federation"/>
    <n v="14"/>
    <x v="2"/>
    <x v="2"/>
    <x v="1"/>
  </r>
  <r>
    <s v="Grupo Vall"/>
    <s v="Grazing"/>
    <s v="South Asia"/>
    <n v="216"/>
    <x v="2"/>
    <x v="2"/>
    <x v="1"/>
  </r>
  <r>
    <s v="Grupo Vall"/>
    <s v="Grazing"/>
    <s v="Sub-Saharan Africa"/>
    <n v="1233"/>
    <x v="2"/>
    <x v="2"/>
    <x v="1"/>
  </r>
  <r>
    <s v="Grupo Vall"/>
    <s v="Grazing"/>
    <s v="Western Europe"/>
    <n v="63110"/>
    <x v="2"/>
    <x v="2"/>
    <x v="1"/>
  </r>
  <r>
    <s v="Grupo Vall"/>
    <s v="Croplands"/>
    <s v="East Asia and Southeast Asia"/>
    <n v="114122"/>
    <x v="2"/>
    <x v="2"/>
    <x v="1"/>
  </r>
  <r>
    <s v="Grupo Vall"/>
    <s v="Croplands"/>
    <s v="Eastern Europe"/>
    <n v="870450"/>
    <x v="2"/>
    <x v="2"/>
    <x v="1"/>
  </r>
  <r>
    <s v="Grupo Vall"/>
    <s v="Croplands"/>
    <s v="Latin America and the Caribbean"/>
    <n v="911621"/>
    <x v="2"/>
    <x v="2"/>
    <x v="1"/>
  </r>
  <r>
    <s v="Grupo Vall"/>
    <s v="Croplands"/>
    <s v="Near East and North Africa"/>
    <n v="28669"/>
    <x v="2"/>
    <x v="2"/>
    <x v="1"/>
  </r>
  <r>
    <s v="Grupo Vall"/>
    <s v="Croplands"/>
    <s v="North America"/>
    <n v="300423"/>
    <x v="2"/>
    <x v="2"/>
    <x v="1"/>
  </r>
  <r>
    <s v="Grupo Vall"/>
    <s v="Croplands"/>
    <s v="Oceania"/>
    <n v="30873"/>
    <x v="2"/>
    <x v="2"/>
    <x v="1"/>
  </r>
  <r>
    <s v="Grupo Vall"/>
    <s v="Croplands"/>
    <s v="RoW"/>
    <n v="1"/>
    <x v="2"/>
    <x v="2"/>
    <x v="1"/>
  </r>
  <r>
    <s v="Grupo Vall"/>
    <s v="Croplands"/>
    <s v="Russian Federation"/>
    <n v="121510"/>
    <x v="2"/>
    <x v="2"/>
    <x v="1"/>
  </r>
  <r>
    <s v="Grupo Vall"/>
    <s v="Croplands"/>
    <s v="South Asia"/>
    <n v="33797"/>
    <x v="2"/>
    <x v="2"/>
    <x v="1"/>
  </r>
  <r>
    <s v="Grupo Vall"/>
    <s v="Croplands"/>
    <s v="Sub-Saharan Africa"/>
    <n v="19877"/>
    <x v="2"/>
    <x v="2"/>
    <x v="1"/>
  </r>
  <r>
    <s v="Grupo Vall"/>
    <s v="Croplands"/>
    <s v="Western Europe"/>
    <n v="2670901"/>
    <x v="2"/>
    <x v="2"/>
    <x v="1"/>
  </r>
  <r>
    <s v="Gruppo Cremonini"/>
    <s v="Grazing"/>
    <s v="East Asia and Southeast Asia"/>
    <n v="32"/>
    <x v="2"/>
    <x v="2"/>
    <x v="1"/>
  </r>
  <r>
    <s v="Gruppo Cremonini"/>
    <s v="Grazing"/>
    <s v="Eastern Europe"/>
    <n v="85"/>
    <x v="2"/>
    <x v="2"/>
    <x v="1"/>
  </r>
  <r>
    <s v="Gruppo Cremonini"/>
    <s v="Grazing"/>
    <s v="Latin America and the Caribbean"/>
    <n v="84"/>
    <x v="2"/>
    <x v="2"/>
    <x v="1"/>
  </r>
  <r>
    <s v="Gruppo Cremonini"/>
    <s v="Grazing"/>
    <s v="Near East and North Africa"/>
    <n v="6"/>
    <x v="2"/>
    <x v="2"/>
    <x v="1"/>
  </r>
  <r>
    <s v="Gruppo Cremonini"/>
    <s v="Grazing"/>
    <s v="North America"/>
    <n v="113"/>
    <x v="2"/>
    <x v="2"/>
    <x v="1"/>
  </r>
  <r>
    <s v="Gruppo Cremonini"/>
    <s v="Grazing"/>
    <s v="Oceania"/>
    <n v="19"/>
    <x v="2"/>
    <x v="2"/>
    <x v="1"/>
  </r>
  <r>
    <s v="Gruppo Cremonini"/>
    <s v="Grazing"/>
    <s v="RoW"/>
    <n v="0"/>
    <x v="2"/>
    <x v="2"/>
    <x v="1"/>
  </r>
  <r>
    <s v="Gruppo Cremonini"/>
    <s v="Grazing"/>
    <s v="Russian Federation"/>
    <n v="1"/>
    <x v="2"/>
    <x v="2"/>
    <x v="1"/>
  </r>
  <r>
    <s v="Gruppo Cremonini"/>
    <s v="Grazing"/>
    <s v="South Asia"/>
    <n v="18"/>
    <x v="2"/>
    <x v="2"/>
    <x v="1"/>
  </r>
  <r>
    <s v="Gruppo Cremonini"/>
    <s v="Grazing"/>
    <s v="Sub-Saharan Africa"/>
    <n v="103"/>
    <x v="2"/>
    <x v="2"/>
    <x v="1"/>
  </r>
  <r>
    <s v="Gruppo Cremonini"/>
    <s v="Grazing"/>
    <s v="Western Europe"/>
    <n v="5248"/>
    <x v="2"/>
    <x v="2"/>
    <x v="1"/>
  </r>
  <r>
    <s v="Gruppo Cremonini"/>
    <s v="Croplands"/>
    <s v="East Asia and Southeast Asia"/>
    <n v="9490"/>
    <x v="2"/>
    <x v="2"/>
    <x v="1"/>
  </r>
  <r>
    <s v="Gruppo Cremonini"/>
    <s v="Croplands"/>
    <s v="Eastern Europe"/>
    <n v="72387"/>
    <x v="2"/>
    <x v="2"/>
    <x v="1"/>
  </r>
  <r>
    <s v="Gruppo Cremonini"/>
    <s v="Croplands"/>
    <s v="Latin America and the Caribbean"/>
    <n v="75810"/>
    <x v="2"/>
    <x v="2"/>
    <x v="1"/>
  </r>
  <r>
    <s v="Gruppo Cremonini"/>
    <s v="Croplands"/>
    <s v="Near East and North Africa"/>
    <n v="2384"/>
    <x v="2"/>
    <x v="2"/>
    <x v="1"/>
  </r>
  <r>
    <s v="Gruppo Cremonini"/>
    <s v="Croplands"/>
    <s v="North America"/>
    <n v="24983"/>
    <x v="2"/>
    <x v="2"/>
    <x v="1"/>
  </r>
  <r>
    <s v="Gruppo Cremonini"/>
    <s v="Croplands"/>
    <s v="Oceania"/>
    <n v="2567"/>
    <x v="2"/>
    <x v="2"/>
    <x v="1"/>
  </r>
  <r>
    <s v="Gruppo Cremonini"/>
    <s v="Croplands"/>
    <s v="RoW"/>
    <n v="0"/>
    <x v="2"/>
    <x v="2"/>
    <x v="1"/>
  </r>
  <r>
    <s v="Gruppo Cremonini"/>
    <s v="Croplands"/>
    <s v="Russian Federation"/>
    <n v="10105"/>
    <x v="2"/>
    <x v="2"/>
    <x v="1"/>
  </r>
  <r>
    <s v="Gruppo Cremonini"/>
    <s v="Croplands"/>
    <s v="South Asia"/>
    <n v="2811"/>
    <x v="2"/>
    <x v="2"/>
    <x v="1"/>
  </r>
  <r>
    <s v="Gruppo Cremonini"/>
    <s v="Croplands"/>
    <s v="Sub-Saharan Africa"/>
    <n v="1653"/>
    <x v="2"/>
    <x v="2"/>
    <x v="1"/>
  </r>
  <r>
    <s v="Gruppo Cremonini"/>
    <s v="Croplands"/>
    <s v="Western Europe"/>
    <n v="222112"/>
    <x v="2"/>
    <x v="2"/>
    <x v="1"/>
  </r>
  <r>
    <s v="JBS"/>
    <s v="Grazing"/>
    <s v="East Asia and Southeast Asia"/>
    <n v="2616"/>
    <x v="2"/>
    <x v="2"/>
    <x v="1"/>
  </r>
  <r>
    <s v="JBS"/>
    <s v="Grazing"/>
    <s v="Eastern Europe"/>
    <n v="359"/>
    <x v="2"/>
    <x v="2"/>
    <x v="1"/>
  </r>
  <r>
    <s v="JBS"/>
    <s v="Grazing"/>
    <s v="Latin America and the Caribbean"/>
    <n v="95573"/>
    <x v="2"/>
    <x v="2"/>
    <x v="1"/>
  </r>
  <r>
    <s v="JBS"/>
    <s v="Grazing"/>
    <s v="Near East and North Africa"/>
    <n v="118"/>
    <x v="2"/>
    <x v="2"/>
    <x v="1"/>
  </r>
  <r>
    <s v="JBS"/>
    <s v="Grazing"/>
    <s v="North America"/>
    <n v="446609"/>
    <x v="2"/>
    <x v="2"/>
    <x v="1"/>
  </r>
  <r>
    <s v="JBS"/>
    <s v="Grazing"/>
    <s v="Oceania"/>
    <n v="28094"/>
    <x v="2"/>
    <x v="2"/>
    <x v="1"/>
  </r>
  <r>
    <s v="JBS"/>
    <s v="Grazing"/>
    <s v="RoW"/>
    <n v="0"/>
    <x v="2"/>
    <x v="2"/>
    <x v="1"/>
  </r>
  <r>
    <s v="JBS"/>
    <s v="Grazing"/>
    <s v="Russian Federation"/>
    <n v="20"/>
    <x v="2"/>
    <x v="2"/>
    <x v="1"/>
  </r>
  <r>
    <s v="JBS"/>
    <s v="Grazing"/>
    <s v="South Asia"/>
    <n v="416"/>
    <x v="2"/>
    <x v="2"/>
    <x v="1"/>
  </r>
  <r>
    <s v="JBS"/>
    <s v="Grazing"/>
    <s v="Sub-Saharan Africa"/>
    <n v="384"/>
    <x v="2"/>
    <x v="2"/>
    <x v="1"/>
  </r>
  <r>
    <s v="JBS"/>
    <s v="Grazing"/>
    <s v="Western Europe"/>
    <n v="16686"/>
    <x v="2"/>
    <x v="2"/>
    <x v="1"/>
  </r>
  <r>
    <s v="JBS"/>
    <s v="Croplands"/>
    <s v="East Asia and Southeast Asia"/>
    <n v="90775"/>
    <x v="2"/>
    <x v="2"/>
    <x v="1"/>
  </r>
  <r>
    <s v="JBS"/>
    <s v="Croplands"/>
    <s v="Eastern Europe"/>
    <n v="238314"/>
    <x v="2"/>
    <x v="2"/>
    <x v="1"/>
  </r>
  <r>
    <s v="JBS"/>
    <s v="Croplands"/>
    <s v="Latin America and the Caribbean"/>
    <n v="6548605"/>
    <x v="2"/>
    <x v="2"/>
    <x v="1"/>
  </r>
  <r>
    <s v="JBS"/>
    <s v="Croplands"/>
    <s v="Near East and North Africa"/>
    <n v="26823"/>
    <x v="2"/>
    <x v="2"/>
    <x v="1"/>
  </r>
  <r>
    <s v="JBS"/>
    <s v="Croplands"/>
    <s v="North America"/>
    <n v="13804326"/>
    <x v="2"/>
    <x v="2"/>
    <x v="1"/>
  </r>
  <r>
    <s v="JBS"/>
    <s v="Croplands"/>
    <s v="Oceania"/>
    <n v="1742135"/>
    <x v="2"/>
    <x v="2"/>
    <x v="1"/>
  </r>
  <r>
    <s v="JBS"/>
    <s v="Croplands"/>
    <s v="RoW"/>
    <n v="88"/>
    <x v="2"/>
    <x v="2"/>
    <x v="1"/>
  </r>
  <r>
    <s v="JBS"/>
    <s v="Croplands"/>
    <s v="Russian Federation"/>
    <n v="61529"/>
    <x v="2"/>
    <x v="2"/>
    <x v="1"/>
  </r>
  <r>
    <s v="JBS"/>
    <s v="Croplands"/>
    <s v="South Asia"/>
    <n v="202712"/>
    <x v="2"/>
    <x v="2"/>
    <x v="1"/>
  </r>
  <r>
    <s v="JBS"/>
    <s v="Croplands"/>
    <s v="Sub-Saharan Africa"/>
    <n v="20638"/>
    <x v="2"/>
    <x v="2"/>
    <x v="1"/>
  </r>
  <r>
    <s v="JBS"/>
    <s v="Croplands"/>
    <s v="Western Europe"/>
    <n v="675396"/>
    <x v="2"/>
    <x v="2"/>
    <x v="1"/>
  </r>
  <r>
    <s v="Muyuan Foodstuff"/>
    <s v="Grazing"/>
    <s v="East Asia and Southeast Asia"/>
    <n v="71959"/>
    <x v="2"/>
    <x v="2"/>
    <x v="1"/>
  </r>
  <r>
    <s v="Muyuan Foodstuff"/>
    <s v="Grazing"/>
    <s v="Eastern Europe"/>
    <n v="1286"/>
    <x v="2"/>
    <x v="2"/>
    <x v="1"/>
  </r>
  <r>
    <s v="Muyuan Foodstuff"/>
    <s v="Grazing"/>
    <s v="Latin America and the Caribbean"/>
    <n v="2302"/>
    <x v="2"/>
    <x v="2"/>
    <x v="1"/>
  </r>
  <r>
    <s v="Muyuan Foodstuff"/>
    <s v="Grazing"/>
    <s v="Near East and North Africa"/>
    <n v="224"/>
    <x v="2"/>
    <x v="2"/>
    <x v="1"/>
  </r>
  <r>
    <s v="Muyuan Foodstuff"/>
    <s v="Grazing"/>
    <s v="North America"/>
    <n v="1398"/>
    <x v="2"/>
    <x v="2"/>
    <x v="1"/>
  </r>
  <r>
    <s v="Muyuan Foodstuff"/>
    <s v="Grazing"/>
    <s v="Oceania"/>
    <n v="4914"/>
    <x v="2"/>
    <x v="2"/>
    <x v="1"/>
  </r>
  <r>
    <s v="Muyuan Foodstuff"/>
    <s v="Grazing"/>
    <s v="RoW"/>
    <n v="0"/>
    <x v="2"/>
    <x v="2"/>
    <x v="1"/>
  </r>
  <r>
    <s v="Muyuan Foodstuff"/>
    <s v="Grazing"/>
    <s v="Russian Federation"/>
    <n v="89"/>
    <x v="2"/>
    <x v="2"/>
    <x v="1"/>
  </r>
  <r>
    <s v="Muyuan Foodstuff"/>
    <s v="Grazing"/>
    <s v="South Asia"/>
    <n v="97"/>
    <x v="2"/>
    <x v="2"/>
    <x v="1"/>
  </r>
  <r>
    <s v="Muyuan Foodstuff"/>
    <s v="Grazing"/>
    <s v="Sub-Saharan Africa"/>
    <n v="357"/>
    <x v="2"/>
    <x v="2"/>
    <x v="1"/>
  </r>
  <r>
    <s v="Muyuan Foodstuff"/>
    <s v="Grazing"/>
    <s v="Western Europe"/>
    <n v="3504"/>
    <x v="2"/>
    <x v="2"/>
    <x v="1"/>
  </r>
  <r>
    <s v="Muyuan Foodstuff"/>
    <s v="Croplands"/>
    <s v="East Asia and Southeast Asia"/>
    <n v="5549096"/>
    <x v="2"/>
    <x v="2"/>
    <x v="1"/>
  </r>
  <r>
    <s v="Muyuan Foodstuff"/>
    <s v="Croplands"/>
    <s v="Eastern Europe"/>
    <n v="249756"/>
    <x v="2"/>
    <x v="2"/>
    <x v="1"/>
  </r>
  <r>
    <s v="Muyuan Foodstuff"/>
    <s v="Croplands"/>
    <s v="Latin America and the Caribbean"/>
    <n v="3029952"/>
    <x v="2"/>
    <x v="2"/>
    <x v="1"/>
  </r>
  <r>
    <s v="Muyuan Foodstuff"/>
    <s v="Croplands"/>
    <s v="Near East and North Africa"/>
    <n v="52315"/>
    <x v="2"/>
    <x v="2"/>
    <x v="1"/>
  </r>
  <r>
    <s v="Muyuan Foodstuff"/>
    <s v="Croplands"/>
    <s v="North America"/>
    <n v="1503555"/>
    <x v="2"/>
    <x v="2"/>
    <x v="1"/>
  </r>
  <r>
    <s v="Muyuan Foodstuff"/>
    <s v="Croplands"/>
    <s v="Oceania"/>
    <n v="102004"/>
    <x v="2"/>
    <x v="2"/>
    <x v="1"/>
  </r>
  <r>
    <s v="Muyuan Foodstuff"/>
    <s v="Croplands"/>
    <s v="RoW"/>
    <n v="0"/>
    <x v="2"/>
    <x v="2"/>
    <x v="1"/>
  </r>
  <r>
    <s v="Muyuan Foodstuff"/>
    <s v="Croplands"/>
    <s v="Russian Federation"/>
    <n v="100672"/>
    <x v="2"/>
    <x v="2"/>
    <x v="1"/>
  </r>
  <r>
    <s v="Muyuan Foodstuff"/>
    <s v="Croplands"/>
    <s v="South Asia"/>
    <n v="57601"/>
    <x v="2"/>
    <x v="2"/>
    <x v="1"/>
  </r>
  <r>
    <s v="Muyuan Foodstuff"/>
    <s v="Croplands"/>
    <s v="Sub-Saharan Africa"/>
    <n v="55646"/>
    <x v="2"/>
    <x v="2"/>
    <x v="1"/>
  </r>
  <r>
    <s v="Muyuan Foodstuff"/>
    <s v="Croplands"/>
    <s v="Western Europe"/>
    <n v="26636"/>
    <x v="2"/>
    <x v="2"/>
    <x v="1"/>
  </r>
  <r>
    <s v="New Hope Group"/>
    <s v="Grazing"/>
    <s v="East Asia and Southeast Asia"/>
    <n v="21490"/>
    <x v="2"/>
    <x v="2"/>
    <x v="1"/>
  </r>
  <r>
    <s v="New Hope Group"/>
    <s v="Grazing"/>
    <s v="Eastern Europe"/>
    <n v="384"/>
    <x v="2"/>
    <x v="2"/>
    <x v="1"/>
  </r>
  <r>
    <s v="New Hope Group"/>
    <s v="Grazing"/>
    <s v="Latin America and the Caribbean"/>
    <n v="687"/>
    <x v="2"/>
    <x v="2"/>
    <x v="1"/>
  </r>
  <r>
    <s v="New Hope Group"/>
    <s v="Grazing"/>
    <s v="Near East and North Africa"/>
    <n v="67"/>
    <x v="2"/>
    <x v="2"/>
    <x v="1"/>
  </r>
  <r>
    <s v="New Hope Group"/>
    <s v="Grazing"/>
    <s v="North America"/>
    <n v="418"/>
    <x v="2"/>
    <x v="2"/>
    <x v="1"/>
  </r>
  <r>
    <s v="New Hope Group"/>
    <s v="Grazing"/>
    <s v="Oceania"/>
    <n v="1467"/>
    <x v="2"/>
    <x v="2"/>
    <x v="1"/>
  </r>
  <r>
    <s v="New Hope Group"/>
    <s v="Grazing"/>
    <s v="RoW"/>
    <n v="0"/>
    <x v="2"/>
    <x v="2"/>
    <x v="1"/>
  </r>
  <r>
    <s v="New Hope Group"/>
    <s v="Grazing"/>
    <s v="Russian Federation"/>
    <n v="27"/>
    <x v="2"/>
    <x v="2"/>
    <x v="1"/>
  </r>
  <r>
    <s v="New Hope Group"/>
    <s v="Grazing"/>
    <s v="South Asia"/>
    <n v="29"/>
    <x v="2"/>
    <x v="2"/>
    <x v="1"/>
  </r>
  <r>
    <s v="New Hope Group"/>
    <s v="Grazing"/>
    <s v="Sub-Saharan Africa"/>
    <n v="107"/>
    <x v="2"/>
    <x v="2"/>
    <x v="1"/>
  </r>
  <r>
    <s v="New Hope Group"/>
    <s v="Grazing"/>
    <s v="Western Europe"/>
    <n v="1047"/>
    <x v="2"/>
    <x v="2"/>
    <x v="1"/>
  </r>
  <r>
    <s v="New Hope Group"/>
    <s v="Croplands"/>
    <s v="East Asia and Southeast Asia"/>
    <n v="1657196"/>
    <x v="2"/>
    <x v="2"/>
    <x v="1"/>
  </r>
  <r>
    <s v="New Hope Group"/>
    <s v="Croplands"/>
    <s v="Eastern Europe"/>
    <n v="74588"/>
    <x v="2"/>
    <x v="2"/>
    <x v="1"/>
  </r>
  <r>
    <s v="New Hope Group"/>
    <s v="Croplands"/>
    <s v="Latin America and the Caribbean"/>
    <n v="904872"/>
    <x v="2"/>
    <x v="2"/>
    <x v="1"/>
  </r>
  <r>
    <s v="New Hope Group"/>
    <s v="Croplands"/>
    <s v="Near East and North Africa"/>
    <n v="15624"/>
    <x v="2"/>
    <x v="2"/>
    <x v="1"/>
  </r>
  <r>
    <s v="New Hope Group"/>
    <s v="Croplands"/>
    <s v="North America"/>
    <n v="449026"/>
    <x v="2"/>
    <x v="2"/>
    <x v="1"/>
  </r>
  <r>
    <s v="New Hope Group"/>
    <s v="Croplands"/>
    <s v="Oceania"/>
    <n v="30463"/>
    <x v="2"/>
    <x v="2"/>
    <x v="1"/>
  </r>
  <r>
    <s v="New Hope Group"/>
    <s v="Croplands"/>
    <s v="RoW"/>
    <n v="0"/>
    <x v="2"/>
    <x v="2"/>
    <x v="1"/>
  </r>
  <r>
    <s v="New Hope Group"/>
    <s v="Croplands"/>
    <s v="Russian Federation"/>
    <n v="30065"/>
    <x v="2"/>
    <x v="2"/>
    <x v="1"/>
  </r>
  <r>
    <s v="New Hope Group"/>
    <s v="Croplands"/>
    <s v="South Asia"/>
    <n v="17202"/>
    <x v="2"/>
    <x v="2"/>
    <x v="1"/>
  </r>
  <r>
    <s v="New Hope Group"/>
    <s v="Croplands"/>
    <s v="Sub-Saharan Africa"/>
    <n v="16618"/>
    <x v="2"/>
    <x v="2"/>
    <x v="1"/>
  </r>
  <r>
    <s v="New Hope Group"/>
    <s v="Croplands"/>
    <s v="Western Europe"/>
    <n v="7955"/>
    <x v="2"/>
    <x v="2"/>
    <x v="1"/>
  </r>
  <r>
    <s v="Seaboard"/>
    <s v="Grazing"/>
    <s v="East Asia and Southeast Asia"/>
    <n v="559"/>
    <x v="2"/>
    <x v="2"/>
    <x v="1"/>
  </r>
  <r>
    <s v="Seaboard"/>
    <s v="Grazing"/>
    <s v="Eastern Europe"/>
    <n v="12"/>
    <x v="2"/>
    <x v="2"/>
    <x v="1"/>
  </r>
  <r>
    <s v="Seaboard"/>
    <s v="Grazing"/>
    <s v="Latin America and the Caribbean"/>
    <n v="3755"/>
    <x v="2"/>
    <x v="2"/>
    <x v="1"/>
  </r>
  <r>
    <s v="Seaboard"/>
    <s v="Grazing"/>
    <s v="Near East and North Africa"/>
    <n v="13"/>
    <x v="2"/>
    <x v="2"/>
    <x v="1"/>
  </r>
  <r>
    <s v="Seaboard"/>
    <s v="Grazing"/>
    <s v="North America"/>
    <n v="99577"/>
    <x v="2"/>
    <x v="2"/>
    <x v="1"/>
  </r>
  <r>
    <s v="Seaboard"/>
    <s v="Grazing"/>
    <s v="Oceania"/>
    <n v="973"/>
    <x v="2"/>
    <x v="2"/>
    <x v="1"/>
  </r>
  <r>
    <s v="Seaboard"/>
    <s v="Grazing"/>
    <s v="RoW"/>
    <n v="0"/>
    <x v="2"/>
    <x v="2"/>
    <x v="1"/>
  </r>
  <r>
    <s v="Seaboard"/>
    <s v="Grazing"/>
    <s v="Russian Federation"/>
    <n v="2"/>
    <x v="2"/>
    <x v="2"/>
    <x v="1"/>
  </r>
  <r>
    <s v="Seaboard"/>
    <s v="Grazing"/>
    <s v="South Asia"/>
    <n v="75"/>
    <x v="2"/>
    <x v="2"/>
    <x v="1"/>
  </r>
  <r>
    <s v="Seaboard"/>
    <s v="Grazing"/>
    <s v="Sub-Saharan Africa"/>
    <n v="15"/>
    <x v="2"/>
    <x v="2"/>
    <x v="1"/>
  </r>
  <r>
    <s v="Seaboard"/>
    <s v="Grazing"/>
    <s v="Western Europe"/>
    <n v="233"/>
    <x v="2"/>
    <x v="2"/>
    <x v="1"/>
  </r>
  <r>
    <s v="Seaboard"/>
    <s v="Croplands"/>
    <s v="East Asia and Southeast Asia"/>
    <n v="2579"/>
    <x v="2"/>
    <x v="2"/>
    <x v="1"/>
  </r>
  <r>
    <s v="Seaboard"/>
    <s v="Croplands"/>
    <s v="Eastern Europe"/>
    <n v="4684"/>
    <x v="2"/>
    <x v="2"/>
    <x v="1"/>
  </r>
  <r>
    <s v="Seaboard"/>
    <s v="Croplands"/>
    <s v="Latin America and the Caribbean"/>
    <n v="14172"/>
    <x v="2"/>
    <x v="2"/>
    <x v="1"/>
  </r>
  <r>
    <s v="Seaboard"/>
    <s v="Croplands"/>
    <s v="Near East and North Africa"/>
    <n v="475"/>
    <x v="2"/>
    <x v="2"/>
    <x v="1"/>
  </r>
  <r>
    <s v="Seaboard"/>
    <s v="Croplands"/>
    <s v="North America"/>
    <n v="2930071"/>
    <x v="2"/>
    <x v="2"/>
    <x v="1"/>
  </r>
  <r>
    <s v="Seaboard"/>
    <s v="Croplands"/>
    <s v="Oceania"/>
    <n v="593"/>
    <x v="2"/>
    <x v="2"/>
    <x v="1"/>
  </r>
  <r>
    <s v="Seaboard"/>
    <s v="Croplands"/>
    <s v="RoW"/>
    <n v="19"/>
    <x v="2"/>
    <x v="2"/>
    <x v="1"/>
  </r>
  <r>
    <s v="Seaboard"/>
    <s v="Croplands"/>
    <s v="Russian Federation"/>
    <n v="927"/>
    <x v="2"/>
    <x v="2"/>
    <x v="1"/>
  </r>
  <r>
    <s v="Seaboard"/>
    <s v="Croplands"/>
    <s v="South Asia"/>
    <n v="38468"/>
    <x v="2"/>
    <x v="2"/>
    <x v="1"/>
  </r>
  <r>
    <s v="Seaboard"/>
    <s v="Croplands"/>
    <s v="Sub-Saharan Africa"/>
    <n v="1103"/>
    <x v="2"/>
    <x v="2"/>
    <x v="1"/>
  </r>
  <r>
    <s v="Seaboard"/>
    <s v="Croplands"/>
    <s v="Western Europe"/>
    <n v="5674"/>
    <x v="2"/>
    <x v="2"/>
    <x v="1"/>
  </r>
  <r>
    <s v="Tönnies Group"/>
    <s v="Grazing"/>
    <s v="East Asia and Southeast Asia"/>
    <n v="817"/>
    <x v="2"/>
    <x v="2"/>
    <x v="1"/>
  </r>
  <r>
    <s v="Tönnies Group"/>
    <s v="Grazing"/>
    <s v="Eastern Europe"/>
    <n v="2126"/>
    <x v="2"/>
    <x v="2"/>
    <x v="1"/>
  </r>
  <r>
    <s v="Tönnies Group"/>
    <s v="Grazing"/>
    <s v="Latin America and the Caribbean"/>
    <n v="2103"/>
    <x v="2"/>
    <x v="2"/>
    <x v="1"/>
  </r>
  <r>
    <s v="Tönnies Group"/>
    <s v="Grazing"/>
    <s v="Near East and North Africa"/>
    <n v="155"/>
    <x v="2"/>
    <x v="2"/>
    <x v="1"/>
  </r>
  <r>
    <s v="Tönnies Group"/>
    <s v="Grazing"/>
    <s v="North America"/>
    <n v="2838"/>
    <x v="2"/>
    <x v="2"/>
    <x v="1"/>
  </r>
  <r>
    <s v="Tönnies Group"/>
    <s v="Grazing"/>
    <s v="Oceania"/>
    <n v="481"/>
    <x v="2"/>
    <x v="2"/>
    <x v="1"/>
  </r>
  <r>
    <s v="Tönnies Group"/>
    <s v="Grazing"/>
    <s v="RoW"/>
    <n v="0"/>
    <x v="2"/>
    <x v="2"/>
    <x v="1"/>
  </r>
  <r>
    <s v="Tönnies Group"/>
    <s v="Grazing"/>
    <s v="Russian Federation"/>
    <n v="29"/>
    <x v="2"/>
    <x v="2"/>
    <x v="1"/>
  </r>
  <r>
    <s v="Tönnies Group"/>
    <s v="Grazing"/>
    <s v="South Asia"/>
    <n v="452"/>
    <x v="2"/>
    <x v="2"/>
    <x v="1"/>
  </r>
  <r>
    <s v="Tönnies Group"/>
    <s v="Grazing"/>
    <s v="Sub-Saharan Africa"/>
    <n v="2579"/>
    <x v="2"/>
    <x v="2"/>
    <x v="1"/>
  </r>
  <r>
    <s v="Tönnies Group"/>
    <s v="Grazing"/>
    <s v="Western Europe"/>
    <n v="131997"/>
    <x v="2"/>
    <x v="2"/>
    <x v="1"/>
  </r>
  <r>
    <s v="Tönnies Group"/>
    <s v="Croplands"/>
    <s v="East Asia and Southeast Asia"/>
    <n v="238688"/>
    <x v="2"/>
    <x v="2"/>
    <x v="1"/>
  </r>
  <r>
    <s v="Tönnies Group"/>
    <s v="Croplands"/>
    <s v="Eastern Europe"/>
    <n v="1820570"/>
    <x v="2"/>
    <x v="2"/>
    <x v="1"/>
  </r>
  <r>
    <s v="Tönnies Group"/>
    <s v="Croplands"/>
    <s v="Latin America and the Caribbean"/>
    <n v="1906680"/>
    <x v="2"/>
    <x v="2"/>
    <x v="1"/>
  </r>
  <r>
    <s v="Tönnies Group"/>
    <s v="Croplands"/>
    <s v="Near East and North Africa"/>
    <n v="59962"/>
    <x v="2"/>
    <x v="2"/>
    <x v="1"/>
  </r>
  <r>
    <s v="Tönnies Group"/>
    <s v="Croplands"/>
    <s v="North America"/>
    <n v="628342"/>
    <x v="2"/>
    <x v="2"/>
    <x v="1"/>
  </r>
  <r>
    <s v="Tönnies Group"/>
    <s v="Croplands"/>
    <s v="Oceania"/>
    <n v="64571"/>
    <x v="2"/>
    <x v="2"/>
    <x v="1"/>
  </r>
  <r>
    <s v="Tönnies Group"/>
    <s v="Croplands"/>
    <s v="RoW"/>
    <n v="3"/>
    <x v="2"/>
    <x v="2"/>
    <x v="1"/>
  </r>
  <r>
    <s v="Tönnies Group"/>
    <s v="Croplands"/>
    <s v="Russian Federation"/>
    <n v="254141"/>
    <x v="2"/>
    <x v="2"/>
    <x v="1"/>
  </r>
  <r>
    <s v="Tönnies Group"/>
    <s v="Croplands"/>
    <s v="South Asia"/>
    <n v="70688"/>
    <x v="2"/>
    <x v="2"/>
    <x v="1"/>
  </r>
  <r>
    <s v="Tönnies Group"/>
    <s v="Croplands"/>
    <s v="Sub-Saharan Africa"/>
    <n v="41573"/>
    <x v="2"/>
    <x v="2"/>
    <x v="1"/>
  </r>
  <r>
    <s v="Tönnies Group"/>
    <s v="Croplands"/>
    <s v="Western Europe"/>
    <n v="5586261"/>
    <x v="2"/>
    <x v="2"/>
    <x v="1"/>
  </r>
  <r>
    <s v="Triumph Foods"/>
    <s v="Grazing"/>
    <s v="East Asia and Southeast Asia"/>
    <n v="484"/>
    <x v="2"/>
    <x v="2"/>
    <x v="1"/>
  </r>
  <r>
    <s v="Triumph Foods"/>
    <s v="Grazing"/>
    <s v="Eastern Europe"/>
    <n v="11"/>
    <x v="2"/>
    <x v="2"/>
    <x v="1"/>
  </r>
  <r>
    <s v="Triumph Foods"/>
    <s v="Grazing"/>
    <s v="Latin America and the Caribbean"/>
    <n v="3254"/>
    <x v="2"/>
    <x v="2"/>
    <x v="1"/>
  </r>
  <r>
    <s v="Triumph Foods"/>
    <s v="Grazing"/>
    <s v="Near East and North Africa"/>
    <n v="11"/>
    <x v="2"/>
    <x v="2"/>
    <x v="1"/>
  </r>
  <r>
    <s v="Triumph Foods"/>
    <s v="Grazing"/>
    <s v="North America"/>
    <n v="86300"/>
    <x v="2"/>
    <x v="2"/>
    <x v="1"/>
  </r>
  <r>
    <s v="Triumph Foods"/>
    <s v="Grazing"/>
    <s v="Oceania"/>
    <n v="843"/>
    <x v="2"/>
    <x v="2"/>
    <x v="1"/>
  </r>
  <r>
    <s v="Triumph Foods"/>
    <s v="Grazing"/>
    <s v="RoW"/>
    <n v="0"/>
    <x v="2"/>
    <x v="2"/>
    <x v="1"/>
  </r>
  <r>
    <s v="Triumph Foods"/>
    <s v="Grazing"/>
    <s v="Russian Federation"/>
    <n v="2"/>
    <x v="2"/>
    <x v="2"/>
    <x v="1"/>
  </r>
  <r>
    <s v="Triumph Foods"/>
    <s v="Grazing"/>
    <s v="South Asia"/>
    <n v="65"/>
    <x v="2"/>
    <x v="2"/>
    <x v="1"/>
  </r>
  <r>
    <s v="Triumph Foods"/>
    <s v="Grazing"/>
    <s v="Sub-Saharan Africa"/>
    <n v="13"/>
    <x v="2"/>
    <x v="2"/>
    <x v="1"/>
  </r>
  <r>
    <s v="Triumph Foods"/>
    <s v="Grazing"/>
    <s v="Western Europe"/>
    <n v="202"/>
    <x v="2"/>
    <x v="2"/>
    <x v="1"/>
  </r>
  <r>
    <s v="Triumph Foods"/>
    <s v="Croplands"/>
    <s v="East Asia and Southeast Asia"/>
    <n v="2235"/>
    <x v="2"/>
    <x v="2"/>
    <x v="1"/>
  </r>
  <r>
    <s v="Triumph Foods"/>
    <s v="Croplands"/>
    <s v="Eastern Europe"/>
    <n v="4059"/>
    <x v="2"/>
    <x v="2"/>
    <x v="1"/>
  </r>
  <r>
    <s v="Triumph Foods"/>
    <s v="Croplands"/>
    <s v="Latin America and the Caribbean"/>
    <n v="12283"/>
    <x v="2"/>
    <x v="2"/>
    <x v="1"/>
  </r>
  <r>
    <s v="Triumph Foods"/>
    <s v="Croplands"/>
    <s v="Near East and North Africa"/>
    <n v="412"/>
    <x v="2"/>
    <x v="2"/>
    <x v="1"/>
  </r>
  <r>
    <s v="Triumph Foods"/>
    <s v="Croplands"/>
    <s v="North America"/>
    <n v="2539395"/>
    <x v="2"/>
    <x v="2"/>
    <x v="1"/>
  </r>
  <r>
    <s v="Triumph Foods"/>
    <s v="Croplands"/>
    <s v="Oceania"/>
    <n v="514"/>
    <x v="2"/>
    <x v="2"/>
    <x v="1"/>
  </r>
  <r>
    <s v="Triumph Foods"/>
    <s v="Croplands"/>
    <s v="RoW"/>
    <n v="16"/>
    <x v="2"/>
    <x v="2"/>
    <x v="1"/>
  </r>
  <r>
    <s v="Triumph Foods"/>
    <s v="Croplands"/>
    <s v="Russian Federation"/>
    <n v="804"/>
    <x v="2"/>
    <x v="2"/>
    <x v="1"/>
  </r>
  <r>
    <s v="Triumph Foods"/>
    <s v="Croplands"/>
    <s v="South Asia"/>
    <n v="33339"/>
    <x v="2"/>
    <x v="2"/>
    <x v="1"/>
  </r>
  <r>
    <s v="Triumph Foods"/>
    <s v="Croplands"/>
    <s v="Sub-Saharan Africa"/>
    <n v="956"/>
    <x v="2"/>
    <x v="2"/>
    <x v="1"/>
  </r>
  <r>
    <s v="Triumph Foods"/>
    <s v="Croplands"/>
    <s v="Western Europe"/>
    <n v="4917"/>
    <x v="2"/>
    <x v="2"/>
    <x v="1"/>
  </r>
  <r>
    <s v="Tyson"/>
    <s v="Grazing"/>
    <s v="East Asia and Southeast Asia"/>
    <n v="1916"/>
    <x v="2"/>
    <x v="2"/>
    <x v="1"/>
  </r>
  <r>
    <s v="Tyson"/>
    <s v="Grazing"/>
    <s v="Eastern Europe"/>
    <n v="42"/>
    <x v="2"/>
    <x v="2"/>
    <x v="1"/>
  </r>
  <r>
    <s v="Tyson"/>
    <s v="Grazing"/>
    <s v="Latin America and the Caribbean"/>
    <n v="12874"/>
    <x v="2"/>
    <x v="2"/>
    <x v="1"/>
  </r>
  <r>
    <s v="Tyson"/>
    <s v="Grazing"/>
    <s v="Near East and North Africa"/>
    <n v="43"/>
    <x v="2"/>
    <x v="2"/>
    <x v="1"/>
  </r>
  <r>
    <s v="Tyson"/>
    <s v="Grazing"/>
    <s v="North America"/>
    <n v="341438"/>
    <x v="2"/>
    <x v="2"/>
    <x v="1"/>
  </r>
  <r>
    <s v="Tyson"/>
    <s v="Grazing"/>
    <s v="Oceania"/>
    <n v="3336"/>
    <x v="2"/>
    <x v="2"/>
    <x v="1"/>
  </r>
  <r>
    <s v="Tyson"/>
    <s v="Grazing"/>
    <s v="RoW"/>
    <n v="0"/>
    <x v="2"/>
    <x v="2"/>
    <x v="1"/>
  </r>
  <r>
    <s v="Tyson"/>
    <s v="Grazing"/>
    <s v="Russian Federation"/>
    <n v="8"/>
    <x v="2"/>
    <x v="2"/>
    <x v="1"/>
  </r>
  <r>
    <s v="Tyson"/>
    <s v="Grazing"/>
    <s v="South Asia"/>
    <n v="256"/>
    <x v="2"/>
    <x v="2"/>
    <x v="1"/>
  </r>
  <r>
    <s v="Tyson"/>
    <s v="Grazing"/>
    <s v="Sub-Saharan Africa"/>
    <n v="53"/>
    <x v="2"/>
    <x v="2"/>
    <x v="1"/>
  </r>
  <r>
    <s v="Tyson"/>
    <s v="Grazing"/>
    <s v="Western Europe"/>
    <n v="799"/>
    <x v="2"/>
    <x v="2"/>
    <x v="1"/>
  </r>
  <r>
    <s v="Tyson"/>
    <s v="Croplands"/>
    <s v="East Asia and Southeast Asia"/>
    <n v="8842"/>
    <x v="2"/>
    <x v="2"/>
    <x v="1"/>
  </r>
  <r>
    <s v="Tyson"/>
    <s v="Croplands"/>
    <s v="Eastern Europe"/>
    <n v="16060"/>
    <x v="2"/>
    <x v="2"/>
    <x v="1"/>
  </r>
  <r>
    <s v="Tyson"/>
    <s v="Croplands"/>
    <s v="Latin America and the Caribbean"/>
    <n v="48595"/>
    <x v="2"/>
    <x v="2"/>
    <x v="1"/>
  </r>
  <r>
    <s v="Tyson"/>
    <s v="Croplands"/>
    <s v="Near East and North Africa"/>
    <n v="1629"/>
    <x v="2"/>
    <x v="2"/>
    <x v="1"/>
  </r>
  <r>
    <s v="Tyson"/>
    <s v="Croplands"/>
    <s v="North America"/>
    <n v="10046863"/>
    <x v="2"/>
    <x v="2"/>
    <x v="1"/>
  </r>
  <r>
    <s v="Tyson"/>
    <s v="Croplands"/>
    <s v="Oceania"/>
    <n v="2035"/>
    <x v="2"/>
    <x v="2"/>
    <x v="1"/>
  </r>
  <r>
    <s v="Tyson"/>
    <s v="Croplands"/>
    <s v="RoW"/>
    <n v="65"/>
    <x v="2"/>
    <x v="2"/>
    <x v="1"/>
  </r>
  <r>
    <s v="Tyson"/>
    <s v="Croplands"/>
    <s v="Russian Federation"/>
    <n v="3180"/>
    <x v="2"/>
    <x v="2"/>
    <x v="1"/>
  </r>
  <r>
    <s v="Tyson"/>
    <s v="Croplands"/>
    <s v="South Asia"/>
    <n v="131903"/>
    <x v="2"/>
    <x v="2"/>
    <x v="1"/>
  </r>
  <r>
    <s v="Tyson"/>
    <s v="Croplands"/>
    <s v="Sub-Saharan Africa"/>
    <n v="3782"/>
    <x v="2"/>
    <x v="2"/>
    <x v="1"/>
  </r>
  <r>
    <s v="Tyson"/>
    <s v="Croplands"/>
    <s v="Western Europe"/>
    <n v="19454"/>
    <x v="2"/>
    <x v="2"/>
    <x v="1"/>
  </r>
  <r>
    <s v="Vion Food Group"/>
    <s v="Grazing"/>
    <s v="East Asia and Southeast Asia"/>
    <n v="699"/>
    <x v="2"/>
    <x v="2"/>
    <x v="1"/>
  </r>
  <r>
    <s v="Vion Food Group"/>
    <s v="Grazing"/>
    <s v="Eastern Europe"/>
    <n v="1819"/>
    <x v="2"/>
    <x v="2"/>
    <x v="1"/>
  </r>
  <r>
    <s v="Vion Food Group"/>
    <s v="Grazing"/>
    <s v="Latin America and the Caribbean"/>
    <n v="1799"/>
    <x v="2"/>
    <x v="2"/>
    <x v="1"/>
  </r>
  <r>
    <s v="Vion Food Group"/>
    <s v="Grazing"/>
    <s v="Near East and North Africa"/>
    <n v="133"/>
    <x v="2"/>
    <x v="2"/>
    <x v="1"/>
  </r>
  <r>
    <s v="Vion Food Group"/>
    <s v="Grazing"/>
    <s v="North America"/>
    <n v="2429"/>
    <x v="2"/>
    <x v="2"/>
    <x v="1"/>
  </r>
  <r>
    <s v="Vion Food Group"/>
    <s v="Grazing"/>
    <s v="Oceania"/>
    <n v="411"/>
    <x v="2"/>
    <x v="2"/>
    <x v="1"/>
  </r>
  <r>
    <s v="Vion Food Group"/>
    <s v="Grazing"/>
    <s v="RoW"/>
    <n v="0"/>
    <x v="2"/>
    <x v="2"/>
    <x v="1"/>
  </r>
  <r>
    <s v="Vion Food Group"/>
    <s v="Grazing"/>
    <s v="Russian Federation"/>
    <n v="25"/>
    <x v="2"/>
    <x v="2"/>
    <x v="1"/>
  </r>
  <r>
    <s v="Vion Food Group"/>
    <s v="Grazing"/>
    <s v="South Asia"/>
    <n v="387"/>
    <x v="2"/>
    <x v="2"/>
    <x v="1"/>
  </r>
  <r>
    <s v="Vion Food Group"/>
    <s v="Grazing"/>
    <s v="Sub-Saharan Africa"/>
    <n v="2207"/>
    <x v="2"/>
    <x v="2"/>
    <x v="1"/>
  </r>
  <r>
    <s v="Vion Food Group"/>
    <s v="Grazing"/>
    <s v="Western Europe"/>
    <n v="112946"/>
    <x v="2"/>
    <x v="2"/>
    <x v="1"/>
  </r>
  <r>
    <s v="Vion Food Group"/>
    <s v="Croplands"/>
    <s v="East Asia and Southeast Asia"/>
    <n v="204240"/>
    <x v="2"/>
    <x v="2"/>
    <x v="1"/>
  </r>
  <r>
    <s v="Vion Food Group"/>
    <s v="Croplands"/>
    <s v="Eastern Europe"/>
    <n v="1557819"/>
    <x v="2"/>
    <x v="2"/>
    <x v="1"/>
  </r>
  <r>
    <s v="Vion Food Group"/>
    <s v="Croplands"/>
    <s v="Latin America and the Caribbean"/>
    <n v="1631501"/>
    <x v="2"/>
    <x v="2"/>
    <x v="1"/>
  </r>
  <r>
    <s v="Vion Food Group"/>
    <s v="Croplands"/>
    <s v="Near East and North Africa"/>
    <n v="51308"/>
    <x v="2"/>
    <x v="2"/>
    <x v="1"/>
  </r>
  <r>
    <s v="Vion Food Group"/>
    <s v="Croplands"/>
    <s v="North America"/>
    <n v="537658"/>
    <x v="2"/>
    <x v="2"/>
    <x v="1"/>
  </r>
  <r>
    <s v="Vion Food Group"/>
    <s v="Croplands"/>
    <s v="Oceania"/>
    <n v="55252"/>
    <x v="2"/>
    <x v="2"/>
    <x v="1"/>
  </r>
  <r>
    <s v="Vion Food Group"/>
    <s v="Croplands"/>
    <s v="RoW"/>
    <n v="3"/>
    <x v="2"/>
    <x v="2"/>
    <x v="1"/>
  </r>
  <r>
    <s v="Vion Food Group"/>
    <s v="Croplands"/>
    <s v="Russian Federation"/>
    <n v="217462"/>
    <x v="2"/>
    <x v="2"/>
    <x v="1"/>
  </r>
  <r>
    <s v="Vion Food Group"/>
    <s v="Croplands"/>
    <s v="South Asia"/>
    <n v="60486"/>
    <x v="2"/>
    <x v="2"/>
    <x v="1"/>
  </r>
  <r>
    <s v="Vion Food Group"/>
    <s v="Croplands"/>
    <s v="Sub-Saharan Africa"/>
    <n v="35573"/>
    <x v="2"/>
    <x v="2"/>
    <x v="1"/>
  </r>
  <r>
    <s v="Vion Food Group"/>
    <s v="Croplands"/>
    <s v="Western Europe"/>
    <n v="4780032"/>
    <x v="2"/>
    <x v="2"/>
    <x v="1"/>
  </r>
  <r>
    <s v="Wen's Food Group"/>
    <s v="Grazing"/>
    <s v="East Asia and Southeast Asia"/>
    <n v="20839"/>
    <x v="2"/>
    <x v="2"/>
    <x v="1"/>
  </r>
  <r>
    <s v="Wen's Food Group"/>
    <s v="Grazing"/>
    <s v="Eastern Europe"/>
    <n v="373"/>
    <x v="2"/>
    <x v="2"/>
    <x v="1"/>
  </r>
  <r>
    <s v="Wen's Food Group"/>
    <s v="Grazing"/>
    <s v="Latin America and the Caribbean"/>
    <n v="667"/>
    <x v="2"/>
    <x v="2"/>
    <x v="1"/>
  </r>
  <r>
    <s v="Wen's Food Group"/>
    <s v="Grazing"/>
    <s v="Near East and North Africa"/>
    <n v="65"/>
    <x v="2"/>
    <x v="2"/>
    <x v="1"/>
  </r>
  <r>
    <s v="Wen's Food Group"/>
    <s v="Grazing"/>
    <s v="North America"/>
    <n v="405"/>
    <x v="2"/>
    <x v="2"/>
    <x v="1"/>
  </r>
  <r>
    <s v="Wen's Food Group"/>
    <s v="Grazing"/>
    <s v="Oceania"/>
    <n v="1423"/>
    <x v="2"/>
    <x v="2"/>
    <x v="1"/>
  </r>
  <r>
    <s v="Wen's Food Group"/>
    <s v="Grazing"/>
    <s v="RoW"/>
    <n v="0"/>
    <x v="2"/>
    <x v="2"/>
    <x v="1"/>
  </r>
  <r>
    <s v="Wen's Food Group"/>
    <s v="Grazing"/>
    <s v="Russian Federation"/>
    <n v="26"/>
    <x v="2"/>
    <x v="2"/>
    <x v="1"/>
  </r>
  <r>
    <s v="Wen's Food Group"/>
    <s v="Grazing"/>
    <s v="South Asia"/>
    <n v="28"/>
    <x v="2"/>
    <x v="2"/>
    <x v="1"/>
  </r>
  <r>
    <s v="Wen's Food Group"/>
    <s v="Grazing"/>
    <s v="Sub-Saharan Africa"/>
    <n v="103"/>
    <x v="2"/>
    <x v="2"/>
    <x v="1"/>
  </r>
  <r>
    <s v="Wen's Food Group"/>
    <s v="Grazing"/>
    <s v="Western Europe"/>
    <n v="1015"/>
    <x v="2"/>
    <x v="2"/>
    <x v="1"/>
  </r>
  <r>
    <s v="Wen's Food Group"/>
    <s v="Croplands"/>
    <s v="East Asia and Southeast Asia"/>
    <n v="1606978"/>
    <x v="2"/>
    <x v="2"/>
    <x v="1"/>
  </r>
  <r>
    <s v="Wen's Food Group"/>
    <s v="Croplands"/>
    <s v="Eastern Europe"/>
    <n v="72328"/>
    <x v="2"/>
    <x v="2"/>
    <x v="1"/>
  </r>
  <r>
    <s v="Wen's Food Group"/>
    <s v="Croplands"/>
    <s v="Latin America and the Caribbean"/>
    <n v="877452"/>
    <x v="2"/>
    <x v="2"/>
    <x v="1"/>
  </r>
  <r>
    <s v="Wen's Food Group"/>
    <s v="Croplands"/>
    <s v="Near East and North Africa"/>
    <n v="15150"/>
    <x v="2"/>
    <x v="2"/>
    <x v="1"/>
  </r>
  <r>
    <s v="Wen's Food Group"/>
    <s v="Croplands"/>
    <s v="North America"/>
    <n v="435419"/>
    <x v="2"/>
    <x v="2"/>
    <x v="1"/>
  </r>
  <r>
    <s v="Wen's Food Group"/>
    <s v="Croplands"/>
    <s v="Oceania"/>
    <n v="29540"/>
    <x v="2"/>
    <x v="2"/>
    <x v="1"/>
  </r>
  <r>
    <s v="Wen's Food Group"/>
    <s v="Croplands"/>
    <s v="RoW"/>
    <n v="0"/>
    <x v="2"/>
    <x v="2"/>
    <x v="1"/>
  </r>
  <r>
    <s v="Wen's Food Group"/>
    <s v="Croplands"/>
    <s v="Russian Federation"/>
    <n v="29154"/>
    <x v="2"/>
    <x v="2"/>
    <x v="1"/>
  </r>
  <r>
    <s v="Wen's Food Group"/>
    <s v="Croplands"/>
    <s v="South Asia"/>
    <n v="16681"/>
    <x v="2"/>
    <x v="2"/>
    <x v="1"/>
  </r>
  <r>
    <s v="Wen's Food Group"/>
    <s v="Croplands"/>
    <s v="Sub-Saharan Africa"/>
    <n v="16115"/>
    <x v="2"/>
    <x v="2"/>
    <x v="1"/>
  </r>
  <r>
    <s v="Wen's Food Group"/>
    <s v="Croplands"/>
    <s v="Western Europe"/>
    <n v="7714"/>
    <x v="2"/>
    <x v="2"/>
    <x v="1"/>
  </r>
  <r>
    <s v="Westfleisch"/>
    <s v="Grazing"/>
    <s v="East Asia and Southeast Asia"/>
    <n v="303"/>
    <x v="2"/>
    <x v="2"/>
    <x v="1"/>
  </r>
  <r>
    <s v="Westfleisch"/>
    <s v="Grazing"/>
    <s v="Eastern Europe"/>
    <n v="789"/>
    <x v="2"/>
    <x v="2"/>
    <x v="1"/>
  </r>
  <r>
    <s v="Westfleisch"/>
    <s v="Grazing"/>
    <s v="Latin America and the Caribbean"/>
    <n v="780"/>
    <x v="2"/>
    <x v="2"/>
    <x v="1"/>
  </r>
  <r>
    <s v="Westfleisch"/>
    <s v="Grazing"/>
    <s v="Near East and North Africa"/>
    <n v="57"/>
    <x v="2"/>
    <x v="2"/>
    <x v="1"/>
  </r>
  <r>
    <s v="Westfleisch"/>
    <s v="Grazing"/>
    <s v="North America"/>
    <n v="1053"/>
    <x v="2"/>
    <x v="2"/>
    <x v="1"/>
  </r>
  <r>
    <s v="Westfleisch"/>
    <s v="Grazing"/>
    <s v="Oceania"/>
    <n v="178"/>
    <x v="2"/>
    <x v="2"/>
    <x v="1"/>
  </r>
  <r>
    <s v="Westfleisch"/>
    <s v="Grazing"/>
    <s v="RoW"/>
    <n v="0"/>
    <x v="2"/>
    <x v="2"/>
    <x v="1"/>
  </r>
  <r>
    <s v="Westfleisch"/>
    <s v="Grazing"/>
    <s v="Russian Federation"/>
    <n v="11"/>
    <x v="2"/>
    <x v="2"/>
    <x v="1"/>
  </r>
  <r>
    <s v="Westfleisch"/>
    <s v="Grazing"/>
    <s v="South Asia"/>
    <n v="168"/>
    <x v="2"/>
    <x v="2"/>
    <x v="1"/>
  </r>
  <r>
    <s v="Westfleisch"/>
    <s v="Grazing"/>
    <s v="Sub-Saharan Africa"/>
    <n v="957"/>
    <x v="2"/>
    <x v="2"/>
    <x v="1"/>
  </r>
  <r>
    <s v="Westfleisch"/>
    <s v="Grazing"/>
    <s v="Western Europe"/>
    <n v="48970"/>
    <x v="2"/>
    <x v="2"/>
    <x v="1"/>
  </r>
  <r>
    <s v="Westfleisch"/>
    <s v="Croplands"/>
    <s v="East Asia and Southeast Asia"/>
    <n v="88552"/>
    <x v="2"/>
    <x v="2"/>
    <x v="1"/>
  </r>
  <r>
    <s v="Westfleisch"/>
    <s v="Croplands"/>
    <s v="Eastern Europe"/>
    <n v="675422"/>
    <x v="2"/>
    <x v="2"/>
    <x v="1"/>
  </r>
  <r>
    <s v="Westfleisch"/>
    <s v="Croplands"/>
    <s v="Latin America and the Caribbean"/>
    <n v="707369"/>
    <x v="2"/>
    <x v="2"/>
    <x v="1"/>
  </r>
  <r>
    <s v="Westfleisch"/>
    <s v="Croplands"/>
    <s v="Near East and North Africa"/>
    <n v="22246"/>
    <x v="2"/>
    <x v="2"/>
    <x v="1"/>
  </r>
  <r>
    <s v="Westfleisch"/>
    <s v="Croplands"/>
    <s v="North America"/>
    <n v="233112"/>
    <x v="2"/>
    <x v="2"/>
    <x v="1"/>
  </r>
  <r>
    <s v="Westfleisch"/>
    <s v="Croplands"/>
    <s v="Oceania"/>
    <n v="23955"/>
    <x v="2"/>
    <x v="2"/>
    <x v="1"/>
  </r>
  <r>
    <s v="Westfleisch"/>
    <s v="Croplands"/>
    <s v="RoW"/>
    <n v="1"/>
    <x v="2"/>
    <x v="2"/>
    <x v="1"/>
  </r>
  <r>
    <s v="Westfleisch"/>
    <s v="Croplands"/>
    <s v="Russian Federation"/>
    <n v="94285"/>
    <x v="2"/>
    <x v="2"/>
    <x v="1"/>
  </r>
  <r>
    <s v="Westfleisch"/>
    <s v="Croplands"/>
    <s v="South Asia"/>
    <n v="26225"/>
    <x v="2"/>
    <x v="2"/>
    <x v="1"/>
  </r>
  <r>
    <s v="Westfleisch"/>
    <s v="Croplands"/>
    <s v="Sub-Saharan Africa"/>
    <n v="15423"/>
    <x v="2"/>
    <x v="2"/>
    <x v="1"/>
  </r>
  <r>
    <s v="Westfleisch"/>
    <s v="Croplands"/>
    <s v="Western Europe"/>
    <n v="2072475"/>
    <x v="2"/>
    <x v="2"/>
    <x v="1"/>
  </r>
  <r>
    <s v="WH Group"/>
    <s v="Grazing"/>
    <s v="East Asia and Southeast Asia"/>
    <n v="74295"/>
    <x v="2"/>
    <x v="2"/>
    <x v="1"/>
  </r>
  <r>
    <s v="WH Group"/>
    <s v="Grazing"/>
    <s v="Eastern Europe"/>
    <n v="30985"/>
    <x v="2"/>
    <x v="2"/>
    <x v="1"/>
  </r>
  <r>
    <s v="WH Group"/>
    <s v="Grazing"/>
    <s v="Latin America and the Caribbean"/>
    <n v="20930"/>
    <x v="2"/>
    <x v="2"/>
    <x v="1"/>
  </r>
  <r>
    <s v="WH Group"/>
    <s v="Grazing"/>
    <s v="Near East and North Africa"/>
    <n v="319"/>
    <x v="2"/>
    <x v="2"/>
    <x v="1"/>
  </r>
  <r>
    <s v="WH Group"/>
    <s v="Grazing"/>
    <s v="North America"/>
    <n v="494870"/>
    <x v="2"/>
    <x v="2"/>
    <x v="1"/>
  </r>
  <r>
    <s v="WH Group"/>
    <s v="Grazing"/>
    <s v="Oceania"/>
    <n v="9815"/>
    <x v="2"/>
    <x v="2"/>
    <x v="1"/>
  </r>
  <r>
    <s v="WH Group"/>
    <s v="Grazing"/>
    <s v="RoW"/>
    <n v="0"/>
    <x v="2"/>
    <x v="2"/>
    <x v="1"/>
  </r>
  <r>
    <s v="WH Group"/>
    <s v="Grazing"/>
    <s v="Russian Federation"/>
    <n v="181"/>
    <x v="2"/>
    <x v="2"/>
    <x v="1"/>
  </r>
  <r>
    <s v="WH Group"/>
    <s v="Grazing"/>
    <s v="South Asia"/>
    <n v="472"/>
    <x v="2"/>
    <x v="2"/>
    <x v="1"/>
  </r>
  <r>
    <s v="WH Group"/>
    <s v="Grazing"/>
    <s v="Sub-Saharan Africa"/>
    <n v="455"/>
    <x v="2"/>
    <x v="2"/>
    <x v="1"/>
  </r>
  <r>
    <s v="WH Group"/>
    <s v="Grazing"/>
    <s v="Western Europe"/>
    <n v="11454"/>
    <x v="2"/>
    <x v="2"/>
    <x v="1"/>
  </r>
  <r>
    <s v="WH Group"/>
    <s v="Croplands"/>
    <s v="East Asia and Southeast Asia"/>
    <n v="5550634"/>
    <x v="2"/>
    <x v="2"/>
    <x v="1"/>
  </r>
  <r>
    <s v="WH Group"/>
    <s v="Croplands"/>
    <s v="Eastern Europe"/>
    <n v="4632145"/>
    <x v="2"/>
    <x v="2"/>
    <x v="1"/>
  </r>
  <r>
    <s v="WH Group"/>
    <s v="Croplands"/>
    <s v="Latin America and the Caribbean"/>
    <n v="3552402"/>
    <x v="2"/>
    <x v="2"/>
    <x v="1"/>
  </r>
  <r>
    <s v="WH Group"/>
    <s v="Croplands"/>
    <s v="Near East and North Africa"/>
    <n v="66408"/>
    <x v="2"/>
    <x v="2"/>
    <x v="1"/>
  </r>
  <r>
    <s v="WH Group"/>
    <s v="Croplands"/>
    <s v="North America"/>
    <n v="16051667"/>
    <x v="2"/>
    <x v="2"/>
    <x v="1"/>
  </r>
  <r>
    <s v="WH Group"/>
    <s v="Croplands"/>
    <s v="Oceania"/>
    <n v="106975"/>
    <x v="2"/>
    <x v="2"/>
    <x v="1"/>
  </r>
  <r>
    <s v="WH Group"/>
    <s v="Croplands"/>
    <s v="RoW"/>
    <n v="95"/>
    <x v="2"/>
    <x v="2"/>
    <x v="1"/>
  </r>
  <r>
    <s v="WH Group"/>
    <s v="Croplands"/>
    <s v="Russian Federation"/>
    <n v="225427"/>
    <x v="2"/>
    <x v="2"/>
    <x v="1"/>
  </r>
  <r>
    <s v="WH Group"/>
    <s v="Croplands"/>
    <s v="South Asia"/>
    <n v="258515"/>
    <x v="2"/>
    <x v="2"/>
    <x v="1"/>
  </r>
  <r>
    <s v="WH Group"/>
    <s v="Croplands"/>
    <s v="Sub-Saharan Africa"/>
    <n v="67623"/>
    <x v="2"/>
    <x v="2"/>
    <x v="1"/>
  </r>
  <r>
    <s v="WH Group"/>
    <s v="Croplands"/>
    <s v="Western Europe"/>
    <n v="354635"/>
    <x v="2"/>
    <x v="2"/>
    <x v="1"/>
  </r>
  <r>
    <s v="Zhengbang Group"/>
    <s v="Grazing"/>
    <s v="East Asia and Southeast Asia"/>
    <n v="45856"/>
    <x v="2"/>
    <x v="2"/>
    <x v="1"/>
  </r>
  <r>
    <s v="Zhengbang Group"/>
    <s v="Grazing"/>
    <s v="Eastern Europe"/>
    <n v="820"/>
    <x v="2"/>
    <x v="2"/>
    <x v="1"/>
  </r>
  <r>
    <s v="Zhengbang Group"/>
    <s v="Grazing"/>
    <s v="Latin America and the Caribbean"/>
    <n v="1467"/>
    <x v="2"/>
    <x v="2"/>
    <x v="1"/>
  </r>
  <r>
    <s v="Zhengbang Group"/>
    <s v="Grazing"/>
    <s v="Near East and North Africa"/>
    <n v="143"/>
    <x v="2"/>
    <x v="2"/>
    <x v="1"/>
  </r>
  <r>
    <s v="Zhengbang Group"/>
    <s v="Grazing"/>
    <s v="North America"/>
    <n v="891"/>
    <x v="2"/>
    <x v="2"/>
    <x v="1"/>
  </r>
  <r>
    <s v="Zhengbang Group"/>
    <s v="Grazing"/>
    <s v="Oceania"/>
    <n v="3131"/>
    <x v="2"/>
    <x v="2"/>
    <x v="1"/>
  </r>
  <r>
    <s v="Zhengbang Group"/>
    <s v="Grazing"/>
    <s v="RoW"/>
    <n v="0"/>
    <x v="2"/>
    <x v="2"/>
    <x v="1"/>
  </r>
  <r>
    <s v="Zhengbang Group"/>
    <s v="Grazing"/>
    <s v="Russian Federation"/>
    <n v="57"/>
    <x v="2"/>
    <x v="2"/>
    <x v="1"/>
  </r>
  <r>
    <s v="Zhengbang Group"/>
    <s v="Grazing"/>
    <s v="South Asia"/>
    <n v="62"/>
    <x v="2"/>
    <x v="2"/>
    <x v="1"/>
  </r>
  <r>
    <s v="Zhengbang Group"/>
    <s v="Grazing"/>
    <s v="Sub-Saharan Africa"/>
    <n v="227"/>
    <x v="2"/>
    <x v="2"/>
    <x v="1"/>
  </r>
  <r>
    <s v="Zhengbang Group"/>
    <s v="Grazing"/>
    <s v="Western Europe"/>
    <n v="2233"/>
    <x v="2"/>
    <x v="2"/>
    <x v="1"/>
  </r>
  <r>
    <s v="Zhengbang Group"/>
    <s v="Croplands"/>
    <s v="East Asia and Southeast Asia"/>
    <n v="3536189"/>
    <x v="2"/>
    <x v="2"/>
    <x v="1"/>
  </r>
  <r>
    <s v="Zhengbang Group"/>
    <s v="Croplands"/>
    <s v="Eastern Europe"/>
    <n v="159158"/>
    <x v="2"/>
    <x v="2"/>
    <x v="1"/>
  </r>
  <r>
    <s v="Zhengbang Group"/>
    <s v="Croplands"/>
    <s v="Latin America and the Caribbean"/>
    <n v="1930852"/>
    <x v="2"/>
    <x v="2"/>
    <x v="1"/>
  </r>
  <r>
    <s v="Zhengbang Group"/>
    <s v="Croplands"/>
    <s v="Near East and North Africa"/>
    <n v="33338"/>
    <x v="2"/>
    <x v="2"/>
    <x v="1"/>
  </r>
  <r>
    <s v="Zhengbang Group"/>
    <s v="Croplands"/>
    <s v="North America"/>
    <n v="958148"/>
    <x v="2"/>
    <x v="2"/>
    <x v="1"/>
  </r>
  <r>
    <s v="Zhengbang Group"/>
    <s v="Croplands"/>
    <s v="Oceania"/>
    <n v="65003"/>
    <x v="2"/>
    <x v="2"/>
    <x v="1"/>
  </r>
  <r>
    <s v="Zhengbang Group"/>
    <s v="Croplands"/>
    <s v="RoW"/>
    <n v="0"/>
    <x v="2"/>
    <x v="2"/>
    <x v="1"/>
  </r>
  <r>
    <s v="Zhengbang Group"/>
    <s v="Croplands"/>
    <s v="Russian Federation"/>
    <n v="64154"/>
    <x v="2"/>
    <x v="2"/>
    <x v="1"/>
  </r>
  <r>
    <s v="Zhengbang Group"/>
    <s v="Croplands"/>
    <s v="South Asia"/>
    <n v="36707"/>
    <x v="2"/>
    <x v="2"/>
    <x v="1"/>
  </r>
  <r>
    <s v="Zhengbang Group"/>
    <s v="Croplands"/>
    <s v="Sub-Saharan Africa"/>
    <n v="35461"/>
    <x v="2"/>
    <x v="2"/>
    <x v="1"/>
  </r>
  <r>
    <s v="Zhengbang Group"/>
    <s v="Croplands"/>
    <s v="Western Europe"/>
    <n v="16974"/>
    <x v="2"/>
    <x v="2"/>
    <x v="1"/>
  </r>
  <r>
    <s v="Aurora Alimentos"/>
    <s v="Grazing"/>
    <s v="East Asia and Southeast Asia"/>
    <n v="0"/>
    <x v="2"/>
    <x v="3"/>
    <x v="2"/>
  </r>
  <r>
    <s v="Aurora Alimentos"/>
    <s v="Grazing"/>
    <s v="Eastern Europe"/>
    <n v="0"/>
    <x v="2"/>
    <x v="3"/>
    <x v="2"/>
  </r>
  <r>
    <s v="Aurora Alimentos"/>
    <s v="Grazing"/>
    <s v="Latin America and the Caribbean"/>
    <n v="56"/>
    <x v="2"/>
    <x v="3"/>
    <x v="2"/>
  </r>
  <r>
    <s v="Aurora Alimentos"/>
    <s v="Grazing"/>
    <s v="Near East and North Africa"/>
    <n v="0"/>
    <x v="2"/>
    <x v="3"/>
    <x v="2"/>
  </r>
  <r>
    <s v="Aurora Alimentos"/>
    <s v="Grazing"/>
    <s v="North America"/>
    <n v="2"/>
    <x v="2"/>
    <x v="3"/>
    <x v="2"/>
  </r>
  <r>
    <s v="Aurora Alimentos"/>
    <s v="Grazing"/>
    <s v="Oceania"/>
    <n v="0"/>
    <x v="2"/>
    <x v="3"/>
    <x v="2"/>
  </r>
  <r>
    <s v="Aurora Alimentos"/>
    <s v="Grazing"/>
    <s v="RoW"/>
    <n v="0"/>
    <x v="2"/>
    <x v="3"/>
    <x v="2"/>
  </r>
  <r>
    <s v="Aurora Alimentos"/>
    <s v="Grazing"/>
    <s v="Russian Federation"/>
    <n v="0"/>
    <x v="2"/>
    <x v="3"/>
    <x v="2"/>
  </r>
  <r>
    <s v="Aurora Alimentos"/>
    <s v="Grazing"/>
    <s v="South Asia"/>
    <n v="0"/>
    <x v="2"/>
    <x v="3"/>
    <x v="2"/>
  </r>
  <r>
    <s v="Aurora Alimentos"/>
    <s v="Grazing"/>
    <s v="Sub-Saharan Africa"/>
    <n v="0"/>
    <x v="2"/>
    <x v="3"/>
    <x v="2"/>
  </r>
  <r>
    <s v="Aurora Alimentos"/>
    <s v="Grazing"/>
    <s v="Western Europe"/>
    <n v="11"/>
    <x v="2"/>
    <x v="3"/>
    <x v="2"/>
  </r>
  <r>
    <s v="Aurora Alimentos"/>
    <s v="Croplands"/>
    <s v="East Asia and Southeast Asia"/>
    <n v="59"/>
    <x v="2"/>
    <x v="3"/>
    <x v="2"/>
  </r>
  <r>
    <s v="Aurora Alimentos"/>
    <s v="Croplands"/>
    <s v="Eastern Europe"/>
    <n v="40"/>
    <x v="2"/>
    <x v="3"/>
    <x v="2"/>
  </r>
  <r>
    <s v="Aurora Alimentos"/>
    <s v="Croplands"/>
    <s v="Latin America and the Caribbean"/>
    <n v="25647"/>
    <x v="2"/>
    <x v="3"/>
    <x v="2"/>
  </r>
  <r>
    <s v="Aurora Alimentos"/>
    <s v="Croplands"/>
    <s v="Near East and North Africa"/>
    <n v="11"/>
    <x v="2"/>
    <x v="3"/>
    <x v="2"/>
  </r>
  <r>
    <s v="Aurora Alimentos"/>
    <s v="Croplands"/>
    <s v="North America"/>
    <n v="6735"/>
    <x v="2"/>
    <x v="3"/>
    <x v="2"/>
  </r>
  <r>
    <s v="Aurora Alimentos"/>
    <s v="Croplands"/>
    <s v="Oceania"/>
    <n v="3"/>
    <x v="2"/>
    <x v="3"/>
    <x v="2"/>
  </r>
  <r>
    <s v="Aurora Alimentos"/>
    <s v="Croplands"/>
    <s v="RoW"/>
    <n v="0"/>
    <x v="2"/>
    <x v="3"/>
    <x v="2"/>
  </r>
  <r>
    <s v="Aurora Alimentos"/>
    <s v="Croplands"/>
    <s v="Russian Federation"/>
    <n v="2"/>
    <x v="2"/>
    <x v="3"/>
    <x v="2"/>
  </r>
  <r>
    <s v="Aurora Alimentos"/>
    <s v="Croplands"/>
    <s v="South Asia"/>
    <n v="63"/>
    <x v="2"/>
    <x v="3"/>
    <x v="2"/>
  </r>
  <r>
    <s v="Aurora Alimentos"/>
    <s v="Croplands"/>
    <s v="Sub-Saharan Africa"/>
    <n v="7"/>
    <x v="2"/>
    <x v="3"/>
    <x v="2"/>
  </r>
  <r>
    <s v="Aurora Alimentos"/>
    <s v="Croplands"/>
    <s v="Western Europe"/>
    <n v="75"/>
    <x v="2"/>
    <x v="3"/>
    <x v="2"/>
  </r>
  <r>
    <s v="Bigard"/>
    <s v="Grazing"/>
    <s v="East Asia and Southeast Asia"/>
    <n v="0"/>
    <x v="2"/>
    <x v="3"/>
    <x v="2"/>
  </r>
  <r>
    <s v="Bigard"/>
    <s v="Grazing"/>
    <s v="Eastern Europe"/>
    <n v="4"/>
    <x v="2"/>
    <x v="3"/>
    <x v="2"/>
  </r>
  <r>
    <s v="Bigard"/>
    <s v="Grazing"/>
    <s v="Latin America and the Caribbean"/>
    <n v="0"/>
    <x v="2"/>
    <x v="3"/>
    <x v="2"/>
  </r>
  <r>
    <s v="Bigard"/>
    <s v="Grazing"/>
    <s v="Near East and North Africa"/>
    <n v="2"/>
    <x v="2"/>
    <x v="3"/>
    <x v="2"/>
  </r>
  <r>
    <s v="Bigard"/>
    <s v="Grazing"/>
    <s v="North America"/>
    <n v="6"/>
    <x v="2"/>
    <x v="3"/>
    <x v="2"/>
  </r>
  <r>
    <s v="Bigard"/>
    <s v="Grazing"/>
    <s v="Oceania"/>
    <n v="0"/>
    <x v="2"/>
    <x v="3"/>
    <x v="2"/>
  </r>
  <r>
    <s v="Bigard"/>
    <s v="Grazing"/>
    <s v="RoW"/>
    <n v="0"/>
    <x v="2"/>
    <x v="3"/>
    <x v="2"/>
  </r>
  <r>
    <s v="Bigard"/>
    <s v="Grazing"/>
    <s v="Russian Federation"/>
    <n v="0"/>
    <x v="2"/>
    <x v="3"/>
    <x v="2"/>
  </r>
  <r>
    <s v="Bigard"/>
    <s v="Grazing"/>
    <s v="South Asia"/>
    <n v="0"/>
    <x v="2"/>
    <x v="3"/>
    <x v="2"/>
  </r>
  <r>
    <s v="Bigard"/>
    <s v="Grazing"/>
    <s v="Sub-Saharan Africa"/>
    <n v="0"/>
    <x v="2"/>
    <x v="3"/>
    <x v="2"/>
  </r>
  <r>
    <s v="Bigard"/>
    <s v="Grazing"/>
    <s v="Western Europe"/>
    <n v="3413"/>
    <x v="2"/>
    <x v="3"/>
    <x v="2"/>
  </r>
  <r>
    <s v="Bigard"/>
    <s v="Croplands"/>
    <s v="East Asia and Southeast Asia"/>
    <n v="624"/>
    <x v="2"/>
    <x v="3"/>
    <x v="2"/>
  </r>
  <r>
    <s v="Bigard"/>
    <s v="Croplands"/>
    <s v="Eastern Europe"/>
    <n v="7667"/>
    <x v="2"/>
    <x v="3"/>
    <x v="2"/>
  </r>
  <r>
    <s v="Bigard"/>
    <s v="Croplands"/>
    <s v="Latin America and the Caribbean"/>
    <n v="1703"/>
    <x v="2"/>
    <x v="3"/>
    <x v="2"/>
  </r>
  <r>
    <s v="Bigard"/>
    <s v="Croplands"/>
    <s v="Near East and North Africa"/>
    <n v="110"/>
    <x v="2"/>
    <x v="3"/>
    <x v="2"/>
  </r>
  <r>
    <s v="Bigard"/>
    <s v="Croplands"/>
    <s v="North America"/>
    <n v="2430"/>
    <x v="2"/>
    <x v="3"/>
    <x v="2"/>
  </r>
  <r>
    <s v="Bigard"/>
    <s v="Croplands"/>
    <s v="Oceania"/>
    <n v="169"/>
    <x v="2"/>
    <x v="3"/>
    <x v="2"/>
  </r>
  <r>
    <s v="Bigard"/>
    <s v="Croplands"/>
    <s v="RoW"/>
    <n v="0"/>
    <x v="2"/>
    <x v="3"/>
    <x v="2"/>
  </r>
  <r>
    <s v="Bigard"/>
    <s v="Croplands"/>
    <s v="Russian Federation"/>
    <n v="139"/>
    <x v="2"/>
    <x v="3"/>
    <x v="2"/>
  </r>
  <r>
    <s v="Bigard"/>
    <s v="Croplands"/>
    <s v="South Asia"/>
    <n v="335"/>
    <x v="2"/>
    <x v="3"/>
    <x v="2"/>
  </r>
  <r>
    <s v="Bigard"/>
    <s v="Croplands"/>
    <s v="Sub-Saharan Africa"/>
    <n v="35"/>
    <x v="2"/>
    <x v="3"/>
    <x v="2"/>
  </r>
  <r>
    <s v="Bigard"/>
    <s v="Croplands"/>
    <s v="Western Europe"/>
    <n v="65541"/>
    <x v="2"/>
    <x v="3"/>
    <x v="2"/>
  </r>
  <r>
    <s v="BRF"/>
    <s v="Grazing"/>
    <s v="East Asia and Southeast Asia"/>
    <n v="0"/>
    <x v="2"/>
    <x v="3"/>
    <x v="2"/>
  </r>
  <r>
    <s v="BRF"/>
    <s v="Grazing"/>
    <s v="Eastern Europe"/>
    <n v="0"/>
    <x v="2"/>
    <x v="3"/>
    <x v="2"/>
  </r>
  <r>
    <s v="BRF"/>
    <s v="Grazing"/>
    <s v="Latin America and the Caribbean"/>
    <n v="74"/>
    <x v="2"/>
    <x v="3"/>
    <x v="2"/>
  </r>
  <r>
    <s v="BRF"/>
    <s v="Grazing"/>
    <s v="Near East and North Africa"/>
    <n v="0"/>
    <x v="2"/>
    <x v="3"/>
    <x v="2"/>
  </r>
  <r>
    <s v="BRF"/>
    <s v="Grazing"/>
    <s v="North America"/>
    <n v="3"/>
    <x v="2"/>
    <x v="3"/>
    <x v="2"/>
  </r>
  <r>
    <s v="BRF"/>
    <s v="Grazing"/>
    <s v="Oceania"/>
    <n v="0"/>
    <x v="2"/>
    <x v="3"/>
    <x v="2"/>
  </r>
  <r>
    <s v="BRF"/>
    <s v="Grazing"/>
    <s v="RoW"/>
    <n v="0"/>
    <x v="2"/>
    <x v="3"/>
    <x v="2"/>
  </r>
  <r>
    <s v="BRF"/>
    <s v="Grazing"/>
    <s v="Russian Federation"/>
    <n v="0"/>
    <x v="2"/>
    <x v="3"/>
    <x v="2"/>
  </r>
  <r>
    <s v="BRF"/>
    <s v="Grazing"/>
    <s v="South Asia"/>
    <n v="0"/>
    <x v="2"/>
    <x v="3"/>
    <x v="2"/>
  </r>
  <r>
    <s v="BRF"/>
    <s v="Grazing"/>
    <s v="Sub-Saharan Africa"/>
    <n v="0"/>
    <x v="2"/>
    <x v="3"/>
    <x v="2"/>
  </r>
  <r>
    <s v="BRF"/>
    <s v="Grazing"/>
    <s v="Western Europe"/>
    <n v="15"/>
    <x v="2"/>
    <x v="3"/>
    <x v="2"/>
  </r>
  <r>
    <s v="BRF"/>
    <s v="Croplands"/>
    <s v="East Asia and Southeast Asia"/>
    <n v="77"/>
    <x v="2"/>
    <x v="3"/>
    <x v="2"/>
  </r>
  <r>
    <s v="BRF"/>
    <s v="Croplands"/>
    <s v="Eastern Europe"/>
    <n v="52"/>
    <x v="2"/>
    <x v="3"/>
    <x v="2"/>
  </r>
  <r>
    <s v="BRF"/>
    <s v="Croplands"/>
    <s v="Latin America and the Caribbean"/>
    <n v="33866"/>
    <x v="2"/>
    <x v="3"/>
    <x v="2"/>
  </r>
  <r>
    <s v="BRF"/>
    <s v="Croplands"/>
    <s v="Near East and North Africa"/>
    <n v="15"/>
    <x v="2"/>
    <x v="3"/>
    <x v="2"/>
  </r>
  <r>
    <s v="BRF"/>
    <s v="Croplands"/>
    <s v="North America"/>
    <n v="8893"/>
    <x v="2"/>
    <x v="3"/>
    <x v="2"/>
  </r>
  <r>
    <s v="BRF"/>
    <s v="Croplands"/>
    <s v="Oceania"/>
    <n v="5"/>
    <x v="2"/>
    <x v="3"/>
    <x v="2"/>
  </r>
  <r>
    <s v="BRF"/>
    <s v="Croplands"/>
    <s v="RoW"/>
    <n v="0"/>
    <x v="2"/>
    <x v="3"/>
    <x v="2"/>
  </r>
  <r>
    <s v="BRF"/>
    <s v="Croplands"/>
    <s v="Russian Federation"/>
    <n v="3"/>
    <x v="2"/>
    <x v="3"/>
    <x v="2"/>
  </r>
  <r>
    <s v="BRF"/>
    <s v="Croplands"/>
    <s v="South Asia"/>
    <n v="84"/>
    <x v="2"/>
    <x v="3"/>
    <x v="2"/>
  </r>
  <r>
    <s v="BRF"/>
    <s v="Croplands"/>
    <s v="Sub-Saharan Africa"/>
    <n v="9"/>
    <x v="2"/>
    <x v="3"/>
    <x v="2"/>
  </r>
  <r>
    <s v="BRF"/>
    <s v="Croplands"/>
    <s v="Western Europe"/>
    <n v="99"/>
    <x v="2"/>
    <x v="3"/>
    <x v="2"/>
  </r>
  <r>
    <s v="Charoen Pokphand"/>
    <s v="Grazing"/>
    <s v="East Asia and Southeast Asia"/>
    <n v="23"/>
    <x v="2"/>
    <x v="3"/>
    <x v="2"/>
  </r>
  <r>
    <s v="Charoen Pokphand"/>
    <s v="Grazing"/>
    <s v="Eastern Europe"/>
    <n v="49"/>
    <x v="2"/>
    <x v="3"/>
    <x v="2"/>
  </r>
  <r>
    <s v="Charoen Pokphand"/>
    <s v="Grazing"/>
    <s v="Latin America and the Caribbean"/>
    <n v="0"/>
    <x v="2"/>
    <x v="3"/>
    <x v="2"/>
  </r>
  <r>
    <s v="Charoen Pokphand"/>
    <s v="Grazing"/>
    <s v="Near East and North Africa"/>
    <n v="1"/>
    <x v="2"/>
    <x v="3"/>
    <x v="2"/>
  </r>
  <r>
    <s v="Charoen Pokphand"/>
    <s v="Grazing"/>
    <s v="North America"/>
    <n v="260"/>
    <x v="2"/>
    <x v="3"/>
    <x v="2"/>
  </r>
  <r>
    <s v="Charoen Pokphand"/>
    <s v="Grazing"/>
    <s v="Oceania"/>
    <n v="3"/>
    <x v="2"/>
    <x v="3"/>
    <x v="2"/>
  </r>
  <r>
    <s v="Charoen Pokphand"/>
    <s v="Grazing"/>
    <s v="RoW"/>
    <n v="0"/>
    <x v="2"/>
    <x v="3"/>
    <x v="2"/>
  </r>
  <r>
    <s v="Charoen Pokphand"/>
    <s v="Grazing"/>
    <s v="Russian Federation"/>
    <n v="11"/>
    <x v="2"/>
    <x v="3"/>
    <x v="2"/>
  </r>
  <r>
    <s v="Charoen Pokphand"/>
    <s v="Grazing"/>
    <s v="South Asia"/>
    <n v="0"/>
    <x v="2"/>
    <x v="3"/>
    <x v="2"/>
  </r>
  <r>
    <s v="Charoen Pokphand"/>
    <s v="Grazing"/>
    <s v="Sub-Saharan Africa"/>
    <n v="0"/>
    <x v="2"/>
    <x v="3"/>
    <x v="2"/>
  </r>
  <r>
    <s v="Charoen Pokphand"/>
    <s v="Grazing"/>
    <s v="Western Europe"/>
    <n v="24"/>
    <x v="2"/>
    <x v="3"/>
    <x v="2"/>
  </r>
  <r>
    <s v="Charoen Pokphand"/>
    <s v="Croplands"/>
    <s v="East Asia and Southeast Asia"/>
    <n v="11165"/>
    <x v="2"/>
    <x v="3"/>
    <x v="2"/>
  </r>
  <r>
    <s v="Charoen Pokphand"/>
    <s v="Croplands"/>
    <s v="Eastern Europe"/>
    <n v="225"/>
    <x v="2"/>
    <x v="3"/>
    <x v="2"/>
  </r>
  <r>
    <s v="Charoen Pokphand"/>
    <s v="Croplands"/>
    <s v="Latin America and the Caribbean"/>
    <n v="465"/>
    <x v="2"/>
    <x v="3"/>
    <x v="2"/>
  </r>
  <r>
    <s v="Charoen Pokphand"/>
    <s v="Croplands"/>
    <s v="Near East and North Africa"/>
    <n v="54"/>
    <x v="2"/>
    <x v="3"/>
    <x v="2"/>
  </r>
  <r>
    <s v="Charoen Pokphand"/>
    <s v="Croplands"/>
    <s v="North America"/>
    <n v="26902"/>
    <x v="2"/>
    <x v="3"/>
    <x v="2"/>
  </r>
  <r>
    <s v="Charoen Pokphand"/>
    <s v="Croplands"/>
    <s v="Oceania"/>
    <n v="109"/>
    <x v="2"/>
    <x v="3"/>
    <x v="2"/>
  </r>
  <r>
    <s v="Charoen Pokphand"/>
    <s v="Croplands"/>
    <s v="RoW"/>
    <n v="0"/>
    <x v="2"/>
    <x v="3"/>
    <x v="2"/>
  </r>
  <r>
    <s v="Charoen Pokphand"/>
    <s v="Croplands"/>
    <s v="Russian Federation"/>
    <n v="6031"/>
    <x v="2"/>
    <x v="3"/>
    <x v="2"/>
  </r>
  <r>
    <s v="Charoen Pokphand"/>
    <s v="Croplands"/>
    <s v="South Asia"/>
    <n v="311"/>
    <x v="2"/>
    <x v="3"/>
    <x v="2"/>
  </r>
  <r>
    <s v="Charoen Pokphand"/>
    <s v="Croplands"/>
    <s v="Sub-Saharan Africa"/>
    <n v="16"/>
    <x v="2"/>
    <x v="3"/>
    <x v="2"/>
  </r>
  <r>
    <s v="Charoen Pokphand"/>
    <s v="Croplands"/>
    <s v="Western Europe"/>
    <n v="206"/>
    <x v="2"/>
    <x v="3"/>
    <x v="2"/>
  </r>
  <r>
    <s v="Clemens Food Group"/>
    <s v="Grazing"/>
    <s v="East Asia and Southeast Asia"/>
    <n v="0"/>
    <x v="2"/>
    <x v="3"/>
    <x v="2"/>
  </r>
  <r>
    <s v="Clemens Food Group"/>
    <s v="Grazing"/>
    <s v="Eastern Europe"/>
    <n v="0"/>
    <x v="2"/>
    <x v="3"/>
    <x v="2"/>
  </r>
  <r>
    <s v="Clemens Food Group"/>
    <s v="Grazing"/>
    <s v="Latin America and the Caribbean"/>
    <n v="0"/>
    <x v="2"/>
    <x v="3"/>
    <x v="2"/>
  </r>
  <r>
    <s v="Clemens Food Group"/>
    <s v="Grazing"/>
    <s v="Near East and North Africa"/>
    <n v="0"/>
    <x v="2"/>
    <x v="3"/>
    <x v="2"/>
  </r>
  <r>
    <s v="Clemens Food Group"/>
    <s v="Grazing"/>
    <s v="North America"/>
    <n v="231"/>
    <x v="2"/>
    <x v="3"/>
    <x v="2"/>
  </r>
  <r>
    <s v="Clemens Food Group"/>
    <s v="Grazing"/>
    <s v="Oceania"/>
    <n v="0"/>
    <x v="2"/>
    <x v="3"/>
    <x v="2"/>
  </r>
  <r>
    <s v="Clemens Food Group"/>
    <s v="Grazing"/>
    <s v="RoW"/>
    <n v="0"/>
    <x v="2"/>
    <x v="3"/>
    <x v="2"/>
  </r>
  <r>
    <s v="Clemens Food Group"/>
    <s v="Grazing"/>
    <s v="Russian Federation"/>
    <n v="0"/>
    <x v="2"/>
    <x v="3"/>
    <x v="2"/>
  </r>
  <r>
    <s v="Clemens Food Group"/>
    <s v="Grazing"/>
    <s v="South Asia"/>
    <n v="0"/>
    <x v="2"/>
    <x v="3"/>
    <x v="2"/>
  </r>
  <r>
    <s v="Clemens Food Group"/>
    <s v="Grazing"/>
    <s v="Sub-Saharan Africa"/>
    <n v="0"/>
    <x v="2"/>
    <x v="3"/>
    <x v="2"/>
  </r>
  <r>
    <s v="Clemens Food Group"/>
    <s v="Grazing"/>
    <s v="Western Europe"/>
    <n v="5"/>
    <x v="2"/>
    <x v="3"/>
    <x v="2"/>
  </r>
  <r>
    <s v="Clemens Food Group"/>
    <s v="Croplands"/>
    <s v="East Asia and Southeast Asia"/>
    <n v="15"/>
    <x v="2"/>
    <x v="3"/>
    <x v="2"/>
  </r>
  <r>
    <s v="Clemens Food Group"/>
    <s v="Croplands"/>
    <s v="Eastern Europe"/>
    <n v="20"/>
    <x v="2"/>
    <x v="3"/>
    <x v="2"/>
  </r>
  <r>
    <s v="Clemens Food Group"/>
    <s v="Croplands"/>
    <s v="Latin America and the Caribbean"/>
    <n v="36"/>
    <x v="2"/>
    <x v="3"/>
    <x v="2"/>
  </r>
  <r>
    <s v="Clemens Food Group"/>
    <s v="Croplands"/>
    <s v="Near East and North Africa"/>
    <n v="3"/>
    <x v="2"/>
    <x v="3"/>
    <x v="2"/>
  </r>
  <r>
    <s v="Clemens Food Group"/>
    <s v="Croplands"/>
    <s v="North America"/>
    <n v="22958"/>
    <x v="2"/>
    <x v="3"/>
    <x v="2"/>
  </r>
  <r>
    <s v="Clemens Food Group"/>
    <s v="Croplands"/>
    <s v="Oceania"/>
    <n v="3"/>
    <x v="2"/>
    <x v="3"/>
    <x v="2"/>
  </r>
  <r>
    <s v="Clemens Food Group"/>
    <s v="Croplands"/>
    <s v="RoW"/>
    <n v="0"/>
    <x v="2"/>
    <x v="3"/>
    <x v="2"/>
  </r>
  <r>
    <s v="Clemens Food Group"/>
    <s v="Croplands"/>
    <s v="Russian Federation"/>
    <n v="0"/>
    <x v="2"/>
    <x v="3"/>
    <x v="2"/>
  </r>
  <r>
    <s v="Clemens Food Group"/>
    <s v="Croplands"/>
    <s v="South Asia"/>
    <n v="198"/>
    <x v="2"/>
    <x v="3"/>
    <x v="2"/>
  </r>
  <r>
    <s v="Clemens Food Group"/>
    <s v="Croplands"/>
    <s v="Sub-Saharan Africa"/>
    <n v="0"/>
    <x v="2"/>
    <x v="3"/>
    <x v="2"/>
  </r>
  <r>
    <s v="Clemens Food Group"/>
    <s v="Croplands"/>
    <s v="Western Europe"/>
    <n v="91"/>
    <x v="2"/>
    <x v="3"/>
    <x v="2"/>
  </r>
  <r>
    <s v="COFCO Group"/>
    <s v="Grazing"/>
    <s v="East Asia and Southeast Asia"/>
    <n v="103"/>
    <x v="2"/>
    <x v="3"/>
    <x v="2"/>
  </r>
  <r>
    <s v="COFCO Group"/>
    <s v="Grazing"/>
    <s v="Eastern Europe"/>
    <n v="5"/>
    <x v="2"/>
    <x v="3"/>
    <x v="2"/>
  </r>
  <r>
    <s v="COFCO Group"/>
    <s v="Grazing"/>
    <s v="Latin America and the Caribbean"/>
    <n v="0"/>
    <x v="2"/>
    <x v="3"/>
    <x v="2"/>
  </r>
  <r>
    <s v="COFCO Group"/>
    <s v="Grazing"/>
    <s v="Near East and North Africa"/>
    <n v="2"/>
    <x v="2"/>
    <x v="3"/>
    <x v="2"/>
  </r>
  <r>
    <s v="COFCO Group"/>
    <s v="Grazing"/>
    <s v="North America"/>
    <n v="2"/>
    <x v="2"/>
    <x v="3"/>
    <x v="2"/>
  </r>
  <r>
    <s v="COFCO Group"/>
    <s v="Grazing"/>
    <s v="Oceania"/>
    <n v="8"/>
    <x v="2"/>
    <x v="3"/>
    <x v="2"/>
  </r>
  <r>
    <s v="COFCO Group"/>
    <s v="Grazing"/>
    <s v="RoW"/>
    <n v="0"/>
    <x v="2"/>
    <x v="3"/>
    <x v="2"/>
  </r>
  <r>
    <s v="COFCO Group"/>
    <s v="Grazing"/>
    <s v="Russian Federation"/>
    <n v="0"/>
    <x v="2"/>
    <x v="3"/>
    <x v="2"/>
  </r>
  <r>
    <s v="COFCO Group"/>
    <s v="Grazing"/>
    <s v="South Asia"/>
    <n v="0"/>
    <x v="2"/>
    <x v="3"/>
    <x v="2"/>
  </r>
  <r>
    <s v="COFCO Group"/>
    <s v="Grazing"/>
    <s v="Sub-Saharan Africa"/>
    <n v="0"/>
    <x v="2"/>
    <x v="3"/>
    <x v="2"/>
  </r>
  <r>
    <s v="COFCO Group"/>
    <s v="Grazing"/>
    <s v="Western Europe"/>
    <n v="78"/>
    <x v="2"/>
    <x v="3"/>
    <x v="2"/>
  </r>
  <r>
    <s v="COFCO Group"/>
    <s v="Croplands"/>
    <s v="East Asia and Southeast Asia"/>
    <n v="51185"/>
    <x v="2"/>
    <x v="3"/>
    <x v="2"/>
  </r>
  <r>
    <s v="COFCO Group"/>
    <s v="Croplands"/>
    <s v="Eastern Europe"/>
    <n v="386"/>
    <x v="2"/>
    <x v="3"/>
    <x v="2"/>
  </r>
  <r>
    <s v="COFCO Group"/>
    <s v="Croplands"/>
    <s v="Latin America and the Caribbean"/>
    <n v="1730"/>
    <x v="2"/>
    <x v="3"/>
    <x v="2"/>
  </r>
  <r>
    <s v="COFCO Group"/>
    <s v="Croplands"/>
    <s v="Near East and North Africa"/>
    <n v="53"/>
    <x v="2"/>
    <x v="3"/>
    <x v="2"/>
  </r>
  <r>
    <s v="COFCO Group"/>
    <s v="Croplands"/>
    <s v="North America"/>
    <n v="5089"/>
    <x v="2"/>
    <x v="3"/>
    <x v="2"/>
  </r>
  <r>
    <s v="COFCO Group"/>
    <s v="Croplands"/>
    <s v="Oceania"/>
    <n v="483"/>
    <x v="2"/>
    <x v="3"/>
    <x v="2"/>
  </r>
  <r>
    <s v="COFCO Group"/>
    <s v="Croplands"/>
    <s v="RoW"/>
    <n v="0"/>
    <x v="2"/>
    <x v="3"/>
    <x v="2"/>
  </r>
  <r>
    <s v="COFCO Group"/>
    <s v="Croplands"/>
    <s v="Russian Federation"/>
    <n v="56"/>
    <x v="2"/>
    <x v="3"/>
    <x v="2"/>
  </r>
  <r>
    <s v="COFCO Group"/>
    <s v="Croplands"/>
    <s v="South Asia"/>
    <n v="318"/>
    <x v="2"/>
    <x v="3"/>
    <x v="2"/>
  </r>
  <r>
    <s v="COFCO Group"/>
    <s v="Croplands"/>
    <s v="Sub-Saharan Africa"/>
    <n v="69"/>
    <x v="2"/>
    <x v="3"/>
    <x v="2"/>
  </r>
  <r>
    <s v="COFCO Group"/>
    <s v="Croplands"/>
    <s v="Western Europe"/>
    <n v="202"/>
    <x v="2"/>
    <x v="3"/>
    <x v="2"/>
  </r>
  <r>
    <s v="Cooperl Arc Atlantique"/>
    <s v="Grazing"/>
    <s v="East Asia and Southeast Asia"/>
    <n v="0"/>
    <x v="2"/>
    <x v="3"/>
    <x v="2"/>
  </r>
  <r>
    <s v="Cooperl Arc Atlantique"/>
    <s v="Grazing"/>
    <s v="Eastern Europe"/>
    <n v="2"/>
    <x v="2"/>
    <x v="3"/>
    <x v="2"/>
  </r>
  <r>
    <s v="Cooperl Arc Atlantique"/>
    <s v="Grazing"/>
    <s v="Latin America and the Caribbean"/>
    <n v="0"/>
    <x v="2"/>
    <x v="3"/>
    <x v="2"/>
  </r>
  <r>
    <s v="Cooperl Arc Atlantique"/>
    <s v="Grazing"/>
    <s v="Near East and North Africa"/>
    <n v="0"/>
    <x v="2"/>
    <x v="3"/>
    <x v="2"/>
  </r>
  <r>
    <s v="Cooperl Arc Atlantique"/>
    <s v="Grazing"/>
    <s v="North America"/>
    <n v="3"/>
    <x v="2"/>
    <x v="3"/>
    <x v="2"/>
  </r>
  <r>
    <s v="Cooperl Arc Atlantique"/>
    <s v="Grazing"/>
    <s v="Oceania"/>
    <n v="0"/>
    <x v="2"/>
    <x v="3"/>
    <x v="2"/>
  </r>
  <r>
    <s v="Cooperl Arc Atlantique"/>
    <s v="Grazing"/>
    <s v="RoW"/>
    <n v="0"/>
    <x v="2"/>
    <x v="3"/>
    <x v="2"/>
  </r>
  <r>
    <s v="Cooperl Arc Atlantique"/>
    <s v="Grazing"/>
    <s v="Russian Federation"/>
    <n v="0"/>
    <x v="2"/>
    <x v="3"/>
    <x v="2"/>
  </r>
  <r>
    <s v="Cooperl Arc Atlantique"/>
    <s v="Grazing"/>
    <s v="South Asia"/>
    <n v="0"/>
    <x v="2"/>
    <x v="3"/>
    <x v="2"/>
  </r>
  <r>
    <s v="Cooperl Arc Atlantique"/>
    <s v="Grazing"/>
    <s v="Sub-Saharan Africa"/>
    <n v="0"/>
    <x v="2"/>
    <x v="3"/>
    <x v="2"/>
  </r>
  <r>
    <s v="Cooperl Arc Atlantique"/>
    <s v="Grazing"/>
    <s v="Western Europe"/>
    <n v="1751"/>
    <x v="2"/>
    <x v="3"/>
    <x v="2"/>
  </r>
  <r>
    <s v="Cooperl Arc Atlantique"/>
    <s v="Croplands"/>
    <s v="East Asia and Southeast Asia"/>
    <n v="320"/>
    <x v="2"/>
    <x v="3"/>
    <x v="2"/>
  </r>
  <r>
    <s v="Cooperl Arc Atlantique"/>
    <s v="Croplands"/>
    <s v="Eastern Europe"/>
    <n v="3933"/>
    <x v="2"/>
    <x v="3"/>
    <x v="2"/>
  </r>
  <r>
    <s v="Cooperl Arc Atlantique"/>
    <s v="Croplands"/>
    <s v="Latin America and the Caribbean"/>
    <n v="874"/>
    <x v="2"/>
    <x v="3"/>
    <x v="2"/>
  </r>
  <r>
    <s v="Cooperl Arc Atlantique"/>
    <s v="Croplands"/>
    <s v="Near East and North Africa"/>
    <n v="56"/>
    <x v="2"/>
    <x v="3"/>
    <x v="2"/>
  </r>
  <r>
    <s v="Cooperl Arc Atlantique"/>
    <s v="Croplands"/>
    <s v="North America"/>
    <n v="1246"/>
    <x v="2"/>
    <x v="3"/>
    <x v="2"/>
  </r>
  <r>
    <s v="Cooperl Arc Atlantique"/>
    <s v="Croplands"/>
    <s v="Oceania"/>
    <n v="87"/>
    <x v="2"/>
    <x v="3"/>
    <x v="2"/>
  </r>
  <r>
    <s v="Cooperl Arc Atlantique"/>
    <s v="Croplands"/>
    <s v="RoW"/>
    <n v="0"/>
    <x v="2"/>
    <x v="3"/>
    <x v="2"/>
  </r>
  <r>
    <s v="Cooperl Arc Atlantique"/>
    <s v="Croplands"/>
    <s v="Russian Federation"/>
    <n v="71"/>
    <x v="2"/>
    <x v="3"/>
    <x v="2"/>
  </r>
  <r>
    <s v="Cooperl Arc Atlantique"/>
    <s v="Croplands"/>
    <s v="South Asia"/>
    <n v="172"/>
    <x v="2"/>
    <x v="3"/>
    <x v="2"/>
  </r>
  <r>
    <s v="Cooperl Arc Atlantique"/>
    <s v="Croplands"/>
    <s v="Sub-Saharan Africa"/>
    <n v="18"/>
    <x v="2"/>
    <x v="3"/>
    <x v="2"/>
  </r>
  <r>
    <s v="Cooperl Arc Atlantique"/>
    <s v="Croplands"/>
    <s v="Western Europe"/>
    <n v="33623"/>
    <x v="2"/>
    <x v="3"/>
    <x v="2"/>
  </r>
  <r>
    <s v="Danish Crown"/>
    <s v="Grazing"/>
    <s v="East Asia and Southeast Asia"/>
    <n v="0"/>
    <x v="2"/>
    <x v="3"/>
    <x v="2"/>
  </r>
  <r>
    <s v="Danish Crown"/>
    <s v="Grazing"/>
    <s v="Eastern Europe"/>
    <n v="36"/>
    <x v="2"/>
    <x v="3"/>
    <x v="2"/>
  </r>
  <r>
    <s v="Danish Crown"/>
    <s v="Grazing"/>
    <s v="Latin America and the Caribbean"/>
    <n v="0"/>
    <x v="2"/>
    <x v="3"/>
    <x v="2"/>
  </r>
  <r>
    <s v="Danish Crown"/>
    <s v="Grazing"/>
    <s v="Near East and North Africa"/>
    <n v="3"/>
    <x v="2"/>
    <x v="3"/>
    <x v="2"/>
  </r>
  <r>
    <s v="Danish Crown"/>
    <s v="Grazing"/>
    <s v="North America"/>
    <n v="10"/>
    <x v="2"/>
    <x v="3"/>
    <x v="2"/>
  </r>
  <r>
    <s v="Danish Crown"/>
    <s v="Grazing"/>
    <s v="Oceania"/>
    <n v="1"/>
    <x v="2"/>
    <x v="3"/>
    <x v="2"/>
  </r>
  <r>
    <s v="Danish Crown"/>
    <s v="Grazing"/>
    <s v="RoW"/>
    <n v="0"/>
    <x v="2"/>
    <x v="3"/>
    <x v="2"/>
  </r>
  <r>
    <s v="Danish Crown"/>
    <s v="Grazing"/>
    <s v="Russian Federation"/>
    <n v="0"/>
    <x v="2"/>
    <x v="3"/>
    <x v="2"/>
  </r>
  <r>
    <s v="Danish Crown"/>
    <s v="Grazing"/>
    <s v="South Asia"/>
    <n v="0"/>
    <x v="2"/>
    <x v="3"/>
    <x v="2"/>
  </r>
  <r>
    <s v="Danish Crown"/>
    <s v="Grazing"/>
    <s v="Sub-Saharan Africa"/>
    <n v="0"/>
    <x v="2"/>
    <x v="3"/>
    <x v="2"/>
  </r>
  <r>
    <s v="Danish Crown"/>
    <s v="Grazing"/>
    <s v="Western Europe"/>
    <n v="6028"/>
    <x v="2"/>
    <x v="3"/>
    <x v="2"/>
  </r>
  <r>
    <s v="Danish Crown"/>
    <s v="Croplands"/>
    <s v="East Asia and Southeast Asia"/>
    <n v="1113"/>
    <x v="2"/>
    <x v="3"/>
    <x v="2"/>
  </r>
  <r>
    <s v="Danish Crown"/>
    <s v="Croplands"/>
    <s v="Eastern Europe"/>
    <n v="22460"/>
    <x v="2"/>
    <x v="3"/>
    <x v="2"/>
  </r>
  <r>
    <s v="Danish Crown"/>
    <s v="Croplands"/>
    <s v="Latin America and the Caribbean"/>
    <n v="3060"/>
    <x v="2"/>
    <x v="3"/>
    <x v="2"/>
  </r>
  <r>
    <s v="Danish Crown"/>
    <s v="Croplands"/>
    <s v="Near East and North Africa"/>
    <n v="202"/>
    <x v="2"/>
    <x v="3"/>
    <x v="2"/>
  </r>
  <r>
    <s v="Danish Crown"/>
    <s v="Croplands"/>
    <s v="North America"/>
    <n v="4284"/>
    <x v="2"/>
    <x v="3"/>
    <x v="2"/>
  </r>
  <r>
    <s v="Danish Crown"/>
    <s v="Croplands"/>
    <s v="Oceania"/>
    <n v="297"/>
    <x v="2"/>
    <x v="3"/>
    <x v="2"/>
  </r>
  <r>
    <s v="Danish Crown"/>
    <s v="Croplands"/>
    <s v="RoW"/>
    <n v="0"/>
    <x v="2"/>
    <x v="3"/>
    <x v="2"/>
  </r>
  <r>
    <s v="Danish Crown"/>
    <s v="Croplands"/>
    <s v="Russian Federation"/>
    <n v="276"/>
    <x v="2"/>
    <x v="3"/>
    <x v="2"/>
  </r>
  <r>
    <s v="Danish Crown"/>
    <s v="Croplands"/>
    <s v="South Asia"/>
    <n v="613"/>
    <x v="2"/>
    <x v="3"/>
    <x v="2"/>
  </r>
  <r>
    <s v="Danish Crown"/>
    <s v="Croplands"/>
    <s v="Sub-Saharan Africa"/>
    <n v="62"/>
    <x v="2"/>
    <x v="3"/>
    <x v="2"/>
  </r>
  <r>
    <s v="Danish Crown"/>
    <s v="Croplands"/>
    <s v="Western Europe"/>
    <n v="115514"/>
    <x v="2"/>
    <x v="3"/>
    <x v="2"/>
  </r>
  <r>
    <s v="Grupo Jorges"/>
    <s v="Grazing"/>
    <s v="East Asia and Southeast Asia"/>
    <n v="0"/>
    <x v="2"/>
    <x v="3"/>
    <x v="2"/>
  </r>
  <r>
    <s v="Grupo Jorges"/>
    <s v="Grazing"/>
    <s v="Eastern Europe"/>
    <n v="3"/>
    <x v="2"/>
    <x v="3"/>
    <x v="2"/>
  </r>
  <r>
    <s v="Grupo Jorges"/>
    <s v="Grazing"/>
    <s v="Latin America and the Caribbean"/>
    <n v="0"/>
    <x v="2"/>
    <x v="3"/>
    <x v="2"/>
  </r>
  <r>
    <s v="Grupo Jorges"/>
    <s v="Grazing"/>
    <s v="Near East and North Africa"/>
    <n v="1"/>
    <x v="2"/>
    <x v="3"/>
    <x v="2"/>
  </r>
  <r>
    <s v="Grupo Jorges"/>
    <s v="Grazing"/>
    <s v="North America"/>
    <n v="4"/>
    <x v="2"/>
    <x v="3"/>
    <x v="2"/>
  </r>
  <r>
    <s v="Grupo Jorges"/>
    <s v="Grazing"/>
    <s v="Oceania"/>
    <n v="0"/>
    <x v="2"/>
    <x v="3"/>
    <x v="2"/>
  </r>
  <r>
    <s v="Grupo Jorges"/>
    <s v="Grazing"/>
    <s v="RoW"/>
    <n v="0"/>
    <x v="2"/>
    <x v="3"/>
    <x v="2"/>
  </r>
  <r>
    <s v="Grupo Jorges"/>
    <s v="Grazing"/>
    <s v="Russian Federation"/>
    <n v="0"/>
    <x v="2"/>
    <x v="3"/>
    <x v="2"/>
  </r>
  <r>
    <s v="Grupo Jorges"/>
    <s v="Grazing"/>
    <s v="South Asia"/>
    <n v="0"/>
    <x v="2"/>
    <x v="3"/>
    <x v="2"/>
  </r>
  <r>
    <s v="Grupo Jorges"/>
    <s v="Grazing"/>
    <s v="Sub-Saharan Africa"/>
    <n v="0"/>
    <x v="2"/>
    <x v="3"/>
    <x v="2"/>
  </r>
  <r>
    <s v="Grupo Jorges"/>
    <s v="Grazing"/>
    <s v="Western Europe"/>
    <n v="2606"/>
    <x v="2"/>
    <x v="3"/>
    <x v="2"/>
  </r>
  <r>
    <s v="Grupo Jorges"/>
    <s v="Croplands"/>
    <s v="East Asia and Southeast Asia"/>
    <n v="476"/>
    <x v="2"/>
    <x v="3"/>
    <x v="2"/>
  </r>
  <r>
    <s v="Grupo Jorges"/>
    <s v="Croplands"/>
    <s v="Eastern Europe"/>
    <n v="5854"/>
    <x v="2"/>
    <x v="3"/>
    <x v="2"/>
  </r>
  <r>
    <s v="Grupo Jorges"/>
    <s v="Croplands"/>
    <s v="Latin America and the Caribbean"/>
    <n v="1300"/>
    <x v="2"/>
    <x v="3"/>
    <x v="2"/>
  </r>
  <r>
    <s v="Grupo Jorges"/>
    <s v="Croplands"/>
    <s v="Near East and North Africa"/>
    <n v="84"/>
    <x v="2"/>
    <x v="3"/>
    <x v="2"/>
  </r>
  <r>
    <s v="Grupo Jorges"/>
    <s v="Croplands"/>
    <s v="North America"/>
    <n v="1855"/>
    <x v="2"/>
    <x v="3"/>
    <x v="2"/>
  </r>
  <r>
    <s v="Grupo Jorges"/>
    <s v="Croplands"/>
    <s v="Oceania"/>
    <n v="129"/>
    <x v="2"/>
    <x v="3"/>
    <x v="2"/>
  </r>
  <r>
    <s v="Grupo Jorges"/>
    <s v="Croplands"/>
    <s v="RoW"/>
    <n v="0"/>
    <x v="2"/>
    <x v="3"/>
    <x v="2"/>
  </r>
  <r>
    <s v="Grupo Jorges"/>
    <s v="Croplands"/>
    <s v="Russian Federation"/>
    <n v="106"/>
    <x v="2"/>
    <x v="3"/>
    <x v="2"/>
  </r>
  <r>
    <s v="Grupo Jorges"/>
    <s v="Croplands"/>
    <s v="South Asia"/>
    <n v="256"/>
    <x v="2"/>
    <x v="3"/>
    <x v="2"/>
  </r>
  <r>
    <s v="Grupo Jorges"/>
    <s v="Croplands"/>
    <s v="Sub-Saharan Africa"/>
    <n v="27"/>
    <x v="2"/>
    <x v="3"/>
    <x v="2"/>
  </r>
  <r>
    <s v="Grupo Jorges"/>
    <s v="Croplands"/>
    <s v="Western Europe"/>
    <n v="50043"/>
    <x v="2"/>
    <x v="3"/>
    <x v="2"/>
  </r>
  <r>
    <s v="Grupo Vall"/>
    <s v="Grazing"/>
    <s v="East Asia and Southeast Asia"/>
    <n v="0"/>
    <x v="2"/>
    <x v="3"/>
    <x v="2"/>
  </r>
  <r>
    <s v="Grupo Vall"/>
    <s v="Grazing"/>
    <s v="Eastern Europe"/>
    <n v="5"/>
    <x v="2"/>
    <x v="3"/>
    <x v="2"/>
  </r>
  <r>
    <s v="Grupo Vall"/>
    <s v="Grazing"/>
    <s v="Latin America and the Caribbean"/>
    <n v="0"/>
    <x v="2"/>
    <x v="3"/>
    <x v="2"/>
  </r>
  <r>
    <s v="Grupo Vall"/>
    <s v="Grazing"/>
    <s v="Near East and North Africa"/>
    <n v="2"/>
    <x v="2"/>
    <x v="3"/>
    <x v="2"/>
  </r>
  <r>
    <s v="Grupo Vall"/>
    <s v="Grazing"/>
    <s v="North America"/>
    <n v="6"/>
    <x v="2"/>
    <x v="3"/>
    <x v="2"/>
  </r>
  <r>
    <s v="Grupo Vall"/>
    <s v="Grazing"/>
    <s v="Oceania"/>
    <n v="0"/>
    <x v="2"/>
    <x v="3"/>
    <x v="2"/>
  </r>
  <r>
    <s v="Grupo Vall"/>
    <s v="Grazing"/>
    <s v="RoW"/>
    <n v="0"/>
    <x v="2"/>
    <x v="3"/>
    <x v="2"/>
  </r>
  <r>
    <s v="Grupo Vall"/>
    <s v="Grazing"/>
    <s v="Russian Federation"/>
    <n v="0"/>
    <x v="2"/>
    <x v="3"/>
    <x v="2"/>
  </r>
  <r>
    <s v="Grupo Vall"/>
    <s v="Grazing"/>
    <s v="South Asia"/>
    <n v="0"/>
    <x v="2"/>
    <x v="3"/>
    <x v="2"/>
  </r>
  <r>
    <s v="Grupo Vall"/>
    <s v="Grazing"/>
    <s v="Sub-Saharan Africa"/>
    <n v="0"/>
    <x v="2"/>
    <x v="3"/>
    <x v="2"/>
  </r>
  <r>
    <s v="Grupo Vall"/>
    <s v="Grazing"/>
    <s v="Western Europe"/>
    <n v="3463"/>
    <x v="2"/>
    <x v="3"/>
    <x v="2"/>
  </r>
  <r>
    <s v="Grupo Vall"/>
    <s v="Croplands"/>
    <s v="East Asia and Southeast Asia"/>
    <n v="633"/>
    <x v="2"/>
    <x v="3"/>
    <x v="2"/>
  </r>
  <r>
    <s v="Grupo Vall"/>
    <s v="Croplands"/>
    <s v="Eastern Europe"/>
    <n v="7780"/>
    <x v="2"/>
    <x v="3"/>
    <x v="2"/>
  </r>
  <r>
    <s v="Grupo Vall"/>
    <s v="Croplands"/>
    <s v="Latin America and the Caribbean"/>
    <n v="1728"/>
    <x v="2"/>
    <x v="3"/>
    <x v="2"/>
  </r>
  <r>
    <s v="Grupo Vall"/>
    <s v="Croplands"/>
    <s v="Near East and North Africa"/>
    <n v="111"/>
    <x v="2"/>
    <x v="3"/>
    <x v="2"/>
  </r>
  <r>
    <s v="Grupo Vall"/>
    <s v="Croplands"/>
    <s v="North America"/>
    <n v="2466"/>
    <x v="2"/>
    <x v="3"/>
    <x v="2"/>
  </r>
  <r>
    <s v="Grupo Vall"/>
    <s v="Croplands"/>
    <s v="Oceania"/>
    <n v="171"/>
    <x v="2"/>
    <x v="3"/>
    <x v="2"/>
  </r>
  <r>
    <s v="Grupo Vall"/>
    <s v="Croplands"/>
    <s v="RoW"/>
    <n v="0"/>
    <x v="2"/>
    <x v="3"/>
    <x v="2"/>
  </r>
  <r>
    <s v="Grupo Vall"/>
    <s v="Croplands"/>
    <s v="Russian Federation"/>
    <n v="141"/>
    <x v="2"/>
    <x v="3"/>
    <x v="2"/>
  </r>
  <r>
    <s v="Grupo Vall"/>
    <s v="Croplands"/>
    <s v="South Asia"/>
    <n v="340"/>
    <x v="2"/>
    <x v="3"/>
    <x v="2"/>
  </r>
  <r>
    <s v="Grupo Vall"/>
    <s v="Croplands"/>
    <s v="Sub-Saharan Africa"/>
    <n v="35"/>
    <x v="2"/>
    <x v="3"/>
    <x v="2"/>
  </r>
  <r>
    <s v="Grupo Vall"/>
    <s v="Croplands"/>
    <s v="Western Europe"/>
    <n v="66508"/>
    <x v="2"/>
    <x v="3"/>
    <x v="2"/>
  </r>
  <r>
    <s v="Gruppo Cremonini"/>
    <s v="Grazing"/>
    <s v="East Asia and Southeast Asia"/>
    <n v="0"/>
    <x v="2"/>
    <x v="3"/>
    <x v="2"/>
  </r>
  <r>
    <s v="Gruppo Cremonini"/>
    <s v="Grazing"/>
    <s v="Eastern Europe"/>
    <n v="0"/>
    <x v="2"/>
    <x v="3"/>
    <x v="2"/>
  </r>
  <r>
    <s v="Gruppo Cremonini"/>
    <s v="Grazing"/>
    <s v="Latin America and the Caribbean"/>
    <n v="0"/>
    <x v="2"/>
    <x v="3"/>
    <x v="2"/>
  </r>
  <r>
    <s v="Gruppo Cremonini"/>
    <s v="Grazing"/>
    <s v="Near East and North Africa"/>
    <n v="0"/>
    <x v="2"/>
    <x v="3"/>
    <x v="2"/>
  </r>
  <r>
    <s v="Gruppo Cremonini"/>
    <s v="Grazing"/>
    <s v="North America"/>
    <n v="0"/>
    <x v="2"/>
    <x v="3"/>
    <x v="2"/>
  </r>
  <r>
    <s v="Gruppo Cremonini"/>
    <s v="Grazing"/>
    <s v="Oceania"/>
    <n v="0"/>
    <x v="2"/>
    <x v="3"/>
    <x v="2"/>
  </r>
  <r>
    <s v="Gruppo Cremonini"/>
    <s v="Grazing"/>
    <s v="RoW"/>
    <n v="0"/>
    <x v="2"/>
    <x v="3"/>
    <x v="2"/>
  </r>
  <r>
    <s v="Gruppo Cremonini"/>
    <s v="Grazing"/>
    <s v="Russian Federation"/>
    <n v="0"/>
    <x v="2"/>
    <x v="3"/>
    <x v="2"/>
  </r>
  <r>
    <s v="Gruppo Cremonini"/>
    <s v="Grazing"/>
    <s v="South Asia"/>
    <n v="0"/>
    <x v="2"/>
    <x v="3"/>
    <x v="2"/>
  </r>
  <r>
    <s v="Gruppo Cremonini"/>
    <s v="Grazing"/>
    <s v="Sub-Saharan Africa"/>
    <n v="0"/>
    <x v="2"/>
    <x v="3"/>
    <x v="2"/>
  </r>
  <r>
    <s v="Gruppo Cremonini"/>
    <s v="Grazing"/>
    <s v="Western Europe"/>
    <n v="288"/>
    <x v="2"/>
    <x v="3"/>
    <x v="2"/>
  </r>
  <r>
    <s v="Gruppo Cremonini"/>
    <s v="Croplands"/>
    <s v="East Asia and Southeast Asia"/>
    <n v="53"/>
    <x v="2"/>
    <x v="3"/>
    <x v="2"/>
  </r>
  <r>
    <s v="Gruppo Cremonini"/>
    <s v="Croplands"/>
    <s v="Eastern Europe"/>
    <n v="647"/>
    <x v="2"/>
    <x v="3"/>
    <x v="2"/>
  </r>
  <r>
    <s v="Gruppo Cremonini"/>
    <s v="Croplands"/>
    <s v="Latin America and the Caribbean"/>
    <n v="144"/>
    <x v="2"/>
    <x v="3"/>
    <x v="2"/>
  </r>
  <r>
    <s v="Gruppo Cremonini"/>
    <s v="Croplands"/>
    <s v="Near East and North Africa"/>
    <n v="9"/>
    <x v="2"/>
    <x v="3"/>
    <x v="2"/>
  </r>
  <r>
    <s v="Gruppo Cremonini"/>
    <s v="Croplands"/>
    <s v="North America"/>
    <n v="205"/>
    <x v="2"/>
    <x v="3"/>
    <x v="2"/>
  </r>
  <r>
    <s v="Gruppo Cremonini"/>
    <s v="Croplands"/>
    <s v="Oceania"/>
    <n v="14"/>
    <x v="2"/>
    <x v="3"/>
    <x v="2"/>
  </r>
  <r>
    <s v="Gruppo Cremonini"/>
    <s v="Croplands"/>
    <s v="RoW"/>
    <n v="0"/>
    <x v="2"/>
    <x v="3"/>
    <x v="2"/>
  </r>
  <r>
    <s v="Gruppo Cremonini"/>
    <s v="Croplands"/>
    <s v="Russian Federation"/>
    <n v="12"/>
    <x v="2"/>
    <x v="3"/>
    <x v="2"/>
  </r>
  <r>
    <s v="Gruppo Cremonini"/>
    <s v="Croplands"/>
    <s v="South Asia"/>
    <n v="28"/>
    <x v="2"/>
    <x v="3"/>
    <x v="2"/>
  </r>
  <r>
    <s v="Gruppo Cremonini"/>
    <s v="Croplands"/>
    <s v="Sub-Saharan Africa"/>
    <n v="3"/>
    <x v="2"/>
    <x v="3"/>
    <x v="2"/>
  </r>
  <r>
    <s v="Gruppo Cremonini"/>
    <s v="Croplands"/>
    <s v="Western Europe"/>
    <n v="5531"/>
    <x v="2"/>
    <x v="3"/>
    <x v="2"/>
  </r>
  <r>
    <s v="JBS"/>
    <s v="Grazing"/>
    <s v="East Asia and Southeast Asia"/>
    <n v="2"/>
    <x v="2"/>
    <x v="3"/>
    <x v="2"/>
  </r>
  <r>
    <s v="JBS"/>
    <s v="Grazing"/>
    <s v="Eastern Europe"/>
    <n v="2"/>
    <x v="2"/>
    <x v="3"/>
    <x v="2"/>
  </r>
  <r>
    <s v="JBS"/>
    <s v="Grazing"/>
    <s v="Latin America and the Caribbean"/>
    <n v="69"/>
    <x v="2"/>
    <x v="3"/>
    <x v="2"/>
  </r>
  <r>
    <s v="JBS"/>
    <s v="Grazing"/>
    <s v="Near East and North Africa"/>
    <n v="2"/>
    <x v="2"/>
    <x v="3"/>
    <x v="2"/>
  </r>
  <r>
    <s v="JBS"/>
    <s v="Grazing"/>
    <s v="North America"/>
    <n v="1834"/>
    <x v="2"/>
    <x v="3"/>
    <x v="2"/>
  </r>
  <r>
    <s v="JBS"/>
    <s v="Grazing"/>
    <s v="Oceania"/>
    <n v="70"/>
    <x v="2"/>
    <x v="3"/>
    <x v="2"/>
  </r>
  <r>
    <s v="JBS"/>
    <s v="Grazing"/>
    <s v="RoW"/>
    <n v="0"/>
    <x v="2"/>
    <x v="3"/>
    <x v="2"/>
  </r>
  <r>
    <s v="JBS"/>
    <s v="Grazing"/>
    <s v="Russian Federation"/>
    <n v="0"/>
    <x v="2"/>
    <x v="3"/>
    <x v="2"/>
  </r>
  <r>
    <s v="JBS"/>
    <s v="Grazing"/>
    <s v="South Asia"/>
    <n v="0"/>
    <x v="2"/>
    <x v="3"/>
    <x v="2"/>
  </r>
  <r>
    <s v="JBS"/>
    <s v="Grazing"/>
    <s v="Sub-Saharan Africa"/>
    <n v="0"/>
    <x v="2"/>
    <x v="3"/>
    <x v="2"/>
  </r>
  <r>
    <s v="JBS"/>
    <s v="Grazing"/>
    <s v="Western Europe"/>
    <n v="897"/>
    <x v="2"/>
    <x v="3"/>
    <x v="2"/>
  </r>
  <r>
    <s v="JBS"/>
    <s v="Croplands"/>
    <s v="East Asia and Southeast Asia"/>
    <n v="614"/>
    <x v="2"/>
    <x v="3"/>
    <x v="2"/>
  </r>
  <r>
    <s v="JBS"/>
    <s v="Croplands"/>
    <s v="Eastern Europe"/>
    <n v="2131"/>
    <x v="2"/>
    <x v="3"/>
    <x v="2"/>
  </r>
  <r>
    <s v="JBS"/>
    <s v="Croplands"/>
    <s v="Latin America and the Caribbean"/>
    <n v="31756"/>
    <x v="2"/>
    <x v="3"/>
    <x v="2"/>
  </r>
  <r>
    <s v="JBS"/>
    <s v="Croplands"/>
    <s v="Near East and North Africa"/>
    <n v="73"/>
    <x v="2"/>
    <x v="3"/>
    <x v="2"/>
  </r>
  <r>
    <s v="JBS"/>
    <s v="Croplands"/>
    <s v="North America"/>
    <n v="191270"/>
    <x v="2"/>
    <x v="3"/>
    <x v="2"/>
  </r>
  <r>
    <s v="JBS"/>
    <s v="Croplands"/>
    <s v="Oceania"/>
    <n v="19355"/>
    <x v="2"/>
    <x v="3"/>
    <x v="2"/>
  </r>
  <r>
    <s v="JBS"/>
    <s v="Croplands"/>
    <s v="RoW"/>
    <n v="0"/>
    <x v="2"/>
    <x v="3"/>
    <x v="2"/>
  </r>
  <r>
    <s v="JBS"/>
    <s v="Croplands"/>
    <s v="Russian Federation"/>
    <n v="47"/>
    <x v="2"/>
    <x v="3"/>
    <x v="2"/>
  </r>
  <r>
    <s v="JBS"/>
    <s v="Croplands"/>
    <s v="South Asia"/>
    <n v="1827"/>
    <x v="2"/>
    <x v="3"/>
    <x v="2"/>
  </r>
  <r>
    <s v="JBS"/>
    <s v="Croplands"/>
    <s v="Sub-Saharan Africa"/>
    <n v="27"/>
    <x v="2"/>
    <x v="3"/>
    <x v="2"/>
  </r>
  <r>
    <s v="JBS"/>
    <s v="Croplands"/>
    <s v="Western Europe"/>
    <n v="16911"/>
    <x v="2"/>
    <x v="3"/>
    <x v="2"/>
  </r>
  <r>
    <s v="Muyuan Foodstuff"/>
    <s v="Grazing"/>
    <s v="East Asia and Southeast Asia"/>
    <n v="262"/>
    <x v="2"/>
    <x v="3"/>
    <x v="2"/>
  </r>
  <r>
    <s v="Muyuan Foodstuff"/>
    <s v="Grazing"/>
    <s v="Eastern Europe"/>
    <n v="12"/>
    <x v="2"/>
    <x v="3"/>
    <x v="2"/>
  </r>
  <r>
    <s v="Muyuan Foodstuff"/>
    <s v="Grazing"/>
    <s v="Latin America and the Caribbean"/>
    <n v="0"/>
    <x v="2"/>
    <x v="3"/>
    <x v="2"/>
  </r>
  <r>
    <s v="Muyuan Foodstuff"/>
    <s v="Grazing"/>
    <s v="Near East and North Africa"/>
    <n v="4"/>
    <x v="2"/>
    <x v="3"/>
    <x v="2"/>
  </r>
  <r>
    <s v="Muyuan Foodstuff"/>
    <s v="Grazing"/>
    <s v="North America"/>
    <n v="6"/>
    <x v="2"/>
    <x v="3"/>
    <x v="2"/>
  </r>
  <r>
    <s v="Muyuan Foodstuff"/>
    <s v="Grazing"/>
    <s v="Oceania"/>
    <n v="20"/>
    <x v="2"/>
    <x v="3"/>
    <x v="2"/>
  </r>
  <r>
    <s v="Muyuan Foodstuff"/>
    <s v="Grazing"/>
    <s v="RoW"/>
    <n v="0"/>
    <x v="2"/>
    <x v="3"/>
    <x v="2"/>
  </r>
  <r>
    <s v="Muyuan Foodstuff"/>
    <s v="Grazing"/>
    <s v="Russian Federation"/>
    <n v="0"/>
    <x v="2"/>
    <x v="3"/>
    <x v="2"/>
  </r>
  <r>
    <s v="Muyuan Foodstuff"/>
    <s v="Grazing"/>
    <s v="South Asia"/>
    <n v="0"/>
    <x v="2"/>
    <x v="3"/>
    <x v="2"/>
  </r>
  <r>
    <s v="Muyuan Foodstuff"/>
    <s v="Grazing"/>
    <s v="Sub-Saharan Africa"/>
    <n v="0"/>
    <x v="2"/>
    <x v="3"/>
    <x v="2"/>
  </r>
  <r>
    <s v="Muyuan Foodstuff"/>
    <s v="Grazing"/>
    <s v="Western Europe"/>
    <n v="198"/>
    <x v="2"/>
    <x v="3"/>
    <x v="2"/>
  </r>
  <r>
    <s v="Muyuan Foodstuff"/>
    <s v="Croplands"/>
    <s v="East Asia and Southeast Asia"/>
    <n v="130523"/>
    <x v="2"/>
    <x v="3"/>
    <x v="2"/>
  </r>
  <r>
    <s v="Muyuan Foodstuff"/>
    <s v="Croplands"/>
    <s v="Eastern Europe"/>
    <n v="985"/>
    <x v="2"/>
    <x v="3"/>
    <x v="2"/>
  </r>
  <r>
    <s v="Muyuan Foodstuff"/>
    <s v="Croplands"/>
    <s v="Latin America and the Caribbean"/>
    <n v="4412"/>
    <x v="2"/>
    <x v="3"/>
    <x v="2"/>
  </r>
  <r>
    <s v="Muyuan Foodstuff"/>
    <s v="Croplands"/>
    <s v="Near East and North Africa"/>
    <n v="135"/>
    <x v="2"/>
    <x v="3"/>
    <x v="2"/>
  </r>
  <r>
    <s v="Muyuan Foodstuff"/>
    <s v="Croplands"/>
    <s v="North America"/>
    <n v="12977"/>
    <x v="2"/>
    <x v="3"/>
    <x v="2"/>
  </r>
  <r>
    <s v="Muyuan Foodstuff"/>
    <s v="Croplands"/>
    <s v="Oceania"/>
    <n v="1230"/>
    <x v="2"/>
    <x v="3"/>
    <x v="2"/>
  </r>
  <r>
    <s v="Muyuan Foodstuff"/>
    <s v="Croplands"/>
    <s v="RoW"/>
    <n v="0"/>
    <x v="2"/>
    <x v="3"/>
    <x v="2"/>
  </r>
  <r>
    <s v="Muyuan Foodstuff"/>
    <s v="Croplands"/>
    <s v="Russian Federation"/>
    <n v="142"/>
    <x v="2"/>
    <x v="3"/>
    <x v="2"/>
  </r>
  <r>
    <s v="Muyuan Foodstuff"/>
    <s v="Croplands"/>
    <s v="South Asia"/>
    <n v="811"/>
    <x v="2"/>
    <x v="3"/>
    <x v="2"/>
  </r>
  <r>
    <s v="Muyuan Foodstuff"/>
    <s v="Croplands"/>
    <s v="Sub-Saharan Africa"/>
    <n v="175"/>
    <x v="2"/>
    <x v="3"/>
    <x v="2"/>
  </r>
  <r>
    <s v="Muyuan Foodstuff"/>
    <s v="Croplands"/>
    <s v="Western Europe"/>
    <n v="516"/>
    <x v="2"/>
    <x v="3"/>
    <x v="2"/>
  </r>
  <r>
    <s v="New Hope Group"/>
    <s v="Grazing"/>
    <s v="East Asia and Southeast Asia"/>
    <n v="78"/>
    <x v="2"/>
    <x v="3"/>
    <x v="2"/>
  </r>
  <r>
    <s v="New Hope Group"/>
    <s v="Grazing"/>
    <s v="Eastern Europe"/>
    <n v="4"/>
    <x v="2"/>
    <x v="3"/>
    <x v="2"/>
  </r>
  <r>
    <s v="New Hope Group"/>
    <s v="Grazing"/>
    <s v="Latin America and the Caribbean"/>
    <n v="0"/>
    <x v="2"/>
    <x v="3"/>
    <x v="2"/>
  </r>
  <r>
    <s v="New Hope Group"/>
    <s v="Grazing"/>
    <s v="Near East and North Africa"/>
    <n v="1"/>
    <x v="2"/>
    <x v="3"/>
    <x v="2"/>
  </r>
  <r>
    <s v="New Hope Group"/>
    <s v="Grazing"/>
    <s v="North America"/>
    <n v="2"/>
    <x v="2"/>
    <x v="3"/>
    <x v="2"/>
  </r>
  <r>
    <s v="New Hope Group"/>
    <s v="Grazing"/>
    <s v="Oceania"/>
    <n v="6"/>
    <x v="2"/>
    <x v="3"/>
    <x v="2"/>
  </r>
  <r>
    <s v="New Hope Group"/>
    <s v="Grazing"/>
    <s v="RoW"/>
    <n v="0"/>
    <x v="2"/>
    <x v="3"/>
    <x v="2"/>
  </r>
  <r>
    <s v="New Hope Group"/>
    <s v="Grazing"/>
    <s v="Russian Federation"/>
    <n v="0"/>
    <x v="2"/>
    <x v="3"/>
    <x v="2"/>
  </r>
  <r>
    <s v="New Hope Group"/>
    <s v="Grazing"/>
    <s v="South Asia"/>
    <n v="0"/>
    <x v="2"/>
    <x v="3"/>
    <x v="2"/>
  </r>
  <r>
    <s v="New Hope Group"/>
    <s v="Grazing"/>
    <s v="Sub-Saharan Africa"/>
    <n v="0"/>
    <x v="2"/>
    <x v="3"/>
    <x v="2"/>
  </r>
  <r>
    <s v="New Hope Group"/>
    <s v="Grazing"/>
    <s v="Western Europe"/>
    <n v="59"/>
    <x v="2"/>
    <x v="3"/>
    <x v="2"/>
  </r>
  <r>
    <s v="New Hope Group"/>
    <s v="Croplands"/>
    <s v="East Asia and Southeast Asia"/>
    <n v="38980"/>
    <x v="2"/>
    <x v="3"/>
    <x v="2"/>
  </r>
  <r>
    <s v="New Hope Group"/>
    <s v="Croplands"/>
    <s v="Eastern Europe"/>
    <n v="294"/>
    <x v="2"/>
    <x v="3"/>
    <x v="2"/>
  </r>
  <r>
    <s v="New Hope Group"/>
    <s v="Croplands"/>
    <s v="Latin America and the Caribbean"/>
    <n v="1318"/>
    <x v="2"/>
    <x v="3"/>
    <x v="2"/>
  </r>
  <r>
    <s v="New Hope Group"/>
    <s v="Croplands"/>
    <s v="Near East and North Africa"/>
    <n v="40"/>
    <x v="2"/>
    <x v="3"/>
    <x v="2"/>
  </r>
  <r>
    <s v="New Hope Group"/>
    <s v="Croplands"/>
    <s v="North America"/>
    <n v="3875"/>
    <x v="2"/>
    <x v="3"/>
    <x v="2"/>
  </r>
  <r>
    <s v="New Hope Group"/>
    <s v="Croplands"/>
    <s v="Oceania"/>
    <n v="367"/>
    <x v="2"/>
    <x v="3"/>
    <x v="2"/>
  </r>
  <r>
    <s v="New Hope Group"/>
    <s v="Croplands"/>
    <s v="RoW"/>
    <n v="0"/>
    <x v="2"/>
    <x v="3"/>
    <x v="2"/>
  </r>
  <r>
    <s v="New Hope Group"/>
    <s v="Croplands"/>
    <s v="Russian Federation"/>
    <n v="42"/>
    <x v="2"/>
    <x v="3"/>
    <x v="2"/>
  </r>
  <r>
    <s v="New Hope Group"/>
    <s v="Croplands"/>
    <s v="South Asia"/>
    <n v="242"/>
    <x v="2"/>
    <x v="3"/>
    <x v="2"/>
  </r>
  <r>
    <s v="New Hope Group"/>
    <s v="Croplands"/>
    <s v="Sub-Saharan Africa"/>
    <n v="52"/>
    <x v="2"/>
    <x v="3"/>
    <x v="2"/>
  </r>
  <r>
    <s v="New Hope Group"/>
    <s v="Croplands"/>
    <s v="Western Europe"/>
    <n v="154"/>
    <x v="2"/>
    <x v="3"/>
    <x v="2"/>
  </r>
  <r>
    <s v="Seaboard"/>
    <s v="Grazing"/>
    <s v="East Asia and Southeast Asia"/>
    <n v="0"/>
    <x v="2"/>
    <x v="3"/>
    <x v="2"/>
  </r>
  <r>
    <s v="Seaboard"/>
    <s v="Grazing"/>
    <s v="Eastern Europe"/>
    <n v="0"/>
    <x v="2"/>
    <x v="3"/>
    <x v="2"/>
  </r>
  <r>
    <s v="Seaboard"/>
    <s v="Grazing"/>
    <s v="Latin America and the Caribbean"/>
    <n v="0"/>
    <x v="2"/>
    <x v="3"/>
    <x v="2"/>
  </r>
  <r>
    <s v="Seaboard"/>
    <s v="Grazing"/>
    <s v="Near East and North Africa"/>
    <n v="0"/>
    <x v="2"/>
    <x v="3"/>
    <x v="2"/>
  </r>
  <r>
    <s v="Seaboard"/>
    <s v="Grazing"/>
    <s v="North America"/>
    <n v="409"/>
    <x v="2"/>
    <x v="3"/>
    <x v="2"/>
  </r>
  <r>
    <s v="Seaboard"/>
    <s v="Grazing"/>
    <s v="Oceania"/>
    <n v="1"/>
    <x v="2"/>
    <x v="3"/>
    <x v="2"/>
  </r>
  <r>
    <s v="Seaboard"/>
    <s v="Grazing"/>
    <s v="RoW"/>
    <n v="0"/>
    <x v="2"/>
    <x v="3"/>
    <x v="2"/>
  </r>
  <r>
    <s v="Seaboard"/>
    <s v="Grazing"/>
    <s v="Russian Federation"/>
    <n v="0"/>
    <x v="2"/>
    <x v="3"/>
    <x v="2"/>
  </r>
  <r>
    <s v="Seaboard"/>
    <s v="Grazing"/>
    <s v="South Asia"/>
    <n v="0"/>
    <x v="2"/>
    <x v="3"/>
    <x v="2"/>
  </r>
  <r>
    <s v="Seaboard"/>
    <s v="Grazing"/>
    <s v="Sub-Saharan Africa"/>
    <n v="0"/>
    <x v="2"/>
    <x v="3"/>
    <x v="2"/>
  </r>
  <r>
    <s v="Seaboard"/>
    <s v="Grazing"/>
    <s v="Western Europe"/>
    <n v="9"/>
    <x v="2"/>
    <x v="3"/>
    <x v="2"/>
  </r>
  <r>
    <s v="Seaboard"/>
    <s v="Croplands"/>
    <s v="East Asia and Southeast Asia"/>
    <n v="27"/>
    <x v="2"/>
    <x v="3"/>
    <x v="2"/>
  </r>
  <r>
    <s v="Seaboard"/>
    <s v="Croplands"/>
    <s v="Eastern Europe"/>
    <n v="36"/>
    <x v="2"/>
    <x v="3"/>
    <x v="2"/>
  </r>
  <r>
    <s v="Seaboard"/>
    <s v="Croplands"/>
    <s v="Latin America and the Caribbean"/>
    <n v="64"/>
    <x v="2"/>
    <x v="3"/>
    <x v="2"/>
  </r>
  <r>
    <s v="Seaboard"/>
    <s v="Croplands"/>
    <s v="Near East and North Africa"/>
    <n v="6"/>
    <x v="2"/>
    <x v="3"/>
    <x v="2"/>
  </r>
  <r>
    <s v="Seaboard"/>
    <s v="Croplands"/>
    <s v="North America"/>
    <n v="40725"/>
    <x v="2"/>
    <x v="3"/>
    <x v="2"/>
  </r>
  <r>
    <s v="Seaboard"/>
    <s v="Croplands"/>
    <s v="Oceania"/>
    <n v="6"/>
    <x v="2"/>
    <x v="3"/>
    <x v="2"/>
  </r>
  <r>
    <s v="Seaboard"/>
    <s v="Croplands"/>
    <s v="RoW"/>
    <n v="0"/>
    <x v="2"/>
    <x v="3"/>
    <x v="2"/>
  </r>
  <r>
    <s v="Seaboard"/>
    <s v="Croplands"/>
    <s v="Russian Federation"/>
    <n v="2"/>
    <x v="2"/>
    <x v="3"/>
    <x v="2"/>
  </r>
  <r>
    <s v="Seaboard"/>
    <s v="Croplands"/>
    <s v="South Asia"/>
    <n v="351"/>
    <x v="2"/>
    <x v="3"/>
    <x v="2"/>
  </r>
  <r>
    <s v="Seaboard"/>
    <s v="Croplands"/>
    <s v="Sub-Saharan Africa"/>
    <n v="2"/>
    <x v="2"/>
    <x v="3"/>
    <x v="2"/>
  </r>
  <r>
    <s v="Seaboard"/>
    <s v="Croplands"/>
    <s v="Western Europe"/>
    <n v="162"/>
    <x v="2"/>
    <x v="3"/>
    <x v="2"/>
  </r>
  <r>
    <s v="Tönnies Group"/>
    <s v="Grazing"/>
    <s v="East Asia and Southeast Asia"/>
    <n v="0"/>
    <x v="2"/>
    <x v="3"/>
    <x v="2"/>
  </r>
  <r>
    <s v="Tönnies Group"/>
    <s v="Grazing"/>
    <s v="Eastern Europe"/>
    <n v="9"/>
    <x v="2"/>
    <x v="3"/>
    <x v="2"/>
  </r>
  <r>
    <s v="Tönnies Group"/>
    <s v="Grazing"/>
    <s v="Latin America and the Caribbean"/>
    <n v="0"/>
    <x v="2"/>
    <x v="3"/>
    <x v="2"/>
  </r>
  <r>
    <s v="Tönnies Group"/>
    <s v="Grazing"/>
    <s v="Near East and North Africa"/>
    <n v="3"/>
    <x v="2"/>
    <x v="3"/>
    <x v="2"/>
  </r>
  <r>
    <s v="Tönnies Group"/>
    <s v="Grazing"/>
    <s v="North America"/>
    <n v="12"/>
    <x v="2"/>
    <x v="3"/>
    <x v="2"/>
  </r>
  <r>
    <s v="Tönnies Group"/>
    <s v="Grazing"/>
    <s v="Oceania"/>
    <n v="2"/>
    <x v="2"/>
    <x v="3"/>
    <x v="2"/>
  </r>
  <r>
    <s v="Tönnies Group"/>
    <s v="Grazing"/>
    <s v="RoW"/>
    <n v="0"/>
    <x v="2"/>
    <x v="3"/>
    <x v="2"/>
  </r>
  <r>
    <s v="Tönnies Group"/>
    <s v="Grazing"/>
    <s v="Russian Federation"/>
    <n v="0"/>
    <x v="2"/>
    <x v="3"/>
    <x v="2"/>
  </r>
  <r>
    <s v="Tönnies Group"/>
    <s v="Grazing"/>
    <s v="South Asia"/>
    <n v="0"/>
    <x v="2"/>
    <x v="3"/>
    <x v="2"/>
  </r>
  <r>
    <s v="Tönnies Group"/>
    <s v="Grazing"/>
    <s v="Sub-Saharan Africa"/>
    <n v="0"/>
    <x v="2"/>
    <x v="3"/>
    <x v="2"/>
  </r>
  <r>
    <s v="Tönnies Group"/>
    <s v="Grazing"/>
    <s v="Western Europe"/>
    <n v="7243"/>
    <x v="2"/>
    <x v="3"/>
    <x v="2"/>
  </r>
  <r>
    <s v="Tönnies Group"/>
    <s v="Croplands"/>
    <s v="East Asia and Southeast Asia"/>
    <n v="1324"/>
    <x v="2"/>
    <x v="3"/>
    <x v="2"/>
  </r>
  <r>
    <s v="Tönnies Group"/>
    <s v="Croplands"/>
    <s v="Eastern Europe"/>
    <n v="16272"/>
    <x v="2"/>
    <x v="3"/>
    <x v="2"/>
  </r>
  <r>
    <s v="Tönnies Group"/>
    <s v="Croplands"/>
    <s v="Latin America and the Caribbean"/>
    <n v="3615"/>
    <x v="2"/>
    <x v="3"/>
    <x v="2"/>
  </r>
  <r>
    <s v="Tönnies Group"/>
    <s v="Croplands"/>
    <s v="Near East and North Africa"/>
    <n v="233"/>
    <x v="2"/>
    <x v="3"/>
    <x v="2"/>
  </r>
  <r>
    <s v="Tönnies Group"/>
    <s v="Croplands"/>
    <s v="North America"/>
    <n v="5157"/>
    <x v="2"/>
    <x v="3"/>
    <x v="2"/>
  </r>
  <r>
    <s v="Tönnies Group"/>
    <s v="Croplands"/>
    <s v="Oceania"/>
    <n v="358"/>
    <x v="2"/>
    <x v="3"/>
    <x v="2"/>
  </r>
  <r>
    <s v="Tönnies Group"/>
    <s v="Croplands"/>
    <s v="RoW"/>
    <n v="0"/>
    <x v="2"/>
    <x v="3"/>
    <x v="2"/>
  </r>
  <r>
    <s v="Tönnies Group"/>
    <s v="Croplands"/>
    <s v="Russian Federation"/>
    <n v="295"/>
    <x v="2"/>
    <x v="3"/>
    <x v="2"/>
  </r>
  <r>
    <s v="Tönnies Group"/>
    <s v="Croplands"/>
    <s v="South Asia"/>
    <n v="712"/>
    <x v="2"/>
    <x v="3"/>
    <x v="2"/>
  </r>
  <r>
    <s v="Tönnies Group"/>
    <s v="Croplands"/>
    <s v="Sub-Saharan Africa"/>
    <n v="74"/>
    <x v="2"/>
    <x v="3"/>
    <x v="2"/>
  </r>
  <r>
    <s v="Tönnies Group"/>
    <s v="Croplands"/>
    <s v="Western Europe"/>
    <n v="139104"/>
    <x v="2"/>
    <x v="3"/>
    <x v="2"/>
  </r>
  <r>
    <s v="Triumph Foods"/>
    <s v="Grazing"/>
    <s v="East Asia and Southeast Asia"/>
    <n v="0"/>
    <x v="2"/>
    <x v="3"/>
    <x v="2"/>
  </r>
  <r>
    <s v="Triumph Foods"/>
    <s v="Grazing"/>
    <s v="Eastern Europe"/>
    <n v="0"/>
    <x v="2"/>
    <x v="3"/>
    <x v="2"/>
  </r>
  <r>
    <s v="Triumph Foods"/>
    <s v="Grazing"/>
    <s v="Latin America and the Caribbean"/>
    <n v="0"/>
    <x v="2"/>
    <x v="3"/>
    <x v="2"/>
  </r>
  <r>
    <s v="Triumph Foods"/>
    <s v="Grazing"/>
    <s v="Near East and North Africa"/>
    <n v="0"/>
    <x v="2"/>
    <x v="3"/>
    <x v="2"/>
  </r>
  <r>
    <s v="Triumph Foods"/>
    <s v="Grazing"/>
    <s v="North America"/>
    <n v="354"/>
    <x v="2"/>
    <x v="3"/>
    <x v="2"/>
  </r>
  <r>
    <s v="Triumph Foods"/>
    <s v="Grazing"/>
    <s v="Oceania"/>
    <n v="0"/>
    <x v="2"/>
    <x v="3"/>
    <x v="2"/>
  </r>
  <r>
    <s v="Triumph Foods"/>
    <s v="Grazing"/>
    <s v="RoW"/>
    <n v="0"/>
    <x v="2"/>
    <x v="3"/>
    <x v="2"/>
  </r>
  <r>
    <s v="Triumph Foods"/>
    <s v="Grazing"/>
    <s v="Russian Federation"/>
    <n v="0"/>
    <x v="2"/>
    <x v="3"/>
    <x v="2"/>
  </r>
  <r>
    <s v="Triumph Foods"/>
    <s v="Grazing"/>
    <s v="South Asia"/>
    <n v="0"/>
    <x v="2"/>
    <x v="3"/>
    <x v="2"/>
  </r>
  <r>
    <s v="Triumph Foods"/>
    <s v="Grazing"/>
    <s v="Sub-Saharan Africa"/>
    <n v="0"/>
    <x v="2"/>
    <x v="3"/>
    <x v="2"/>
  </r>
  <r>
    <s v="Triumph Foods"/>
    <s v="Grazing"/>
    <s v="Western Europe"/>
    <n v="8"/>
    <x v="2"/>
    <x v="3"/>
    <x v="2"/>
  </r>
  <r>
    <s v="Triumph Foods"/>
    <s v="Croplands"/>
    <s v="East Asia and Southeast Asia"/>
    <n v="23"/>
    <x v="2"/>
    <x v="3"/>
    <x v="2"/>
  </r>
  <r>
    <s v="Triumph Foods"/>
    <s v="Croplands"/>
    <s v="Eastern Europe"/>
    <n v="31"/>
    <x v="2"/>
    <x v="3"/>
    <x v="2"/>
  </r>
  <r>
    <s v="Triumph Foods"/>
    <s v="Croplands"/>
    <s v="Latin America and the Caribbean"/>
    <n v="55"/>
    <x v="2"/>
    <x v="3"/>
    <x v="2"/>
  </r>
  <r>
    <s v="Triumph Foods"/>
    <s v="Croplands"/>
    <s v="Near East and North Africa"/>
    <n v="5"/>
    <x v="2"/>
    <x v="3"/>
    <x v="2"/>
  </r>
  <r>
    <s v="Triumph Foods"/>
    <s v="Croplands"/>
    <s v="North America"/>
    <n v="35295"/>
    <x v="2"/>
    <x v="3"/>
    <x v="2"/>
  </r>
  <r>
    <s v="Triumph Foods"/>
    <s v="Croplands"/>
    <s v="Oceania"/>
    <n v="5"/>
    <x v="2"/>
    <x v="3"/>
    <x v="2"/>
  </r>
  <r>
    <s v="Triumph Foods"/>
    <s v="Croplands"/>
    <s v="RoW"/>
    <n v="0"/>
    <x v="2"/>
    <x v="3"/>
    <x v="2"/>
  </r>
  <r>
    <s v="Triumph Foods"/>
    <s v="Croplands"/>
    <s v="Russian Federation"/>
    <n v="1"/>
    <x v="2"/>
    <x v="3"/>
    <x v="2"/>
  </r>
  <r>
    <s v="Triumph Foods"/>
    <s v="Croplands"/>
    <s v="South Asia"/>
    <n v="304"/>
    <x v="2"/>
    <x v="3"/>
    <x v="2"/>
  </r>
  <r>
    <s v="Triumph Foods"/>
    <s v="Croplands"/>
    <s v="Sub-Saharan Africa"/>
    <n v="1"/>
    <x v="2"/>
    <x v="3"/>
    <x v="2"/>
  </r>
  <r>
    <s v="Triumph Foods"/>
    <s v="Croplands"/>
    <s v="Western Europe"/>
    <n v="141"/>
    <x v="2"/>
    <x v="3"/>
    <x v="2"/>
  </r>
  <r>
    <s v="Tyson"/>
    <s v="Grazing"/>
    <s v="East Asia and Southeast Asia"/>
    <n v="1"/>
    <x v="2"/>
    <x v="3"/>
    <x v="2"/>
  </r>
  <r>
    <s v="Tyson"/>
    <s v="Grazing"/>
    <s v="Eastern Europe"/>
    <n v="0"/>
    <x v="2"/>
    <x v="3"/>
    <x v="2"/>
  </r>
  <r>
    <s v="Tyson"/>
    <s v="Grazing"/>
    <s v="Latin America and the Caribbean"/>
    <n v="1"/>
    <x v="2"/>
    <x v="3"/>
    <x v="2"/>
  </r>
  <r>
    <s v="Tyson"/>
    <s v="Grazing"/>
    <s v="Near East and North Africa"/>
    <n v="0"/>
    <x v="2"/>
    <x v="3"/>
    <x v="2"/>
  </r>
  <r>
    <s v="Tyson"/>
    <s v="Grazing"/>
    <s v="North America"/>
    <n v="1402"/>
    <x v="2"/>
    <x v="3"/>
    <x v="2"/>
  </r>
  <r>
    <s v="Tyson"/>
    <s v="Grazing"/>
    <s v="Oceania"/>
    <n v="4"/>
    <x v="2"/>
    <x v="3"/>
    <x v="2"/>
  </r>
  <r>
    <s v="Tyson"/>
    <s v="Grazing"/>
    <s v="RoW"/>
    <n v="0"/>
    <x v="2"/>
    <x v="3"/>
    <x v="2"/>
  </r>
  <r>
    <s v="Tyson"/>
    <s v="Grazing"/>
    <s v="Russian Federation"/>
    <n v="0"/>
    <x v="2"/>
    <x v="3"/>
    <x v="2"/>
  </r>
  <r>
    <s v="Tyson"/>
    <s v="Grazing"/>
    <s v="South Asia"/>
    <n v="0"/>
    <x v="2"/>
    <x v="3"/>
    <x v="2"/>
  </r>
  <r>
    <s v="Tyson"/>
    <s v="Grazing"/>
    <s v="Sub-Saharan Africa"/>
    <n v="0"/>
    <x v="2"/>
    <x v="3"/>
    <x v="2"/>
  </r>
  <r>
    <s v="Tyson"/>
    <s v="Grazing"/>
    <s v="Western Europe"/>
    <n v="31"/>
    <x v="2"/>
    <x v="3"/>
    <x v="2"/>
  </r>
  <r>
    <s v="Tyson"/>
    <s v="Croplands"/>
    <s v="East Asia and Southeast Asia"/>
    <n v="91"/>
    <x v="2"/>
    <x v="3"/>
    <x v="2"/>
  </r>
  <r>
    <s v="Tyson"/>
    <s v="Croplands"/>
    <s v="Eastern Europe"/>
    <n v="124"/>
    <x v="2"/>
    <x v="3"/>
    <x v="2"/>
  </r>
  <r>
    <s v="Tyson"/>
    <s v="Croplands"/>
    <s v="Latin America and the Caribbean"/>
    <n v="219"/>
    <x v="2"/>
    <x v="3"/>
    <x v="2"/>
  </r>
  <r>
    <s v="Tyson"/>
    <s v="Croplands"/>
    <s v="Near East and North Africa"/>
    <n v="20"/>
    <x v="2"/>
    <x v="3"/>
    <x v="2"/>
  </r>
  <r>
    <s v="Tyson"/>
    <s v="Croplands"/>
    <s v="North America"/>
    <n v="139640"/>
    <x v="2"/>
    <x v="3"/>
    <x v="2"/>
  </r>
  <r>
    <s v="Tyson"/>
    <s v="Croplands"/>
    <s v="Oceania"/>
    <n v="20"/>
    <x v="2"/>
    <x v="3"/>
    <x v="2"/>
  </r>
  <r>
    <s v="Tyson"/>
    <s v="Croplands"/>
    <s v="RoW"/>
    <n v="0"/>
    <x v="2"/>
    <x v="3"/>
    <x v="2"/>
  </r>
  <r>
    <s v="Tyson"/>
    <s v="Croplands"/>
    <s v="Russian Federation"/>
    <n v="6"/>
    <x v="2"/>
    <x v="3"/>
    <x v="2"/>
  </r>
  <r>
    <s v="Tyson"/>
    <s v="Croplands"/>
    <s v="South Asia"/>
    <n v="1204"/>
    <x v="2"/>
    <x v="3"/>
    <x v="2"/>
  </r>
  <r>
    <s v="Tyson"/>
    <s v="Croplands"/>
    <s v="Sub-Saharan Africa"/>
    <n v="6"/>
    <x v="2"/>
    <x v="3"/>
    <x v="2"/>
  </r>
  <r>
    <s v="Tyson"/>
    <s v="Croplands"/>
    <s v="Western Europe"/>
    <n v="556"/>
    <x v="2"/>
    <x v="3"/>
    <x v="2"/>
  </r>
  <r>
    <s v="Vion Food Group"/>
    <s v="Grazing"/>
    <s v="East Asia and Southeast Asia"/>
    <n v="0"/>
    <x v="2"/>
    <x v="3"/>
    <x v="2"/>
  </r>
  <r>
    <s v="Vion Food Group"/>
    <s v="Grazing"/>
    <s v="Eastern Europe"/>
    <n v="8"/>
    <x v="2"/>
    <x v="3"/>
    <x v="2"/>
  </r>
  <r>
    <s v="Vion Food Group"/>
    <s v="Grazing"/>
    <s v="Latin America and the Caribbean"/>
    <n v="0"/>
    <x v="2"/>
    <x v="3"/>
    <x v="2"/>
  </r>
  <r>
    <s v="Vion Food Group"/>
    <s v="Grazing"/>
    <s v="Near East and North Africa"/>
    <n v="3"/>
    <x v="2"/>
    <x v="3"/>
    <x v="2"/>
  </r>
  <r>
    <s v="Vion Food Group"/>
    <s v="Grazing"/>
    <s v="North America"/>
    <n v="10"/>
    <x v="2"/>
    <x v="3"/>
    <x v="2"/>
  </r>
  <r>
    <s v="Vion Food Group"/>
    <s v="Grazing"/>
    <s v="Oceania"/>
    <n v="1"/>
    <x v="2"/>
    <x v="3"/>
    <x v="2"/>
  </r>
  <r>
    <s v="Vion Food Group"/>
    <s v="Grazing"/>
    <s v="RoW"/>
    <n v="0"/>
    <x v="2"/>
    <x v="3"/>
    <x v="2"/>
  </r>
  <r>
    <s v="Vion Food Group"/>
    <s v="Grazing"/>
    <s v="Russian Federation"/>
    <n v="0"/>
    <x v="2"/>
    <x v="3"/>
    <x v="2"/>
  </r>
  <r>
    <s v="Vion Food Group"/>
    <s v="Grazing"/>
    <s v="South Asia"/>
    <n v="0"/>
    <x v="2"/>
    <x v="3"/>
    <x v="2"/>
  </r>
  <r>
    <s v="Vion Food Group"/>
    <s v="Grazing"/>
    <s v="Sub-Saharan Africa"/>
    <n v="0"/>
    <x v="2"/>
    <x v="3"/>
    <x v="2"/>
  </r>
  <r>
    <s v="Vion Food Group"/>
    <s v="Grazing"/>
    <s v="Western Europe"/>
    <n v="6198"/>
    <x v="2"/>
    <x v="3"/>
    <x v="2"/>
  </r>
  <r>
    <s v="Vion Food Group"/>
    <s v="Croplands"/>
    <s v="East Asia and Southeast Asia"/>
    <n v="1133"/>
    <x v="2"/>
    <x v="3"/>
    <x v="2"/>
  </r>
  <r>
    <s v="Vion Food Group"/>
    <s v="Croplands"/>
    <s v="Eastern Europe"/>
    <n v="13924"/>
    <x v="2"/>
    <x v="3"/>
    <x v="2"/>
  </r>
  <r>
    <s v="Vion Food Group"/>
    <s v="Croplands"/>
    <s v="Latin America and the Caribbean"/>
    <n v="3093"/>
    <x v="2"/>
    <x v="3"/>
    <x v="2"/>
  </r>
  <r>
    <s v="Vion Food Group"/>
    <s v="Croplands"/>
    <s v="Near East and North Africa"/>
    <n v="199"/>
    <x v="2"/>
    <x v="3"/>
    <x v="2"/>
  </r>
  <r>
    <s v="Vion Food Group"/>
    <s v="Croplands"/>
    <s v="North America"/>
    <n v="4413"/>
    <x v="2"/>
    <x v="3"/>
    <x v="2"/>
  </r>
  <r>
    <s v="Vion Food Group"/>
    <s v="Croplands"/>
    <s v="Oceania"/>
    <n v="306"/>
    <x v="2"/>
    <x v="3"/>
    <x v="2"/>
  </r>
  <r>
    <s v="Vion Food Group"/>
    <s v="Croplands"/>
    <s v="RoW"/>
    <n v="0"/>
    <x v="2"/>
    <x v="3"/>
    <x v="2"/>
  </r>
  <r>
    <s v="Vion Food Group"/>
    <s v="Croplands"/>
    <s v="Russian Federation"/>
    <n v="253"/>
    <x v="2"/>
    <x v="3"/>
    <x v="2"/>
  </r>
  <r>
    <s v="Vion Food Group"/>
    <s v="Croplands"/>
    <s v="South Asia"/>
    <n v="609"/>
    <x v="2"/>
    <x v="3"/>
    <x v="2"/>
  </r>
  <r>
    <s v="Vion Food Group"/>
    <s v="Croplands"/>
    <s v="Sub-Saharan Africa"/>
    <n v="63"/>
    <x v="2"/>
    <x v="3"/>
    <x v="2"/>
  </r>
  <r>
    <s v="Vion Food Group"/>
    <s v="Croplands"/>
    <s v="Western Europe"/>
    <n v="119028"/>
    <x v="2"/>
    <x v="3"/>
    <x v="2"/>
  </r>
  <r>
    <s v="Wen's Food Group"/>
    <s v="Grazing"/>
    <s v="East Asia and Southeast Asia"/>
    <n v="76"/>
    <x v="2"/>
    <x v="3"/>
    <x v="2"/>
  </r>
  <r>
    <s v="Wen's Food Group"/>
    <s v="Grazing"/>
    <s v="Eastern Europe"/>
    <n v="4"/>
    <x v="2"/>
    <x v="3"/>
    <x v="2"/>
  </r>
  <r>
    <s v="Wen's Food Group"/>
    <s v="Grazing"/>
    <s v="Latin America and the Caribbean"/>
    <n v="0"/>
    <x v="2"/>
    <x v="3"/>
    <x v="2"/>
  </r>
  <r>
    <s v="Wen's Food Group"/>
    <s v="Grazing"/>
    <s v="Near East and North Africa"/>
    <n v="1"/>
    <x v="2"/>
    <x v="3"/>
    <x v="2"/>
  </r>
  <r>
    <s v="Wen's Food Group"/>
    <s v="Grazing"/>
    <s v="North America"/>
    <n v="2"/>
    <x v="2"/>
    <x v="3"/>
    <x v="2"/>
  </r>
  <r>
    <s v="Wen's Food Group"/>
    <s v="Grazing"/>
    <s v="Oceania"/>
    <n v="6"/>
    <x v="2"/>
    <x v="3"/>
    <x v="2"/>
  </r>
  <r>
    <s v="Wen's Food Group"/>
    <s v="Grazing"/>
    <s v="RoW"/>
    <n v="0"/>
    <x v="2"/>
    <x v="3"/>
    <x v="2"/>
  </r>
  <r>
    <s v="Wen's Food Group"/>
    <s v="Grazing"/>
    <s v="Russian Federation"/>
    <n v="0"/>
    <x v="2"/>
    <x v="3"/>
    <x v="2"/>
  </r>
  <r>
    <s v="Wen's Food Group"/>
    <s v="Grazing"/>
    <s v="South Asia"/>
    <n v="0"/>
    <x v="2"/>
    <x v="3"/>
    <x v="2"/>
  </r>
  <r>
    <s v="Wen's Food Group"/>
    <s v="Grazing"/>
    <s v="Sub-Saharan Africa"/>
    <n v="0"/>
    <x v="2"/>
    <x v="3"/>
    <x v="2"/>
  </r>
  <r>
    <s v="Wen's Food Group"/>
    <s v="Grazing"/>
    <s v="Western Europe"/>
    <n v="57"/>
    <x v="2"/>
    <x v="3"/>
    <x v="2"/>
  </r>
  <r>
    <s v="Wen's Food Group"/>
    <s v="Croplands"/>
    <s v="East Asia and Southeast Asia"/>
    <n v="37799"/>
    <x v="2"/>
    <x v="3"/>
    <x v="2"/>
  </r>
  <r>
    <s v="Wen's Food Group"/>
    <s v="Croplands"/>
    <s v="Eastern Europe"/>
    <n v="285"/>
    <x v="2"/>
    <x v="3"/>
    <x v="2"/>
  </r>
  <r>
    <s v="Wen's Food Group"/>
    <s v="Croplands"/>
    <s v="Latin America and the Caribbean"/>
    <n v="1278"/>
    <x v="2"/>
    <x v="3"/>
    <x v="2"/>
  </r>
  <r>
    <s v="Wen's Food Group"/>
    <s v="Croplands"/>
    <s v="Near East and North Africa"/>
    <n v="39"/>
    <x v="2"/>
    <x v="3"/>
    <x v="2"/>
  </r>
  <r>
    <s v="Wen's Food Group"/>
    <s v="Croplands"/>
    <s v="North America"/>
    <n v="3758"/>
    <x v="2"/>
    <x v="3"/>
    <x v="2"/>
  </r>
  <r>
    <s v="Wen's Food Group"/>
    <s v="Croplands"/>
    <s v="Oceania"/>
    <n v="356"/>
    <x v="2"/>
    <x v="3"/>
    <x v="2"/>
  </r>
  <r>
    <s v="Wen's Food Group"/>
    <s v="Croplands"/>
    <s v="RoW"/>
    <n v="0"/>
    <x v="2"/>
    <x v="3"/>
    <x v="2"/>
  </r>
  <r>
    <s v="Wen's Food Group"/>
    <s v="Croplands"/>
    <s v="Russian Federation"/>
    <n v="41"/>
    <x v="2"/>
    <x v="3"/>
    <x v="2"/>
  </r>
  <r>
    <s v="Wen's Food Group"/>
    <s v="Croplands"/>
    <s v="South Asia"/>
    <n v="235"/>
    <x v="2"/>
    <x v="3"/>
    <x v="2"/>
  </r>
  <r>
    <s v="Wen's Food Group"/>
    <s v="Croplands"/>
    <s v="Sub-Saharan Africa"/>
    <n v="51"/>
    <x v="2"/>
    <x v="3"/>
    <x v="2"/>
  </r>
  <r>
    <s v="Wen's Food Group"/>
    <s v="Croplands"/>
    <s v="Western Europe"/>
    <n v="149"/>
    <x v="2"/>
    <x v="3"/>
    <x v="2"/>
  </r>
  <r>
    <s v="Westfleisch"/>
    <s v="Grazing"/>
    <s v="East Asia and Southeast Asia"/>
    <n v="0"/>
    <x v="2"/>
    <x v="3"/>
    <x v="2"/>
  </r>
  <r>
    <s v="Westfleisch"/>
    <s v="Grazing"/>
    <s v="Eastern Europe"/>
    <n v="4"/>
    <x v="2"/>
    <x v="3"/>
    <x v="2"/>
  </r>
  <r>
    <s v="Westfleisch"/>
    <s v="Grazing"/>
    <s v="Latin America and the Caribbean"/>
    <n v="0"/>
    <x v="2"/>
    <x v="3"/>
    <x v="2"/>
  </r>
  <r>
    <s v="Westfleisch"/>
    <s v="Grazing"/>
    <s v="Near East and North Africa"/>
    <n v="1"/>
    <x v="2"/>
    <x v="3"/>
    <x v="2"/>
  </r>
  <r>
    <s v="Westfleisch"/>
    <s v="Grazing"/>
    <s v="North America"/>
    <n v="4"/>
    <x v="2"/>
    <x v="3"/>
    <x v="2"/>
  </r>
  <r>
    <s v="Westfleisch"/>
    <s v="Grazing"/>
    <s v="Oceania"/>
    <n v="0"/>
    <x v="2"/>
    <x v="3"/>
    <x v="2"/>
  </r>
  <r>
    <s v="Westfleisch"/>
    <s v="Grazing"/>
    <s v="RoW"/>
    <n v="0"/>
    <x v="2"/>
    <x v="3"/>
    <x v="2"/>
  </r>
  <r>
    <s v="Westfleisch"/>
    <s v="Grazing"/>
    <s v="Russian Federation"/>
    <n v="0"/>
    <x v="2"/>
    <x v="3"/>
    <x v="2"/>
  </r>
  <r>
    <s v="Westfleisch"/>
    <s v="Grazing"/>
    <s v="South Asia"/>
    <n v="0"/>
    <x v="2"/>
    <x v="3"/>
    <x v="2"/>
  </r>
  <r>
    <s v="Westfleisch"/>
    <s v="Grazing"/>
    <s v="Sub-Saharan Africa"/>
    <n v="0"/>
    <x v="2"/>
    <x v="3"/>
    <x v="2"/>
  </r>
  <r>
    <s v="Westfleisch"/>
    <s v="Grazing"/>
    <s v="Western Europe"/>
    <n v="2687"/>
    <x v="2"/>
    <x v="3"/>
    <x v="2"/>
  </r>
  <r>
    <s v="Westfleisch"/>
    <s v="Croplands"/>
    <s v="East Asia and Southeast Asia"/>
    <n v="491"/>
    <x v="2"/>
    <x v="3"/>
    <x v="2"/>
  </r>
  <r>
    <s v="Westfleisch"/>
    <s v="Croplands"/>
    <s v="Eastern Europe"/>
    <n v="6037"/>
    <x v="2"/>
    <x v="3"/>
    <x v="2"/>
  </r>
  <r>
    <s v="Westfleisch"/>
    <s v="Croplands"/>
    <s v="Latin America and the Caribbean"/>
    <n v="1341"/>
    <x v="2"/>
    <x v="3"/>
    <x v="2"/>
  </r>
  <r>
    <s v="Westfleisch"/>
    <s v="Croplands"/>
    <s v="Near East and North Africa"/>
    <n v="86"/>
    <x v="2"/>
    <x v="3"/>
    <x v="2"/>
  </r>
  <r>
    <s v="Westfleisch"/>
    <s v="Croplands"/>
    <s v="North America"/>
    <n v="1913"/>
    <x v="2"/>
    <x v="3"/>
    <x v="2"/>
  </r>
  <r>
    <s v="Westfleisch"/>
    <s v="Croplands"/>
    <s v="Oceania"/>
    <n v="133"/>
    <x v="2"/>
    <x v="3"/>
    <x v="2"/>
  </r>
  <r>
    <s v="Westfleisch"/>
    <s v="Croplands"/>
    <s v="RoW"/>
    <n v="0"/>
    <x v="2"/>
    <x v="3"/>
    <x v="2"/>
  </r>
  <r>
    <s v="Westfleisch"/>
    <s v="Croplands"/>
    <s v="Russian Federation"/>
    <n v="110"/>
    <x v="2"/>
    <x v="3"/>
    <x v="2"/>
  </r>
  <r>
    <s v="Westfleisch"/>
    <s v="Croplands"/>
    <s v="South Asia"/>
    <n v="264"/>
    <x v="2"/>
    <x v="3"/>
    <x v="2"/>
  </r>
  <r>
    <s v="Westfleisch"/>
    <s v="Croplands"/>
    <s v="Sub-Saharan Africa"/>
    <n v="28"/>
    <x v="2"/>
    <x v="3"/>
    <x v="2"/>
  </r>
  <r>
    <s v="Westfleisch"/>
    <s v="Croplands"/>
    <s v="Western Europe"/>
    <n v="51607"/>
    <x v="2"/>
    <x v="3"/>
    <x v="2"/>
  </r>
  <r>
    <s v="WH Group"/>
    <s v="Grazing"/>
    <s v="East Asia and Southeast Asia"/>
    <n v="262"/>
    <x v="2"/>
    <x v="3"/>
    <x v="2"/>
  </r>
  <r>
    <s v="WH Group"/>
    <s v="Grazing"/>
    <s v="Eastern Europe"/>
    <n v="151"/>
    <x v="2"/>
    <x v="3"/>
    <x v="2"/>
  </r>
  <r>
    <s v="WH Group"/>
    <s v="Grazing"/>
    <s v="Latin America and the Caribbean"/>
    <n v="3"/>
    <x v="2"/>
    <x v="3"/>
    <x v="2"/>
  </r>
  <r>
    <s v="WH Group"/>
    <s v="Grazing"/>
    <s v="Near East and North Africa"/>
    <n v="6"/>
    <x v="2"/>
    <x v="3"/>
    <x v="2"/>
  </r>
  <r>
    <s v="WH Group"/>
    <s v="Grazing"/>
    <s v="North America"/>
    <n v="2032"/>
    <x v="2"/>
    <x v="3"/>
    <x v="2"/>
  </r>
  <r>
    <s v="WH Group"/>
    <s v="Grazing"/>
    <s v="Oceania"/>
    <n v="26"/>
    <x v="2"/>
    <x v="3"/>
    <x v="2"/>
  </r>
  <r>
    <s v="WH Group"/>
    <s v="Grazing"/>
    <s v="RoW"/>
    <n v="0"/>
    <x v="2"/>
    <x v="3"/>
    <x v="2"/>
  </r>
  <r>
    <s v="WH Group"/>
    <s v="Grazing"/>
    <s v="Russian Federation"/>
    <n v="0"/>
    <x v="2"/>
    <x v="3"/>
    <x v="2"/>
  </r>
  <r>
    <s v="WH Group"/>
    <s v="Grazing"/>
    <s v="South Asia"/>
    <n v="0"/>
    <x v="2"/>
    <x v="3"/>
    <x v="2"/>
  </r>
  <r>
    <s v="WH Group"/>
    <s v="Grazing"/>
    <s v="Sub-Saharan Africa"/>
    <n v="0"/>
    <x v="2"/>
    <x v="3"/>
    <x v="2"/>
  </r>
  <r>
    <s v="WH Group"/>
    <s v="Grazing"/>
    <s v="Western Europe"/>
    <n v="642"/>
    <x v="2"/>
    <x v="3"/>
    <x v="2"/>
  </r>
  <r>
    <s v="WH Group"/>
    <s v="Croplands"/>
    <s v="East Asia and Southeast Asia"/>
    <n v="129974"/>
    <x v="2"/>
    <x v="3"/>
    <x v="2"/>
  </r>
  <r>
    <s v="WH Group"/>
    <s v="Croplands"/>
    <s v="Eastern Europe"/>
    <n v="46008"/>
    <x v="2"/>
    <x v="3"/>
    <x v="2"/>
  </r>
  <r>
    <s v="WH Group"/>
    <s v="Croplands"/>
    <s v="Latin America and the Caribbean"/>
    <n v="5158"/>
    <x v="2"/>
    <x v="3"/>
    <x v="2"/>
  </r>
  <r>
    <s v="WH Group"/>
    <s v="Croplands"/>
    <s v="Near East and North Africa"/>
    <n v="215"/>
    <x v="2"/>
    <x v="3"/>
    <x v="2"/>
  </r>
  <r>
    <s v="WH Group"/>
    <s v="Croplands"/>
    <s v="North America"/>
    <n v="214935"/>
    <x v="2"/>
    <x v="3"/>
    <x v="2"/>
  </r>
  <r>
    <s v="WH Group"/>
    <s v="Croplands"/>
    <s v="Oceania"/>
    <n v="1267"/>
    <x v="2"/>
    <x v="3"/>
    <x v="2"/>
  </r>
  <r>
    <s v="WH Group"/>
    <s v="Croplands"/>
    <s v="RoW"/>
    <n v="0"/>
    <x v="2"/>
    <x v="3"/>
    <x v="2"/>
  </r>
  <r>
    <s v="WH Group"/>
    <s v="Croplands"/>
    <s v="Russian Federation"/>
    <n v="316"/>
    <x v="2"/>
    <x v="3"/>
    <x v="2"/>
  </r>
  <r>
    <s v="WH Group"/>
    <s v="Croplands"/>
    <s v="South Asia"/>
    <n v="2687"/>
    <x v="2"/>
    <x v="3"/>
    <x v="2"/>
  </r>
  <r>
    <s v="WH Group"/>
    <s v="Croplands"/>
    <s v="Sub-Saharan Africa"/>
    <n v="188"/>
    <x v="2"/>
    <x v="3"/>
    <x v="2"/>
  </r>
  <r>
    <s v="WH Group"/>
    <s v="Croplands"/>
    <s v="Western Europe"/>
    <n v="7724"/>
    <x v="2"/>
    <x v="3"/>
    <x v="2"/>
  </r>
  <r>
    <s v="Zhengbang Group"/>
    <s v="Grazing"/>
    <s v="East Asia and Southeast Asia"/>
    <n v="167"/>
    <x v="2"/>
    <x v="3"/>
    <x v="2"/>
  </r>
  <r>
    <s v="Zhengbang Group"/>
    <s v="Grazing"/>
    <s v="Eastern Europe"/>
    <n v="8"/>
    <x v="2"/>
    <x v="3"/>
    <x v="2"/>
  </r>
  <r>
    <s v="Zhengbang Group"/>
    <s v="Grazing"/>
    <s v="Latin America and the Caribbean"/>
    <n v="0"/>
    <x v="2"/>
    <x v="3"/>
    <x v="2"/>
  </r>
  <r>
    <s v="Zhengbang Group"/>
    <s v="Grazing"/>
    <s v="Near East and North Africa"/>
    <n v="3"/>
    <x v="2"/>
    <x v="3"/>
    <x v="2"/>
  </r>
  <r>
    <s v="Zhengbang Group"/>
    <s v="Grazing"/>
    <s v="North America"/>
    <n v="4"/>
    <x v="2"/>
    <x v="3"/>
    <x v="2"/>
  </r>
  <r>
    <s v="Zhengbang Group"/>
    <s v="Grazing"/>
    <s v="Oceania"/>
    <n v="13"/>
    <x v="2"/>
    <x v="3"/>
    <x v="2"/>
  </r>
  <r>
    <s v="Zhengbang Group"/>
    <s v="Grazing"/>
    <s v="RoW"/>
    <n v="0"/>
    <x v="2"/>
    <x v="3"/>
    <x v="2"/>
  </r>
  <r>
    <s v="Zhengbang Group"/>
    <s v="Grazing"/>
    <s v="Russian Federation"/>
    <n v="0"/>
    <x v="2"/>
    <x v="3"/>
    <x v="2"/>
  </r>
  <r>
    <s v="Zhengbang Group"/>
    <s v="Grazing"/>
    <s v="South Asia"/>
    <n v="0"/>
    <x v="2"/>
    <x v="3"/>
    <x v="2"/>
  </r>
  <r>
    <s v="Zhengbang Group"/>
    <s v="Grazing"/>
    <s v="Sub-Saharan Africa"/>
    <n v="0"/>
    <x v="2"/>
    <x v="3"/>
    <x v="2"/>
  </r>
  <r>
    <s v="Zhengbang Group"/>
    <s v="Grazing"/>
    <s v="Western Europe"/>
    <n v="126"/>
    <x v="2"/>
    <x v="3"/>
    <x v="2"/>
  </r>
  <r>
    <s v="Zhengbang Group"/>
    <s v="Croplands"/>
    <s v="East Asia and Southeast Asia"/>
    <n v="83176"/>
    <x v="2"/>
    <x v="3"/>
    <x v="2"/>
  </r>
  <r>
    <s v="Zhengbang Group"/>
    <s v="Croplands"/>
    <s v="Eastern Europe"/>
    <n v="627"/>
    <x v="2"/>
    <x v="3"/>
    <x v="2"/>
  </r>
  <r>
    <s v="Zhengbang Group"/>
    <s v="Croplands"/>
    <s v="Latin America and the Caribbean"/>
    <n v="2811"/>
    <x v="2"/>
    <x v="3"/>
    <x v="2"/>
  </r>
  <r>
    <s v="Zhengbang Group"/>
    <s v="Croplands"/>
    <s v="Near East and North Africa"/>
    <n v="86"/>
    <x v="2"/>
    <x v="3"/>
    <x v="2"/>
  </r>
  <r>
    <s v="Zhengbang Group"/>
    <s v="Croplands"/>
    <s v="North America"/>
    <n v="8269"/>
    <x v="2"/>
    <x v="3"/>
    <x v="2"/>
  </r>
  <r>
    <s v="Zhengbang Group"/>
    <s v="Croplands"/>
    <s v="Oceania"/>
    <n v="784"/>
    <x v="2"/>
    <x v="3"/>
    <x v="2"/>
  </r>
  <r>
    <s v="Zhengbang Group"/>
    <s v="Croplands"/>
    <s v="RoW"/>
    <n v="0"/>
    <x v="2"/>
    <x v="3"/>
    <x v="2"/>
  </r>
  <r>
    <s v="Zhengbang Group"/>
    <s v="Croplands"/>
    <s v="Russian Federation"/>
    <n v="91"/>
    <x v="2"/>
    <x v="3"/>
    <x v="2"/>
  </r>
  <r>
    <s v="Zhengbang Group"/>
    <s v="Croplands"/>
    <s v="South Asia"/>
    <n v="517"/>
    <x v="2"/>
    <x v="3"/>
    <x v="2"/>
  </r>
  <r>
    <s v="Zhengbang Group"/>
    <s v="Croplands"/>
    <s v="Sub-Saharan Africa"/>
    <n v="112"/>
    <x v="2"/>
    <x v="3"/>
    <x v="2"/>
  </r>
  <r>
    <s v="Zhengbang Group"/>
    <s v="Croplands"/>
    <s v="Western Europe"/>
    <n v="329"/>
    <x v="2"/>
    <x v="3"/>
    <x v="2"/>
  </r>
  <r>
    <s v="Dairy Farmers of America"/>
    <s v="Grazing"/>
    <s v="East Asia and Southeast Asia"/>
    <n v="2"/>
    <x v="3"/>
    <x v="0"/>
    <x v="0"/>
  </r>
  <r>
    <s v="Dairy Farmers of America"/>
    <s v="Grazing"/>
    <s v="Eastern Europe"/>
    <n v="0"/>
    <x v="3"/>
    <x v="0"/>
    <x v="0"/>
  </r>
  <r>
    <s v="Dairy Farmers of America"/>
    <s v="Grazing"/>
    <s v="Latin America and the Caribbean"/>
    <n v="21"/>
    <x v="3"/>
    <x v="0"/>
    <x v="0"/>
  </r>
  <r>
    <s v="Dairy Farmers of America"/>
    <s v="Grazing"/>
    <s v="Near East and North Africa"/>
    <n v="0"/>
    <x v="3"/>
    <x v="0"/>
    <x v="0"/>
  </r>
  <r>
    <s v="Dairy Farmers of America"/>
    <s v="Grazing"/>
    <s v="North America"/>
    <n v="11506"/>
    <x v="3"/>
    <x v="0"/>
    <x v="0"/>
  </r>
  <r>
    <s v="Dairy Farmers of America"/>
    <s v="Grazing"/>
    <s v="Oceania"/>
    <n v="15"/>
    <x v="3"/>
    <x v="0"/>
    <x v="0"/>
  </r>
  <r>
    <s v="Dairy Farmers of America"/>
    <s v="Grazing"/>
    <s v="RoW"/>
    <n v="0"/>
    <x v="3"/>
    <x v="0"/>
    <x v="0"/>
  </r>
  <r>
    <s v="Dairy Farmers of America"/>
    <s v="Grazing"/>
    <s v="Russian Federation"/>
    <n v="0"/>
    <x v="3"/>
    <x v="0"/>
    <x v="0"/>
  </r>
  <r>
    <s v="Dairy Farmers of America"/>
    <s v="Grazing"/>
    <s v="South Asia"/>
    <n v="0"/>
    <x v="3"/>
    <x v="0"/>
    <x v="0"/>
  </r>
  <r>
    <s v="Dairy Farmers of America"/>
    <s v="Grazing"/>
    <s v="Sub-Saharan Africa"/>
    <n v="0"/>
    <x v="3"/>
    <x v="0"/>
    <x v="0"/>
  </r>
  <r>
    <s v="Dairy Farmers of America"/>
    <s v="Grazing"/>
    <s v="Western Europe"/>
    <n v="0"/>
    <x v="3"/>
    <x v="0"/>
    <x v="0"/>
  </r>
  <r>
    <s v="Dairy Farmers of America"/>
    <s v="Croplands"/>
    <s v="East Asia and Southeast Asia"/>
    <n v="1"/>
    <x v="3"/>
    <x v="0"/>
    <x v="0"/>
  </r>
  <r>
    <s v="Dairy Farmers of America"/>
    <s v="Croplands"/>
    <s v="Eastern Europe"/>
    <n v="2"/>
    <x v="3"/>
    <x v="0"/>
    <x v="0"/>
  </r>
  <r>
    <s v="Dairy Farmers of America"/>
    <s v="Croplands"/>
    <s v="Latin America and the Caribbean"/>
    <n v="7"/>
    <x v="3"/>
    <x v="0"/>
    <x v="0"/>
  </r>
  <r>
    <s v="Dairy Farmers of America"/>
    <s v="Croplands"/>
    <s v="Near East and North Africa"/>
    <n v="0"/>
    <x v="3"/>
    <x v="0"/>
    <x v="0"/>
  </r>
  <r>
    <s v="Dairy Farmers of America"/>
    <s v="Croplands"/>
    <s v="North America"/>
    <n v="2812"/>
    <x v="3"/>
    <x v="0"/>
    <x v="0"/>
  </r>
  <r>
    <s v="Dairy Farmers of America"/>
    <s v="Croplands"/>
    <s v="Oceania"/>
    <n v="0"/>
    <x v="3"/>
    <x v="0"/>
    <x v="0"/>
  </r>
  <r>
    <s v="Dairy Farmers of America"/>
    <s v="Croplands"/>
    <s v="RoW"/>
    <n v="0"/>
    <x v="3"/>
    <x v="0"/>
    <x v="0"/>
  </r>
  <r>
    <s v="Dairy Farmers of America"/>
    <s v="Croplands"/>
    <s v="Russian Federation"/>
    <n v="0"/>
    <x v="3"/>
    <x v="0"/>
    <x v="0"/>
  </r>
  <r>
    <s v="Dairy Farmers of America"/>
    <s v="Croplands"/>
    <s v="South Asia"/>
    <n v="19"/>
    <x v="3"/>
    <x v="0"/>
    <x v="0"/>
  </r>
  <r>
    <s v="Dairy Farmers of America"/>
    <s v="Croplands"/>
    <s v="Sub-Saharan Africa"/>
    <n v="0"/>
    <x v="3"/>
    <x v="0"/>
    <x v="0"/>
  </r>
  <r>
    <s v="Dairy Farmers of America"/>
    <s v="Croplands"/>
    <s v="Western Europe"/>
    <n v="2"/>
    <x v="3"/>
    <x v="0"/>
    <x v="0"/>
  </r>
  <r>
    <s v="Lactalis"/>
    <s v="Grazing"/>
    <s v="East Asia and Southeast Asia"/>
    <n v="0"/>
    <x v="3"/>
    <x v="0"/>
    <x v="0"/>
  </r>
  <r>
    <s v="Lactalis"/>
    <s v="Grazing"/>
    <s v="Eastern Europe"/>
    <n v="0"/>
    <x v="3"/>
    <x v="0"/>
    <x v="0"/>
  </r>
  <r>
    <s v="Lactalis"/>
    <s v="Grazing"/>
    <s v="Latin America and the Caribbean"/>
    <n v="0"/>
    <x v="3"/>
    <x v="0"/>
    <x v="0"/>
  </r>
  <r>
    <s v="Lactalis"/>
    <s v="Grazing"/>
    <s v="Near East and North Africa"/>
    <n v="0"/>
    <x v="3"/>
    <x v="0"/>
    <x v="0"/>
  </r>
  <r>
    <s v="Lactalis"/>
    <s v="Grazing"/>
    <s v="North America"/>
    <n v="1"/>
    <x v="3"/>
    <x v="0"/>
    <x v="0"/>
  </r>
  <r>
    <s v="Lactalis"/>
    <s v="Grazing"/>
    <s v="Oceania"/>
    <n v="0"/>
    <x v="3"/>
    <x v="0"/>
    <x v="0"/>
  </r>
  <r>
    <s v="Lactalis"/>
    <s v="Grazing"/>
    <s v="RoW"/>
    <n v="0"/>
    <x v="3"/>
    <x v="0"/>
    <x v="0"/>
  </r>
  <r>
    <s v="Lactalis"/>
    <s v="Grazing"/>
    <s v="Russian Federation"/>
    <n v="0"/>
    <x v="3"/>
    <x v="0"/>
    <x v="0"/>
  </r>
  <r>
    <s v="Lactalis"/>
    <s v="Grazing"/>
    <s v="South Asia"/>
    <n v="0"/>
    <x v="3"/>
    <x v="0"/>
    <x v="0"/>
  </r>
  <r>
    <s v="Lactalis"/>
    <s v="Grazing"/>
    <s v="Sub-Saharan Africa"/>
    <n v="0"/>
    <x v="3"/>
    <x v="0"/>
    <x v="0"/>
  </r>
  <r>
    <s v="Lactalis"/>
    <s v="Grazing"/>
    <s v="Western Europe"/>
    <n v="2489"/>
    <x v="3"/>
    <x v="0"/>
    <x v="0"/>
  </r>
  <r>
    <s v="Lactalis"/>
    <s v="Croplands"/>
    <s v="East Asia and Southeast Asia"/>
    <n v="28"/>
    <x v="3"/>
    <x v="0"/>
    <x v="0"/>
  </r>
  <r>
    <s v="Lactalis"/>
    <s v="Croplands"/>
    <s v="Eastern Europe"/>
    <n v="253"/>
    <x v="3"/>
    <x v="0"/>
    <x v="0"/>
  </r>
  <r>
    <s v="Lactalis"/>
    <s v="Croplands"/>
    <s v="Latin America and the Caribbean"/>
    <n v="315"/>
    <x v="3"/>
    <x v="0"/>
    <x v="0"/>
  </r>
  <r>
    <s v="Lactalis"/>
    <s v="Croplands"/>
    <s v="Near East and North Africa"/>
    <n v="11"/>
    <x v="3"/>
    <x v="0"/>
    <x v="0"/>
  </r>
  <r>
    <s v="Lactalis"/>
    <s v="Croplands"/>
    <s v="North America"/>
    <n v="144"/>
    <x v="3"/>
    <x v="0"/>
    <x v="0"/>
  </r>
  <r>
    <s v="Lactalis"/>
    <s v="Croplands"/>
    <s v="Oceania"/>
    <n v="39"/>
    <x v="3"/>
    <x v="0"/>
    <x v="0"/>
  </r>
  <r>
    <s v="Lactalis"/>
    <s v="Croplands"/>
    <s v="RoW"/>
    <n v="0"/>
    <x v="3"/>
    <x v="0"/>
    <x v="0"/>
  </r>
  <r>
    <s v="Lactalis"/>
    <s v="Croplands"/>
    <s v="Russian Federation"/>
    <n v="63"/>
    <x v="3"/>
    <x v="0"/>
    <x v="0"/>
  </r>
  <r>
    <s v="Lactalis"/>
    <s v="Croplands"/>
    <s v="South Asia"/>
    <n v="21"/>
    <x v="3"/>
    <x v="0"/>
    <x v="0"/>
  </r>
  <r>
    <s v="Lactalis"/>
    <s v="Croplands"/>
    <s v="Sub-Saharan Africa"/>
    <n v="7"/>
    <x v="3"/>
    <x v="0"/>
    <x v="0"/>
  </r>
  <r>
    <s v="Lactalis"/>
    <s v="Croplands"/>
    <s v="Western Europe"/>
    <n v="998"/>
    <x v="3"/>
    <x v="0"/>
    <x v="0"/>
  </r>
  <r>
    <s v="Fonterra"/>
    <s v="Grazing"/>
    <s v="East Asia and Southeast Asia"/>
    <n v="0"/>
    <x v="3"/>
    <x v="0"/>
    <x v="0"/>
  </r>
  <r>
    <s v="Fonterra"/>
    <s v="Grazing"/>
    <s v="Eastern Europe"/>
    <n v="0"/>
    <x v="3"/>
    <x v="0"/>
    <x v="0"/>
  </r>
  <r>
    <s v="Fonterra"/>
    <s v="Grazing"/>
    <s v="Latin America and the Caribbean"/>
    <n v="0"/>
    <x v="3"/>
    <x v="0"/>
    <x v="0"/>
  </r>
  <r>
    <s v="Fonterra"/>
    <s v="Grazing"/>
    <s v="Near East and North Africa"/>
    <n v="0"/>
    <x v="3"/>
    <x v="0"/>
    <x v="0"/>
  </r>
  <r>
    <s v="Fonterra"/>
    <s v="Grazing"/>
    <s v="North America"/>
    <n v="0"/>
    <x v="3"/>
    <x v="0"/>
    <x v="0"/>
  </r>
  <r>
    <s v="Fonterra"/>
    <s v="Grazing"/>
    <s v="Oceania"/>
    <n v="9493"/>
    <x v="3"/>
    <x v="0"/>
    <x v="0"/>
  </r>
  <r>
    <s v="Fonterra"/>
    <s v="Grazing"/>
    <s v="RoW"/>
    <n v="0"/>
    <x v="3"/>
    <x v="0"/>
    <x v="0"/>
  </r>
  <r>
    <s v="Fonterra"/>
    <s v="Grazing"/>
    <s v="Russian Federation"/>
    <n v="0"/>
    <x v="3"/>
    <x v="0"/>
    <x v="0"/>
  </r>
  <r>
    <s v="Fonterra"/>
    <s v="Grazing"/>
    <s v="South Asia"/>
    <n v="0"/>
    <x v="3"/>
    <x v="0"/>
    <x v="0"/>
  </r>
  <r>
    <s v="Fonterra"/>
    <s v="Grazing"/>
    <s v="Sub-Saharan Africa"/>
    <n v="0"/>
    <x v="3"/>
    <x v="0"/>
    <x v="0"/>
  </r>
  <r>
    <s v="Fonterra"/>
    <s v="Grazing"/>
    <s v="Western Europe"/>
    <n v="0"/>
    <x v="3"/>
    <x v="0"/>
    <x v="0"/>
  </r>
  <r>
    <s v="Fonterra"/>
    <s v="Croplands"/>
    <s v="East Asia and Southeast Asia"/>
    <n v="138"/>
    <x v="3"/>
    <x v="0"/>
    <x v="0"/>
  </r>
  <r>
    <s v="Fonterra"/>
    <s v="Croplands"/>
    <s v="Eastern Europe"/>
    <n v="2"/>
    <x v="3"/>
    <x v="0"/>
    <x v="0"/>
  </r>
  <r>
    <s v="Fonterra"/>
    <s v="Croplands"/>
    <s v="Latin America and the Caribbean"/>
    <n v="102"/>
    <x v="3"/>
    <x v="0"/>
    <x v="0"/>
  </r>
  <r>
    <s v="Fonterra"/>
    <s v="Croplands"/>
    <s v="Near East and North Africa"/>
    <n v="0"/>
    <x v="3"/>
    <x v="0"/>
    <x v="0"/>
  </r>
  <r>
    <s v="Fonterra"/>
    <s v="Croplands"/>
    <s v="North America"/>
    <n v="7"/>
    <x v="3"/>
    <x v="0"/>
    <x v="0"/>
  </r>
  <r>
    <s v="Fonterra"/>
    <s v="Croplands"/>
    <s v="Oceania"/>
    <n v="284"/>
    <x v="3"/>
    <x v="0"/>
    <x v="0"/>
  </r>
  <r>
    <s v="Fonterra"/>
    <s v="Croplands"/>
    <s v="RoW"/>
    <n v="0"/>
    <x v="3"/>
    <x v="0"/>
    <x v="0"/>
  </r>
  <r>
    <s v="Fonterra"/>
    <s v="Croplands"/>
    <s v="Russian Federation"/>
    <n v="0"/>
    <x v="3"/>
    <x v="0"/>
    <x v="0"/>
  </r>
  <r>
    <s v="Fonterra"/>
    <s v="Croplands"/>
    <s v="South Asia"/>
    <n v="2"/>
    <x v="3"/>
    <x v="0"/>
    <x v="0"/>
  </r>
  <r>
    <s v="Fonterra"/>
    <s v="Croplands"/>
    <s v="Sub-Saharan Africa"/>
    <n v="0"/>
    <x v="3"/>
    <x v="0"/>
    <x v="0"/>
  </r>
  <r>
    <s v="Fonterra"/>
    <s v="Croplands"/>
    <s v="Western Europe"/>
    <n v="0"/>
    <x v="3"/>
    <x v="0"/>
    <x v="0"/>
  </r>
  <r>
    <s v="Arla"/>
    <s v="Grazing"/>
    <s v="East Asia and Southeast Asia"/>
    <n v="0"/>
    <x v="3"/>
    <x v="0"/>
    <x v="0"/>
  </r>
  <r>
    <s v="Arla"/>
    <s v="Grazing"/>
    <s v="Eastern Europe"/>
    <n v="0"/>
    <x v="3"/>
    <x v="0"/>
    <x v="0"/>
  </r>
  <r>
    <s v="Arla"/>
    <s v="Grazing"/>
    <s v="Latin America and the Caribbean"/>
    <n v="0"/>
    <x v="3"/>
    <x v="0"/>
    <x v="0"/>
  </r>
  <r>
    <s v="Arla"/>
    <s v="Grazing"/>
    <s v="Near East and North Africa"/>
    <n v="0"/>
    <x v="3"/>
    <x v="0"/>
    <x v="0"/>
  </r>
  <r>
    <s v="Arla"/>
    <s v="Grazing"/>
    <s v="North America"/>
    <n v="0"/>
    <x v="3"/>
    <x v="0"/>
    <x v="0"/>
  </r>
  <r>
    <s v="Arla"/>
    <s v="Grazing"/>
    <s v="Oceania"/>
    <n v="0"/>
    <x v="3"/>
    <x v="0"/>
    <x v="0"/>
  </r>
  <r>
    <s v="Arla"/>
    <s v="Grazing"/>
    <s v="RoW"/>
    <n v="0"/>
    <x v="3"/>
    <x v="0"/>
    <x v="0"/>
  </r>
  <r>
    <s v="Arla"/>
    <s v="Grazing"/>
    <s v="Russian Federation"/>
    <n v="0"/>
    <x v="3"/>
    <x v="0"/>
    <x v="0"/>
  </r>
  <r>
    <s v="Arla"/>
    <s v="Grazing"/>
    <s v="South Asia"/>
    <n v="0"/>
    <x v="3"/>
    <x v="0"/>
    <x v="0"/>
  </r>
  <r>
    <s v="Arla"/>
    <s v="Grazing"/>
    <s v="Sub-Saharan Africa"/>
    <n v="0"/>
    <x v="3"/>
    <x v="0"/>
    <x v="0"/>
  </r>
  <r>
    <s v="Arla"/>
    <s v="Grazing"/>
    <s v="Western Europe"/>
    <n v="1487"/>
    <x v="3"/>
    <x v="0"/>
    <x v="0"/>
  </r>
  <r>
    <s v="Arla"/>
    <s v="Croplands"/>
    <s v="East Asia and Southeast Asia"/>
    <n v="16"/>
    <x v="3"/>
    <x v="0"/>
    <x v="0"/>
  </r>
  <r>
    <s v="Arla"/>
    <s v="Croplands"/>
    <s v="Eastern Europe"/>
    <n v="151"/>
    <x v="3"/>
    <x v="0"/>
    <x v="0"/>
  </r>
  <r>
    <s v="Arla"/>
    <s v="Croplands"/>
    <s v="Latin America and the Caribbean"/>
    <n v="188"/>
    <x v="3"/>
    <x v="0"/>
    <x v="0"/>
  </r>
  <r>
    <s v="Arla"/>
    <s v="Croplands"/>
    <s v="Near East and North Africa"/>
    <n v="6"/>
    <x v="3"/>
    <x v="0"/>
    <x v="0"/>
  </r>
  <r>
    <s v="Arla"/>
    <s v="Croplands"/>
    <s v="North America"/>
    <n v="86"/>
    <x v="3"/>
    <x v="0"/>
    <x v="0"/>
  </r>
  <r>
    <s v="Arla"/>
    <s v="Croplands"/>
    <s v="Oceania"/>
    <n v="23"/>
    <x v="3"/>
    <x v="0"/>
    <x v="0"/>
  </r>
  <r>
    <s v="Arla"/>
    <s v="Croplands"/>
    <s v="RoW"/>
    <n v="0"/>
    <x v="3"/>
    <x v="0"/>
    <x v="0"/>
  </r>
  <r>
    <s v="Arla"/>
    <s v="Croplands"/>
    <s v="Russian Federation"/>
    <n v="38"/>
    <x v="3"/>
    <x v="0"/>
    <x v="0"/>
  </r>
  <r>
    <s v="Arla"/>
    <s v="Croplands"/>
    <s v="South Asia"/>
    <n v="13"/>
    <x v="3"/>
    <x v="0"/>
    <x v="0"/>
  </r>
  <r>
    <s v="Arla"/>
    <s v="Croplands"/>
    <s v="Sub-Saharan Africa"/>
    <n v="4"/>
    <x v="3"/>
    <x v="0"/>
    <x v="0"/>
  </r>
  <r>
    <s v="Arla"/>
    <s v="Croplands"/>
    <s v="Western Europe"/>
    <n v="596"/>
    <x v="3"/>
    <x v="0"/>
    <x v="0"/>
  </r>
  <r>
    <s v="Nestlé"/>
    <s v="Grazing"/>
    <s v="East Asia and Southeast Asia"/>
    <n v="0"/>
    <x v="3"/>
    <x v="0"/>
    <x v="0"/>
  </r>
  <r>
    <s v="Nestlé"/>
    <s v="Grazing"/>
    <s v="Eastern Europe"/>
    <n v="0"/>
    <x v="3"/>
    <x v="0"/>
    <x v="0"/>
  </r>
  <r>
    <s v="Nestlé"/>
    <s v="Grazing"/>
    <s v="Latin America and the Caribbean"/>
    <n v="0"/>
    <x v="3"/>
    <x v="0"/>
    <x v="0"/>
  </r>
  <r>
    <s v="Nestlé"/>
    <s v="Grazing"/>
    <s v="Near East and North Africa"/>
    <n v="0"/>
    <x v="3"/>
    <x v="0"/>
    <x v="0"/>
  </r>
  <r>
    <s v="Nestlé"/>
    <s v="Grazing"/>
    <s v="North America"/>
    <n v="0"/>
    <x v="3"/>
    <x v="0"/>
    <x v="0"/>
  </r>
  <r>
    <s v="Nestlé"/>
    <s v="Grazing"/>
    <s v="Oceania"/>
    <n v="0"/>
    <x v="3"/>
    <x v="0"/>
    <x v="0"/>
  </r>
  <r>
    <s v="Nestlé"/>
    <s v="Grazing"/>
    <s v="RoW"/>
    <n v="0"/>
    <x v="3"/>
    <x v="0"/>
    <x v="0"/>
  </r>
  <r>
    <s v="Nestlé"/>
    <s v="Grazing"/>
    <s v="Russian Federation"/>
    <n v="0"/>
    <x v="3"/>
    <x v="0"/>
    <x v="0"/>
  </r>
  <r>
    <s v="Nestlé"/>
    <s v="Grazing"/>
    <s v="South Asia"/>
    <n v="0"/>
    <x v="3"/>
    <x v="0"/>
    <x v="0"/>
  </r>
  <r>
    <s v="Nestlé"/>
    <s v="Grazing"/>
    <s v="Sub-Saharan Africa"/>
    <n v="0"/>
    <x v="3"/>
    <x v="0"/>
    <x v="0"/>
  </r>
  <r>
    <s v="Nestlé"/>
    <s v="Grazing"/>
    <s v="Western Europe"/>
    <n v="1487"/>
    <x v="3"/>
    <x v="0"/>
    <x v="0"/>
  </r>
  <r>
    <s v="Nestlé"/>
    <s v="Croplands"/>
    <s v="East Asia and Southeast Asia"/>
    <n v="16"/>
    <x v="3"/>
    <x v="0"/>
    <x v="0"/>
  </r>
  <r>
    <s v="Nestlé"/>
    <s v="Croplands"/>
    <s v="Eastern Europe"/>
    <n v="151"/>
    <x v="3"/>
    <x v="0"/>
    <x v="0"/>
  </r>
  <r>
    <s v="Nestlé"/>
    <s v="Croplands"/>
    <s v="Latin America and the Caribbean"/>
    <n v="188"/>
    <x v="3"/>
    <x v="0"/>
    <x v="0"/>
  </r>
  <r>
    <s v="Nestlé"/>
    <s v="Croplands"/>
    <s v="Near East and North Africa"/>
    <n v="6"/>
    <x v="3"/>
    <x v="0"/>
    <x v="0"/>
  </r>
  <r>
    <s v="Nestlé"/>
    <s v="Croplands"/>
    <s v="North America"/>
    <n v="86"/>
    <x v="3"/>
    <x v="0"/>
    <x v="0"/>
  </r>
  <r>
    <s v="Nestlé"/>
    <s v="Croplands"/>
    <s v="Oceania"/>
    <n v="23"/>
    <x v="3"/>
    <x v="0"/>
    <x v="0"/>
  </r>
  <r>
    <s v="Nestlé"/>
    <s v="Croplands"/>
    <s v="RoW"/>
    <n v="0"/>
    <x v="3"/>
    <x v="0"/>
    <x v="0"/>
  </r>
  <r>
    <s v="Nestlé"/>
    <s v="Croplands"/>
    <s v="Russian Federation"/>
    <n v="38"/>
    <x v="3"/>
    <x v="0"/>
    <x v="0"/>
  </r>
  <r>
    <s v="Nestlé"/>
    <s v="Croplands"/>
    <s v="South Asia"/>
    <n v="13"/>
    <x v="3"/>
    <x v="0"/>
    <x v="0"/>
  </r>
  <r>
    <s v="Nestlé"/>
    <s v="Croplands"/>
    <s v="Sub-Saharan Africa"/>
    <n v="4"/>
    <x v="3"/>
    <x v="0"/>
    <x v="0"/>
  </r>
  <r>
    <s v="Nestlé"/>
    <s v="Croplands"/>
    <s v="Western Europe"/>
    <n v="596"/>
    <x v="3"/>
    <x v="0"/>
    <x v="0"/>
  </r>
  <r>
    <s v="Saputo"/>
    <s v="Grazing"/>
    <s v="East Asia and Southeast Asia"/>
    <n v="0"/>
    <x v="3"/>
    <x v="0"/>
    <x v="0"/>
  </r>
  <r>
    <s v="Saputo"/>
    <s v="Grazing"/>
    <s v="Eastern Europe"/>
    <n v="0"/>
    <x v="3"/>
    <x v="0"/>
    <x v="0"/>
  </r>
  <r>
    <s v="Saputo"/>
    <s v="Grazing"/>
    <s v="Latin America and the Caribbean"/>
    <n v="8"/>
    <x v="3"/>
    <x v="0"/>
    <x v="0"/>
  </r>
  <r>
    <s v="Saputo"/>
    <s v="Grazing"/>
    <s v="Near East and North Africa"/>
    <n v="0"/>
    <x v="3"/>
    <x v="0"/>
    <x v="0"/>
  </r>
  <r>
    <s v="Saputo"/>
    <s v="Grazing"/>
    <s v="North America"/>
    <n v="4262"/>
    <x v="3"/>
    <x v="0"/>
    <x v="0"/>
  </r>
  <r>
    <s v="Saputo"/>
    <s v="Grazing"/>
    <s v="Oceania"/>
    <n v="6"/>
    <x v="3"/>
    <x v="0"/>
    <x v="0"/>
  </r>
  <r>
    <s v="Saputo"/>
    <s v="Grazing"/>
    <s v="RoW"/>
    <n v="0"/>
    <x v="3"/>
    <x v="0"/>
    <x v="0"/>
  </r>
  <r>
    <s v="Saputo"/>
    <s v="Grazing"/>
    <s v="Russian Federation"/>
    <n v="0"/>
    <x v="3"/>
    <x v="0"/>
    <x v="0"/>
  </r>
  <r>
    <s v="Saputo"/>
    <s v="Grazing"/>
    <s v="South Asia"/>
    <n v="0"/>
    <x v="3"/>
    <x v="0"/>
    <x v="0"/>
  </r>
  <r>
    <s v="Saputo"/>
    <s v="Grazing"/>
    <s v="Sub-Saharan Africa"/>
    <n v="0"/>
    <x v="3"/>
    <x v="0"/>
    <x v="0"/>
  </r>
  <r>
    <s v="Saputo"/>
    <s v="Grazing"/>
    <s v="Western Europe"/>
    <n v="0"/>
    <x v="3"/>
    <x v="0"/>
    <x v="0"/>
  </r>
  <r>
    <s v="Saputo"/>
    <s v="Croplands"/>
    <s v="East Asia and Southeast Asia"/>
    <n v="0"/>
    <x v="3"/>
    <x v="0"/>
    <x v="0"/>
  </r>
  <r>
    <s v="Saputo"/>
    <s v="Croplands"/>
    <s v="Eastern Europe"/>
    <n v="0"/>
    <x v="3"/>
    <x v="0"/>
    <x v="0"/>
  </r>
  <r>
    <s v="Saputo"/>
    <s v="Croplands"/>
    <s v="Latin America and the Caribbean"/>
    <n v="2"/>
    <x v="3"/>
    <x v="0"/>
    <x v="0"/>
  </r>
  <r>
    <s v="Saputo"/>
    <s v="Croplands"/>
    <s v="Near East and North Africa"/>
    <n v="0"/>
    <x v="3"/>
    <x v="0"/>
    <x v="0"/>
  </r>
  <r>
    <s v="Saputo"/>
    <s v="Croplands"/>
    <s v="North America"/>
    <n v="1041"/>
    <x v="3"/>
    <x v="0"/>
    <x v="0"/>
  </r>
  <r>
    <s v="Saputo"/>
    <s v="Croplands"/>
    <s v="Oceania"/>
    <n v="0"/>
    <x v="3"/>
    <x v="0"/>
    <x v="0"/>
  </r>
  <r>
    <s v="Saputo"/>
    <s v="Croplands"/>
    <s v="RoW"/>
    <n v="0"/>
    <x v="3"/>
    <x v="0"/>
    <x v="0"/>
  </r>
  <r>
    <s v="Saputo"/>
    <s v="Croplands"/>
    <s v="Russian Federation"/>
    <n v="0"/>
    <x v="3"/>
    <x v="0"/>
    <x v="0"/>
  </r>
  <r>
    <s v="Saputo"/>
    <s v="Croplands"/>
    <s v="South Asia"/>
    <n v="7"/>
    <x v="3"/>
    <x v="0"/>
    <x v="0"/>
  </r>
  <r>
    <s v="Saputo"/>
    <s v="Croplands"/>
    <s v="Sub-Saharan Africa"/>
    <n v="0"/>
    <x v="3"/>
    <x v="0"/>
    <x v="0"/>
  </r>
  <r>
    <s v="Saputo"/>
    <s v="Croplands"/>
    <s v="Western Europe"/>
    <n v="0"/>
    <x v="3"/>
    <x v="0"/>
    <x v="0"/>
  </r>
  <r>
    <s v="FrieslandCampina"/>
    <s v="Grazing"/>
    <s v="East Asia and Southeast Asia"/>
    <n v="0"/>
    <x v="3"/>
    <x v="0"/>
    <x v="0"/>
  </r>
  <r>
    <s v="FrieslandCampina"/>
    <s v="Grazing"/>
    <s v="Eastern Europe"/>
    <n v="0"/>
    <x v="3"/>
    <x v="0"/>
    <x v="0"/>
  </r>
  <r>
    <s v="FrieslandCampina"/>
    <s v="Grazing"/>
    <s v="Latin America and the Caribbean"/>
    <n v="0"/>
    <x v="3"/>
    <x v="0"/>
    <x v="0"/>
  </r>
  <r>
    <s v="FrieslandCampina"/>
    <s v="Grazing"/>
    <s v="Near East and North Africa"/>
    <n v="0"/>
    <x v="3"/>
    <x v="0"/>
    <x v="0"/>
  </r>
  <r>
    <s v="FrieslandCampina"/>
    <s v="Grazing"/>
    <s v="North America"/>
    <n v="0"/>
    <x v="3"/>
    <x v="0"/>
    <x v="0"/>
  </r>
  <r>
    <s v="FrieslandCampina"/>
    <s v="Grazing"/>
    <s v="Oceania"/>
    <n v="0"/>
    <x v="3"/>
    <x v="0"/>
    <x v="0"/>
  </r>
  <r>
    <s v="FrieslandCampina"/>
    <s v="Grazing"/>
    <s v="RoW"/>
    <n v="0"/>
    <x v="3"/>
    <x v="0"/>
    <x v="0"/>
  </r>
  <r>
    <s v="FrieslandCampina"/>
    <s v="Grazing"/>
    <s v="Russian Federation"/>
    <n v="0"/>
    <x v="3"/>
    <x v="0"/>
    <x v="0"/>
  </r>
  <r>
    <s v="FrieslandCampina"/>
    <s v="Grazing"/>
    <s v="South Asia"/>
    <n v="0"/>
    <x v="3"/>
    <x v="0"/>
    <x v="0"/>
  </r>
  <r>
    <s v="FrieslandCampina"/>
    <s v="Grazing"/>
    <s v="Sub-Saharan Africa"/>
    <n v="0"/>
    <x v="3"/>
    <x v="0"/>
    <x v="0"/>
  </r>
  <r>
    <s v="FrieslandCampina"/>
    <s v="Grazing"/>
    <s v="Western Europe"/>
    <n v="1178"/>
    <x v="3"/>
    <x v="0"/>
    <x v="0"/>
  </r>
  <r>
    <s v="FrieslandCampina"/>
    <s v="Croplands"/>
    <s v="East Asia and Southeast Asia"/>
    <n v="13"/>
    <x v="3"/>
    <x v="0"/>
    <x v="0"/>
  </r>
  <r>
    <s v="FrieslandCampina"/>
    <s v="Croplands"/>
    <s v="Eastern Europe"/>
    <n v="120"/>
    <x v="3"/>
    <x v="0"/>
    <x v="0"/>
  </r>
  <r>
    <s v="FrieslandCampina"/>
    <s v="Croplands"/>
    <s v="Latin America and the Caribbean"/>
    <n v="149"/>
    <x v="3"/>
    <x v="0"/>
    <x v="0"/>
  </r>
  <r>
    <s v="FrieslandCampina"/>
    <s v="Croplands"/>
    <s v="Near East and North Africa"/>
    <n v="5"/>
    <x v="3"/>
    <x v="0"/>
    <x v="0"/>
  </r>
  <r>
    <s v="FrieslandCampina"/>
    <s v="Croplands"/>
    <s v="North America"/>
    <n v="68"/>
    <x v="3"/>
    <x v="0"/>
    <x v="0"/>
  </r>
  <r>
    <s v="FrieslandCampina"/>
    <s v="Croplands"/>
    <s v="Oceania"/>
    <n v="18"/>
    <x v="3"/>
    <x v="0"/>
    <x v="0"/>
  </r>
  <r>
    <s v="FrieslandCampina"/>
    <s v="Croplands"/>
    <s v="RoW"/>
    <n v="0"/>
    <x v="3"/>
    <x v="0"/>
    <x v="0"/>
  </r>
  <r>
    <s v="FrieslandCampina"/>
    <s v="Croplands"/>
    <s v="Russian Federation"/>
    <n v="30"/>
    <x v="3"/>
    <x v="0"/>
    <x v="0"/>
  </r>
  <r>
    <s v="FrieslandCampina"/>
    <s v="Croplands"/>
    <s v="South Asia"/>
    <n v="10"/>
    <x v="3"/>
    <x v="0"/>
    <x v="0"/>
  </r>
  <r>
    <s v="FrieslandCampina"/>
    <s v="Croplands"/>
    <s v="Sub-Saharan Africa"/>
    <n v="3"/>
    <x v="3"/>
    <x v="0"/>
    <x v="0"/>
  </r>
  <r>
    <s v="FrieslandCampina"/>
    <s v="Croplands"/>
    <s v="Western Europe"/>
    <n v="473"/>
    <x v="3"/>
    <x v="0"/>
    <x v="0"/>
  </r>
  <r>
    <s v="Yili "/>
    <s v="Grazing"/>
    <s v="East Asia and Southeast Asia"/>
    <n v="6134"/>
    <x v="3"/>
    <x v="0"/>
    <x v="0"/>
  </r>
  <r>
    <s v="Yili "/>
    <s v="Grazing"/>
    <s v="Eastern Europe"/>
    <n v="0"/>
    <x v="3"/>
    <x v="0"/>
    <x v="0"/>
  </r>
  <r>
    <s v="Yili "/>
    <s v="Grazing"/>
    <s v="Latin America and the Caribbean"/>
    <n v="4"/>
    <x v="3"/>
    <x v="0"/>
    <x v="0"/>
  </r>
  <r>
    <s v="Yili "/>
    <s v="Grazing"/>
    <s v="Near East and North Africa"/>
    <n v="0"/>
    <x v="3"/>
    <x v="0"/>
    <x v="0"/>
  </r>
  <r>
    <s v="Yili "/>
    <s v="Grazing"/>
    <s v="North America"/>
    <n v="0"/>
    <x v="3"/>
    <x v="0"/>
    <x v="0"/>
  </r>
  <r>
    <s v="Yili "/>
    <s v="Grazing"/>
    <s v="Oceania"/>
    <n v="7"/>
    <x v="3"/>
    <x v="0"/>
    <x v="0"/>
  </r>
  <r>
    <s v="Yili "/>
    <s v="Grazing"/>
    <s v="RoW"/>
    <n v="0"/>
    <x v="3"/>
    <x v="0"/>
    <x v="0"/>
  </r>
  <r>
    <s v="Yili "/>
    <s v="Grazing"/>
    <s v="Russian Federation"/>
    <n v="0"/>
    <x v="3"/>
    <x v="0"/>
    <x v="0"/>
  </r>
  <r>
    <s v="Yili "/>
    <s v="Grazing"/>
    <s v="South Asia"/>
    <n v="0"/>
    <x v="3"/>
    <x v="0"/>
    <x v="0"/>
  </r>
  <r>
    <s v="Yili "/>
    <s v="Grazing"/>
    <s v="Sub-Saharan Africa"/>
    <n v="0"/>
    <x v="3"/>
    <x v="0"/>
    <x v="0"/>
  </r>
  <r>
    <s v="Yili "/>
    <s v="Grazing"/>
    <s v="Western Europe"/>
    <n v="0"/>
    <x v="3"/>
    <x v="0"/>
    <x v="0"/>
  </r>
  <r>
    <s v="Yili "/>
    <s v="Croplands"/>
    <s v="East Asia and Southeast Asia"/>
    <n v="1220"/>
    <x v="3"/>
    <x v="0"/>
    <x v="0"/>
  </r>
  <r>
    <s v="Yili "/>
    <s v="Croplands"/>
    <s v="Eastern Europe"/>
    <n v="25"/>
    <x v="3"/>
    <x v="0"/>
    <x v="0"/>
  </r>
  <r>
    <s v="Yili "/>
    <s v="Croplands"/>
    <s v="Latin America and the Caribbean"/>
    <n v="322"/>
    <x v="3"/>
    <x v="0"/>
    <x v="0"/>
  </r>
  <r>
    <s v="Yili "/>
    <s v="Croplands"/>
    <s v="Near East and North Africa"/>
    <n v="11"/>
    <x v="3"/>
    <x v="0"/>
    <x v="0"/>
  </r>
  <r>
    <s v="Yili "/>
    <s v="Croplands"/>
    <s v="North America"/>
    <n v="269"/>
    <x v="3"/>
    <x v="0"/>
    <x v="0"/>
  </r>
  <r>
    <s v="Yili "/>
    <s v="Croplands"/>
    <s v="Oceania"/>
    <n v="29"/>
    <x v="3"/>
    <x v="0"/>
    <x v="0"/>
  </r>
  <r>
    <s v="Yili "/>
    <s v="Croplands"/>
    <s v="RoW"/>
    <n v="0"/>
    <x v="3"/>
    <x v="0"/>
    <x v="0"/>
  </r>
  <r>
    <s v="Yili "/>
    <s v="Croplands"/>
    <s v="Russian Federation"/>
    <n v="10"/>
    <x v="3"/>
    <x v="0"/>
    <x v="0"/>
  </r>
  <r>
    <s v="Yili "/>
    <s v="Croplands"/>
    <s v="South Asia"/>
    <n v="18"/>
    <x v="3"/>
    <x v="0"/>
    <x v="0"/>
  </r>
  <r>
    <s v="Yili "/>
    <s v="Croplands"/>
    <s v="Sub-Saharan Africa"/>
    <n v="7"/>
    <x v="3"/>
    <x v="0"/>
    <x v="0"/>
  </r>
  <r>
    <s v="Yili "/>
    <s v="Croplands"/>
    <s v="Western Europe"/>
    <n v="4"/>
    <x v="3"/>
    <x v="0"/>
    <x v="0"/>
  </r>
  <r>
    <s v="China Mengniu Dairy"/>
    <s v="Grazing"/>
    <s v="East Asia and Southeast Asia"/>
    <n v="5950"/>
    <x v="3"/>
    <x v="0"/>
    <x v="0"/>
  </r>
  <r>
    <s v="China Mengniu Dairy"/>
    <s v="Grazing"/>
    <s v="Eastern Europe"/>
    <n v="0"/>
    <x v="3"/>
    <x v="0"/>
    <x v="0"/>
  </r>
  <r>
    <s v="China Mengniu Dairy"/>
    <s v="Grazing"/>
    <s v="Latin America and the Caribbean"/>
    <n v="4"/>
    <x v="3"/>
    <x v="0"/>
    <x v="0"/>
  </r>
  <r>
    <s v="China Mengniu Dairy"/>
    <s v="Grazing"/>
    <s v="Near East and North Africa"/>
    <n v="0"/>
    <x v="3"/>
    <x v="0"/>
    <x v="0"/>
  </r>
  <r>
    <s v="China Mengniu Dairy"/>
    <s v="Grazing"/>
    <s v="North America"/>
    <n v="0"/>
    <x v="3"/>
    <x v="0"/>
    <x v="0"/>
  </r>
  <r>
    <s v="China Mengniu Dairy"/>
    <s v="Grazing"/>
    <s v="Oceania"/>
    <n v="7"/>
    <x v="3"/>
    <x v="0"/>
    <x v="0"/>
  </r>
  <r>
    <s v="China Mengniu Dairy"/>
    <s v="Grazing"/>
    <s v="RoW"/>
    <n v="0"/>
    <x v="3"/>
    <x v="0"/>
    <x v="0"/>
  </r>
  <r>
    <s v="China Mengniu Dairy"/>
    <s v="Grazing"/>
    <s v="Russian Federation"/>
    <n v="0"/>
    <x v="3"/>
    <x v="0"/>
    <x v="0"/>
  </r>
  <r>
    <s v="China Mengniu Dairy"/>
    <s v="Grazing"/>
    <s v="South Asia"/>
    <n v="0"/>
    <x v="3"/>
    <x v="0"/>
    <x v="0"/>
  </r>
  <r>
    <s v="China Mengniu Dairy"/>
    <s v="Grazing"/>
    <s v="Sub-Saharan Africa"/>
    <n v="0"/>
    <x v="3"/>
    <x v="0"/>
    <x v="0"/>
  </r>
  <r>
    <s v="China Mengniu Dairy"/>
    <s v="Grazing"/>
    <s v="Western Europe"/>
    <n v="0"/>
    <x v="3"/>
    <x v="0"/>
    <x v="0"/>
  </r>
  <r>
    <s v="China Mengniu Dairy"/>
    <s v="Croplands"/>
    <s v="East Asia and Southeast Asia"/>
    <n v="1183"/>
    <x v="3"/>
    <x v="0"/>
    <x v="0"/>
  </r>
  <r>
    <s v="China Mengniu Dairy"/>
    <s v="Croplands"/>
    <s v="Eastern Europe"/>
    <n v="24"/>
    <x v="3"/>
    <x v="0"/>
    <x v="0"/>
  </r>
  <r>
    <s v="China Mengniu Dairy"/>
    <s v="Croplands"/>
    <s v="Latin America and the Caribbean"/>
    <n v="312"/>
    <x v="3"/>
    <x v="0"/>
    <x v="0"/>
  </r>
  <r>
    <s v="China Mengniu Dairy"/>
    <s v="Croplands"/>
    <s v="Near East and North Africa"/>
    <n v="10"/>
    <x v="3"/>
    <x v="0"/>
    <x v="0"/>
  </r>
  <r>
    <s v="China Mengniu Dairy"/>
    <s v="Croplands"/>
    <s v="North America"/>
    <n v="261"/>
    <x v="3"/>
    <x v="0"/>
    <x v="0"/>
  </r>
  <r>
    <s v="China Mengniu Dairy"/>
    <s v="Croplands"/>
    <s v="Oceania"/>
    <n v="28"/>
    <x v="3"/>
    <x v="0"/>
    <x v="0"/>
  </r>
  <r>
    <s v="China Mengniu Dairy"/>
    <s v="Croplands"/>
    <s v="RoW"/>
    <n v="0"/>
    <x v="3"/>
    <x v="0"/>
    <x v="0"/>
  </r>
  <r>
    <s v="China Mengniu Dairy"/>
    <s v="Croplands"/>
    <s v="Russian Federation"/>
    <n v="9"/>
    <x v="3"/>
    <x v="0"/>
    <x v="0"/>
  </r>
  <r>
    <s v="China Mengniu Dairy"/>
    <s v="Croplands"/>
    <s v="South Asia"/>
    <n v="18"/>
    <x v="3"/>
    <x v="0"/>
    <x v="0"/>
  </r>
  <r>
    <s v="China Mengniu Dairy"/>
    <s v="Croplands"/>
    <s v="Sub-Saharan Africa"/>
    <n v="7"/>
    <x v="3"/>
    <x v="0"/>
    <x v="0"/>
  </r>
  <r>
    <s v="China Mengniu Dairy"/>
    <s v="Croplands"/>
    <s v="Western Europe"/>
    <n v="4"/>
    <x v="3"/>
    <x v="0"/>
    <x v="0"/>
  </r>
  <r>
    <s v="Amul"/>
    <s v="Grazing"/>
    <s v="East Asia and Southeast Asia"/>
    <n v="0"/>
    <x v="3"/>
    <x v="0"/>
    <x v="0"/>
  </r>
  <r>
    <s v="Amul"/>
    <s v="Grazing"/>
    <s v="Eastern Europe"/>
    <n v="0"/>
    <x v="3"/>
    <x v="0"/>
    <x v="0"/>
  </r>
  <r>
    <s v="Amul"/>
    <s v="Grazing"/>
    <s v="Latin America and the Caribbean"/>
    <n v="0"/>
    <x v="3"/>
    <x v="0"/>
    <x v="0"/>
  </r>
  <r>
    <s v="Amul"/>
    <s v="Grazing"/>
    <s v="Near East and North Africa"/>
    <n v="0"/>
    <x v="3"/>
    <x v="0"/>
    <x v="0"/>
  </r>
  <r>
    <s v="Amul"/>
    <s v="Grazing"/>
    <s v="North America"/>
    <n v="0"/>
    <x v="3"/>
    <x v="0"/>
    <x v="0"/>
  </r>
  <r>
    <s v="Amul"/>
    <s v="Grazing"/>
    <s v="Oceania"/>
    <n v="0"/>
    <x v="3"/>
    <x v="0"/>
    <x v="0"/>
  </r>
  <r>
    <s v="Amul"/>
    <s v="Grazing"/>
    <s v="RoW"/>
    <n v="0"/>
    <x v="3"/>
    <x v="0"/>
    <x v="0"/>
  </r>
  <r>
    <s v="Amul"/>
    <s v="Grazing"/>
    <s v="Russian Federation"/>
    <n v="0"/>
    <x v="3"/>
    <x v="0"/>
    <x v="0"/>
  </r>
  <r>
    <s v="Amul"/>
    <s v="Grazing"/>
    <s v="South Asia"/>
    <n v="674"/>
    <x v="3"/>
    <x v="0"/>
    <x v="0"/>
  </r>
  <r>
    <s v="Amul"/>
    <s v="Grazing"/>
    <s v="Sub-Saharan Africa"/>
    <n v="0"/>
    <x v="3"/>
    <x v="0"/>
    <x v="0"/>
  </r>
  <r>
    <s v="Amul"/>
    <s v="Grazing"/>
    <s v="Western Europe"/>
    <n v="0"/>
    <x v="3"/>
    <x v="0"/>
    <x v="0"/>
  </r>
  <r>
    <s v="Amul"/>
    <s v="Croplands"/>
    <s v="East Asia and Southeast Asia"/>
    <n v="10"/>
    <x v="3"/>
    <x v="0"/>
    <x v="0"/>
  </r>
  <r>
    <s v="Amul"/>
    <s v="Croplands"/>
    <s v="Eastern Europe"/>
    <n v="8"/>
    <x v="3"/>
    <x v="0"/>
    <x v="0"/>
  </r>
  <r>
    <s v="Amul"/>
    <s v="Croplands"/>
    <s v="Latin America and the Caribbean"/>
    <n v="35"/>
    <x v="3"/>
    <x v="0"/>
    <x v="0"/>
  </r>
  <r>
    <s v="Amul"/>
    <s v="Croplands"/>
    <s v="Near East and North Africa"/>
    <n v="8"/>
    <x v="3"/>
    <x v="0"/>
    <x v="0"/>
  </r>
  <r>
    <s v="Amul"/>
    <s v="Croplands"/>
    <s v="North America"/>
    <n v="29"/>
    <x v="3"/>
    <x v="0"/>
    <x v="0"/>
  </r>
  <r>
    <s v="Amul"/>
    <s v="Croplands"/>
    <s v="Oceania"/>
    <n v="2"/>
    <x v="3"/>
    <x v="0"/>
    <x v="0"/>
  </r>
  <r>
    <s v="Amul"/>
    <s v="Croplands"/>
    <s v="RoW"/>
    <n v="0"/>
    <x v="3"/>
    <x v="0"/>
    <x v="0"/>
  </r>
  <r>
    <s v="Amul"/>
    <s v="Croplands"/>
    <s v="Russian Federation"/>
    <n v="3"/>
    <x v="3"/>
    <x v="0"/>
    <x v="0"/>
  </r>
  <r>
    <s v="Amul"/>
    <s v="Croplands"/>
    <s v="South Asia"/>
    <n v="897"/>
    <x v="3"/>
    <x v="0"/>
    <x v="0"/>
  </r>
  <r>
    <s v="Amul"/>
    <s v="Croplands"/>
    <s v="Sub-Saharan Africa"/>
    <n v="4"/>
    <x v="3"/>
    <x v="0"/>
    <x v="0"/>
  </r>
  <r>
    <s v="Amul"/>
    <s v="Croplands"/>
    <s v="Western Europe"/>
    <n v="2"/>
    <x v="3"/>
    <x v="0"/>
    <x v="0"/>
  </r>
  <r>
    <s v="Glanbia"/>
    <s v="Grazing"/>
    <s v="East Asia and Southeast Asia"/>
    <n v="0"/>
    <x v="3"/>
    <x v="0"/>
    <x v="0"/>
  </r>
  <r>
    <s v="Glanbia"/>
    <s v="Grazing"/>
    <s v="Eastern Europe"/>
    <n v="0"/>
    <x v="3"/>
    <x v="0"/>
    <x v="0"/>
  </r>
  <r>
    <s v="Glanbia"/>
    <s v="Grazing"/>
    <s v="Latin America and the Caribbean"/>
    <n v="6"/>
    <x v="3"/>
    <x v="0"/>
    <x v="0"/>
  </r>
  <r>
    <s v="Glanbia"/>
    <s v="Grazing"/>
    <s v="Near East and North Africa"/>
    <n v="0"/>
    <x v="3"/>
    <x v="0"/>
    <x v="0"/>
  </r>
  <r>
    <s v="Glanbia"/>
    <s v="Grazing"/>
    <s v="North America"/>
    <n v="3487"/>
    <x v="3"/>
    <x v="0"/>
    <x v="0"/>
  </r>
  <r>
    <s v="Glanbia"/>
    <s v="Grazing"/>
    <s v="Oceania"/>
    <n v="5"/>
    <x v="3"/>
    <x v="0"/>
    <x v="0"/>
  </r>
  <r>
    <s v="Glanbia"/>
    <s v="Grazing"/>
    <s v="RoW"/>
    <n v="0"/>
    <x v="3"/>
    <x v="0"/>
    <x v="0"/>
  </r>
  <r>
    <s v="Glanbia"/>
    <s v="Grazing"/>
    <s v="Russian Federation"/>
    <n v="0"/>
    <x v="3"/>
    <x v="0"/>
    <x v="0"/>
  </r>
  <r>
    <s v="Glanbia"/>
    <s v="Grazing"/>
    <s v="South Asia"/>
    <n v="0"/>
    <x v="3"/>
    <x v="0"/>
    <x v="0"/>
  </r>
  <r>
    <s v="Glanbia"/>
    <s v="Grazing"/>
    <s v="Sub-Saharan Africa"/>
    <n v="0"/>
    <x v="3"/>
    <x v="0"/>
    <x v="0"/>
  </r>
  <r>
    <s v="Glanbia"/>
    <s v="Grazing"/>
    <s v="Western Europe"/>
    <n v="0"/>
    <x v="3"/>
    <x v="0"/>
    <x v="0"/>
  </r>
  <r>
    <s v="Glanbia"/>
    <s v="Croplands"/>
    <s v="East Asia and Southeast Asia"/>
    <n v="0"/>
    <x v="3"/>
    <x v="0"/>
    <x v="0"/>
  </r>
  <r>
    <s v="Glanbia"/>
    <s v="Croplands"/>
    <s v="Eastern Europe"/>
    <n v="0"/>
    <x v="3"/>
    <x v="0"/>
    <x v="0"/>
  </r>
  <r>
    <s v="Glanbia"/>
    <s v="Croplands"/>
    <s v="Latin America and the Caribbean"/>
    <n v="2"/>
    <x v="3"/>
    <x v="0"/>
    <x v="0"/>
  </r>
  <r>
    <s v="Glanbia"/>
    <s v="Croplands"/>
    <s v="Near East and North Africa"/>
    <n v="0"/>
    <x v="3"/>
    <x v="0"/>
    <x v="0"/>
  </r>
  <r>
    <s v="Glanbia"/>
    <s v="Croplands"/>
    <s v="North America"/>
    <n v="852"/>
    <x v="3"/>
    <x v="0"/>
    <x v="0"/>
  </r>
  <r>
    <s v="Glanbia"/>
    <s v="Croplands"/>
    <s v="Oceania"/>
    <n v="0"/>
    <x v="3"/>
    <x v="0"/>
    <x v="0"/>
  </r>
  <r>
    <s v="Glanbia"/>
    <s v="Croplands"/>
    <s v="RoW"/>
    <n v="0"/>
    <x v="3"/>
    <x v="0"/>
    <x v="0"/>
  </r>
  <r>
    <s v="Glanbia"/>
    <s v="Croplands"/>
    <s v="Russian Federation"/>
    <n v="0"/>
    <x v="3"/>
    <x v="0"/>
    <x v="0"/>
  </r>
  <r>
    <s v="Glanbia"/>
    <s v="Croplands"/>
    <s v="South Asia"/>
    <n v="6"/>
    <x v="3"/>
    <x v="0"/>
    <x v="0"/>
  </r>
  <r>
    <s v="Glanbia"/>
    <s v="Croplands"/>
    <s v="Sub-Saharan Africa"/>
    <n v="0"/>
    <x v="3"/>
    <x v="0"/>
    <x v="0"/>
  </r>
  <r>
    <s v="Glanbia"/>
    <s v="Croplands"/>
    <s v="Western Europe"/>
    <n v="0"/>
    <x v="3"/>
    <x v="0"/>
    <x v="0"/>
  </r>
  <r>
    <s v="California Diaries"/>
    <s v="Grazing"/>
    <s v="East Asia and Southeast Asia"/>
    <n v="0"/>
    <x v="3"/>
    <x v="0"/>
    <x v="0"/>
  </r>
  <r>
    <s v="California Diaries"/>
    <s v="Grazing"/>
    <s v="Eastern Europe"/>
    <n v="0"/>
    <x v="3"/>
    <x v="0"/>
    <x v="0"/>
  </r>
  <r>
    <s v="California Diaries"/>
    <s v="Grazing"/>
    <s v="Latin America and the Caribbean"/>
    <n v="5"/>
    <x v="3"/>
    <x v="0"/>
    <x v="0"/>
  </r>
  <r>
    <s v="California Diaries"/>
    <s v="Grazing"/>
    <s v="Near East and North Africa"/>
    <n v="0"/>
    <x v="3"/>
    <x v="0"/>
    <x v="0"/>
  </r>
  <r>
    <s v="California Diaries"/>
    <s v="Grazing"/>
    <s v="North America"/>
    <n v="2983"/>
    <x v="3"/>
    <x v="0"/>
    <x v="0"/>
  </r>
  <r>
    <s v="California Diaries"/>
    <s v="Grazing"/>
    <s v="Oceania"/>
    <n v="4"/>
    <x v="3"/>
    <x v="0"/>
    <x v="0"/>
  </r>
  <r>
    <s v="California Diaries"/>
    <s v="Grazing"/>
    <s v="RoW"/>
    <n v="0"/>
    <x v="3"/>
    <x v="0"/>
    <x v="0"/>
  </r>
  <r>
    <s v="California Diaries"/>
    <s v="Grazing"/>
    <s v="Russian Federation"/>
    <n v="0"/>
    <x v="3"/>
    <x v="0"/>
    <x v="0"/>
  </r>
  <r>
    <s v="California Diaries"/>
    <s v="Grazing"/>
    <s v="South Asia"/>
    <n v="0"/>
    <x v="3"/>
    <x v="0"/>
    <x v="0"/>
  </r>
  <r>
    <s v="California Diaries"/>
    <s v="Grazing"/>
    <s v="Sub-Saharan Africa"/>
    <n v="0"/>
    <x v="3"/>
    <x v="0"/>
    <x v="0"/>
  </r>
  <r>
    <s v="California Diaries"/>
    <s v="Grazing"/>
    <s v="Western Europe"/>
    <n v="0"/>
    <x v="3"/>
    <x v="0"/>
    <x v="0"/>
  </r>
  <r>
    <s v="California Diaries"/>
    <s v="Croplands"/>
    <s v="East Asia and Southeast Asia"/>
    <n v="0"/>
    <x v="3"/>
    <x v="0"/>
    <x v="0"/>
  </r>
  <r>
    <s v="California Diaries"/>
    <s v="Croplands"/>
    <s v="Eastern Europe"/>
    <n v="0"/>
    <x v="3"/>
    <x v="0"/>
    <x v="0"/>
  </r>
  <r>
    <s v="California Diaries"/>
    <s v="Croplands"/>
    <s v="Latin America and the Caribbean"/>
    <n v="2"/>
    <x v="3"/>
    <x v="0"/>
    <x v="0"/>
  </r>
  <r>
    <s v="California Diaries"/>
    <s v="Croplands"/>
    <s v="Near East and North Africa"/>
    <n v="0"/>
    <x v="3"/>
    <x v="0"/>
    <x v="0"/>
  </r>
  <r>
    <s v="California Diaries"/>
    <s v="Croplands"/>
    <s v="North America"/>
    <n v="729"/>
    <x v="3"/>
    <x v="0"/>
    <x v="0"/>
  </r>
  <r>
    <s v="California Diaries"/>
    <s v="Croplands"/>
    <s v="Oceania"/>
    <n v="0"/>
    <x v="3"/>
    <x v="0"/>
    <x v="0"/>
  </r>
  <r>
    <s v="California Diaries"/>
    <s v="Croplands"/>
    <s v="RoW"/>
    <n v="0"/>
    <x v="3"/>
    <x v="0"/>
    <x v="0"/>
  </r>
  <r>
    <s v="California Diaries"/>
    <s v="Croplands"/>
    <s v="Russian Federation"/>
    <n v="0"/>
    <x v="3"/>
    <x v="0"/>
    <x v="0"/>
  </r>
  <r>
    <s v="California Diaries"/>
    <s v="Croplands"/>
    <s v="South Asia"/>
    <n v="5"/>
    <x v="3"/>
    <x v="0"/>
    <x v="0"/>
  </r>
  <r>
    <s v="California Diaries"/>
    <s v="Croplands"/>
    <s v="Sub-Saharan Africa"/>
    <n v="0"/>
    <x v="3"/>
    <x v="0"/>
    <x v="0"/>
  </r>
  <r>
    <s v="California Diaries"/>
    <s v="Croplands"/>
    <s v="Western Europe"/>
    <n v="0"/>
    <x v="3"/>
    <x v="0"/>
    <x v="0"/>
  </r>
  <r>
    <s v="Müller"/>
    <s v="Grazing"/>
    <s v="East Asia and Southeast Asia"/>
    <n v="0"/>
    <x v="3"/>
    <x v="0"/>
    <x v="0"/>
  </r>
  <r>
    <s v="Müller"/>
    <s v="Grazing"/>
    <s v="Eastern Europe"/>
    <n v="0"/>
    <x v="3"/>
    <x v="0"/>
    <x v="0"/>
  </r>
  <r>
    <s v="Müller"/>
    <s v="Grazing"/>
    <s v="Latin America and the Caribbean"/>
    <n v="0"/>
    <x v="3"/>
    <x v="0"/>
    <x v="0"/>
  </r>
  <r>
    <s v="Müller"/>
    <s v="Grazing"/>
    <s v="Near East and North Africa"/>
    <n v="0"/>
    <x v="3"/>
    <x v="0"/>
    <x v="0"/>
  </r>
  <r>
    <s v="Müller"/>
    <s v="Grazing"/>
    <s v="North America"/>
    <n v="0"/>
    <x v="3"/>
    <x v="0"/>
    <x v="0"/>
  </r>
  <r>
    <s v="Müller"/>
    <s v="Grazing"/>
    <s v="Oceania"/>
    <n v="0"/>
    <x v="3"/>
    <x v="0"/>
    <x v="0"/>
  </r>
  <r>
    <s v="Müller"/>
    <s v="Grazing"/>
    <s v="RoW"/>
    <n v="0"/>
    <x v="3"/>
    <x v="0"/>
    <x v="0"/>
  </r>
  <r>
    <s v="Müller"/>
    <s v="Grazing"/>
    <s v="Russian Federation"/>
    <n v="0"/>
    <x v="3"/>
    <x v="0"/>
    <x v="0"/>
  </r>
  <r>
    <s v="Müller"/>
    <s v="Grazing"/>
    <s v="South Asia"/>
    <n v="0"/>
    <x v="3"/>
    <x v="0"/>
    <x v="0"/>
  </r>
  <r>
    <s v="Müller"/>
    <s v="Grazing"/>
    <s v="Sub-Saharan Africa"/>
    <n v="0"/>
    <x v="3"/>
    <x v="0"/>
    <x v="0"/>
  </r>
  <r>
    <s v="Müller"/>
    <s v="Grazing"/>
    <s v="Western Europe"/>
    <n v="738"/>
    <x v="3"/>
    <x v="0"/>
    <x v="0"/>
  </r>
  <r>
    <s v="Müller"/>
    <s v="Croplands"/>
    <s v="East Asia and Southeast Asia"/>
    <n v="8"/>
    <x v="3"/>
    <x v="0"/>
    <x v="0"/>
  </r>
  <r>
    <s v="Müller"/>
    <s v="Croplands"/>
    <s v="Eastern Europe"/>
    <n v="75"/>
    <x v="3"/>
    <x v="0"/>
    <x v="0"/>
  </r>
  <r>
    <s v="Müller"/>
    <s v="Croplands"/>
    <s v="Latin America and the Caribbean"/>
    <n v="94"/>
    <x v="3"/>
    <x v="0"/>
    <x v="0"/>
  </r>
  <r>
    <s v="Müller"/>
    <s v="Croplands"/>
    <s v="Near East and North Africa"/>
    <n v="3"/>
    <x v="3"/>
    <x v="0"/>
    <x v="0"/>
  </r>
  <r>
    <s v="Müller"/>
    <s v="Croplands"/>
    <s v="North America"/>
    <n v="43"/>
    <x v="3"/>
    <x v="0"/>
    <x v="0"/>
  </r>
  <r>
    <s v="Müller"/>
    <s v="Croplands"/>
    <s v="Oceania"/>
    <n v="12"/>
    <x v="3"/>
    <x v="0"/>
    <x v="0"/>
  </r>
  <r>
    <s v="Müller"/>
    <s v="Croplands"/>
    <s v="RoW"/>
    <n v="0"/>
    <x v="3"/>
    <x v="0"/>
    <x v="0"/>
  </r>
  <r>
    <s v="Müller"/>
    <s v="Croplands"/>
    <s v="Russian Federation"/>
    <n v="19"/>
    <x v="3"/>
    <x v="0"/>
    <x v="0"/>
  </r>
  <r>
    <s v="Müller"/>
    <s v="Croplands"/>
    <s v="South Asia"/>
    <n v="6"/>
    <x v="3"/>
    <x v="0"/>
    <x v="0"/>
  </r>
  <r>
    <s v="Müller"/>
    <s v="Croplands"/>
    <s v="Sub-Saharan Africa"/>
    <n v="2"/>
    <x v="3"/>
    <x v="0"/>
    <x v="0"/>
  </r>
  <r>
    <s v="Müller"/>
    <s v="Croplands"/>
    <s v="Western Europe"/>
    <n v="296"/>
    <x v="3"/>
    <x v="0"/>
    <x v="0"/>
  </r>
  <r>
    <s v="Danone-IFCN"/>
    <s v="Grazing"/>
    <s v="East Asia and Southeast Asia"/>
    <n v="0"/>
    <x v="3"/>
    <x v="0"/>
    <x v="0"/>
  </r>
  <r>
    <s v="Danone-IFCN"/>
    <s v="Grazing"/>
    <s v="Eastern Europe"/>
    <n v="138"/>
    <x v="3"/>
    <x v="0"/>
    <x v="0"/>
  </r>
  <r>
    <s v="Danone-IFCN"/>
    <s v="Grazing"/>
    <s v="Latin America and the Caribbean"/>
    <n v="560"/>
    <x v="3"/>
    <x v="0"/>
    <x v="0"/>
  </r>
  <r>
    <s v="Danone-IFCN"/>
    <s v="Grazing"/>
    <s v="Near East and North Africa"/>
    <n v="473"/>
    <x v="3"/>
    <x v="0"/>
    <x v="0"/>
  </r>
  <r>
    <s v="Danone-IFCN"/>
    <s v="Grazing"/>
    <s v="North America"/>
    <n v="751"/>
    <x v="3"/>
    <x v="0"/>
    <x v="0"/>
  </r>
  <r>
    <s v="Danone-IFCN"/>
    <s v="Grazing"/>
    <s v="Oceania"/>
    <n v="1"/>
    <x v="3"/>
    <x v="0"/>
    <x v="0"/>
  </r>
  <r>
    <s v="Danone-IFCN"/>
    <s v="Grazing"/>
    <s v="RoW"/>
    <n v="0"/>
    <x v="3"/>
    <x v="0"/>
    <x v="0"/>
  </r>
  <r>
    <s v="Danone-IFCN"/>
    <s v="Grazing"/>
    <s v="Russian Federation"/>
    <n v="1860"/>
    <x v="3"/>
    <x v="0"/>
    <x v="0"/>
  </r>
  <r>
    <s v="Danone-IFCN"/>
    <s v="Grazing"/>
    <s v="South Asia"/>
    <n v="0"/>
    <x v="3"/>
    <x v="0"/>
    <x v="0"/>
  </r>
  <r>
    <s v="Danone-IFCN"/>
    <s v="Grazing"/>
    <s v="Sub-Saharan Africa"/>
    <n v="1255"/>
    <x v="3"/>
    <x v="0"/>
    <x v="0"/>
  </r>
  <r>
    <s v="Danone-IFCN"/>
    <s v="Grazing"/>
    <s v="Western Europe"/>
    <n v="118"/>
    <x v="3"/>
    <x v="0"/>
    <x v="0"/>
  </r>
  <r>
    <s v="Danone-IFCN"/>
    <s v="Croplands"/>
    <s v="East Asia and Southeast Asia"/>
    <n v="2"/>
    <x v="3"/>
    <x v="0"/>
    <x v="0"/>
  </r>
  <r>
    <s v="Danone-IFCN"/>
    <s v="Croplands"/>
    <s v="Eastern Europe"/>
    <n v="110"/>
    <x v="3"/>
    <x v="0"/>
    <x v="0"/>
  </r>
  <r>
    <s v="Danone-IFCN"/>
    <s v="Croplands"/>
    <s v="Latin America and the Caribbean"/>
    <n v="115"/>
    <x v="3"/>
    <x v="0"/>
    <x v="0"/>
  </r>
  <r>
    <s v="Danone-IFCN"/>
    <s v="Croplands"/>
    <s v="Near East and North Africa"/>
    <n v="50"/>
    <x v="3"/>
    <x v="0"/>
    <x v="0"/>
  </r>
  <r>
    <s v="Danone-IFCN"/>
    <s v="Croplands"/>
    <s v="North America"/>
    <n v="211"/>
    <x v="3"/>
    <x v="0"/>
    <x v="0"/>
  </r>
  <r>
    <s v="Danone-IFCN"/>
    <s v="Croplands"/>
    <s v="Oceania"/>
    <n v="2"/>
    <x v="3"/>
    <x v="0"/>
    <x v="0"/>
  </r>
  <r>
    <s v="Danone-IFCN"/>
    <s v="Croplands"/>
    <s v="RoW"/>
    <n v="0"/>
    <x v="3"/>
    <x v="0"/>
    <x v="0"/>
  </r>
  <r>
    <s v="Danone-IFCN"/>
    <s v="Croplands"/>
    <s v="Russian Federation"/>
    <n v="381"/>
    <x v="3"/>
    <x v="0"/>
    <x v="0"/>
  </r>
  <r>
    <s v="Danone-IFCN"/>
    <s v="Croplands"/>
    <s v="South Asia"/>
    <n v="3"/>
    <x v="3"/>
    <x v="0"/>
    <x v="0"/>
  </r>
  <r>
    <s v="Danone-IFCN"/>
    <s v="Croplands"/>
    <s v="Sub-Saharan Africa"/>
    <n v="46"/>
    <x v="3"/>
    <x v="0"/>
    <x v="0"/>
  </r>
  <r>
    <s v="Danone-IFCN"/>
    <s v="Croplands"/>
    <s v="Western Europe"/>
    <n v="50"/>
    <x v="3"/>
    <x v="0"/>
    <x v="0"/>
  </r>
  <r>
    <s v="Agropur"/>
    <s v="Grazing"/>
    <s v="East Asia and Southeast Asia"/>
    <n v="0"/>
    <x v="3"/>
    <x v="0"/>
    <x v="0"/>
  </r>
  <r>
    <s v="Agropur"/>
    <s v="Grazing"/>
    <s v="Eastern Europe"/>
    <n v="0"/>
    <x v="3"/>
    <x v="0"/>
    <x v="0"/>
  </r>
  <r>
    <s v="Agropur"/>
    <s v="Grazing"/>
    <s v="Latin America and the Caribbean"/>
    <n v="5"/>
    <x v="3"/>
    <x v="0"/>
    <x v="0"/>
  </r>
  <r>
    <s v="Agropur"/>
    <s v="Grazing"/>
    <s v="Near East and North Africa"/>
    <n v="0"/>
    <x v="3"/>
    <x v="0"/>
    <x v="0"/>
  </r>
  <r>
    <s v="Agropur"/>
    <s v="Grazing"/>
    <s v="North America"/>
    <n v="2596"/>
    <x v="3"/>
    <x v="0"/>
    <x v="0"/>
  </r>
  <r>
    <s v="Agropur"/>
    <s v="Grazing"/>
    <s v="Oceania"/>
    <n v="3"/>
    <x v="3"/>
    <x v="0"/>
    <x v="0"/>
  </r>
  <r>
    <s v="Agropur"/>
    <s v="Grazing"/>
    <s v="RoW"/>
    <n v="0"/>
    <x v="3"/>
    <x v="0"/>
    <x v="0"/>
  </r>
  <r>
    <s v="Agropur"/>
    <s v="Grazing"/>
    <s v="Russian Federation"/>
    <n v="0"/>
    <x v="3"/>
    <x v="0"/>
    <x v="0"/>
  </r>
  <r>
    <s v="Agropur"/>
    <s v="Grazing"/>
    <s v="South Asia"/>
    <n v="0"/>
    <x v="3"/>
    <x v="0"/>
    <x v="0"/>
  </r>
  <r>
    <s v="Agropur"/>
    <s v="Grazing"/>
    <s v="Sub-Saharan Africa"/>
    <n v="0"/>
    <x v="3"/>
    <x v="0"/>
    <x v="0"/>
  </r>
  <r>
    <s v="Agropur"/>
    <s v="Grazing"/>
    <s v="Western Europe"/>
    <n v="0"/>
    <x v="3"/>
    <x v="0"/>
    <x v="0"/>
  </r>
  <r>
    <s v="Agropur"/>
    <s v="Croplands"/>
    <s v="East Asia and Southeast Asia"/>
    <n v="0"/>
    <x v="3"/>
    <x v="0"/>
    <x v="0"/>
  </r>
  <r>
    <s v="Agropur"/>
    <s v="Croplands"/>
    <s v="Eastern Europe"/>
    <n v="0"/>
    <x v="3"/>
    <x v="0"/>
    <x v="0"/>
  </r>
  <r>
    <s v="Agropur"/>
    <s v="Croplands"/>
    <s v="Latin America and the Caribbean"/>
    <n v="2"/>
    <x v="3"/>
    <x v="0"/>
    <x v="0"/>
  </r>
  <r>
    <s v="Agropur"/>
    <s v="Croplands"/>
    <s v="Near East and North Africa"/>
    <n v="0"/>
    <x v="3"/>
    <x v="0"/>
    <x v="0"/>
  </r>
  <r>
    <s v="Agropur"/>
    <s v="Croplands"/>
    <s v="North America"/>
    <n v="634"/>
    <x v="3"/>
    <x v="0"/>
    <x v="0"/>
  </r>
  <r>
    <s v="Agropur"/>
    <s v="Croplands"/>
    <s v="Oceania"/>
    <n v="0"/>
    <x v="3"/>
    <x v="0"/>
    <x v="0"/>
  </r>
  <r>
    <s v="Agropur"/>
    <s v="Croplands"/>
    <s v="RoW"/>
    <n v="0"/>
    <x v="3"/>
    <x v="0"/>
    <x v="0"/>
  </r>
  <r>
    <s v="Agropur"/>
    <s v="Croplands"/>
    <s v="Russian Federation"/>
    <n v="0"/>
    <x v="3"/>
    <x v="0"/>
    <x v="0"/>
  </r>
  <r>
    <s v="Agropur"/>
    <s v="Croplands"/>
    <s v="South Asia"/>
    <n v="4"/>
    <x v="3"/>
    <x v="0"/>
    <x v="0"/>
  </r>
  <r>
    <s v="Agropur"/>
    <s v="Croplands"/>
    <s v="Sub-Saharan Africa"/>
    <n v="0"/>
    <x v="3"/>
    <x v="0"/>
    <x v="0"/>
  </r>
  <r>
    <s v="Agropur"/>
    <s v="Croplands"/>
    <s v="Western Europe"/>
    <n v="0"/>
    <x v="3"/>
    <x v="0"/>
    <x v="0"/>
  </r>
  <r>
    <s v="DMK"/>
    <s v="Grazing"/>
    <s v="East Asia and Southeast Asia"/>
    <n v="0"/>
    <x v="3"/>
    <x v="0"/>
    <x v="0"/>
  </r>
  <r>
    <s v="DMK"/>
    <s v="Grazing"/>
    <s v="Eastern Europe"/>
    <n v="0"/>
    <x v="3"/>
    <x v="0"/>
    <x v="0"/>
  </r>
  <r>
    <s v="DMK"/>
    <s v="Grazing"/>
    <s v="Latin America and the Caribbean"/>
    <n v="0"/>
    <x v="3"/>
    <x v="0"/>
    <x v="0"/>
  </r>
  <r>
    <s v="DMK"/>
    <s v="Grazing"/>
    <s v="Near East and North Africa"/>
    <n v="0"/>
    <x v="3"/>
    <x v="0"/>
    <x v="0"/>
  </r>
  <r>
    <s v="DMK"/>
    <s v="Grazing"/>
    <s v="North America"/>
    <n v="0"/>
    <x v="3"/>
    <x v="0"/>
    <x v="0"/>
  </r>
  <r>
    <s v="DMK"/>
    <s v="Grazing"/>
    <s v="Oceania"/>
    <n v="0"/>
    <x v="3"/>
    <x v="0"/>
    <x v="0"/>
  </r>
  <r>
    <s v="DMK"/>
    <s v="Grazing"/>
    <s v="RoW"/>
    <n v="0"/>
    <x v="3"/>
    <x v="0"/>
    <x v="0"/>
  </r>
  <r>
    <s v="DMK"/>
    <s v="Grazing"/>
    <s v="Russian Federation"/>
    <n v="0"/>
    <x v="3"/>
    <x v="0"/>
    <x v="0"/>
  </r>
  <r>
    <s v="DMK"/>
    <s v="Grazing"/>
    <s v="South Asia"/>
    <n v="0"/>
    <x v="3"/>
    <x v="0"/>
    <x v="0"/>
  </r>
  <r>
    <s v="DMK"/>
    <s v="Grazing"/>
    <s v="Sub-Saharan Africa"/>
    <n v="0"/>
    <x v="3"/>
    <x v="0"/>
    <x v="0"/>
  </r>
  <r>
    <s v="DMK"/>
    <s v="Grazing"/>
    <s v="Western Europe"/>
    <n v="606"/>
    <x v="3"/>
    <x v="0"/>
    <x v="0"/>
  </r>
  <r>
    <s v="DMK"/>
    <s v="Croplands"/>
    <s v="East Asia and Southeast Asia"/>
    <n v="7"/>
    <x v="3"/>
    <x v="0"/>
    <x v="0"/>
  </r>
  <r>
    <s v="DMK"/>
    <s v="Croplands"/>
    <s v="Eastern Europe"/>
    <n v="62"/>
    <x v="3"/>
    <x v="0"/>
    <x v="0"/>
  </r>
  <r>
    <s v="DMK"/>
    <s v="Croplands"/>
    <s v="Latin America and the Caribbean"/>
    <n v="77"/>
    <x v="3"/>
    <x v="0"/>
    <x v="0"/>
  </r>
  <r>
    <s v="DMK"/>
    <s v="Croplands"/>
    <s v="Near East and North Africa"/>
    <n v="3"/>
    <x v="3"/>
    <x v="0"/>
    <x v="0"/>
  </r>
  <r>
    <s v="DMK"/>
    <s v="Croplands"/>
    <s v="North America"/>
    <n v="35"/>
    <x v="3"/>
    <x v="0"/>
    <x v="0"/>
  </r>
  <r>
    <s v="DMK"/>
    <s v="Croplands"/>
    <s v="Oceania"/>
    <n v="9"/>
    <x v="3"/>
    <x v="0"/>
    <x v="0"/>
  </r>
  <r>
    <s v="DMK"/>
    <s v="Croplands"/>
    <s v="RoW"/>
    <n v="0"/>
    <x v="3"/>
    <x v="0"/>
    <x v="0"/>
  </r>
  <r>
    <s v="DMK"/>
    <s v="Croplands"/>
    <s v="Russian Federation"/>
    <n v="15"/>
    <x v="3"/>
    <x v="0"/>
    <x v="0"/>
  </r>
  <r>
    <s v="DMK"/>
    <s v="Croplands"/>
    <s v="South Asia"/>
    <n v="5"/>
    <x v="3"/>
    <x v="0"/>
    <x v="0"/>
  </r>
  <r>
    <s v="DMK"/>
    <s v="Croplands"/>
    <s v="Sub-Saharan Africa"/>
    <n v="2"/>
    <x v="3"/>
    <x v="0"/>
    <x v="0"/>
  </r>
  <r>
    <s v="DMK"/>
    <s v="Croplands"/>
    <s v="Western Europe"/>
    <n v="243"/>
    <x v="3"/>
    <x v="0"/>
    <x v="0"/>
  </r>
  <r>
    <s v="Dairy Farmers of America"/>
    <s v="Grazing"/>
    <s v="East Asia and Southeast Asia"/>
    <n v="0"/>
    <x v="3"/>
    <x v="1"/>
    <x v="1"/>
  </r>
  <r>
    <s v="Dairy Farmers of America"/>
    <s v="Grazing"/>
    <s v="Eastern Europe"/>
    <n v="0"/>
    <x v="3"/>
    <x v="1"/>
    <x v="1"/>
  </r>
  <r>
    <s v="Dairy Farmers of America"/>
    <s v="Grazing"/>
    <s v="Latin America and the Caribbean"/>
    <n v="0"/>
    <x v="3"/>
    <x v="1"/>
    <x v="1"/>
  </r>
  <r>
    <s v="Dairy Farmers of America"/>
    <s v="Grazing"/>
    <s v="Near East and North Africa"/>
    <n v="0"/>
    <x v="3"/>
    <x v="1"/>
    <x v="1"/>
  </r>
  <r>
    <s v="Dairy Farmers of America"/>
    <s v="Grazing"/>
    <s v="North America"/>
    <n v="0"/>
    <x v="3"/>
    <x v="1"/>
    <x v="1"/>
  </r>
  <r>
    <s v="Dairy Farmers of America"/>
    <s v="Grazing"/>
    <s v="Oceania"/>
    <n v="0"/>
    <x v="3"/>
    <x v="1"/>
    <x v="1"/>
  </r>
  <r>
    <s v="Dairy Farmers of America"/>
    <s v="Grazing"/>
    <s v="RoW"/>
    <n v="0"/>
    <x v="3"/>
    <x v="1"/>
    <x v="1"/>
  </r>
  <r>
    <s v="Dairy Farmers of America"/>
    <s v="Grazing"/>
    <s v="Russian Federation"/>
    <n v="0"/>
    <x v="3"/>
    <x v="1"/>
    <x v="1"/>
  </r>
  <r>
    <s v="Dairy Farmers of America"/>
    <s v="Grazing"/>
    <s v="South Asia"/>
    <n v="0"/>
    <x v="3"/>
    <x v="1"/>
    <x v="1"/>
  </r>
  <r>
    <s v="Dairy Farmers of America"/>
    <s v="Grazing"/>
    <s v="Sub-Saharan Africa"/>
    <n v="0"/>
    <x v="3"/>
    <x v="1"/>
    <x v="1"/>
  </r>
  <r>
    <s v="Dairy Farmers of America"/>
    <s v="Grazing"/>
    <s v="Western Europe"/>
    <n v="0"/>
    <x v="3"/>
    <x v="1"/>
    <x v="1"/>
  </r>
  <r>
    <s v="Dairy Farmers of America"/>
    <s v="Croplands"/>
    <s v="East Asia and Southeast Asia"/>
    <n v="710"/>
    <x v="3"/>
    <x v="1"/>
    <x v="1"/>
  </r>
  <r>
    <s v="Dairy Farmers of America"/>
    <s v="Croplands"/>
    <s v="Eastern Europe"/>
    <n v="113"/>
    <x v="3"/>
    <x v="1"/>
    <x v="1"/>
  </r>
  <r>
    <s v="Dairy Farmers of America"/>
    <s v="Croplands"/>
    <s v="Latin America and the Caribbean"/>
    <n v="2292"/>
    <x v="3"/>
    <x v="1"/>
    <x v="1"/>
  </r>
  <r>
    <s v="Dairy Farmers of America"/>
    <s v="Croplands"/>
    <s v="Near East and North Africa"/>
    <n v="326"/>
    <x v="3"/>
    <x v="1"/>
    <x v="1"/>
  </r>
  <r>
    <s v="Dairy Farmers of America"/>
    <s v="Croplands"/>
    <s v="North America"/>
    <n v="1810603"/>
    <x v="3"/>
    <x v="1"/>
    <x v="1"/>
  </r>
  <r>
    <s v="Dairy Farmers of America"/>
    <s v="Croplands"/>
    <s v="Oceania"/>
    <n v="179"/>
    <x v="3"/>
    <x v="1"/>
    <x v="1"/>
  </r>
  <r>
    <s v="Dairy Farmers of America"/>
    <s v="Croplands"/>
    <s v="RoW"/>
    <n v="0"/>
    <x v="3"/>
    <x v="1"/>
    <x v="1"/>
  </r>
  <r>
    <s v="Dairy Farmers of America"/>
    <s v="Croplands"/>
    <s v="Russian Federation"/>
    <n v="40"/>
    <x v="3"/>
    <x v="1"/>
    <x v="1"/>
  </r>
  <r>
    <s v="Dairy Farmers of America"/>
    <s v="Croplands"/>
    <s v="South Asia"/>
    <n v="2488"/>
    <x v="3"/>
    <x v="1"/>
    <x v="1"/>
  </r>
  <r>
    <s v="Dairy Farmers of America"/>
    <s v="Croplands"/>
    <s v="Sub-Saharan Africa"/>
    <n v="829"/>
    <x v="3"/>
    <x v="1"/>
    <x v="1"/>
  </r>
  <r>
    <s v="Dairy Farmers of America"/>
    <s v="Croplands"/>
    <s v="Western Europe"/>
    <n v="402"/>
    <x v="3"/>
    <x v="1"/>
    <x v="1"/>
  </r>
  <r>
    <s v="Lactalis"/>
    <s v="Grazing"/>
    <s v="East Asia and Southeast Asia"/>
    <n v="0"/>
    <x v="3"/>
    <x v="1"/>
    <x v="1"/>
  </r>
  <r>
    <s v="Lactalis"/>
    <s v="Grazing"/>
    <s v="Eastern Europe"/>
    <n v="0"/>
    <x v="3"/>
    <x v="1"/>
    <x v="1"/>
  </r>
  <r>
    <s v="Lactalis"/>
    <s v="Grazing"/>
    <s v="Latin America and the Caribbean"/>
    <n v="0"/>
    <x v="3"/>
    <x v="1"/>
    <x v="1"/>
  </r>
  <r>
    <s v="Lactalis"/>
    <s v="Grazing"/>
    <s v="Near East and North Africa"/>
    <n v="0"/>
    <x v="3"/>
    <x v="1"/>
    <x v="1"/>
  </r>
  <r>
    <s v="Lactalis"/>
    <s v="Grazing"/>
    <s v="North America"/>
    <n v="0"/>
    <x v="3"/>
    <x v="1"/>
    <x v="1"/>
  </r>
  <r>
    <s v="Lactalis"/>
    <s v="Grazing"/>
    <s v="Oceania"/>
    <n v="0"/>
    <x v="3"/>
    <x v="1"/>
    <x v="1"/>
  </r>
  <r>
    <s v="Lactalis"/>
    <s v="Grazing"/>
    <s v="RoW"/>
    <n v="0"/>
    <x v="3"/>
    <x v="1"/>
    <x v="1"/>
  </r>
  <r>
    <s v="Lactalis"/>
    <s v="Grazing"/>
    <s v="Russian Federation"/>
    <n v="0"/>
    <x v="3"/>
    <x v="1"/>
    <x v="1"/>
  </r>
  <r>
    <s v="Lactalis"/>
    <s v="Grazing"/>
    <s v="South Asia"/>
    <n v="0"/>
    <x v="3"/>
    <x v="1"/>
    <x v="1"/>
  </r>
  <r>
    <s v="Lactalis"/>
    <s v="Grazing"/>
    <s v="Sub-Saharan Africa"/>
    <n v="0"/>
    <x v="3"/>
    <x v="1"/>
    <x v="1"/>
  </r>
  <r>
    <s v="Lactalis"/>
    <s v="Grazing"/>
    <s v="Western Europe"/>
    <n v="0"/>
    <x v="3"/>
    <x v="1"/>
    <x v="1"/>
  </r>
  <r>
    <s v="Lactalis"/>
    <s v="Croplands"/>
    <s v="East Asia and Southeast Asia"/>
    <n v="2366"/>
    <x v="3"/>
    <x v="1"/>
    <x v="1"/>
  </r>
  <r>
    <s v="Lactalis"/>
    <s v="Croplands"/>
    <s v="Eastern Europe"/>
    <n v="23023"/>
    <x v="3"/>
    <x v="1"/>
    <x v="1"/>
  </r>
  <r>
    <s v="Lactalis"/>
    <s v="Croplands"/>
    <s v="Latin America and the Caribbean"/>
    <n v="3068"/>
    <x v="3"/>
    <x v="1"/>
    <x v="1"/>
  </r>
  <r>
    <s v="Lactalis"/>
    <s v="Croplands"/>
    <s v="Near East and North Africa"/>
    <n v="20928"/>
    <x v="3"/>
    <x v="1"/>
    <x v="1"/>
  </r>
  <r>
    <s v="Lactalis"/>
    <s v="Croplands"/>
    <s v="North America"/>
    <n v="21321"/>
    <x v="3"/>
    <x v="1"/>
    <x v="1"/>
  </r>
  <r>
    <s v="Lactalis"/>
    <s v="Croplands"/>
    <s v="Oceania"/>
    <n v="60"/>
    <x v="3"/>
    <x v="1"/>
    <x v="1"/>
  </r>
  <r>
    <s v="Lactalis"/>
    <s v="Croplands"/>
    <s v="RoW"/>
    <n v="0"/>
    <x v="3"/>
    <x v="1"/>
    <x v="1"/>
  </r>
  <r>
    <s v="Lactalis"/>
    <s v="Croplands"/>
    <s v="Russian Federation"/>
    <n v="6875"/>
    <x v="3"/>
    <x v="1"/>
    <x v="1"/>
  </r>
  <r>
    <s v="Lactalis"/>
    <s v="Croplands"/>
    <s v="South Asia"/>
    <n v="6981"/>
    <x v="3"/>
    <x v="1"/>
    <x v="1"/>
  </r>
  <r>
    <s v="Lactalis"/>
    <s v="Croplands"/>
    <s v="Sub-Saharan Africa"/>
    <n v="755"/>
    <x v="3"/>
    <x v="1"/>
    <x v="1"/>
  </r>
  <r>
    <s v="Lactalis"/>
    <s v="Croplands"/>
    <s v="Western Europe"/>
    <n v="237173"/>
    <x v="3"/>
    <x v="1"/>
    <x v="1"/>
  </r>
  <r>
    <s v="Fonterra"/>
    <s v="Grazing"/>
    <s v="East Asia and Southeast Asia"/>
    <n v="0"/>
    <x v="3"/>
    <x v="1"/>
    <x v="1"/>
  </r>
  <r>
    <s v="Fonterra"/>
    <s v="Grazing"/>
    <s v="Eastern Europe"/>
    <n v="0"/>
    <x v="3"/>
    <x v="1"/>
    <x v="1"/>
  </r>
  <r>
    <s v="Fonterra"/>
    <s v="Grazing"/>
    <s v="Latin America and the Caribbean"/>
    <n v="0"/>
    <x v="3"/>
    <x v="1"/>
    <x v="1"/>
  </r>
  <r>
    <s v="Fonterra"/>
    <s v="Grazing"/>
    <s v="Near East and North Africa"/>
    <n v="0"/>
    <x v="3"/>
    <x v="1"/>
    <x v="1"/>
  </r>
  <r>
    <s v="Fonterra"/>
    <s v="Grazing"/>
    <s v="North America"/>
    <n v="0"/>
    <x v="3"/>
    <x v="1"/>
    <x v="1"/>
  </r>
  <r>
    <s v="Fonterra"/>
    <s v="Grazing"/>
    <s v="Oceania"/>
    <n v="0"/>
    <x v="3"/>
    <x v="1"/>
    <x v="1"/>
  </r>
  <r>
    <s v="Fonterra"/>
    <s v="Grazing"/>
    <s v="RoW"/>
    <n v="0"/>
    <x v="3"/>
    <x v="1"/>
    <x v="1"/>
  </r>
  <r>
    <s v="Fonterra"/>
    <s v="Grazing"/>
    <s v="Russian Federation"/>
    <n v="0"/>
    <x v="3"/>
    <x v="1"/>
    <x v="1"/>
  </r>
  <r>
    <s v="Fonterra"/>
    <s v="Grazing"/>
    <s v="South Asia"/>
    <n v="0"/>
    <x v="3"/>
    <x v="1"/>
    <x v="1"/>
  </r>
  <r>
    <s v="Fonterra"/>
    <s v="Grazing"/>
    <s v="Sub-Saharan Africa"/>
    <n v="0"/>
    <x v="3"/>
    <x v="1"/>
    <x v="1"/>
  </r>
  <r>
    <s v="Fonterra"/>
    <s v="Grazing"/>
    <s v="Western Europe"/>
    <n v="0"/>
    <x v="3"/>
    <x v="1"/>
    <x v="1"/>
  </r>
  <r>
    <s v="Fonterra"/>
    <s v="Croplands"/>
    <s v="East Asia and Southeast Asia"/>
    <n v="234"/>
    <x v="3"/>
    <x v="1"/>
    <x v="1"/>
  </r>
  <r>
    <s v="Fonterra"/>
    <s v="Croplands"/>
    <s v="Eastern Europe"/>
    <n v="177"/>
    <x v="3"/>
    <x v="1"/>
    <x v="1"/>
  </r>
  <r>
    <s v="Fonterra"/>
    <s v="Croplands"/>
    <s v="Latin America and the Caribbean"/>
    <n v="1473"/>
    <x v="3"/>
    <x v="1"/>
    <x v="1"/>
  </r>
  <r>
    <s v="Fonterra"/>
    <s v="Croplands"/>
    <s v="Near East and North Africa"/>
    <n v="245"/>
    <x v="3"/>
    <x v="1"/>
    <x v="1"/>
  </r>
  <r>
    <s v="Fonterra"/>
    <s v="Croplands"/>
    <s v="North America"/>
    <n v="1955"/>
    <x v="3"/>
    <x v="1"/>
    <x v="1"/>
  </r>
  <r>
    <s v="Fonterra"/>
    <s v="Croplands"/>
    <s v="Oceania"/>
    <n v="188933"/>
    <x v="3"/>
    <x v="1"/>
    <x v="1"/>
  </r>
  <r>
    <s v="Fonterra"/>
    <s v="Croplands"/>
    <s v="RoW"/>
    <n v="0"/>
    <x v="3"/>
    <x v="1"/>
    <x v="1"/>
  </r>
  <r>
    <s v="Fonterra"/>
    <s v="Croplands"/>
    <s v="Russian Federation"/>
    <n v="16"/>
    <x v="3"/>
    <x v="1"/>
    <x v="1"/>
  </r>
  <r>
    <s v="Fonterra"/>
    <s v="Croplands"/>
    <s v="South Asia"/>
    <n v="1085"/>
    <x v="3"/>
    <x v="1"/>
    <x v="1"/>
  </r>
  <r>
    <s v="Fonterra"/>
    <s v="Croplands"/>
    <s v="Sub-Saharan Africa"/>
    <n v="22"/>
    <x v="3"/>
    <x v="1"/>
    <x v="1"/>
  </r>
  <r>
    <s v="Fonterra"/>
    <s v="Croplands"/>
    <s v="Western Europe"/>
    <n v="70"/>
    <x v="3"/>
    <x v="1"/>
    <x v="1"/>
  </r>
  <r>
    <s v="Arla"/>
    <s v="Grazing"/>
    <s v="East Asia and Southeast Asia"/>
    <n v="0"/>
    <x v="3"/>
    <x v="1"/>
    <x v="1"/>
  </r>
  <r>
    <s v="Arla"/>
    <s v="Grazing"/>
    <s v="Eastern Europe"/>
    <n v="0"/>
    <x v="3"/>
    <x v="1"/>
    <x v="1"/>
  </r>
  <r>
    <s v="Arla"/>
    <s v="Grazing"/>
    <s v="Latin America and the Caribbean"/>
    <n v="0"/>
    <x v="3"/>
    <x v="1"/>
    <x v="1"/>
  </r>
  <r>
    <s v="Arla"/>
    <s v="Grazing"/>
    <s v="Near East and North Africa"/>
    <n v="0"/>
    <x v="3"/>
    <x v="1"/>
    <x v="1"/>
  </r>
  <r>
    <s v="Arla"/>
    <s v="Grazing"/>
    <s v="North America"/>
    <n v="0"/>
    <x v="3"/>
    <x v="1"/>
    <x v="1"/>
  </r>
  <r>
    <s v="Arla"/>
    <s v="Grazing"/>
    <s v="Oceania"/>
    <n v="0"/>
    <x v="3"/>
    <x v="1"/>
    <x v="1"/>
  </r>
  <r>
    <s v="Arla"/>
    <s v="Grazing"/>
    <s v="RoW"/>
    <n v="0"/>
    <x v="3"/>
    <x v="1"/>
    <x v="1"/>
  </r>
  <r>
    <s v="Arla"/>
    <s v="Grazing"/>
    <s v="Russian Federation"/>
    <n v="0"/>
    <x v="3"/>
    <x v="1"/>
    <x v="1"/>
  </r>
  <r>
    <s v="Arla"/>
    <s v="Grazing"/>
    <s v="South Asia"/>
    <n v="0"/>
    <x v="3"/>
    <x v="1"/>
    <x v="1"/>
  </r>
  <r>
    <s v="Arla"/>
    <s v="Grazing"/>
    <s v="Sub-Saharan Africa"/>
    <n v="0"/>
    <x v="3"/>
    <x v="1"/>
    <x v="1"/>
  </r>
  <r>
    <s v="Arla"/>
    <s v="Grazing"/>
    <s v="Western Europe"/>
    <n v="0"/>
    <x v="3"/>
    <x v="1"/>
    <x v="1"/>
  </r>
  <r>
    <s v="Arla"/>
    <s v="Croplands"/>
    <s v="East Asia and Southeast Asia"/>
    <n v="1413"/>
    <x v="3"/>
    <x v="1"/>
    <x v="1"/>
  </r>
  <r>
    <s v="Arla"/>
    <s v="Croplands"/>
    <s v="Eastern Europe"/>
    <n v="13753"/>
    <x v="3"/>
    <x v="1"/>
    <x v="1"/>
  </r>
  <r>
    <s v="Arla"/>
    <s v="Croplands"/>
    <s v="Latin America and the Caribbean"/>
    <n v="1833"/>
    <x v="3"/>
    <x v="1"/>
    <x v="1"/>
  </r>
  <r>
    <s v="Arla"/>
    <s v="Croplands"/>
    <s v="Near East and North Africa"/>
    <n v="12501"/>
    <x v="3"/>
    <x v="1"/>
    <x v="1"/>
  </r>
  <r>
    <s v="Arla"/>
    <s v="Croplands"/>
    <s v="North America"/>
    <n v="12736"/>
    <x v="3"/>
    <x v="1"/>
    <x v="1"/>
  </r>
  <r>
    <s v="Arla"/>
    <s v="Croplands"/>
    <s v="Oceania"/>
    <n v="36"/>
    <x v="3"/>
    <x v="1"/>
    <x v="1"/>
  </r>
  <r>
    <s v="Arla"/>
    <s v="Croplands"/>
    <s v="RoW"/>
    <n v="0"/>
    <x v="3"/>
    <x v="1"/>
    <x v="1"/>
  </r>
  <r>
    <s v="Arla"/>
    <s v="Croplands"/>
    <s v="Russian Federation"/>
    <n v="4107"/>
    <x v="3"/>
    <x v="1"/>
    <x v="1"/>
  </r>
  <r>
    <s v="Arla"/>
    <s v="Croplands"/>
    <s v="South Asia"/>
    <n v="4170"/>
    <x v="3"/>
    <x v="1"/>
    <x v="1"/>
  </r>
  <r>
    <s v="Arla"/>
    <s v="Croplands"/>
    <s v="Sub-Saharan Africa"/>
    <n v="451"/>
    <x v="3"/>
    <x v="1"/>
    <x v="1"/>
  </r>
  <r>
    <s v="Arla"/>
    <s v="Croplands"/>
    <s v="Western Europe"/>
    <n v="141674"/>
    <x v="3"/>
    <x v="1"/>
    <x v="1"/>
  </r>
  <r>
    <s v="Nestlé"/>
    <s v="Grazing"/>
    <s v="East Asia and Southeast Asia"/>
    <n v="0"/>
    <x v="3"/>
    <x v="1"/>
    <x v="1"/>
  </r>
  <r>
    <s v="Nestlé"/>
    <s v="Grazing"/>
    <s v="Eastern Europe"/>
    <n v="0"/>
    <x v="3"/>
    <x v="1"/>
    <x v="1"/>
  </r>
  <r>
    <s v="Nestlé"/>
    <s v="Grazing"/>
    <s v="Latin America and the Caribbean"/>
    <n v="0"/>
    <x v="3"/>
    <x v="1"/>
    <x v="1"/>
  </r>
  <r>
    <s v="Nestlé"/>
    <s v="Grazing"/>
    <s v="Near East and North Africa"/>
    <n v="0"/>
    <x v="3"/>
    <x v="1"/>
    <x v="1"/>
  </r>
  <r>
    <s v="Nestlé"/>
    <s v="Grazing"/>
    <s v="North America"/>
    <n v="0"/>
    <x v="3"/>
    <x v="1"/>
    <x v="1"/>
  </r>
  <r>
    <s v="Nestlé"/>
    <s v="Grazing"/>
    <s v="Oceania"/>
    <n v="0"/>
    <x v="3"/>
    <x v="1"/>
    <x v="1"/>
  </r>
  <r>
    <s v="Nestlé"/>
    <s v="Grazing"/>
    <s v="RoW"/>
    <n v="0"/>
    <x v="3"/>
    <x v="1"/>
    <x v="1"/>
  </r>
  <r>
    <s v="Nestlé"/>
    <s v="Grazing"/>
    <s v="Russian Federation"/>
    <n v="0"/>
    <x v="3"/>
    <x v="1"/>
    <x v="1"/>
  </r>
  <r>
    <s v="Nestlé"/>
    <s v="Grazing"/>
    <s v="South Asia"/>
    <n v="0"/>
    <x v="3"/>
    <x v="1"/>
    <x v="1"/>
  </r>
  <r>
    <s v="Nestlé"/>
    <s v="Grazing"/>
    <s v="Sub-Saharan Africa"/>
    <n v="0"/>
    <x v="3"/>
    <x v="1"/>
    <x v="1"/>
  </r>
  <r>
    <s v="Nestlé"/>
    <s v="Grazing"/>
    <s v="Western Europe"/>
    <n v="0"/>
    <x v="3"/>
    <x v="1"/>
    <x v="1"/>
  </r>
  <r>
    <s v="Nestlé"/>
    <s v="Croplands"/>
    <s v="East Asia and Southeast Asia"/>
    <n v="1413"/>
    <x v="3"/>
    <x v="1"/>
    <x v="1"/>
  </r>
  <r>
    <s v="Nestlé"/>
    <s v="Croplands"/>
    <s v="Eastern Europe"/>
    <n v="13753"/>
    <x v="3"/>
    <x v="1"/>
    <x v="1"/>
  </r>
  <r>
    <s v="Nestlé"/>
    <s v="Croplands"/>
    <s v="Latin America and the Caribbean"/>
    <n v="1833"/>
    <x v="3"/>
    <x v="1"/>
    <x v="1"/>
  </r>
  <r>
    <s v="Nestlé"/>
    <s v="Croplands"/>
    <s v="Near East and North Africa"/>
    <n v="12501"/>
    <x v="3"/>
    <x v="1"/>
    <x v="1"/>
  </r>
  <r>
    <s v="Nestlé"/>
    <s v="Croplands"/>
    <s v="North America"/>
    <n v="12736"/>
    <x v="3"/>
    <x v="1"/>
    <x v="1"/>
  </r>
  <r>
    <s v="Nestlé"/>
    <s v="Croplands"/>
    <s v="Oceania"/>
    <n v="36"/>
    <x v="3"/>
    <x v="1"/>
    <x v="1"/>
  </r>
  <r>
    <s v="Nestlé"/>
    <s v="Croplands"/>
    <s v="RoW"/>
    <n v="0"/>
    <x v="3"/>
    <x v="1"/>
    <x v="1"/>
  </r>
  <r>
    <s v="Nestlé"/>
    <s v="Croplands"/>
    <s v="Russian Federation"/>
    <n v="4107"/>
    <x v="3"/>
    <x v="1"/>
    <x v="1"/>
  </r>
  <r>
    <s v="Nestlé"/>
    <s v="Croplands"/>
    <s v="South Asia"/>
    <n v="4170"/>
    <x v="3"/>
    <x v="1"/>
    <x v="1"/>
  </r>
  <r>
    <s v="Nestlé"/>
    <s v="Croplands"/>
    <s v="Sub-Saharan Africa"/>
    <n v="451"/>
    <x v="3"/>
    <x v="1"/>
    <x v="1"/>
  </r>
  <r>
    <s v="Nestlé"/>
    <s v="Croplands"/>
    <s v="Western Europe"/>
    <n v="141674"/>
    <x v="3"/>
    <x v="1"/>
    <x v="1"/>
  </r>
  <r>
    <s v="Saputo"/>
    <s v="Grazing"/>
    <s v="East Asia and Southeast Asia"/>
    <n v="0"/>
    <x v="3"/>
    <x v="1"/>
    <x v="1"/>
  </r>
  <r>
    <s v="Saputo"/>
    <s v="Grazing"/>
    <s v="Eastern Europe"/>
    <n v="0"/>
    <x v="3"/>
    <x v="1"/>
    <x v="1"/>
  </r>
  <r>
    <s v="Saputo"/>
    <s v="Grazing"/>
    <s v="Latin America and the Caribbean"/>
    <n v="0"/>
    <x v="3"/>
    <x v="1"/>
    <x v="1"/>
  </r>
  <r>
    <s v="Saputo"/>
    <s v="Grazing"/>
    <s v="Near East and North Africa"/>
    <n v="0"/>
    <x v="3"/>
    <x v="1"/>
    <x v="1"/>
  </r>
  <r>
    <s v="Saputo"/>
    <s v="Grazing"/>
    <s v="North America"/>
    <n v="0"/>
    <x v="3"/>
    <x v="1"/>
    <x v="1"/>
  </r>
  <r>
    <s v="Saputo"/>
    <s v="Grazing"/>
    <s v="Oceania"/>
    <n v="0"/>
    <x v="3"/>
    <x v="1"/>
    <x v="1"/>
  </r>
  <r>
    <s v="Saputo"/>
    <s v="Grazing"/>
    <s v="RoW"/>
    <n v="0"/>
    <x v="3"/>
    <x v="1"/>
    <x v="1"/>
  </r>
  <r>
    <s v="Saputo"/>
    <s v="Grazing"/>
    <s v="Russian Federation"/>
    <n v="0"/>
    <x v="3"/>
    <x v="1"/>
    <x v="1"/>
  </r>
  <r>
    <s v="Saputo"/>
    <s v="Grazing"/>
    <s v="South Asia"/>
    <n v="0"/>
    <x v="3"/>
    <x v="1"/>
    <x v="1"/>
  </r>
  <r>
    <s v="Saputo"/>
    <s v="Grazing"/>
    <s v="Sub-Saharan Africa"/>
    <n v="0"/>
    <x v="3"/>
    <x v="1"/>
    <x v="1"/>
  </r>
  <r>
    <s v="Saputo"/>
    <s v="Grazing"/>
    <s v="Western Europe"/>
    <n v="0"/>
    <x v="3"/>
    <x v="1"/>
    <x v="1"/>
  </r>
  <r>
    <s v="Saputo"/>
    <s v="Croplands"/>
    <s v="East Asia and Southeast Asia"/>
    <n v="263"/>
    <x v="3"/>
    <x v="1"/>
    <x v="1"/>
  </r>
  <r>
    <s v="Saputo"/>
    <s v="Croplands"/>
    <s v="Eastern Europe"/>
    <n v="42"/>
    <x v="3"/>
    <x v="1"/>
    <x v="1"/>
  </r>
  <r>
    <s v="Saputo"/>
    <s v="Croplands"/>
    <s v="Latin America and the Caribbean"/>
    <n v="849"/>
    <x v="3"/>
    <x v="1"/>
    <x v="1"/>
  </r>
  <r>
    <s v="Saputo"/>
    <s v="Croplands"/>
    <s v="Near East and North Africa"/>
    <n v="121"/>
    <x v="3"/>
    <x v="1"/>
    <x v="1"/>
  </r>
  <r>
    <s v="Saputo"/>
    <s v="Croplands"/>
    <s v="North America"/>
    <n v="670594"/>
    <x v="3"/>
    <x v="1"/>
    <x v="1"/>
  </r>
  <r>
    <s v="Saputo"/>
    <s v="Croplands"/>
    <s v="Oceania"/>
    <n v="66"/>
    <x v="3"/>
    <x v="1"/>
    <x v="1"/>
  </r>
  <r>
    <s v="Saputo"/>
    <s v="Croplands"/>
    <s v="RoW"/>
    <n v="0"/>
    <x v="3"/>
    <x v="1"/>
    <x v="1"/>
  </r>
  <r>
    <s v="Saputo"/>
    <s v="Croplands"/>
    <s v="Russian Federation"/>
    <n v="15"/>
    <x v="3"/>
    <x v="1"/>
    <x v="1"/>
  </r>
  <r>
    <s v="Saputo"/>
    <s v="Croplands"/>
    <s v="South Asia"/>
    <n v="921"/>
    <x v="3"/>
    <x v="1"/>
    <x v="1"/>
  </r>
  <r>
    <s v="Saputo"/>
    <s v="Croplands"/>
    <s v="Sub-Saharan Africa"/>
    <n v="307"/>
    <x v="3"/>
    <x v="1"/>
    <x v="1"/>
  </r>
  <r>
    <s v="Saputo"/>
    <s v="Croplands"/>
    <s v="Western Europe"/>
    <n v="149"/>
    <x v="3"/>
    <x v="1"/>
    <x v="1"/>
  </r>
  <r>
    <s v="FrieslandCampina"/>
    <s v="Grazing"/>
    <s v="East Asia and Southeast Asia"/>
    <n v="0"/>
    <x v="3"/>
    <x v="1"/>
    <x v="1"/>
  </r>
  <r>
    <s v="FrieslandCampina"/>
    <s v="Grazing"/>
    <s v="Eastern Europe"/>
    <n v="0"/>
    <x v="3"/>
    <x v="1"/>
    <x v="1"/>
  </r>
  <r>
    <s v="FrieslandCampina"/>
    <s v="Grazing"/>
    <s v="Latin America and the Caribbean"/>
    <n v="0"/>
    <x v="3"/>
    <x v="1"/>
    <x v="1"/>
  </r>
  <r>
    <s v="FrieslandCampina"/>
    <s v="Grazing"/>
    <s v="Near East and North Africa"/>
    <n v="0"/>
    <x v="3"/>
    <x v="1"/>
    <x v="1"/>
  </r>
  <r>
    <s v="FrieslandCampina"/>
    <s v="Grazing"/>
    <s v="North America"/>
    <n v="0"/>
    <x v="3"/>
    <x v="1"/>
    <x v="1"/>
  </r>
  <r>
    <s v="FrieslandCampina"/>
    <s v="Grazing"/>
    <s v="Oceania"/>
    <n v="0"/>
    <x v="3"/>
    <x v="1"/>
    <x v="1"/>
  </r>
  <r>
    <s v="FrieslandCampina"/>
    <s v="Grazing"/>
    <s v="RoW"/>
    <n v="0"/>
    <x v="3"/>
    <x v="1"/>
    <x v="1"/>
  </r>
  <r>
    <s v="FrieslandCampina"/>
    <s v="Grazing"/>
    <s v="Russian Federation"/>
    <n v="0"/>
    <x v="3"/>
    <x v="1"/>
    <x v="1"/>
  </r>
  <r>
    <s v="FrieslandCampina"/>
    <s v="Grazing"/>
    <s v="South Asia"/>
    <n v="0"/>
    <x v="3"/>
    <x v="1"/>
    <x v="1"/>
  </r>
  <r>
    <s v="FrieslandCampina"/>
    <s v="Grazing"/>
    <s v="Sub-Saharan Africa"/>
    <n v="0"/>
    <x v="3"/>
    <x v="1"/>
    <x v="1"/>
  </r>
  <r>
    <s v="FrieslandCampina"/>
    <s v="Grazing"/>
    <s v="Western Europe"/>
    <n v="0"/>
    <x v="3"/>
    <x v="1"/>
    <x v="1"/>
  </r>
  <r>
    <s v="FrieslandCampina"/>
    <s v="Croplands"/>
    <s v="East Asia and Southeast Asia"/>
    <n v="1120"/>
    <x v="3"/>
    <x v="1"/>
    <x v="1"/>
  </r>
  <r>
    <s v="FrieslandCampina"/>
    <s v="Croplands"/>
    <s v="Eastern Europe"/>
    <n v="10900"/>
    <x v="3"/>
    <x v="1"/>
    <x v="1"/>
  </r>
  <r>
    <s v="FrieslandCampina"/>
    <s v="Croplands"/>
    <s v="Latin America and the Caribbean"/>
    <n v="1453"/>
    <x v="3"/>
    <x v="1"/>
    <x v="1"/>
  </r>
  <r>
    <s v="FrieslandCampina"/>
    <s v="Croplands"/>
    <s v="Near East and North Africa"/>
    <n v="9908"/>
    <x v="3"/>
    <x v="1"/>
    <x v="1"/>
  </r>
  <r>
    <s v="FrieslandCampina"/>
    <s v="Croplands"/>
    <s v="North America"/>
    <n v="10095"/>
    <x v="3"/>
    <x v="1"/>
    <x v="1"/>
  </r>
  <r>
    <s v="FrieslandCampina"/>
    <s v="Croplands"/>
    <s v="Oceania"/>
    <n v="28"/>
    <x v="3"/>
    <x v="1"/>
    <x v="1"/>
  </r>
  <r>
    <s v="FrieslandCampina"/>
    <s v="Croplands"/>
    <s v="RoW"/>
    <n v="0"/>
    <x v="3"/>
    <x v="1"/>
    <x v="1"/>
  </r>
  <r>
    <s v="FrieslandCampina"/>
    <s v="Croplands"/>
    <s v="Russian Federation"/>
    <n v="3255"/>
    <x v="3"/>
    <x v="1"/>
    <x v="1"/>
  </r>
  <r>
    <s v="FrieslandCampina"/>
    <s v="Croplands"/>
    <s v="South Asia"/>
    <n v="3305"/>
    <x v="3"/>
    <x v="1"/>
    <x v="1"/>
  </r>
  <r>
    <s v="FrieslandCampina"/>
    <s v="Croplands"/>
    <s v="Sub-Saharan Africa"/>
    <n v="357"/>
    <x v="3"/>
    <x v="1"/>
    <x v="1"/>
  </r>
  <r>
    <s v="FrieslandCampina"/>
    <s v="Croplands"/>
    <s v="Western Europe"/>
    <n v="112290"/>
    <x v="3"/>
    <x v="1"/>
    <x v="1"/>
  </r>
  <r>
    <s v="Yili "/>
    <s v="Grazing"/>
    <s v="East Asia and Southeast Asia"/>
    <n v="0"/>
    <x v="3"/>
    <x v="1"/>
    <x v="1"/>
  </r>
  <r>
    <s v="Yili "/>
    <s v="Grazing"/>
    <s v="Eastern Europe"/>
    <n v="0"/>
    <x v="3"/>
    <x v="1"/>
    <x v="1"/>
  </r>
  <r>
    <s v="Yili "/>
    <s v="Grazing"/>
    <s v="Latin America and the Caribbean"/>
    <n v="0"/>
    <x v="3"/>
    <x v="1"/>
    <x v="1"/>
  </r>
  <r>
    <s v="Yili "/>
    <s v="Grazing"/>
    <s v="Near East and North Africa"/>
    <n v="0"/>
    <x v="3"/>
    <x v="1"/>
    <x v="1"/>
  </r>
  <r>
    <s v="Yili "/>
    <s v="Grazing"/>
    <s v="North America"/>
    <n v="0"/>
    <x v="3"/>
    <x v="1"/>
    <x v="1"/>
  </r>
  <r>
    <s v="Yili "/>
    <s v="Grazing"/>
    <s v="Oceania"/>
    <n v="0"/>
    <x v="3"/>
    <x v="1"/>
    <x v="1"/>
  </r>
  <r>
    <s v="Yili "/>
    <s v="Grazing"/>
    <s v="RoW"/>
    <n v="0"/>
    <x v="3"/>
    <x v="1"/>
    <x v="1"/>
  </r>
  <r>
    <s v="Yili "/>
    <s v="Grazing"/>
    <s v="Russian Federation"/>
    <n v="0"/>
    <x v="3"/>
    <x v="1"/>
    <x v="1"/>
  </r>
  <r>
    <s v="Yili "/>
    <s v="Grazing"/>
    <s v="South Asia"/>
    <n v="0"/>
    <x v="3"/>
    <x v="1"/>
    <x v="1"/>
  </r>
  <r>
    <s v="Yili "/>
    <s v="Grazing"/>
    <s v="Sub-Saharan Africa"/>
    <n v="0"/>
    <x v="3"/>
    <x v="1"/>
    <x v="1"/>
  </r>
  <r>
    <s v="Yili "/>
    <s v="Grazing"/>
    <s v="Western Europe"/>
    <n v="0"/>
    <x v="3"/>
    <x v="1"/>
    <x v="1"/>
  </r>
  <r>
    <s v="Yili "/>
    <s v="Croplands"/>
    <s v="East Asia and Southeast Asia"/>
    <n v="501332"/>
    <x v="3"/>
    <x v="1"/>
    <x v="1"/>
  </r>
  <r>
    <s v="Yili "/>
    <s v="Croplands"/>
    <s v="Eastern Europe"/>
    <n v="4831"/>
    <x v="3"/>
    <x v="1"/>
    <x v="1"/>
  </r>
  <r>
    <s v="Yili "/>
    <s v="Croplands"/>
    <s v="Latin America and the Caribbean"/>
    <n v="3401"/>
    <x v="3"/>
    <x v="1"/>
    <x v="1"/>
  </r>
  <r>
    <s v="Yili "/>
    <s v="Croplands"/>
    <s v="Near East and North Africa"/>
    <n v="6528"/>
    <x v="3"/>
    <x v="1"/>
    <x v="1"/>
  </r>
  <r>
    <s v="Yili "/>
    <s v="Croplands"/>
    <s v="North America"/>
    <n v="93659"/>
    <x v="3"/>
    <x v="1"/>
    <x v="1"/>
  </r>
  <r>
    <s v="Yili "/>
    <s v="Croplands"/>
    <s v="Oceania"/>
    <n v="4574"/>
    <x v="3"/>
    <x v="1"/>
    <x v="1"/>
  </r>
  <r>
    <s v="Yili "/>
    <s v="Croplands"/>
    <s v="RoW"/>
    <n v="0"/>
    <x v="3"/>
    <x v="1"/>
    <x v="1"/>
  </r>
  <r>
    <s v="Yili "/>
    <s v="Croplands"/>
    <s v="Russian Federation"/>
    <n v="3814"/>
    <x v="3"/>
    <x v="1"/>
    <x v="1"/>
  </r>
  <r>
    <s v="Yili "/>
    <s v="Croplands"/>
    <s v="South Asia"/>
    <n v="22859"/>
    <x v="3"/>
    <x v="1"/>
    <x v="1"/>
  </r>
  <r>
    <s v="Yili "/>
    <s v="Croplands"/>
    <s v="Sub-Saharan Africa"/>
    <n v="1005"/>
    <x v="3"/>
    <x v="1"/>
    <x v="1"/>
  </r>
  <r>
    <s v="Yili "/>
    <s v="Croplands"/>
    <s v="Western Europe"/>
    <n v="1223"/>
    <x v="3"/>
    <x v="1"/>
    <x v="1"/>
  </r>
  <r>
    <s v="China Mengniu Dairy"/>
    <s v="Grazing"/>
    <s v="East Asia and Southeast Asia"/>
    <n v="0"/>
    <x v="3"/>
    <x v="1"/>
    <x v="1"/>
  </r>
  <r>
    <s v="China Mengniu Dairy"/>
    <s v="Grazing"/>
    <s v="Eastern Europe"/>
    <n v="0"/>
    <x v="3"/>
    <x v="1"/>
    <x v="1"/>
  </r>
  <r>
    <s v="China Mengniu Dairy"/>
    <s v="Grazing"/>
    <s v="Latin America and the Caribbean"/>
    <n v="0"/>
    <x v="3"/>
    <x v="1"/>
    <x v="1"/>
  </r>
  <r>
    <s v="China Mengniu Dairy"/>
    <s v="Grazing"/>
    <s v="Near East and North Africa"/>
    <n v="0"/>
    <x v="3"/>
    <x v="1"/>
    <x v="1"/>
  </r>
  <r>
    <s v="China Mengniu Dairy"/>
    <s v="Grazing"/>
    <s v="North America"/>
    <n v="0"/>
    <x v="3"/>
    <x v="1"/>
    <x v="1"/>
  </r>
  <r>
    <s v="China Mengniu Dairy"/>
    <s v="Grazing"/>
    <s v="Oceania"/>
    <n v="0"/>
    <x v="3"/>
    <x v="1"/>
    <x v="1"/>
  </r>
  <r>
    <s v="China Mengniu Dairy"/>
    <s v="Grazing"/>
    <s v="RoW"/>
    <n v="0"/>
    <x v="3"/>
    <x v="1"/>
    <x v="1"/>
  </r>
  <r>
    <s v="China Mengniu Dairy"/>
    <s v="Grazing"/>
    <s v="Russian Federation"/>
    <n v="0"/>
    <x v="3"/>
    <x v="1"/>
    <x v="1"/>
  </r>
  <r>
    <s v="China Mengniu Dairy"/>
    <s v="Grazing"/>
    <s v="South Asia"/>
    <n v="0"/>
    <x v="3"/>
    <x v="1"/>
    <x v="1"/>
  </r>
  <r>
    <s v="China Mengniu Dairy"/>
    <s v="Grazing"/>
    <s v="Sub-Saharan Africa"/>
    <n v="0"/>
    <x v="3"/>
    <x v="1"/>
    <x v="1"/>
  </r>
  <r>
    <s v="China Mengniu Dairy"/>
    <s v="Grazing"/>
    <s v="Western Europe"/>
    <n v="0"/>
    <x v="3"/>
    <x v="1"/>
    <x v="1"/>
  </r>
  <r>
    <s v="China Mengniu Dairy"/>
    <s v="Croplands"/>
    <s v="East Asia and Southeast Asia"/>
    <n v="486292"/>
    <x v="3"/>
    <x v="1"/>
    <x v="1"/>
  </r>
  <r>
    <s v="China Mengniu Dairy"/>
    <s v="Croplands"/>
    <s v="Eastern Europe"/>
    <n v="4686"/>
    <x v="3"/>
    <x v="1"/>
    <x v="1"/>
  </r>
  <r>
    <s v="China Mengniu Dairy"/>
    <s v="Croplands"/>
    <s v="Latin America and the Caribbean"/>
    <n v="3299"/>
    <x v="3"/>
    <x v="1"/>
    <x v="1"/>
  </r>
  <r>
    <s v="China Mengniu Dairy"/>
    <s v="Croplands"/>
    <s v="Near East and North Africa"/>
    <n v="6332"/>
    <x v="3"/>
    <x v="1"/>
    <x v="1"/>
  </r>
  <r>
    <s v="China Mengniu Dairy"/>
    <s v="Croplands"/>
    <s v="North America"/>
    <n v="90849"/>
    <x v="3"/>
    <x v="1"/>
    <x v="1"/>
  </r>
  <r>
    <s v="China Mengniu Dairy"/>
    <s v="Croplands"/>
    <s v="Oceania"/>
    <n v="4437"/>
    <x v="3"/>
    <x v="1"/>
    <x v="1"/>
  </r>
  <r>
    <s v="China Mengniu Dairy"/>
    <s v="Croplands"/>
    <s v="RoW"/>
    <n v="0"/>
    <x v="3"/>
    <x v="1"/>
    <x v="1"/>
  </r>
  <r>
    <s v="China Mengniu Dairy"/>
    <s v="Croplands"/>
    <s v="Russian Federation"/>
    <n v="3700"/>
    <x v="3"/>
    <x v="1"/>
    <x v="1"/>
  </r>
  <r>
    <s v="China Mengniu Dairy"/>
    <s v="Croplands"/>
    <s v="South Asia"/>
    <n v="22173"/>
    <x v="3"/>
    <x v="1"/>
    <x v="1"/>
  </r>
  <r>
    <s v="China Mengniu Dairy"/>
    <s v="Croplands"/>
    <s v="Sub-Saharan Africa"/>
    <n v="975"/>
    <x v="3"/>
    <x v="1"/>
    <x v="1"/>
  </r>
  <r>
    <s v="China Mengniu Dairy"/>
    <s v="Croplands"/>
    <s v="Western Europe"/>
    <n v="1186"/>
    <x v="3"/>
    <x v="1"/>
    <x v="1"/>
  </r>
  <r>
    <s v="Amul"/>
    <s v="Grazing"/>
    <s v="East Asia and Southeast Asia"/>
    <n v="0"/>
    <x v="3"/>
    <x v="1"/>
    <x v="1"/>
  </r>
  <r>
    <s v="Amul"/>
    <s v="Grazing"/>
    <s v="Eastern Europe"/>
    <n v="0"/>
    <x v="3"/>
    <x v="1"/>
    <x v="1"/>
  </r>
  <r>
    <s v="Amul"/>
    <s v="Grazing"/>
    <s v="Latin America and the Caribbean"/>
    <n v="0"/>
    <x v="3"/>
    <x v="1"/>
    <x v="1"/>
  </r>
  <r>
    <s v="Amul"/>
    <s v="Grazing"/>
    <s v="Near East and North Africa"/>
    <n v="0"/>
    <x v="3"/>
    <x v="1"/>
    <x v="1"/>
  </r>
  <r>
    <s v="Amul"/>
    <s v="Grazing"/>
    <s v="North America"/>
    <n v="0"/>
    <x v="3"/>
    <x v="1"/>
    <x v="1"/>
  </r>
  <r>
    <s v="Amul"/>
    <s v="Grazing"/>
    <s v="Oceania"/>
    <n v="0"/>
    <x v="3"/>
    <x v="1"/>
    <x v="1"/>
  </r>
  <r>
    <s v="Amul"/>
    <s v="Grazing"/>
    <s v="RoW"/>
    <n v="0"/>
    <x v="3"/>
    <x v="1"/>
    <x v="1"/>
  </r>
  <r>
    <s v="Amul"/>
    <s v="Grazing"/>
    <s v="Russian Federation"/>
    <n v="0"/>
    <x v="3"/>
    <x v="1"/>
    <x v="1"/>
  </r>
  <r>
    <s v="Amul"/>
    <s v="Grazing"/>
    <s v="South Asia"/>
    <n v="0"/>
    <x v="3"/>
    <x v="1"/>
    <x v="1"/>
  </r>
  <r>
    <s v="Amul"/>
    <s v="Grazing"/>
    <s v="Sub-Saharan Africa"/>
    <n v="0"/>
    <x v="3"/>
    <x v="1"/>
    <x v="1"/>
  </r>
  <r>
    <s v="Amul"/>
    <s v="Grazing"/>
    <s v="Western Europe"/>
    <n v="0"/>
    <x v="3"/>
    <x v="1"/>
    <x v="1"/>
  </r>
  <r>
    <s v="Amul"/>
    <s v="Croplands"/>
    <s v="East Asia and Southeast Asia"/>
    <n v="314"/>
    <x v="3"/>
    <x v="1"/>
    <x v="1"/>
  </r>
  <r>
    <s v="Amul"/>
    <s v="Croplands"/>
    <s v="Eastern Europe"/>
    <n v="1420"/>
    <x v="3"/>
    <x v="1"/>
    <x v="1"/>
  </r>
  <r>
    <s v="Amul"/>
    <s v="Croplands"/>
    <s v="Latin America and the Caribbean"/>
    <n v="329"/>
    <x v="3"/>
    <x v="1"/>
    <x v="1"/>
  </r>
  <r>
    <s v="Amul"/>
    <s v="Croplands"/>
    <s v="Near East and North Africa"/>
    <n v="5110"/>
    <x v="3"/>
    <x v="1"/>
    <x v="1"/>
  </r>
  <r>
    <s v="Amul"/>
    <s v="Croplands"/>
    <s v="North America"/>
    <n v="3583"/>
    <x v="3"/>
    <x v="1"/>
    <x v="1"/>
  </r>
  <r>
    <s v="Amul"/>
    <s v="Croplands"/>
    <s v="Oceania"/>
    <n v="39"/>
    <x v="3"/>
    <x v="1"/>
    <x v="1"/>
  </r>
  <r>
    <s v="Amul"/>
    <s v="Croplands"/>
    <s v="RoW"/>
    <n v="0"/>
    <x v="3"/>
    <x v="1"/>
    <x v="1"/>
  </r>
  <r>
    <s v="Amul"/>
    <s v="Croplands"/>
    <s v="Russian Federation"/>
    <n v="241"/>
    <x v="3"/>
    <x v="1"/>
    <x v="1"/>
  </r>
  <r>
    <s v="Amul"/>
    <s v="Croplands"/>
    <s v="South Asia"/>
    <n v="1152564"/>
    <x v="3"/>
    <x v="1"/>
    <x v="1"/>
  </r>
  <r>
    <s v="Amul"/>
    <s v="Croplands"/>
    <s v="Sub-Saharan Africa"/>
    <n v="3158"/>
    <x v="3"/>
    <x v="1"/>
    <x v="1"/>
  </r>
  <r>
    <s v="Amul"/>
    <s v="Croplands"/>
    <s v="Western Europe"/>
    <n v="627"/>
    <x v="3"/>
    <x v="1"/>
    <x v="1"/>
  </r>
  <r>
    <s v="Glanbia"/>
    <s v="Grazing"/>
    <s v="East Asia and Southeast Asia"/>
    <n v="0"/>
    <x v="3"/>
    <x v="1"/>
    <x v="1"/>
  </r>
  <r>
    <s v="Glanbia"/>
    <s v="Grazing"/>
    <s v="Eastern Europe"/>
    <n v="0"/>
    <x v="3"/>
    <x v="1"/>
    <x v="1"/>
  </r>
  <r>
    <s v="Glanbia"/>
    <s v="Grazing"/>
    <s v="Latin America and the Caribbean"/>
    <n v="0"/>
    <x v="3"/>
    <x v="1"/>
    <x v="1"/>
  </r>
  <r>
    <s v="Glanbia"/>
    <s v="Grazing"/>
    <s v="Near East and North Africa"/>
    <n v="0"/>
    <x v="3"/>
    <x v="1"/>
    <x v="1"/>
  </r>
  <r>
    <s v="Glanbia"/>
    <s v="Grazing"/>
    <s v="North America"/>
    <n v="0"/>
    <x v="3"/>
    <x v="1"/>
    <x v="1"/>
  </r>
  <r>
    <s v="Glanbia"/>
    <s v="Grazing"/>
    <s v="Oceania"/>
    <n v="0"/>
    <x v="3"/>
    <x v="1"/>
    <x v="1"/>
  </r>
  <r>
    <s v="Glanbia"/>
    <s v="Grazing"/>
    <s v="RoW"/>
    <n v="0"/>
    <x v="3"/>
    <x v="1"/>
    <x v="1"/>
  </r>
  <r>
    <s v="Glanbia"/>
    <s v="Grazing"/>
    <s v="Russian Federation"/>
    <n v="0"/>
    <x v="3"/>
    <x v="1"/>
    <x v="1"/>
  </r>
  <r>
    <s v="Glanbia"/>
    <s v="Grazing"/>
    <s v="South Asia"/>
    <n v="0"/>
    <x v="3"/>
    <x v="1"/>
    <x v="1"/>
  </r>
  <r>
    <s v="Glanbia"/>
    <s v="Grazing"/>
    <s v="Sub-Saharan Africa"/>
    <n v="0"/>
    <x v="3"/>
    <x v="1"/>
    <x v="1"/>
  </r>
  <r>
    <s v="Glanbia"/>
    <s v="Grazing"/>
    <s v="Western Europe"/>
    <n v="0"/>
    <x v="3"/>
    <x v="1"/>
    <x v="1"/>
  </r>
  <r>
    <s v="Glanbia"/>
    <s v="Croplands"/>
    <s v="East Asia and Southeast Asia"/>
    <n v="215"/>
    <x v="3"/>
    <x v="1"/>
    <x v="1"/>
  </r>
  <r>
    <s v="Glanbia"/>
    <s v="Croplands"/>
    <s v="Eastern Europe"/>
    <n v="34"/>
    <x v="3"/>
    <x v="1"/>
    <x v="1"/>
  </r>
  <r>
    <s v="Glanbia"/>
    <s v="Croplands"/>
    <s v="Latin America and the Caribbean"/>
    <n v="695"/>
    <x v="3"/>
    <x v="1"/>
    <x v="1"/>
  </r>
  <r>
    <s v="Glanbia"/>
    <s v="Croplands"/>
    <s v="Near East and North Africa"/>
    <n v="99"/>
    <x v="3"/>
    <x v="1"/>
    <x v="1"/>
  </r>
  <r>
    <s v="Glanbia"/>
    <s v="Croplands"/>
    <s v="North America"/>
    <n v="548668"/>
    <x v="3"/>
    <x v="1"/>
    <x v="1"/>
  </r>
  <r>
    <s v="Glanbia"/>
    <s v="Croplands"/>
    <s v="Oceania"/>
    <n v="54"/>
    <x v="3"/>
    <x v="1"/>
    <x v="1"/>
  </r>
  <r>
    <s v="Glanbia"/>
    <s v="Croplands"/>
    <s v="RoW"/>
    <n v="0"/>
    <x v="3"/>
    <x v="1"/>
    <x v="1"/>
  </r>
  <r>
    <s v="Glanbia"/>
    <s v="Croplands"/>
    <s v="Russian Federation"/>
    <n v="12"/>
    <x v="3"/>
    <x v="1"/>
    <x v="1"/>
  </r>
  <r>
    <s v="Glanbia"/>
    <s v="Croplands"/>
    <s v="South Asia"/>
    <n v="754"/>
    <x v="3"/>
    <x v="1"/>
    <x v="1"/>
  </r>
  <r>
    <s v="Glanbia"/>
    <s v="Croplands"/>
    <s v="Sub-Saharan Africa"/>
    <n v="251"/>
    <x v="3"/>
    <x v="1"/>
    <x v="1"/>
  </r>
  <r>
    <s v="Glanbia"/>
    <s v="Croplands"/>
    <s v="Western Europe"/>
    <n v="122"/>
    <x v="3"/>
    <x v="1"/>
    <x v="1"/>
  </r>
  <r>
    <s v="California Diaries"/>
    <s v="Grazing"/>
    <s v="East Asia and Southeast Asia"/>
    <n v="0"/>
    <x v="3"/>
    <x v="1"/>
    <x v="1"/>
  </r>
  <r>
    <s v="California Diaries"/>
    <s v="Grazing"/>
    <s v="Eastern Europe"/>
    <n v="0"/>
    <x v="3"/>
    <x v="1"/>
    <x v="1"/>
  </r>
  <r>
    <s v="California Diaries"/>
    <s v="Grazing"/>
    <s v="Latin America and the Caribbean"/>
    <n v="0"/>
    <x v="3"/>
    <x v="1"/>
    <x v="1"/>
  </r>
  <r>
    <s v="California Diaries"/>
    <s v="Grazing"/>
    <s v="Near East and North Africa"/>
    <n v="0"/>
    <x v="3"/>
    <x v="1"/>
    <x v="1"/>
  </r>
  <r>
    <s v="California Diaries"/>
    <s v="Grazing"/>
    <s v="North America"/>
    <n v="0"/>
    <x v="3"/>
    <x v="1"/>
    <x v="1"/>
  </r>
  <r>
    <s v="California Diaries"/>
    <s v="Grazing"/>
    <s v="Oceania"/>
    <n v="0"/>
    <x v="3"/>
    <x v="1"/>
    <x v="1"/>
  </r>
  <r>
    <s v="California Diaries"/>
    <s v="Grazing"/>
    <s v="RoW"/>
    <n v="0"/>
    <x v="3"/>
    <x v="1"/>
    <x v="1"/>
  </r>
  <r>
    <s v="California Diaries"/>
    <s v="Grazing"/>
    <s v="Russian Federation"/>
    <n v="0"/>
    <x v="3"/>
    <x v="1"/>
    <x v="1"/>
  </r>
  <r>
    <s v="California Diaries"/>
    <s v="Grazing"/>
    <s v="South Asia"/>
    <n v="0"/>
    <x v="3"/>
    <x v="1"/>
    <x v="1"/>
  </r>
  <r>
    <s v="California Diaries"/>
    <s v="Grazing"/>
    <s v="Sub-Saharan Africa"/>
    <n v="0"/>
    <x v="3"/>
    <x v="1"/>
    <x v="1"/>
  </r>
  <r>
    <s v="California Diaries"/>
    <s v="Grazing"/>
    <s v="Western Europe"/>
    <n v="0"/>
    <x v="3"/>
    <x v="1"/>
    <x v="1"/>
  </r>
  <r>
    <s v="California Diaries"/>
    <s v="Croplands"/>
    <s v="East Asia and Southeast Asia"/>
    <n v="184"/>
    <x v="3"/>
    <x v="1"/>
    <x v="1"/>
  </r>
  <r>
    <s v="California Diaries"/>
    <s v="Croplands"/>
    <s v="Eastern Europe"/>
    <n v="29"/>
    <x v="3"/>
    <x v="1"/>
    <x v="1"/>
  </r>
  <r>
    <s v="California Diaries"/>
    <s v="Croplands"/>
    <s v="Latin America and the Caribbean"/>
    <n v="594"/>
    <x v="3"/>
    <x v="1"/>
    <x v="1"/>
  </r>
  <r>
    <s v="California Diaries"/>
    <s v="Croplands"/>
    <s v="Near East and North Africa"/>
    <n v="84"/>
    <x v="3"/>
    <x v="1"/>
    <x v="1"/>
  </r>
  <r>
    <s v="California Diaries"/>
    <s v="Croplands"/>
    <s v="North America"/>
    <n v="469416"/>
    <x v="3"/>
    <x v="1"/>
    <x v="1"/>
  </r>
  <r>
    <s v="California Diaries"/>
    <s v="Croplands"/>
    <s v="Oceania"/>
    <n v="46"/>
    <x v="3"/>
    <x v="1"/>
    <x v="1"/>
  </r>
  <r>
    <s v="California Diaries"/>
    <s v="Croplands"/>
    <s v="RoW"/>
    <n v="0"/>
    <x v="3"/>
    <x v="1"/>
    <x v="1"/>
  </r>
  <r>
    <s v="California Diaries"/>
    <s v="Croplands"/>
    <s v="Russian Federation"/>
    <n v="10"/>
    <x v="3"/>
    <x v="1"/>
    <x v="1"/>
  </r>
  <r>
    <s v="California Diaries"/>
    <s v="Croplands"/>
    <s v="South Asia"/>
    <n v="645"/>
    <x v="3"/>
    <x v="1"/>
    <x v="1"/>
  </r>
  <r>
    <s v="California Diaries"/>
    <s v="Croplands"/>
    <s v="Sub-Saharan Africa"/>
    <n v="215"/>
    <x v="3"/>
    <x v="1"/>
    <x v="1"/>
  </r>
  <r>
    <s v="California Diaries"/>
    <s v="Croplands"/>
    <s v="Western Europe"/>
    <n v="104"/>
    <x v="3"/>
    <x v="1"/>
    <x v="1"/>
  </r>
  <r>
    <s v="Müller"/>
    <s v="Grazing"/>
    <s v="East Asia and Southeast Asia"/>
    <n v="0"/>
    <x v="3"/>
    <x v="1"/>
    <x v="1"/>
  </r>
  <r>
    <s v="Müller"/>
    <s v="Grazing"/>
    <s v="Eastern Europe"/>
    <n v="0"/>
    <x v="3"/>
    <x v="1"/>
    <x v="1"/>
  </r>
  <r>
    <s v="Müller"/>
    <s v="Grazing"/>
    <s v="Latin America and the Caribbean"/>
    <n v="0"/>
    <x v="3"/>
    <x v="1"/>
    <x v="1"/>
  </r>
  <r>
    <s v="Müller"/>
    <s v="Grazing"/>
    <s v="Near East and North Africa"/>
    <n v="0"/>
    <x v="3"/>
    <x v="1"/>
    <x v="1"/>
  </r>
  <r>
    <s v="Müller"/>
    <s v="Grazing"/>
    <s v="North America"/>
    <n v="0"/>
    <x v="3"/>
    <x v="1"/>
    <x v="1"/>
  </r>
  <r>
    <s v="Müller"/>
    <s v="Grazing"/>
    <s v="Oceania"/>
    <n v="0"/>
    <x v="3"/>
    <x v="1"/>
    <x v="1"/>
  </r>
  <r>
    <s v="Müller"/>
    <s v="Grazing"/>
    <s v="RoW"/>
    <n v="0"/>
    <x v="3"/>
    <x v="1"/>
    <x v="1"/>
  </r>
  <r>
    <s v="Müller"/>
    <s v="Grazing"/>
    <s v="Russian Federation"/>
    <n v="0"/>
    <x v="3"/>
    <x v="1"/>
    <x v="1"/>
  </r>
  <r>
    <s v="Müller"/>
    <s v="Grazing"/>
    <s v="South Asia"/>
    <n v="0"/>
    <x v="3"/>
    <x v="1"/>
    <x v="1"/>
  </r>
  <r>
    <s v="Müller"/>
    <s v="Grazing"/>
    <s v="Sub-Saharan Africa"/>
    <n v="0"/>
    <x v="3"/>
    <x v="1"/>
    <x v="1"/>
  </r>
  <r>
    <s v="Müller"/>
    <s v="Grazing"/>
    <s v="Western Europe"/>
    <n v="0"/>
    <x v="3"/>
    <x v="1"/>
    <x v="1"/>
  </r>
  <r>
    <s v="Müller"/>
    <s v="Croplands"/>
    <s v="East Asia and Southeast Asia"/>
    <n v="701"/>
    <x v="3"/>
    <x v="1"/>
    <x v="1"/>
  </r>
  <r>
    <s v="Müller"/>
    <s v="Croplands"/>
    <s v="Eastern Europe"/>
    <n v="6825"/>
    <x v="3"/>
    <x v="1"/>
    <x v="1"/>
  </r>
  <r>
    <s v="Müller"/>
    <s v="Croplands"/>
    <s v="Latin America and the Caribbean"/>
    <n v="910"/>
    <x v="3"/>
    <x v="1"/>
    <x v="1"/>
  </r>
  <r>
    <s v="Müller"/>
    <s v="Croplands"/>
    <s v="Near East and North Africa"/>
    <n v="6204"/>
    <x v="3"/>
    <x v="1"/>
    <x v="1"/>
  </r>
  <r>
    <s v="Müller"/>
    <s v="Croplands"/>
    <s v="North America"/>
    <n v="6321"/>
    <x v="3"/>
    <x v="1"/>
    <x v="1"/>
  </r>
  <r>
    <s v="Müller"/>
    <s v="Croplands"/>
    <s v="Oceania"/>
    <n v="18"/>
    <x v="3"/>
    <x v="1"/>
    <x v="1"/>
  </r>
  <r>
    <s v="Müller"/>
    <s v="Croplands"/>
    <s v="RoW"/>
    <n v="0"/>
    <x v="3"/>
    <x v="1"/>
    <x v="1"/>
  </r>
  <r>
    <s v="Müller"/>
    <s v="Croplands"/>
    <s v="Russian Federation"/>
    <n v="2038"/>
    <x v="3"/>
    <x v="1"/>
    <x v="1"/>
  </r>
  <r>
    <s v="Müller"/>
    <s v="Croplands"/>
    <s v="South Asia"/>
    <n v="2069"/>
    <x v="3"/>
    <x v="1"/>
    <x v="1"/>
  </r>
  <r>
    <s v="Müller"/>
    <s v="Croplands"/>
    <s v="Sub-Saharan Africa"/>
    <n v="224"/>
    <x v="3"/>
    <x v="1"/>
    <x v="1"/>
  </r>
  <r>
    <s v="Müller"/>
    <s v="Croplands"/>
    <s v="Western Europe"/>
    <n v="70312"/>
    <x v="3"/>
    <x v="1"/>
    <x v="1"/>
  </r>
  <r>
    <s v="Danone-IFCN"/>
    <s v="Grazing"/>
    <s v="East Asia and Southeast Asia"/>
    <n v="0"/>
    <x v="3"/>
    <x v="1"/>
    <x v="1"/>
  </r>
  <r>
    <s v="Danone-IFCN"/>
    <s v="Grazing"/>
    <s v="Eastern Europe"/>
    <n v="0"/>
    <x v="3"/>
    <x v="1"/>
    <x v="1"/>
  </r>
  <r>
    <s v="Danone-IFCN"/>
    <s v="Grazing"/>
    <s v="Latin America and the Caribbean"/>
    <n v="0"/>
    <x v="3"/>
    <x v="1"/>
    <x v="1"/>
  </r>
  <r>
    <s v="Danone-IFCN"/>
    <s v="Grazing"/>
    <s v="Near East and North Africa"/>
    <n v="0"/>
    <x v="3"/>
    <x v="1"/>
    <x v="1"/>
  </r>
  <r>
    <s v="Danone-IFCN"/>
    <s v="Grazing"/>
    <s v="North America"/>
    <n v="0"/>
    <x v="3"/>
    <x v="1"/>
    <x v="1"/>
  </r>
  <r>
    <s v="Danone-IFCN"/>
    <s v="Grazing"/>
    <s v="Oceania"/>
    <n v="0"/>
    <x v="3"/>
    <x v="1"/>
    <x v="1"/>
  </r>
  <r>
    <s v="Danone-IFCN"/>
    <s v="Grazing"/>
    <s v="RoW"/>
    <n v="0"/>
    <x v="3"/>
    <x v="1"/>
    <x v="1"/>
  </r>
  <r>
    <s v="Danone-IFCN"/>
    <s v="Grazing"/>
    <s v="Russian Federation"/>
    <n v="0"/>
    <x v="3"/>
    <x v="1"/>
    <x v="1"/>
  </r>
  <r>
    <s v="Danone-IFCN"/>
    <s v="Grazing"/>
    <s v="South Asia"/>
    <n v="0"/>
    <x v="3"/>
    <x v="1"/>
    <x v="1"/>
  </r>
  <r>
    <s v="Danone-IFCN"/>
    <s v="Grazing"/>
    <s v="Sub-Saharan Africa"/>
    <n v="0"/>
    <x v="3"/>
    <x v="1"/>
    <x v="1"/>
  </r>
  <r>
    <s v="Danone-IFCN"/>
    <s v="Grazing"/>
    <s v="Western Europe"/>
    <n v="0"/>
    <x v="3"/>
    <x v="1"/>
    <x v="1"/>
  </r>
  <r>
    <s v="Danone-IFCN"/>
    <s v="Croplands"/>
    <s v="East Asia and Southeast Asia"/>
    <n v="656"/>
    <x v="3"/>
    <x v="1"/>
    <x v="1"/>
  </r>
  <r>
    <s v="Danone-IFCN"/>
    <s v="Croplands"/>
    <s v="Eastern Europe"/>
    <n v="22132"/>
    <x v="3"/>
    <x v="1"/>
    <x v="1"/>
  </r>
  <r>
    <s v="Danone-IFCN"/>
    <s v="Croplands"/>
    <s v="Latin America and the Caribbean"/>
    <n v="14811"/>
    <x v="3"/>
    <x v="1"/>
    <x v="1"/>
  </r>
  <r>
    <s v="Danone-IFCN"/>
    <s v="Croplands"/>
    <s v="Near East and North Africa"/>
    <n v="116257"/>
    <x v="3"/>
    <x v="1"/>
    <x v="1"/>
  </r>
  <r>
    <s v="Danone-IFCN"/>
    <s v="Croplands"/>
    <s v="North America"/>
    <n v="125973"/>
    <x v="3"/>
    <x v="1"/>
    <x v="1"/>
  </r>
  <r>
    <s v="Danone-IFCN"/>
    <s v="Croplands"/>
    <s v="Oceania"/>
    <n v="44"/>
    <x v="3"/>
    <x v="1"/>
    <x v="1"/>
  </r>
  <r>
    <s v="Danone-IFCN"/>
    <s v="Croplands"/>
    <s v="RoW"/>
    <n v="0"/>
    <x v="3"/>
    <x v="1"/>
    <x v="1"/>
  </r>
  <r>
    <s v="Danone-IFCN"/>
    <s v="Croplands"/>
    <s v="Russian Federation"/>
    <n v="69515"/>
    <x v="3"/>
    <x v="1"/>
    <x v="1"/>
  </r>
  <r>
    <s v="Danone-IFCN"/>
    <s v="Croplands"/>
    <s v="South Asia"/>
    <n v="1781"/>
    <x v="3"/>
    <x v="1"/>
    <x v="1"/>
  </r>
  <r>
    <s v="Danone-IFCN"/>
    <s v="Croplands"/>
    <s v="Sub-Saharan Africa"/>
    <n v="5212"/>
    <x v="3"/>
    <x v="1"/>
    <x v="1"/>
  </r>
  <r>
    <s v="Danone-IFCN"/>
    <s v="Croplands"/>
    <s v="Western Europe"/>
    <n v="12144"/>
    <x v="3"/>
    <x v="1"/>
    <x v="1"/>
  </r>
  <r>
    <s v="Agropur"/>
    <s v="Grazing"/>
    <s v="East Asia and Southeast Asia"/>
    <n v="0"/>
    <x v="3"/>
    <x v="1"/>
    <x v="1"/>
  </r>
  <r>
    <s v="Agropur"/>
    <s v="Grazing"/>
    <s v="Eastern Europe"/>
    <n v="0"/>
    <x v="3"/>
    <x v="1"/>
    <x v="1"/>
  </r>
  <r>
    <s v="Agropur"/>
    <s v="Grazing"/>
    <s v="Latin America and the Caribbean"/>
    <n v="0"/>
    <x v="3"/>
    <x v="1"/>
    <x v="1"/>
  </r>
  <r>
    <s v="Agropur"/>
    <s v="Grazing"/>
    <s v="Near East and North Africa"/>
    <n v="0"/>
    <x v="3"/>
    <x v="1"/>
    <x v="1"/>
  </r>
  <r>
    <s v="Agropur"/>
    <s v="Grazing"/>
    <s v="North America"/>
    <n v="0"/>
    <x v="3"/>
    <x v="1"/>
    <x v="1"/>
  </r>
  <r>
    <s v="Agropur"/>
    <s v="Grazing"/>
    <s v="Oceania"/>
    <n v="0"/>
    <x v="3"/>
    <x v="1"/>
    <x v="1"/>
  </r>
  <r>
    <s v="Agropur"/>
    <s v="Grazing"/>
    <s v="RoW"/>
    <n v="0"/>
    <x v="3"/>
    <x v="1"/>
    <x v="1"/>
  </r>
  <r>
    <s v="Agropur"/>
    <s v="Grazing"/>
    <s v="Russian Federation"/>
    <n v="0"/>
    <x v="3"/>
    <x v="1"/>
    <x v="1"/>
  </r>
  <r>
    <s v="Agropur"/>
    <s v="Grazing"/>
    <s v="South Asia"/>
    <n v="0"/>
    <x v="3"/>
    <x v="1"/>
    <x v="1"/>
  </r>
  <r>
    <s v="Agropur"/>
    <s v="Grazing"/>
    <s v="Sub-Saharan Africa"/>
    <n v="0"/>
    <x v="3"/>
    <x v="1"/>
    <x v="1"/>
  </r>
  <r>
    <s v="Agropur"/>
    <s v="Grazing"/>
    <s v="Western Europe"/>
    <n v="0"/>
    <x v="3"/>
    <x v="1"/>
    <x v="1"/>
  </r>
  <r>
    <s v="Agropur"/>
    <s v="Croplands"/>
    <s v="East Asia and Southeast Asia"/>
    <n v="160"/>
    <x v="3"/>
    <x v="1"/>
    <x v="1"/>
  </r>
  <r>
    <s v="Agropur"/>
    <s v="Croplands"/>
    <s v="Eastern Europe"/>
    <n v="26"/>
    <x v="3"/>
    <x v="1"/>
    <x v="1"/>
  </r>
  <r>
    <s v="Agropur"/>
    <s v="Croplands"/>
    <s v="Latin America and the Caribbean"/>
    <n v="517"/>
    <x v="3"/>
    <x v="1"/>
    <x v="1"/>
  </r>
  <r>
    <s v="Agropur"/>
    <s v="Croplands"/>
    <s v="Near East and North Africa"/>
    <n v="74"/>
    <x v="3"/>
    <x v="1"/>
    <x v="1"/>
  </r>
  <r>
    <s v="Agropur"/>
    <s v="Croplands"/>
    <s v="North America"/>
    <n v="408452"/>
    <x v="3"/>
    <x v="1"/>
    <x v="1"/>
  </r>
  <r>
    <s v="Agropur"/>
    <s v="Croplands"/>
    <s v="Oceania"/>
    <n v="40"/>
    <x v="3"/>
    <x v="1"/>
    <x v="1"/>
  </r>
  <r>
    <s v="Agropur"/>
    <s v="Croplands"/>
    <s v="RoW"/>
    <n v="0"/>
    <x v="3"/>
    <x v="1"/>
    <x v="1"/>
  </r>
  <r>
    <s v="Agropur"/>
    <s v="Croplands"/>
    <s v="Russian Federation"/>
    <n v="9"/>
    <x v="3"/>
    <x v="1"/>
    <x v="1"/>
  </r>
  <r>
    <s v="Agropur"/>
    <s v="Croplands"/>
    <s v="South Asia"/>
    <n v="561"/>
    <x v="3"/>
    <x v="1"/>
    <x v="1"/>
  </r>
  <r>
    <s v="Agropur"/>
    <s v="Croplands"/>
    <s v="Sub-Saharan Africa"/>
    <n v="187"/>
    <x v="3"/>
    <x v="1"/>
    <x v="1"/>
  </r>
  <r>
    <s v="Agropur"/>
    <s v="Croplands"/>
    <s v="Western Europe"/>
    <n v="91"/>
    <x v="3"/>
    <x v="1"/>
    <x v="1"/>
  </r>
  <r>
    <s v="DMK"/>
    <s v="Grazing"/>
    <s v="East Asia and Southeast Asia"/>
    <n v="0"/>
    <x v="3"/>
    <x v="1"/>
    <x v="1"/>
  </r>
  <r>
    <s v="DMK"/>
    <s v="Grazing"/>
    <s v="Eastern Europe"/>
    <n v="0"/>
    <x v="3"/>
    <x v="1"/>
    <x v="1"/>
  </r>
  <r>
    <s v="DMK"/>
    <s v="Grazing"/>
    <s v="Latin America and the Caribbean"/>
    <n v="0"/>
    <x v="3"/>
    <x v="1"/>
    <x v="1"/>
  </r>
  <r>
    <s v="DMK"/>
    <s v="Grazing"/>
    <s v="Near East and North Africa"/>
    <n v="0"/>
    <x v="3"/>
    <x v="1"/>
    <x v="1"/>
  </r>
  <r>
    <s v="DMK"/>
    <s v="Grazing"/>
    <s v="North America"/>
    <n v="0"/>
    <x v="3"/>
    <x v="1"/>
    <x v="1"/>
  </r>
  <r>
    <s v="DMK"/>
    <s v="Grazing"/>
    <s v="Oceania"/>
    <n v="0"/>
    <x v="3"/>
    <x v="1"/>
    <x v="1"/>
  </r>
  <r>
    <s v="DMK"/>
    <s v="Grazing"/>
    <s v="RoW"/>
    <n v="0"/>
    <x v="3"/>
    <x v="1"/>
    <x v="1"/>
  </r>
  <r>
    <s v="DMK"/>
    <s v="Grazing"/>
    <s v="Russian Federation"/>
    <n v="0"/>
    <x v="3"/>
    <x v="1"/>
    <x v="1"/>
  </r>
  <r>
    <s v="DMK"/>
    <s v="Grazing"/>
    <s v="South Asia"/>
    <n v="0"/>
    <x v="3"/>
    <x v="1"/>
    <x v="1"/>
  </r>
  <r>
    <s v="DMK"/>
    <s v="Grazing"/>
    <s v="Sub-Saharan Africa"/>
    <n v="0"/>
    <x v="3"/>
    <x v="1"/>
    <x v="1"/>
  </r>
  <r>
    <s v="DMK"/>
    <s v="Grazing"/>
    <s v="Western Europe"/>
    <n v="0"/>
    <x v="3"/>
    <x v="1"/>
    <x v="1"/>
  </r>
  <r>
    <s v="DMK"/>
    <s v="Croplands"/>
    <s v="East Asia and Southeast Asia"/>
    <n v="576"/>
    <x v="3"/>
    <x v="1"/>
    <x v="1"/>
  </r>
  <r>
    <s v="DMK"/>
    <s v="Croplands"/>
    <s v="Eastern Europe"/>
    <n v="5603"/>
    <x v="3"/>
    <x v="1"/>
    <x v="1"/>
  </r>
  <r>
    <s v="DMK"/>
    <s v="Croplands"/>
    <s v="Latin America and the Caribbean"/>
    <n v="747"/>
    <x v="3"/>
    <x v="1"/>
    <x v="1"/>
  </r>
  <r>
    <s v="DMK"/>
    <s v="Croplands"/>
    <s v="Near East and North Africa"/>
    <n v="5093"/>
    <x v="3"/>
    <x v="1"/>
    <x v="1"/>
  </r>
  <r>
    <s v="DMK"/>
    <s v="Croplands"/>
    <s v="North America"/>
    <n v="5189"/>
    <x v="3"/>
    <x v="1"/>
    <x v="1"/>
  </r>
  <r>
    <s v="DMK"/>
    <s v="Croplands"/>
    <s v="Oceania"/>
    <n v="15"/>
    <x v="3"/>
    <x v="1"/>
    <x v="1"/>
  </r>
  <r>
    <s v="DMK"/>
    <s v="Croplands"/>
    <s v="RoW"/>
    <n v="0"/>
    <x v="3"/>
    <x v="1"/>
    <x v="1"/>
  </r>
  <r>
    <s v="DMK"/>
    <s v="Croplands"/>
    <s v="Russian Federation"/>
    <n v="1673"/>
    <x v="3"/>
    <x v="1"/>
    <x v="1"/>
  </r>
  <r>
    <s v="DMK"/>
    <s v="Croplands"/>
    <s v="South Asia"/>
    <n v="1699"/>
    <x v="3"/>
    <x v="1"/>
    <x v="1"/>
  </r>
  <r>
    <s v="DMK"/>
    <s v="Croplands"/>
    <s v="Sub-Saharan Africa"/>
    <n v="184"/>
    <x v="3"/>
    <x v="1"/>
    <x v="1"/>
  </r>
  <r>
    <s v="DMK"/>
    <s v="Croplands"/>
    <s v="Western Europe"/>
    <n v="57719"/>
    <x v="3"/>
    <x v="1"/>
    <x v="1"/>
  </r>
  <r>
    <s v="Dairy Farmers of America"/>
    <s v="Grazing"/>
    <s v="East Asia and Southeast Asia"/>
    <n v="2279"/>
    <x v="3"/>
    <x v="2"/>
    <x v="1"/>
  </r>
  <r>
    <s v="Dairy Farmers of America"/>
    <s v="Grazing"/>
    <s v="Eastern Europe"/>
    <n v="32"/>
    <x v="3"/>
    <x v="2"/>
    <x v="1"/>
  </r>
  <r>
    <s v="Dairy Farmers of America"/>
    <s v="Grazing"/>
    <s v="Latin America and the Caribbean"/>
    <n v="15511"/>
    <x v="3"/>
    <x v="2"/>
    <x v="1"/>
  </r>
  <r>
    <s v="Dairy Farmers of America"/>
    <s v="Grazing"/>
    <s v="Near East and North Africa"/>
    <n v="41"/>
    <x v="3"/>
    <x v="2"/>
    <x v="1"/>
  </r>
  <r>
    <s v="Dairy Farmers of America"/>
    <s v="Grazing"/>
    <s v="North America"/>
    <n v="7246595"/>
    <x v="3"/>
    <x v="2"/>
    <x v="1"/>
  </r>
  <r>
    <s v="Dairy Farmers of America"/>
    <s v="Grazing"/>
    <s v="Oceania"/>
    <n v="3972"/>
    <x v="3"/>
    <x v="2"/>
    <x v="1"/>
  </r>
  <r>
    <s v="Dairy Farmers of America"/>
    <s v="Grazing"/>
    <s v="RoW"/>
    <n v="0"/>
    <x v="3"/>
    <x v="2"/>
    <x v="1"/>
  </r>
  <r>
    <s v="Dairy Farmers of America"/>
    <s v="Grazing"/>
    <s v="Russian Federation"/>
    <n v="2"/>
    <x v="3"/>
    <x v="2"/>
    <x v="1"/>
  </r>
  <r>
    <s v="Dairy Farmers of America"/>
    <s v="Grazing"/>
    <s v="South Asia"/>
    <n v="306"/>
    <x v="3"/>
    <x v="2"/>
    <x v="1"/>
  </r>
  <r>
    <s v="Dairy Farmers of America"/>
    <s v="Grazing"/>
    <s v="Sub-Saharan Africa"/>
    <n v="48"/>
    <x v="3"/>
    <x v="2"/>
    <x v="1"/>
  </r>
  <r>
    <s v="Dairy Farmers of America"/>
    <s v="Grazing"/>
    <s v="Western Europe"/>
    <n v="408"/>
    <x v="3"/>
    <x v="2"/>
    <x v="1"/>
  </r>
  <r>
    <s v="Dairy Farmers of America"/>
    <s v="Croplands"/>
    <s v="East Asia and Southeast Asia"/>
    <n v="9268"/>
    <x v="3"/>
    <x v="2"/>
    <x v="1"/>
  </r>
  <r>
    <s v="Dairy Farmers of America"/>
    <s v="Croplands"/>
    <s v="Eastern Europe"/>
    <n v="11756"/>
    <x v="3"/>
    <x v="2"/>
    <x v="1"/>
  </r>
  <r>
    <s v="Dairy Farmers of America"/>
    <s v="Croplands"/>
    <s v="Latin America and the Caribbean"/>
    <n v="46355"/>
    <x v="3"/>
    <x v="2"/>
    <x v="1"/>
  </r>
  <r>
    <s v="Dairy Farmers of America"/>
    <s v="Croplands"/>
    <s v="Near East and North Africa"/>
    <n v="1607"/>
    <x v="3"/>
    <x v="2"/>
    <x v="1"/>
  </r>
  <r>
    <s v="Dairy Farmers of America"/>
    <s v="Croplands"/>
    <s v="North America"/>
    <n v="14577117"/>
    <x v="3"/>
    <x v="2"/>
    <x v="1"/>
  </r>
  <r>
    <s v="Dairy Farmers of America"/>
    <s v="Croplands"/>
    <s v="Oceania"/>
    <n v="2098"/>
    <x v="3"/>
    <x v="2"/>
    <x v="1"/>
  </r>
  <r>
    <s v="Dairy Farmers of America"/>
    <s v="Croplands"/>
    <s v="RoW"/>
    <n v="87"/>
    <x v="3"/>
    <x v="2"/>
    <x v="1"/>
  </r>
  <r>
    <s v="Dairy Farmers of America"/>
    <s v="Croplands"/>
    <s v="Russian Federation"/>
    <n v="2791"/>
    <x v="3"/>
    <x v="2"/>
    <x v="1"/>
  </r>
  <r>
    <s v="Dairy Farmers of America"/>
    <s v="Croplands"/>
    <s v="South Asia"/>
    <n v="86645"/>
    <x v="3"/>
    <x v="2"/>
    <x v="1"/>
  </r>
  <r>
    <s v="Dairy Farmers of America"/>
    <s v="Croplands"/>
    <s v="Sub-Saharan Africa"/>
    <n v="3694"/>
    <x v="3"/>
    <x v="2"/>
    <x v="1"/>
  </r>
  <r>
    <s v="Dairy Farmers of America"/>
    <s v="Croplands"/>
    <s v="Western Europe"/>
    <n v="7380"/>
    <x v="3"/>
    <x v="2"/>
    <x v="1"/>
  </r>
  <r>
    <s v="Lactalis"/>
    <s v="Grazing"/>
    <s v="East Asia and Southeast Asia"/>
    <n v="176"/>
    <x v="3"/>
    <x v="2"/>
    <x v="1"/>
  </r>
  <r>
    <s v="Lactalis"/>
    <s v="Grazing"/>
    <s v="Eastern Europe"/>
    <n v="343"/>
    <x v="3"/>
    <x v="2"/>
    <x v="1"/>
  </r>
  <r>
    <s v="Lactalis"/>
    <s v="Grazing"/>
    <s v="Latin America and the Caribbean"/>
    <n v="314"/>
    <x v="3"/>
    <x v="2"/>
    <x v="1"/>
  </r>
  <r>
    <s v="Lactalis"/>
    <s v="Grazing"/>
    <s v="Near East and North Africa"/>
    <n v="42"/>
    <x v="3"/>
    <x v="2"/>
    <x v="1"/>
  </r>
  <r>
    <s v="Lactalis"/>
    <s v="Grazing"/>
    <s v="North America"/>
    <n v="681"/>
    <x v="3"/>
    <x v="2"/>
    <x v="1"/>
  </r>
  <r>
    <s v="Lactalis"/>
    <s v="Grazing"/>
    <s v="Oceania"/>
    <n v="0"/>
    <x v="3"/>
    <x v="2"/>
    <x v="1"/>
  </r>
  <r>
    <s v="Lactalis"/>
    <s v="Grazing"/>
    <s v="RoW"/>
    <n v="0"/>
    <x v="3"/>
    <x v="2"/>
    <x v="1"/>
  </r>
  <r>
    <s v="Lactalis"/>
    <s v="Grazing"/>
    <s v="Russian Federation"/>
    <n v="0"/>
    <x v="3"/>
    <x v="2"/>
    <x v="1"/>
  </r>
  <r>
    <s v="Lactalis"/>
    <s v="Grazing"/>
    <s v="South Asia"/>
    <n v="59"/>
    <x v="3"/>
    <x v="2"/>
    <x v="1"/>
  </r>
  <r>
    <s v="Lactalis"/>
    <s v="Grazing"/>
    <s v="Sub-Saharan Africa"/>
    <n v="273"/>
    <x v="3"/>
    <x v="2"/>
    <x v="1"/>
  </r>
  <r>
    <s v="Lactalis"/>
    <s v="Grazing"/>
    <s v="Western Europe"/>
    <n v="2622521"/>
    <x v="3"/>
    <x v="2"/>
    <x v="1"/>
  </r>
  <r>
    <s v="Lactalis"/>
    <s v="Croplands"/>
    <s v="East Asia and Southeast Asia"/>
    <n v="389528"/>
    <x v="3"/>
    <x v="2"/>
    <x v="1"/>
  </r>
  <r>
    <s v="Lactalis"/>
    <s v="Croplands"/>
    <s v="Eastern Europe"/>
    <n v="1528888"/>
    <x v="3"/>
    <x v="2"/>
    <x v="1"/>
  </r>
  <r>
    <s v="Lactalis"/>
    <s v="Croplands"/>
    <s v="Latin America and the Caribbean"/>
    <n v="2226645"/>
    <x v="3"/>
    <x v="2"/>
    <x v="1"/>
  </r>
  <r>
    <s v="Lactalis"/>
    <s v="Croplands"/>
    <s v="Near East and North Africa"/>
    <n v="39506"/>
    <x v="3"/>
    <x v="2"/>
    <x v="1"/>
  </r>
  <r>
    <s v="Lactalis"/>
    <s v="Croplands"/>
    <s v="North America"/>
    <n v="784736"/>
    <x v="3"/>
    <x v="2"/>
    <x v="1"/>
  </r>
  <r>
    <s v="Lactalis"/>
    <s v="Croplands"/>
    <s v="Oceania"/>
    <n v="94085"/>
    <x v="3"/>
    <x v="2"/>
    <x v="1"/>
  </r>
  <r>
    <s v="Lactalis"/>
    <s v="Croplands"/>
    <s v="RoW"/>
    <n v="1"/>
    <x v="3"/>
    <x v="2"/>
    <x v="1"/>
  </r>
  <r>
    <s v="Lactalis"/>
    <s v="Croplands"/>
    <s v="Russian Federation"/>
    <n v="353391"/>
    <x v="3"/>
    <x v="2"/>
    <x v="1"/>
  </r>
  <r>
    <s v="Lactalis"/>
    <s v="Croplands"/>
    <s v="South Asia"/>
    <n v="98418"/>
    <x v="3"/>
    <x v="2"/>
    <x v="1"/>
  </r>
  <r>
    <s v="Lactalis"/>
    <s v="Croplands"/>
    <s v="Sub-Saharan Africa"/>
    <n v="46984"/>
    <x v="3"/>
    <x v="2"/>
    <x v="1"/>
  </r>
  <r>
    <s v="Lactalis"/>
    <s v="Croplands"/>
    <s v="Western Europe"/>
    <n v="7197697"/>
    <x v="3"/>
    <x v="2"/>
    <x v="1"/>
  </r>
  <r>
    <s v="Fonterra"/>
    <s v="Grazing"/>
    <s v="East Asia and Southeast Asia"/>
    <n v="4"/>
    <x v="3"/>
    <x v="2"/>
    <x v="1"/>
  </r>
  <r>
    <s v="Fonterra"/>
    <s v="Grazing"/>
    <s v="Eastern Europe"/>
    <n v="16"/>
    <x v="3"/>
    <x v="2"/>
    <x v="1"/>
  </r>
  <r>
    <s v="Fonterra"/>
    <s v="Grazing"/>
    <s v="Latin America and the Caribbean"/>
    <n v="11"/>
    <x v="3"/>
    <x v="2"/>
    <x v="1"/>
  </r>
  <r>
    <s v="Fonterra"/>
    <s v="Grazing"/>
    <s v="Near East and North Africa"/>
    <n v="37"/>
    <x v="3"/>
    <x v="2"/>
    <x v="1"/>
  </r>
  <r>
    <s v="Fonterra"/>
    <s v="Grazing"/>
    <s v="North America"/>
    <n v="84"/>
    <x v="3"/>
    <x v="2"/>
    <x v="1"/>
  </r>
  <r>
    <s v="Fonterra"/>
    <s v="Grazing"/>
    <s v="Oceania"/>
    <n v="3593446"/>
    <x v="3"/>
    <x v="2"/>
    <x v="1"/>
  </r>
  <r>
    <s v="Fonterra"/>
    <s v="Grazing"/>
    <s v="RoW"/>
    <n v="0"/>
    <x v="3"/>
    <x v="2"/>
    <x v="1"/>
  </r>
  <r>
    <s v="Fonterra"/>
    <s v="Grazing"/>
    <s v="Russian Federation"/>
    <n v="0"/>
    <x v="3"/>
    <x v="2"/>
    <x v="1"/>
  </r>
  <r>
    <s v="Fonterra"/>
    <s v="Grazing"/>
    <s v="South Asia"/>
    <n v="9"/>
    <x v="3"/>
    <x v="2"/>
    <x v="1"/>
  </r>
  <r>
    <s v="Fonterra"/>
    <s v="Grazing"/>
    <s v="Sub-Saharan Africa"/>
    <n v="4"/>
    <x v="3"/>
    <x v="2"/>
    <x v="1"/>
  </r>
  <r>
    <s v="Fonterra"/>
    <s v="Grazing"/>
    <s v="Western Europe"/>
    <n v="391"/>
    <x v="3"/>
    <x v="2"/>
    <x v="1"/>
  </r>
  <r>
    <s v="Fonterra"/>
    <s v="Croplands"/>
    <s v="East Asia and Southeast Asia"/>
    <n v="2154814"/>
    <x v="3"/>
    <x v="2"/>
    <x v="1"/>
  </r>
  <r>
    <s v="Fonterra"/>
    <s v="Croplands"/>
    <s v="Eastern Europe"/>
    <n v="10042"/>
    <x v="3"/>
    <x v="2"/>
    <x v="1"/>
  </r>
  <r>
    <s v="Fonterra"/>
    <s v="Croplands"/>
    <s v="Latin America and the Caribbean"/>
    <n v="652463"/>
    <x v="3"/>
    <x v="2"/>
    <x v="1"/>
  </r>
  <r>
    <s v="Fonterra"/>
    <s v="Croplands"/>
    <s v="Near East and North Africa"/>
    <n v="900"/>
    <x v="3"/>
    <x v="2"/>
    <x v="1"/>
  </r>
  <r>
    <s v="Fonterra"/>
    <s v="Croplands"/>
    <s v="North America"/>
    <n v="35977"/>
    <x v="3"/>
    <x v="2"/>
    <x v="1"/>
  </r>
  <r>
    <s v="Fonterra"/>
    <s v="Croplands"/>
    <s v="Oceania"/>
    <n v="1091191"/>
    <x v="3"/>
    <x v="2"/>
    <x v="1"/>
  </r>
  <r>
    <s v="Fonterra"/>
    <s v="Croplands"/>
    <s v="RoW"/>
    <n v="6"/>
    <x v="3"/>
    <x v="2"/>
    <x v="1"/>
  </r>
  <r>
    <s v="Fonterra"/>
    <s v="Croplands"/>
    <s v="Russian Federation"/>
    <n v="869"/>
    <x v="3"/>
    <x v="2"/>
    <x v="1"/>
  </r>
  <r>
    <s v="Fonterra"/>
    <s v="Croplands"/>
    <s v="South Asia"/>
    <n v="12043"/>
    <x v="3"/>
    <x v="2"/>
    <x v="1"/>
  </r>
  <r>
    <s v="Fonterra"/>
    <s v="Croplands"/>
    <s v="Sub-Saharan Africa"/>
    <n v="1744"/>
    <x v="3"/>
    <x v="2"/>
    <x v="1"/>
  </r>
  <r>
    <s v="Fonterra"/>
    <s v="Croplands"/>
    <s v="Western Europe"/>
    <n v="4041"/>
    <x v="3"/>
    <x v="2"/>
    <x v="1"/>
  </r>
  <r>
    <s v="Arla"/>
    <s v="Grazing"/>
    <s v="East Asia and Southeast Asia"/>
    <n v="105"/>
    <x v="3"/>
    <x v="2"/>
    <x v="1"/>
  </r>
  <r>
    <s v="Arla"/>
    <s v="Grazing"/>
    <s v="Eastern Europe"/>
    <n v="205"/>
    <x v="3"/>
    <x v="2"/>
    <x v="1"/>
  </r>
  <r>
    <s v="Arla"/>
    <s v="Grazing"/>
    <s v="Latin America and the Caribbean"/>
    <n v="188"/>
    <x v="3"/>
    <x v="2"/>
    <x v="1"/>
  </r>
  <r>
    <s v="Arla"/>
    <s v="Grazing"/>
    <s v="Near East and North Africa"/>
    <n v="25"/>
    <x v="3"/>
    <x v="2"/>
    <x v="1"/>
  </r>
  <r>
    <s v="Arla"/>
    <s v="Grazing"/>
    <s v="North America"/>
    <n v="407"/>
    <x v="3"/>
    <x v="2"/>
    <x v="1"/>
  </r>
  <r>
    <s v="Arla"/>
    <s v="Grazing"/>
    <s v="Oceania"/>
    <n v="0"/>
    <x v="3"/>
    <x v="2"/>
    <x v="1"/>
  </r>
  <r>
    <s v="Arla"/>
    <s v="Grazing"/>
    <s v="RoW"/>
    <n v="0"/>
    <x v="3"/>
    <x v="2"/>
    <x v="1"/>
  </r>
  <r>
    <s v="Arla"/>
    <s v="Grazing"/>
    <s v="Russian Federation"/>
    <n v="0"/>
    <x v="3"/>
    <x v="2"/>
    <x v="1"/>
  </r>
  <r>
    <s v="Arla"/>
    <s v="Grazing"/>
    <s v="South Asia"/>
    <n v="35"/>
    <x v="3"/>
    <x v="2"/>
    <x v="1"/>
  </r>
  <r>
    <s v="Arla"/>
    <s v="Grazing"/>
    <s v="Sub-Saharan Africa"/>
    <n v="163"/>
    <x v="3"/>
    <x v="2"/>
    <x v="1"/>
  </r>
  <r>
    <s v="Arla"/>
    <s v="Grazing"/>
    <s v="Western Europe"/>
    <n v="1566550"/>
    <x v="3"/>
    <x v="2"/>
    <x v="1"/>
  </r>
  <r>
    <s v="Arla"/>
    <s v="Croplands"/>
    <s v="East Asia and Southeast Asia"/>
    <n v="232683"/>
    <x v="3"/>
    <x v="2"/>
    <x v="1"/>
  </r>
  <r>
    <s v="Arla"/>
    <s v="Croplands"/>
    <s v="Eastern Europe"/>
    <n v="913274"/>
    <x v="3"/>
    <x v="2"/>
    <x v="1"/>
  </r>
  <r>
    <s v="Arla"/>
    <s v="Croplands"/>
    <s v="Latin America and the Caribbean"/>
    <n v="1330076"/>
    <x v="3"/>
    <x v="2"/>
    <x v="1"/>
  </r>
  <r>
    <s v="Arla"/>
    <s v="Croplands"/>
    <s v="Near East and North Africa"/>
    <n v="23598"/>
    <x v="3"/>
    <x v="2"/>
    <x v="1"/>
  </r>
  <r>
    <s v="Arla"/>
    <s v="Croplands"/>
    <s v="North America"/>
    <n v="468758"/>
    <x v="3"/>
    <x v="2"/>
    <x v="1"/>
  </r>
  <r>
    <s v="Arla"/>
    <s v="Croplands"/>
    <s v="Oceania"/>
    <n v="56201"/>
    <x v="3"/>
    <x v="2"/>
    <x v="1"/>
  </r>
  <r>
    <s v="Arla"/>
    <s v="Croplands"/>
    <s v="RoW"/>
    <n v="0"/>
    <x v="3"/>
    <x v="2"/>
    <x v="1"/>
  </r>
  <r>
    <s v="Arla"/>
    <s v="Croplands"/>
    <s v="Russian Federation"/>
    <n v="211096"/>
    <x v="3"/>
    <x v="2"/>
    <x v="1"/>
  </r>
  <r>
    <s v="Arla"/>
    <s v="Croplands"/>
    <s v="South Asia"/>
    <n v="58790"/>
    <x v="3"/>
    <x v="2"/>
    <x v="1"/>
  </r>
  <r>
    <s v="Arla"/>
    <s v="Croplands"/>
    <s v="Sub-Saharan Africa"/>
    <n v="28066"/>
    <x v="3"/>
    <x v="2"/>
    <x v="1"/>
  </r>
  <r>
    <s v="Arla"/>
    <s v="Croplands"/>
    <s v="Western Europe"/>
    <n v="4299509"/>
    <x v="3"/>
    <x v="2"/>
    <x v="1"/>
  </r>
  <r>
    <s v="Nestlé"/>
    <s v="Grazing"/>
    <s v="East Asia and Southeast Asia"/>
    <n v="105"/>
    <x v="3"/>
    <x v="2"/>
    <x v="1"/>
  </r>
  <r>
    <s v="Nestlé"/>
    <s v="Grazing"/>
    <s v="Eastern Europe"/>
    <n v="205"/>
    <x v="3"/>
    <x v="2"/>
    <x v="1"/>
  </r>
  <r>
    <s v="Nestlé"/>
    <s v="Grazing"/>
    <s v="Latin America and the Caribbean"/>
    <n v="188"/>
    <x v="3"/>
    <x v="2"/>
    <x v="1"/>
  </r>
  <r>
    <s v="Nestlé"/>
    <s v="Grazing"/>
    <s v="Near East and North Africa"/>
    <n v="25"/>
    <x v="3"/>
    <x v="2"/>
    <x v="1"/>
  </r>
  <r>
    <s v="Nestlé"/>
    <s v="Grazing"/>
    <s v="North America"/>
    <n v="407"/>
    <x v="3"/>
    <x v="2"/>
    <x v="1"/>
  </r>
  <r>
    <s v="Nestlé"/>
    <s v="Grazing"/>
    <s v="Oceania"/>
    <n v="0"/>
    <x v="3"/>
    <x v="2"/>
    <x v="1"/>
  </r>
  <r>
    <s v="Nestlé"/>
    <s v="Grazing"/>
    <s v="RoW"/>
    <n v="0"/>
    <x v="3"/>
    <x v="2"/>
    <x v="1"/>
  </r>
  <r>
    <s v="Nestlé"/>
    <s v="Grazing"/>
    <s v="Russian Federation"/>
    <n v="0"/>
    <x v="3"/>
    <x v="2"/>
    <x v="1"/>
  </r>
  <r>
    <s v="Nestlé"/>
    <s v="Grazing"/>
    <s v="South Asia"/>
    <n v="35"/>
    <x v="3"/>
    <x v="2"/>
    <x v="1"/>
  </r>
  <r>
    <s v="Nestlé"/>
    <s v="Grazing"/>
    <s v="Sub-Saharan Africa"/>
    <n v="163"/>
    <x v="3"/>
    <x v="2"/>
    <x v="1"/>
  </r>
  <r>
    <s v="Nestlé"/>
    <s v="Grazing"/>
    <s v="Western Europe"/>
    <n v="1566550"/>
    <x v="3"/>
    <x v="2"/>
    <x v="1"/>
  </r>
  <r>
    <s v="Nestlé"/>
    <s v="Croplands"/>
    <s v="East Asia and Southeast Asia"/>
    <n v="232683"/>
    <x v="3"/>
    <x v="2"/>
    <x v="1"/>
  </r>
  <r>
    <s v="Nestlé"/>
    <s v="Croplands"/>
    <s v="Eastern Europe"/>
    <n v="913274"/>
    <x v="3"/>
    <x v="2"/>
    <x v="1"/>
  </r>
  <r>
    <s v="Nestlé"/>
    <s v="Croplands"/>
    <s v="Latin America and the Caribbean"/>
    <n v="1330076"/>
    <x v="3"/>
    <x v="2"/>
    <x v="1"/>
  </r>
  <r>
    <s v="Nestlé"/>
    <s v="Croplands"/>
    <s v="Near East and North Africa"/>
    <n v="23598"/>
    <x v="3"/>
    <x v="2"/>
    <x v="1"/>
  </r>
  <r>
    <s v="Nestlé"/>
    <s v="Croplands"/>
    <s v="North America"/>
    <n v="468758"/>
    <x v="3"/>
    <x v="2"/>
    <x v="1"/>
  </r>
  <r>
    <s v="Nestlé"/>
    <s v="Croplands"/>
    <s v="Oceania"/>
    <n v="56201"/>
    <x v="3"/>
    <x v="2"/>
    <x v="1"/>
  </r>
  <r>
    <s v="Nestlé"/>
    <s v="Croplands"/>
    <s v="RoW"/>
    <n v="0"/>
    <x v="3"/>
    <x v="2"/>
    <x v="1"/>
  </r>
  <r>
    <s v="Nestlé"/>
    <s v="Croplands"/>
    <s v="Russian Federation"/>
    <n v="211096"/>
    <x v="3"/>
    <x v="2"/>
    <x v="1"/>
  </r>
  <r>
    <s v="Nestlé"/>
    <s v="Croplands"/>
    <s v="South Asia"/>
    <n v="58790"/>
    <x v="3"/>
    <x v="2"/>
    <x v="1"/>
  </r>
  <r>
    <s v="Nestlé"/>
    <s v="Croplands"/>
    <s v="Sub-Saharan Africa"/>
    <n v="28066"/>
    <x v="3"/>
    <x v="2"/>
    <x v="1"/>
  </r>
  <r>
    <s v="Nestlé"/>
    <s v="Croplands"/>
    <s v="Western Europe"/>
    <n v="4299509"/>
    <x v="3"/>
    <x v="2"/>
    <x v="1"/>
  </r>
  <r>
    <s v="Saputo"/>
    <s v="Grazing"/>
    <s v="East Asia and Southeast Asia"/>
    <n v="844"/>
    <x v="3"/>
    <x v="2"/>
    <x v="1"/>
  </r>
  <r>
    <s v="Saputo"/>
    <s v="Grazing"/>
    <s v="Eastern Europe"/>
    <n v="12"/>
    <x v="3"/>
    <x v="2"/>
    <x v="1"/>
  </r>
  <r>
    <s v="Saputo"/>
    <s v="Grazing"/>
    <s v="Latin America and the Caribbean"/>
    <n v="5745"/>
    <x v="3"/>
    <x v="2"/>
    <x v="1"/>
  </r>
  <r>
    <s v="Saputo"/>
    <s v="Grazing"/>
    <s v="Near East and North Africa"/>
    <n v="15"/>
    <x v="3"/>
    <x v="2"/>
    <x v="1"/>
  </r>
  <r>
    <s v="Saputo"/>
    <s v="Grazing"/>
    <s v="North America"/>
    <n v="2683924"/>
    <x v="3"/>
    <x v="2"/>
    <x v="1"/>
  </r>
  <r>
    <s v="Saputo"/>
    <s v="Grazing"/>
    <s v="Oceania"/>
    <n v="1471"/>
    <x v="3"/>
    <x v="2"/>
    <x v="1"/>
  </r>
  <r>
    <s v="Saputo"/>
    <s v="Grazing"/>
    <s v="RoW"/>
    <n v="0"/>
    <x v="3"/>
    <x v="2"/>
    <x v="1"/>
  </r>
  <r>
    <s v="Saputo"/>
    <s v="Grazing"/>
    <s v="Russian Federation"/>
    <n v="0"/>
    <x v="3"/>
    <x v="2"/>
    <x v="1"/>
  </r>
  <r>
    <s v="Saputo"/>
    <s v="Grazing"/>
    <s v="South Asia"/>
    <n v="113"/>
    <x v="3"/>
    <x v="2"/>
    <x v="1"/>
  </r>
  <r>
    <s v="Saputo"/>
    <s v="Grazing"/>
    <s v="Sub-Saharan Africa"/>
    <n v="18"/>
    <x v="3"/>
    <x v="2"/>
    <x v="1"/>
  </r>
  <r>
    <s v="Saputo"/>
    <s v="Grazing"/>
    <s v="Western Europe"/>
    <n v="151"/>
    <x v="3"/>
    <x v="2"/>
    <x v="1"/>
  </r>
  <r>
    <s v="Saputo"/>
    <s v="Croplands"/>
    <s v="East Asia and Southeast Asia"/>
    <n v="3432"/>
    <x v="3"/>
    <x v="2"/>
    <x v="1"/>
  </r>
  <r>
    <s v="Saputo"/>
    <s v="Croplands"/>
    <s v="Eastern Europe"/>
    <n v="4354"/>
    <x v="3"/>
    <x v="2"/>
    <x v="1"/>
  </r>
  <r>
    <s v="Saputo"/>
    <s v="Croplands"/>
    <s v="Latin America and the Caribbean"/>
    <n v="17169"/>
    <x v="3"/>
    <x v="2"/>
    <x v="1"/>
  </r>
  <r>
    <s v="Saputo"/>
    <s v="Croplands"/>
    <s v="Near East and North Africa"/>
    <n v="595"/>
    <x v="3"/>
    <x v="2"/>
    <x v="1"/>
  </r>
  <r>
    <s v="Saputo"/>
    <s v="Croplands"/>
    <s v="North America"/>
    <n v="5398932"/>
    <x v="3"/>
    <x v="2"/>
    <x v="1"/>
  </r>
  <r>
    <s v="Saputo"/>
    <s v="Croplands"/>
    <s v="Oceania"/>
    <n v="777"/>
    <x v="3"/>
    <x v="2"/>
    <x v="1"/>
  </r>
  <r>
    <s v="Saputo"/>
    <s v="Croplands"/>
    <s v="RoW"/>
    <n v="32"/>
    <x v="3"/>
    <x v="2"/>
    <x v="1"/>
  </r>
  <r>
    <s v="Saputo"/>
    <s v="Croplands"/>
    <s v="Russian Federation"/>
    <n v="1034"/>
    <x v="3"/>
    <x v="2"/>
    <x v="1"/>
  </r>
  <r>
    <s v="Saputo"/>
    <s v="Croplands"/>
    <s v="South Asia"/>
    <n v="32091"/>
    <x v="3"/>
    <x v="2"/>
    <x v="1"/>
  </r>
  <r>
    <s v="Saputo"/>
    <s v="Croplands"/>
    <s v="Sub-Saharan Africa"/>
    <n v="1368"/>
    <x v="3"/>
    <x v="2"/>
    <x v="1"/>
  </r>
  <r>
    <s v="Saputo"/>
    <s v="Croplands"/>
    <s v="Western Europe"/>
    <n v="2733"/>
    <x v="3"/>
    <x v="2"/>
    <x v="1"/>
  </r>
  <r>
    <s v="FrieslandCampina"/>
    <s v="Grazing"/>
    <s v="East Asia and Southeast Asia"/>
    <n v="83"/>
    <x v="3"/>
    <x v="2"/>
    <x v="1"/>
  </r>
  <r>
    <s v="FrieslandCampina"/>
    <s v="Grazing"/>
    <s v="Eastern Europe"/>
    <n v="162"/>
    <x v="3"/>
    <x v="2"/>
    <x v="1"/>
  </r>
  <r>
    <s v="FrieslandCampina"/>
    <s v="Grazing"/>
    <s v="Latin America and the Caribbean"/>
    <n v="149"/>
    <x v="3"/>
    <x v="2"/>
    <x v="1"/>
  </r>
  <r>
    <s v="FrieslandCampina"/>
    <s v="Grazing"/>
    <s v="Near East and North Africa"/>
    <n v="20"/>
    <x v="3"/>
    <x v="2"/>
    <x v="1"/>
  </r>
  <r>
    <s v="FrieslandCampina"/>
    <s v="Grazing"/>
    <s v="North America"/>
    <n v="322"/>
    <x v="3"/>
    <x v="2"/>
    <x v="1"/>
  </r>
  <r>
    <s v="FrieslandCampina"/>
    <s v="Grazing"/>
    <s v="Oceania"/>
    <n v="0"/>
    <x v="3"/>
    <x v="2"/>
    <x v="1"/>
  </r>
  <r>
    <s v="FrieslandCampina"/>
    <s v="Grazing"/>
    <s v="RoW"/>
    <n v="0"/>
    <x v="3"/>
    <x v="2"/>
    <x v="1"/>
  </r>
  <r>
    <s v="FrieslandCampina"/>
    <s v="Grazing"/>
    <s v="Russian Federation"/>
    <n v="0"/>
    <x v="3"/>
    <x v="2"/>
    <x v="1"/>
  </r>
  <r>
    <s v="FrieslandCampina"/>
    <s v="Grazing"/>
    <s v="South Asia"/>
    <n v="28"/>
    <x v="3"/>
    <x v="2"/>
    <x v="1"/>
  </r>
  <r>
    <s v="FrieslandCampina"/>
    <s v="Grazing"/>
    <s v="Sub-Saharan Africa"/>
    <n v="129"/>
    <x v="3"/>
    <x v="2"/>
    <x v="1"/>
  </r>
  <r>
    <s v="FrieslandCampina"/>
    <s v="Grazing"/>
    <s v="Western Europe"/>
    <n v="1241636"/>
    <x v="3"/>
    <x v="2"/>
    <x v="1"/>
  </r>
  <r>
    <s v="FrieslandCampina"/>
    <s v="Croplands"/>
    <s v="East Asia and Southeast Asia"/>
    <n v="184423"/>
    <x v="3"/>
    <x v="2"/>
    <x v="1"/>
  </r>
  <r>
    <s v="FrieslandCampina"/>
    <s v="Croplands"/>
    <s v="Eastern Europe"/>
    <n v="723854"/>
    <x v="3"/>
    <x v="2"/>
    <x v="1"/>
  </r>
  <r>
    <s v="FrieslandCampina"/>
    <s v="Croplands"/>
    <s v="Latin America and the Caribbean"/>
    <n v="1054208"/>
    <x v="3"/>
    <x v="2"/>
    <x v="1"/>
  </r>
  <r>
    <s v="FrieslandCampina"/>
    <s v="Croplands"/>
    <s v="Near East and North Africa"/>
    <n v="18704"/>
    <x v="3"/>
    <x v="2"/>
    <x v="1"/>
  </r>
  <r>
    <s v="FrieslandCampina"/>
    <s v="Croplands"/>
    <s v="North America"/>
    <n v="371534"/>
    <x v="3"/>
    <x v="2"/>
    <x v="1"/>
  </r>
  <r>
    <s v="FrieslandCampina"/>
    <s v="Croplands"/>
    <s v="Oceania"/>
    <n v="44545"/>
    <x v="3"/>
    <x v="2"/>
    <x v="1"/>
  </r>
  <r>
    <s v="FrieslandCampina"/>
    <s v="Croplands"/>
    <s v="RoW"/>
    <n v="0"/>
    <x v="3"/>
    <x v="2"/>
    <x v="1"/>
  </r>
  <r>
    <s v="FrieslandCampina"/>
    <s v="Croplands"/>
    <s v="Russian Federation"/>
    <n v="167313"/>
    <x v="3"/>
    <x v="2"/>
    <x v="1"/>
  </r>
  <r>
    <s v="FrieslandCampina"/>
    <s v="Croplands"/>
    <s v="South Asia"/>
    <n v="46596"/>
    <x v="3"/>
    <x v="2"/>
    <x v="1"/>
  </r>
  <r>
    <s v="FrieslandCampina"/>
    <s v="Croplands"/>
    <s v="Sub-Saharan Africa"/>
    <n v="22245"/>
    <x v="3"/>
    <x v="2"/>
    <x v="1"/>
  </r>
  <r>
    <s v="FrieslandCampina"/>
    <s v="Croplands"/>
    <s v="Western Europe"/>
    <n v="3407759"/>
    <x v="3"/>
    <x v="2"/>
    <x v="1"/>
  </r>
  <r>
    <s v="Yili "/>
    <s v="Grazing"/>
    <s v="East Asia and Southeast Asia"/>
    <n v="4527816"/>
    <x v="3"/>
    <x v="2"/>
    <x v="1"/>
  </r>
  <r>
    <s v="Yili "/>
    <s v="Grazing"/>
    <s v="Eastern Europe"/>
    <n v="0"/>
    <x v="3"/>
    <x v="2"/>
    <x v="1"/>
  </r>
  <r>
    <s v="Yili "/>
    <s v="Grazing"/>
    <s v="Latin America and the Caribbean"/>
    <n v="3803"/>
    <x v="3"/>
    <x v="2"/>
    <x v="1"/>
  </r>
  <r>
    <s v="Yili "/>
    <s v="Grazing"/>
    <s v="Near East and North Africa"/>
    <n v="0"/>
    <x v="3"/>
    <x v="2"/>
    <x v="1"/>
  </r>
  <r>
    <s v="Yili "/>
    <s v="Grazing"/>
    <s v="North America"/>
    <n v="0"/>
    <x v="3"/>
    <x v="2"/>
    <x v="1"/>
  </r>
  <r>
    <s v="Yili "/>
    <s v="Grazing"/>
    <s v="Oceania"/>
    <n v="2745"/>
    <x v="3"/>
    <x v="2"/>
    <x v="1"/>
  </r>
  <r>
    <s v="Yili "/>
    <s v="Grazing"/>
    <s v="RoW"/>
    <n v="0"/>
    <x v="3"/>
    <x v="2"/>
    <x v="1"/>
  </r>
  <r>
    <s v="Yili "/>
    <s v="Grazing"/>
    <s v="Russian Federation"/>
    <n v="0"/>
    <x v="3"/>
    <x v="2"/>
    <x v="1"/>
  </r>
  <r>
    <s v="Yili "/>
    <s v="Grazing"/>
    <s v="South Asia"/>
    <n v="0"/>
    <x v="3"/>
    <x v="2"/>
    <x v="1"/>
  </r>
  <r>
    <s v="Yili "/>
    <s v="Grazing"/>
    <s v="Sub-Saharan Africa"/>
    <n v="0"/>
    <x v="3"/>
    <x v="2"/>
    <x v="1"/>
  </r>
  <r>
    <s v="Yili "/>
    <s v="Grazing"/>
    <s v="Western Europe"/>
    <n v="976"/>
    <x v="3"/>
    <x v="2"/>
    <x v="1"/>
  </r>
  <r>
    <s v="Yili "/>
    <s v="Croplands"/>
    <s v="East Asia and Southeast Asia"/>
    <n v="5240066"/>
    <x v="3"/>
    <x v="2"/>
    <x v="1"/>
  </r>
  <r>
    <s v="Yili "/>
    <s v="Croplands"/>
    <s v="Eastern Europe"/>
    <n v="165781"/>
    <x v="3"/>
    <x v="2"/>
    <x v="1"/>
  </r>
  <r>
    <s v="Yili "/>
    <s v="Croplands"/>
    <s v="Latin America and the Caribbean"/>
    <n v="2349170"/>
    <x v="3"/>
    <x v="2"/>
    <x v="1"/>
  </r>
  <r>
    <s v="Yili "/>
    <s v="Croplands"/>
    <s v="Near East and North Africa"/>
    <n v="35937"/>
    <x v="3"/>
    <x v="2"/>
    <x v="1"/>
  </r>
  <r>
    <s v="Yili "/>
    <s v="Croplands"/>
    <s v="North America"/>
    <n v="1466604"/>
    <x v="3"/>
    <x v="2"/>
    <x v="1"/>
  </r>
  <r>
    <s v="Yili "/>
    <s v="Croplands"/>
    <s v="Oceania"/>
    <n v="96134"/>
    <x v="3"/>
    <x v="2"/>
    <x v="1"/>
  </r>
  <r>
    <s v="Yili "/>
    <s v="Croplands"/>
    <s v="RoW"/>
    <n v="0"/>
    <x v="3"/>
    <x v="2"/>
    <x v="1"/>
  </r>
  <r>
    <s v="Yili "/>
    <s v="Croplands"/>
    <s v="Russian Federation"/>
    <n v="57647"/>
    <x v="3"/>
    <x v="2"/>
    <x v="1"/>
  </r>
  <r>
    <s v="Yili "/>
    <s v="Croplands"/>
    <s v="South Asia"/>
    <n v="64665"/>
    <x v="3"/>
    <x v="2"/>
    <x v="1"/>
  </r>
  <r>
    <s v="Yili "/>
    <s v="Croplands"/>
    <s v="Sub-Saharan Africa"/>
    <n v="51676"/>
    <x v="3"/>
    <x v="2"/>
    <x v="1"/>
  </r>
  <r>
    <s v="Yili "/>
    <s v="Croplands"/>
    <s v="Western Europe"/>
    <n v="18803"/>
    <x v="3"/>
    <x v="2"/>
    <x v="1"/>
  </r>
  <r>
    <s v="China Mengniu Dairy"/>
    <s v="Grazing"/>
    <s v="East Asia and Southeast Asia"/>
    <n v="4391981"/>
    <x v="3"/>
    <x v="2"/>
    <x v="1"/>
  </r>
  <r>
    <s v="China Mengniu Dairy"/>
    <s v="Grazing"/>
    <s v="Eastern Europe"/>
    <n v="0"/>
    <x v="3"/>
    <x v="2"/>
    <x v="1"/>
  </r>
  <r>
    <s v="China Mengniu Dairy"/>
    <s v="Grazing"/>
    <s v="Latin America and the Caribbean"/>
    <n v="3689"/>
    <x v="3"/>
    <x v="2"/>
    <x v="1"/>
  </r>
  <r>
    <s v="China Mengniu Dairy"/>
    <s v="Grazing"/>
    <s v="Near East and North Africa"/>
    <n v="0"/>
    <x v="3"/>
    <x v="2"/>
    <x v="1"/>
  </r>
  <r>
    <s v="China Mengniu Dairy"/>
    <s v="Grazing"/>
    <s v="North America"/>
    <n v="0"/>
    <x v="3"/>
    <x v="2"/>
    <x v="1"/>
  </r>
  <r>
    <s v="China Mengniu Dairy"/>
    <s v="Grazing"/>
    <s v="Oceania"/>
    <n v="2662"/>
    <x v="3"/>
    <x v="2"/>
    <x v="1"/>
  </r>
  <r>
    <s v="China Mengniu Dairy"/>
    <s v="Grazing"/>
    <s v="RoW"/>
    <n v="0"/>
    <x v="3"/>
    <x v="2"/>
    <x v="1"/>
  </r>
  <r>
    <s v="China Mengniu Dairy"/>
    <s v="Grazing"/>
    <s v="Russian Federation"/>
    <n v="0"/>
    <x v="3"/>
    <x v="2"/>
    <x v="1"/>
  </r>
  <r>
    <s v="China Mengniu Dairy"/>
    <s v="Grazing"/>
    <s v="South Asia"/>
    <n v="0"/>
    <x v="3"/>
    <x v="2"/>
    <x v="1"/>
  </r>
  <r>
    <s v="China Mengniu Dairy"/>
    <s v="Grazing"/>
    <s v="Sub-Saharan Africa"/>
    <n v="0"/>
    <x v="3"/>
    <x v="2"/>
    <x v="1"/>
  </r>
  <r>
    <s v="China Mengniu Dairy"/>
    <s v="Grazing"/>
    <s v="Western Europe"/>
    <n v="947"/>
    <x v="3"/>
    <x v="2"/>
    <x v="1"/>
  </r>
  <r>
    <s v="China Mengniu Dairy"/>
    <s v="Croplands"/>
    <s v="East Asia and Southeast Asia"/>
    <n v="5082864"/>
    <x v="3"/>
    <x v="2"/>
    <x v="1"/>
  </r>
  <r>
    <s v="China Mengniu Dairy"/>
    <s v="Croplands"/>
    <s v="Eastern Europe"/>
    <n v="160807"/>
    <x v="3"/>
    <x v="2"/>
    <x v="1"/>
  </r>
  <r>
    <s v="China Mengniu Dairy"/>
    <s v="Croplands"/>
    <s v="Latin America and the Caribbean"/>
    <n v="2278695"/>
    <x v="3"/>
    <x v="2"/>
    <x v="1"/>
  </r>
  <r>
    <s v="China Mengniu Dairy"/>
    <s v="Croplands"/>
    <s v="Near East and North Africa"/>
    <n v="34859"/>
    <x v="3"/>
    <x v="2"/>
    <x v="1"/>
  </r>
  <r>
    <s v="China Mengniu Dairy"/>
    <s v="Croplands"/>
    <s v="North America"/>
    <n v="1422606"/>
    <x v="3"/>
    <x v="2"/>
    <x v="1"/>
  </r>
  <r>
    <s v="China Mengniu Dairy"/>
    <s v="Croplands"/>
    <s v="Oceania"/>
    <n v="93250"/>
    <x v="3"/>
    <x v="2"/>
    <x v="1"/>
  </r>
  <r>
    <s v="China Mengniu Dairy"/>
    <s v="Croplands"/>
    <s v="RoW"/>
    <n v="0"/>
    <x v="3"/>
    <x v="2"/>
    <x v="1"/>
  </r>
  <r>
    <s v="China Mengniu Dairy"/>
    <s v="Croplands"/>
    <s v="Russian Federation"/>
    <n v="55918"/>
    <x v="3"/>
    <x v="2"/>
    <x v="1"/>
  </r>
  <r>
    <s v="China Mengniu Dairy"/>
    <s v="Croplands"/>
    <s v="South Asia"/>
    <n v="62725"/>
    <x v="3"/>
    <x v="2"/>
    <x v="1"/>
  </r>
  <r>
    <s v="China Mengniu Dairy"/>
    <s v="Croplands"/>
    <s v="Sub-Saharan Africa"/>
    <n v="50125"/>
    <x v="3"/>
    <x v="2"/>
    <x v="1"/>
  </r>
  <r>
    <s v="China Mengniu Dairy"/>
    <s v="Croplands"/>
    <s v="Western Europe"/>
    <n v="18239"/>
    <x v="3"/>
    <x v="2"/>
    <x v="1"/>
  </r>
  <r>
    <s v="Amul"/>
    <s v="Grazing"/>
    <s v="East Asia and Southeast Asia"/>
    <n v="3"/>
    <x v="3"/>
    <x v="2"/>
    <x v="1"/>
  </r>
  <r>
    <s v="Amul"/>
    <s v="Grazing"/>
    <s v="Eastern Europe"/>
    <n v="62"/>
    <x v="3"/>
    <x v="2"/>
    <x v="1"/>
  </r>
  <r>
    <s v="Amul"/>
    <s v="Grazing"/>
    <s v="Latin America and the Caribbean"/>
    <n v="33"/>
    <x v="3"/>
    <x v="2"/>
    <x v="1"/>
  </r>
  <r>
    <s v="Amul"/>
    <s v="Grazing"/>
    <s v="Near East and North Africa"/>
    <n v="122"/>
    <x v="3"/>
    <x v="2"/>
    <x v="1"/>
  </r>
  <r>
    <s v="Amul"/>
    <s v="Grazing"/>
    <s v="North America"/>
    <n v="36"/>
    <x v="3"/>
    <x v="2"/>
    <x v="1"/>
  </r>
  <r>
    <s v="Amul"/>
    <s v="Grazing"/>
    <s v="Oceania"/>
    <n v="192"/>
    <x v="3"/>
    <x v="2"/>
    <x v="1"/>
  </r>
  <r>
    <s v="Amul"/>
    <s v="Grazing"/>
    <s v="RoW"/>
    <n v="0"/>
    <x v="3"/>
    <x v="2"/>
    <x v="1"/>
  </r>
  <r>
    <s v="Amul"/>
    <s v="Grazing"/>
    <s v="Russian Federation"/>
    <n v="1"/>
    <x v="3"/>
    <x v="2"/>
    <x v="1"/>
  </r>
  <r>
    <s v="Amul"/>
    <s v="Grazing"/>
    <s v="South Asia"/>
    <n v="4592142"/>
    <x v="3"/>
    <x v="2"/>
    <x v="1"/>
  </r>
  <r>
    <s v="Amul"/>
    <s v="Grazing"/>
    <s v="Sub-Saharan Africa"/>
    <n v="10"/>
    <x v="3"/>
    <x v="2"/>
    <x v="1"/>
  </r>
  <r>
    <s v="Amul"/>
    <s v="Grazing"/>
    <s v="Western Europe"/>
    <n v="164"/>
    <x v="3"/>
    <x v="2"/>
    <x v="1"/>
  </r>
  <r>
    <s v="Amul"/>
    <s v="Croplands"/>
    <s v="East Asia and Southeast Asia"/>
    <n v="130081"/>
    <x v="3"/>
    <x v="2"/>
    <x v="1"/>
  </r>
  <r>
    <s v="Amul"/>
    <s v="Croplands"/>
    <s v="Eastern Europe"/>
    <n v="51810"/>
    <x v="3"/>
    <x v="2"/>
    <x v="1"/>
  </r>
  <r>
    <s v="Amul"/>
    <s v="Croplands"/>
    <s v="Latin America and the Caribbean"/>
    <n v="275606"/>
    <x v="3"/>
    <x v="2"/>
    <x v="1"/>
  </r>
  <r>
    <s v="Amul"/>
    <s v="Croplands"/>
    <s v="Near East and North Africa"/>
    <n v="34367"/>
    <x v="3"/>
    <x v="2"/>
    <x v="1"/>
  </r>
  <r>
    <s v="Amul"/>
    <s v="Croplands"/>
    <s v="North America"/>
    <n v="154676"/>
    <x v="3"/>
    <x v="2"/>
    <x v="1"/>
  </r>
  <r>
    <s v="Amul"/>
    <s v="Croplands"/>
    <s v="Oceania"/>
    <n v="5573"/>
    <x v="3"/>
    <x v="2"/>
    <x v="1"/>
  </r>
  <r>
    <s v="Amul"/>
    <s v="Croplands"/>
    <s v="RoW"/>
    <n v="0"/>
    <x v="3"/>
    <x v="2"/>
    <x v="1"/>
  </r>
  <r>
    <s v="Amul"/>
    <s v="Croplands"/>
    <s v="Russian Federation"/>
    <n v="14169"/>
    <x v="3"/>
    <x v="2"/>
    <x v="1"/>
  </r>
  <r>
    <s v="Amul"/>
    <s v="Croplands"/>
    <s v="South Asia"/>
    <n v="5693219"/>
    <x v="3"/>
    <x v="2"/>
    <x v="1"/>
  </r>
  <r>
    <s v="Amul"/>
    <s v="Croplands"/>
    <s v="Sub-Saharan Africa"/>
    <n v="20616"/>
    <x v="3"/>
    <x v="2"/>
    <x v="1"/>
  </r>
  <r>
    <s v="Amul"/>
    <s v="Croplands"/>
    <s v="Western Europe"/>
    <n v="6456"/>
    <x v="3"/>
    <x v="2"/>
    <x v="1"/>
  </r>
  <r>
    <s v="Glanbia"/>
    <s v="Grazing"/>
    <s v="East Asia and Southeast Asia"/>
    <n v="691"/>
    <x v="3"/>
    <x v="2"/>
    <x v="1"/>
  </r>
  <r>
    <s v="Glanbia"/>
    <s v="Grazing"/>
    <s v="Eastern Europe"/>
    <n v="10"/>
    <x v="3"/>
    <x v="2"/>
    <x v="1"/>
  </r>
  <r>
    <s v="Glanbia"/>
    <s v="Grazing"/>
    <s v="Latin America and the Caribbean"/>
    <n v="4700"/>
    <x v="3"/>
    <x v="2"/>
    <x v="1"/>
  </r>
  <r>
    <s v="Glanbia"/>
    <s v="Grazing"/>
    <s v="Near East and North Africa"/>
    <n v="12"/>
    <x v="3"/>
    <x v="2"/>
    <x v="1"/>
  </r>
  <r>
    <s v="Glanbia"/>
    <s v="Grazing"/>
    <s v="North America"/>
    <n v="2195938"/>
    <x v="3"/>
    <x v="2"/>
    <x v="1"/>
  </r>
  <r>
    <s v="Glanbia"/>
    <s v="Grazing"/>
    <s v="Oceania"/>
    <n v="1204"/>
    <x v="3"/>
    <x v="2"/>
    <x v="1"/>
  </r>
  <r>
    <s v="Glanbia"/>
    <s v="Grazing"/>
    <s v="RoW"/>
    <n v="0"/>
    <x v="3"/>
    <x v="2"/>
    <x v="1"/>
  </r>
  <r>
    <s v="Glanbia"/>
    <s v="Grazing"/>
    <s v="Russian Federation"/>
    <n v="0"/>
    <x v="3"/>
    <x v="2"/>
    <x v="1"/>
  </r>
  <r>
    <s v="Glanbia"/>
    <s v="Grazing"/>
    <s v="South Asia"/>
    <n v="93"/>
    <x v="3"/>
    <x v="2"/>
    <x v="1"/>
  </r>
  <r>
    <s v="Glanbia"/>
    <s v="Grazing"/>
    <s v="Sub-Saharan Africa"/>
    <n v="15"/>
    <x v="3"/>
    <x v="2"/>
    <x v="1"/>
  </r>
  <r>
    <s v="Glanbia"/>
    <s v="Grazing"/>
    <s v="Western Europe"/>
    <n v="124"/>
    <x v="3"/>
    <x v="2"/>
    <x v="1"/>
  </r>
  <r>
    <s v="Glanbia"/>
    <s v="Croplands"/>
    <s v="East Asia and Southeast Asia"/>
    <n v="2808"/>
    <x v="3"/>
    <x v="2"/>
    <x v="1"/>
  </r>
  <r>
    <s v="Glanbia"/>
    <s v="Croplands"/>
    <s v="Eastern Europe"/>
    <n v="3562"/>
    <x v="3"/>
    <x v="2"/>
    <x v="1"/>
  </r>
  <r>
    <s v="Glanbia"/>
    <s v="Croplands"/>
    <s v="Latin America and the Caribbean"/>
    <n v="14047"/>
    <x v="3"/>
    <x v="2"/>
    <x v="1"/>
  </r>
  <r>
    <s v="Glanbia"/>
    <s v="Croplands"/>
    <s v="Near East and North Africa"/>
    <n v="487"/>
    <x v="3"/>
    <x v="2"/>
    <x v="1"/>
  </r>
  <r>
    <s v="Glanbia"/>
    <s v="Croplands"/>
    <s v="North America"/>
    <n v="4417308"/>
    <x v="3"/>
    <x v="2"/>
    <x v="1"/>
  </r>
  <r>
    <s v="Glanbia"/>
    <s v="Croplands"/>
    <s v="Oceania"/>
    <n v="636"/>
    <x v="3"/>
    <x v="2"/>
    <x v="1"/>
  </r>
  <r>
    <s v="Glanbia"/>
    <s v="Croplands"/>
    <s v="RoW"/>
    <n v="26"/>
    <x v="3"/>
    <x v="2"/>
    <x v="1"/>
  </r>
  <r>
    <s v="Glanbia"/>
    <s v="Croplands"/>
    <s v="Russian Federation"/>
    <n v="846"/>
    <x v="3"/>
    <x v="2"/>
    <x v="1"/>
  </r>
  <r>
    <s v="Glanbia"/>
    <s v="Croplands"/>
    <s v="South Asia"/>
    <n v="26256"/>
    <x v="3"/>
    <x v="2"/>
    <x v="1"/>
  </r>
  <r>
    <s v="Glanbia"/>
    <s v="Croplands"/>
    <s v="Sub-Saharan Africa"/>
    <n v="1119"/>
    <x v="3"/>
    <x v="2"/>
    <x v="1"/>
  </r>
  <r>
    <s v="Glanbia"/>
    <s v="Croplands"/>
    <s v="Western Europe"/>
    <n v="2236"/>
    <x v="3"/>
    <x v="2"/>
    <x v="1"/>
  </r>
  <r>
    <s v="California Diaries"/>
    <s v="Grazing"/>
    <s v="East Asia and Southeast Asia"/>
    <n v="591"/>
    <x v="3"/>
    <x v="2"/>
    <x v="1"/>
  </r>
  <r>
    <s v="California Diaries"/>
    <s v="Grazing"/>
    <s v="Eastern Europe"/>
    <n v="8"/>
    <x v="3"/>
    <x v="2"/>
    <x v="1"/>
  </r>
  <r>
    <s v="California Diaries"/>
    <s v="Grazing"/>
    <s v="Latin America and the Caribbean"/>
    <n v="4021"/>
    <x v="3"/>
    <x v="2"/>
    <x v="1"/>
  </r>
  <r>
    <s v="California Diaries"/>
    <s v="Grazing"/>
    <s v="Near East and North Africa"/>
    <n v="11"/>
    <x v="3"/>
    <x v="2"/>
    <x v="1"/>
  </r>
  <r>
    <s v="California Diaries"/>
    <s v="Grazing"/>
    <s v="North America"/>
    <n v="1878747"/>
    <x v="3"/>
    <x v="2"/>
    <x v="1"/>
  </r>
  <r>
    <s v="California Diaries"/>
    <s v="Grazing"/>
    <s v="Oceania"/>
    <n v="1030"/>
    <x v="3"/>
    <x v="2"/>
    <x v="1"/>
  </r>
  <r>
    <s v="California Diaries"/>
    <s v="Grazing"/>
    <s v="RoW"/>
    <n v="0"/>
    <x v="3"/>
    <x v="2"/>
    <x v="1"/>
  </r>
  <r>
    <s v="California Diaries"/>
    <s v="Grazing"/>
    <s v="Russian Federation"/>
    <n v="0"/>
    <x v="3"/>
    <x v="2"/>
    <x v="1"/>
  </r>
  <r>
    <s v="California Diaries"/>
    <s v="Grazing"/>
    <s v="South Asia"/>
    <n v="79"/>
    <x v="3"/>
    <x v="2"/>
    <x v="1"/>
  </r>
  <r>
    <s v="California Diaries"/>
    <s v="Grazing"/>
    <s v="Sub-Saharan Africa"/>
    <n v="13"/>
    <x v="3"/>
    <x v="2"/>
    <x v="1"/>
  </r>
  <r>
    <s v="California Diaries"/>
    <s v="Grazing"/>
    <s v="Western Europe"/>
    <n v="106"/>
    <x v="3"/>
    <x v="2"/>
    <x v="1"/>
  </r>
  <r>
    <s v="California Diaries"/>
    <s v="Croplands"/>
    <s v="East Asia and Southeast Asia"/>
    <n v="2403"/>
    <x v="3"/>
    <x v="2"/>
    <x v="1"/>
  </r>
  <r>
    <s v="California Diaries"/>
    <s v="Croplands"/>
    <s v="Eastern Europe"/>
    <n v="3048"/>
    <x v="3"/>
    <x v="2"/>
    <x v="1"/>
  </r>
  <r>
    <s v="California Diaries"/>
    <s v="Croplands"/>
    <s v="Latin America and the Caribbean"/>
    <n v="12018"/>
    <x v="3"/>
    <x v="2"/>
    <x v="1"/>
  </r>
  <r>
    <s v="California Diaries"/>
    <s v="Croplands"/>
    <s v="Near East and North Africa"/>
    <n v="417"/>
    <x v="3"/>
    <x v="2"/>
    <x v="1"/>
  </r>
  <r>
    <s v="California Diaries"/>
    <s v="Croplands"/>
    <s v="North America"/>
    <n v="3779253"/>
    <x v="3"/>
    <x v="2"/>
    <x v="1"/>
  </r>
  <r>
    <s v="California Diaries"/>
    <s v="Croplands"/>
    <s v="Oceania"/>
    <n v="544"/>
    <x v="3"/>
    <x v="2"/>
    <x v="1"/>
  </r>
  <r>
    <s v="California Diaries"/>
    <s v="Croplands"/>
    <s v="RoW"/>
    <n v="23"/>
    <x v="3"/>
    <x v="2"/>
    <x v="1"/>
  </r>
  <r>
    <s v="California Diaries"/>
    <s v="Croplands"/>
    <s v="Russian Federation"/>
    <n v="724"/>
    <x v="3"/>
    <x v="2"/>
    <x v="1"/>
  </r>
  <r>
    <s v="California Diaries"/>
    <s v="Croplands"/>
    <s v="South Asia"/>
    <n v="22464"/>
    <x v="3"/>
    <x v="2"/>
    <x v="1"/>
  </r>
  <r>
    <s v="California Diaries"/>
    <s v="Croplands"/>
    <s v="Sub-Saharan Africa"/>
    <n v="958"/>
    <x v="3"/>
    <x v="2"/>
    <x v="1"/>
  </r>
  <r>
    <s v="California Diaries"/>
    <s v="Croplands"/>
    <s v="Western Europe"/>
    <n v="1913"/>
    <x v="3"/>
    <x v="2"/>
    <x v="1"/>
  </r>
  <r>
    <s v="Müller"/>
    <s v="Grazing"/>
    <s v="East Asia and Southeast Asia"/>
    <n v="52"/>
    <x v="3"/>
    <x v="2"/>
    <x v="1"/>
  </r>
  <r>
    <s v="Müller"/>
    <s v="Grazing"/>
    <s v="Eastern Europe"/>
    <n v="102"/>
    <x v="3"/>
    <x v="2"/>
    <x v="1"/>
  </r>
  <r>
    <s v="Müller"/>
    <s v="Grazing"/>
    <s v="Latin America and the Caribbean"/>
    <n v="93"/>
    <x v="3"/>
    <x v="2"/>
    <x v="1"/>
  </r>
  <r>
    <s v="Müller"/>
    <s v="Grazing"/>
    <s v="Near East and North Africa"/>
    <n v="12"/>
    <x v="3"/>
    <x v="2"/>
    <x v="1"/>
  </r>
  <r>
    <s v="Müller"/>
    <s v="Grazing"/>
    <s v="North America"/>
    <n v="202"/>
    <x v="3"/>
    <x v="2"/>
    <x v="1"/>
  </r>
  <r>
    <s v="Müller"/>
    <s v="Grazing"/>
    <s v="Oceania"/>
    <n v="0"/>
    <x v="3"/>
    <x v="2"/>
    <x v="1"/>
  </r>
  <r>
    <s v="Müller"/>
    <s v="Grazing"/>
    <s v="RoW"/>
    <n v="0"/>
    <x v="3"/>
    <x v="2"/>
    <x v="1"/>
  </r>
  <r>
    <s v="Müller"/>
    <s v="Grazing"/>
    <s v="Russian Federation"/>
    <n v="0"/>
    <x v="3"/>
    <x v="2"/>
    <x v="1"/>
  </r>
  <r>
    <s v="Müller"/>
    <s v="Grazing"/>
    <s v="South Asia"/>
    <n v="17"/>
    <x v="3"/>
    <x v="2"/>
    <x v="1"/>
  </r>
  <r>
    <s v="Müller"/>
    <s v="Grazing"/>
    <s v="Sub-Saharan Africa"/>
    <n v="81"/>
    <x v="3"/>
    <x v="2"/>
    <x v="1"/>
  </r>
  <r>
    <s v="Müller"/>
    <s v="Grazing"/>
    <s v="Western Europe"/>
    <n v="777473"/>
    <x v="3"/>
    <x v="2"/>
    <x v="1"/>
  </r>
  <r>
    <s v="Müller"/>
    <s v="Croplands"/>
    <s v="East Asia and Southeast Asia"/>
    <n v="115480"/>
    <x v="3"/>
    <x v="2"/>
    <x v="1"/>
  </r>
  <r>
    <s v="Müller"/>
    <s v="Croplands"/>
    <s v="Eastern Europe"/>
    <n v="453254"/>
    <x v="3"/>
    <x v="2"/>
    <x v="1"/>
  </r>
  <r>
    <s v="Müller"/>
    <s v="Croplands"/>
    <s v="Latin America and the Caribbean"/>
    <n v="660112"/>
    <x v="3"/>
    <x v="2"/>
    <x v="1"/>
  </r>
  <r>
    <s v="Müller"/>
    <s v="Croplands"/>
    <s v="Near East and North Africa"/>
    <n v="11712"/>
    <x v="3"/>
    <x v="2"/>
    <x v="1"/>
  </r>
  <r>
    <s v="Müller"/>
    <s v="Croplands"/>
    <s v="North America"/>
    <n v="232643"/>
    <x v="3"/>
    <x v="2"/>
    <x v="1"/>
  </r>
  <r>
    <s v="Müller"/>
    <s v="Croplands"/>
    <s v="Oceania"/>
    <n v="27892"/>
    <x v="3"/>
    <x v="2"/>
    <x v="1"/>
  </r>
  <r>
    <s v="Müller"/>
    <s v="Croplands"/>
    <s v="RoW"/>
    <n v="0"/>
    <x v="3"/>
    <x v="2"/>
    <x v="1"/>
  </r>
  <r>
    <s v="Müller"/>
    <s v="Croplands"/>
    <s v="Russian Federation"/>
    <n v="104766"/>
    <x v="3"/>
    <x v="2"/>
    <x v="1"/>
  </r>
  <r>
    <s v="Müller"/>
    <s v="Croplands"/>
    <s v="South Asia"/>
    <n v="29177"/>
    <x v="3"/>
    <x v="2"/>
    <x v="1"/>
  </r>
  <r>
    <s v="Müller"/>
    <s v="Croplands"/>
    <s v="Sub-Saharan Africa"/>
    <n v="13929"/>
    <x v="3"/>
    <x v="2"/>
    <x v="1"/>
  </r>
  <r>
    <s v="Müller"/>
    <s v="Croplands"/>
    <s v="Western Europe"/>
    <n v="2133831"/>
    <x v="3"/>
    <x v="2"/>
    <x v="1"/>
  </r>
  <r>
    <s v="Danone-IFCN"/>
    <s v="Grazing"/>
    <s v="East Asia and Southeast Asia"/>
    <n v="163"/>
    <x v="3"/>
    <x v="2"/>
    <x v="1"/>
  </r>
  <r>
    <s v="Danone-IFCN"/>
    <s v="Grazing"/>
    <s v="Eastern Europe"/>
    <n v="123155"/>
    <x v="3"/>
    <x v="2"/>
    <x v="1"/>
  </r>
  <r>
    <s v="Danone-IFCN"/>
    <s v="Grazing"/>
    <s v="Latin America and the Caribbean"/>
    <n v="544625"/>
    <x v="3"/>
    <x v="2"/>
    <x v="1"/>
  </r>
  <r>
    <s v="Danone-IFCN"/>
    <s v="Grazing"/>
    <s v="Near East and North Africa"/>
    <n v="305900"/>
    <x v="3"/>
    <x v="2"/>
    <x v="1"/>
  </r>
  <r>
    <s v="Danone-IFCN"/>
    <s v="Grazing"/>
    <s v="North America"/>
    <n v="472704"/>
    <x v="3"/>
    <x v="2"/>
    <x v="1"/>
  </r>
  <r>
    <s v="Danone-IFCN"/>
    <s v="Grazing"/>
    <s v="Oceania"/>
    <n v="313"/>
    <x v="3"/>
    <x v="2"/>
    <x v="1"/>
  </r>
  <r>
    <s v="Danone-IFCN"/>
    <s v="Grazing"/>
    <s v="RoW"/>
    <n v="0"/>
    <x v="3"/>
    <x v="2"/>
    <x v="1"/>
  </r>
  <r>
    <s v="Danone-IFCN"/>
    <s v="Grazing"/>
    <s v="Russian Federation"/>
    <n v="406933"/>
    <x v="3"/>
    <x v="2"/>
    <x v="1"/>
  </r>
  <r>
    <s v="Danone-IFCN"/>
    <s v="Grazing"/>
    <s v="South Asia"/>
    <n v="29"/>
    <x v="3"/>
    <x v="2"/>
    <x v="1"/>
  </r>
  <r>
    <s v="Danone-IFCN"/>
    <s v="Grazing"/>
    <s v="Sub-Saharan Africa"/>
    <n v="800352"/>
    <x v="3"/>
    <x v="2"/>
    <x v="1"/>
  </r>
  <r>
    <s v="Danone-IFCN"/>
    <s v="Grazing"/>
    <s v="Western Europe"/>
    <n v="124214"/>
    <x v="3"/>
    <x v="2"/>
    <x v="1"/>
  </r>
  <r>
    <s v="Danone-IFCN"/>
    <s v="Croplands"/>
    <s v="East Asia and Southeast Asia"/>
    <n v="29059"/>
    <x v="3"/>
    <x v="2"/>
    <x v="1"/>
  </r>
  <r>
    <s v="Danone-IFCN"/>
    <s v="Croplands"/>
    <s v="Eastern Europe"/>
    <n v="618644"/>
    <x v="3"/>
    <x v="2"/>
    <x v="1"/>
  </r>
  <r>
    <s v="Danone-IFCN"/>
    <s v="Croplands"/>
    <s v="Latin America and the Caribbean"/>
    <n v="880663"/>
    <x v="3"/>
    <x v="2"/>
    <x v="1"/>
  </r>
  <r>
    <s v="Danone-IFCN"/>
    <s v="Croplands"/>
    <s v="Near East and North Africa"/>
    <n v="288971"/>
    <x v="3"/>
    <x v="2"/>
    <x v="1"/>
  </r>
  <r>
    <s v="Danone-IFCN"/>
    <s v="Croplands"/>
    <s v="North America"/>
    <n v="1097897"/>
    <x v="3"/>
    <x v="2"/>
    <x v="1"/>
  </r>
  <r>
    <s v="Danone-IFCN"/>
    <s v="Croplands"/>
    <s v="Oceania"/>
    <n v="6106"/>
    <x v="3"/>
    <x v="2"/>
    <x v="1"/>
  </r>
  <r>
    <s v="Danone-IFCN"/>
    <s v="Croplands"/>
    <s v="RoW"/>
    <n v="9"/>
    <x v="3"/>
    <x v="2"/>
    <x v="1"/>
  </r>
  <r>
    <s v="Danone-IFCN"/>
    <s v="Croplands"/>
    <s v="Russian Federation"/>
    <n v="1518629"/>
    <x v="3"/>
    <x v="2"/>
    <x v="1"/>
  </r>
  <r>
    <s v="Danone-IFCN"/>
    <s v="Croplands"/>
    <s v="South Asia"/>
    <n v="15673"/>
    <x v="3"/>
    <x v="2"/>
    <x v="1"/>
  </r>
  <r>
    <s v="Danone-IFCN"/>
    <s v="Croplands"/>
    <s v="Sub-Saharan Africa"/>
    <n v="313128"/>
    <x v="3"/>
    <x v="2"/>
    <x v="1"/>
  </r>
  <r>
    <s v="Danone-IFCN"/>
    <s v="Croplands"/>
    <s v="Western Europe"/>
    <n v="357295"/>
    <x v="3"/>
    <x v="2"/>
    <x v="1"/>
  </r>
  <r>
    <s v="Agropur"/>
    <s v="Grazing"/>
    <s v="East Asia and Southeast Asia"/>
    <n v="514"/>
    <x v="3"/>
    <x v="2"/>
    <x v="1"/>
  </r>
  <r>
    <s v="Agropur"/>
    <s v="Grazing"/>
    <s v="Eastern Europe"/>
    <n v="7"/>
    <x v="3"/>
    <x v="2"/>
    <x v="1"/>
  </r>
  <r>
    <s v="Agropur"/>
    <s v="Grazing"/>
    <s v="Latin America and the Caribbean"/>
    <n v="3499"/>
    <x v="3"/>
    <x v="2"/>
    <x v="1"/>
  </r>
  <r>
    <s v="Agropur"/>
    <s v="Grazing"/>
    <s v="Near East and North Africa"/>
    <n v="9"/>
    <x v="3"/>
    <x v="2"/>
    <x v="1"/>
  </r>
  <r>
    <s v="Agropur"/>
    <s v="Grazing"/>
    <s v="North America"/>
    <n v="1634754"/>
    <x v="3"/>
    <x v="2"/>
    <x v="1"/>
  </r>
  <r>
    <s v="Agropur"/>
    <s v="Grazing"/>
    <s v="Oceania"/>
    <n v="896"/>
    <x v="3"/>
    <x v="2"/>
    <x v="1"/>
  </r>
  <r>
    <s v="Agropur"/>
    <s v="Grazing"/>
    <s v="RoW"/>
    <n v="0"/>
    <x v="3"/>
    <x v="2"/>
    <x v="1"/>
  </r>
  <r>
    <s v="Agropur"/>
    <s v="Grazing"/>
    <s v="Russian Federation"/>
    <n v="0"/>
    <x v="3"/>
    <x v="2"/>
    <x v="1"/>
  </r>
  <r>
    <s v="Agropur"/>
    <s v="Grazing"/>
    <s v="South Asia"/>
    <n v="69"/>
    <x v="3"/>
    <x v="2"/>
    <x v="1"/>
  </r>
  <r>
    <s v="Agropur"/>
    <s v="Grazing"/>
    <s v="Sub-Saharan Africa"/>
    <n v="11"/>
    <x v="3"/>
    <x v="2"/>
    <x v="1"/>
  </r>
  <r>
    <s v="Agropur"/>
    <s v="Grazing"/>
    <s v="Western Europe"/>
    <n v="92"/>
    <x v="3"/>
    <x v="2"/>
    <x v="1"/>
  </r>
  <r>
    <s v="Agropur"/>
    <s v="Croplands"/>
    <s v="East Asia and Southeast Asia"/>
    <n v="2091"/>
    <x v="3"/>
    <x v="2"/>
    <x v="1"/>
  </r>
  <r>
    <s v="Agropur"/>
    <s v="Croplands"/>
    <s v="Eastern Europe"/>
    <n v="2652"/>
    <x v="3"/>
    <x v="2"/>
    <x v="1"/>
  </r>
  <r>
    <s v="Agropur"/>
    <s v="Croplands"/>
    <s v="Latin America and the Caribbean"/>
    <n v="10457"/>
    <x v="3"/>
    <x v="2"/>
    <x v="1"/>
  </r>
  <r>
    <s v="Agropur"/>
    <s v="Croplands"/>
    <s v="Near East and North Africa"/>
    <n v="362"/>
    <x v="3"/>
    <x v="2"/>
    <x v="1"/>
  </r>
  <r>
    <s v="Agropur"/>
    <s v="Croplands"/>
    <s v="North America"/>
    <n v="3288441"/>
    <x v="3"/>
    <x v="2"/>
    <x v="1"/>
  </r>
  <r>
    <s v="Agropur"/>
    <s v="Croplands"/>
    <s v="Oceania"/>
    <n v="473"/>
    <x v="3"/>
    <x v="2"/>
    <x v="1"/>
  </r>
  <r>
    <s v="Agropur"/>
    <s v="Croplands"/>
    <s v="RoW"/>
    <n v="20"/>
    <x v="3"/>
    <x v="2"/>
    <x v="1"/>
  </r>
  <r>
    <s v="Agropur"/>
    <s v="Croplands"/>
    <s v="Russian Federation"/>
    <n v="630"/>
    <x v="3"/>
    <x v="2"/>
    <x v="1"/>
  </r>
  <r>
    <s v="Agropur"/>
    <s v="Croplands"/>
    <s v="South Asia"/>
    <n v="19546"/>
    <x v="3"/>
    <x v="2"/>
    <x v="1"/>
  </r>
  <r>
    <s v="Agropur"/>
    <s v="Croplands"/>
    <s v="Sub-Saharan Africa"/>
    <n v="833"/>
    <x v="3"/>
    <x v="2"/>
    <x v="1"/>
  </r>
  <r>
    <s v="Agropur"/>
    <s v="Croplands"/>
    <s v="Western Europe"/>
    <n v="1665"/>
    <x v="3"/>
    <x v="2"/>
    <x v="1"/>
  </r>
  <r>
    <s v="DMK"/>
    <s v="Grazing"/>
    <s v="East Asia and Southeast Asia"/>
    <n v="43"/>
    <x v="3"/>
    <x v="2"/>
    <x v="1"/>
  </r>
  <r>
    <s v="DMK"/>
    <s v="Grazing"/>
    <s v="Eastern Europe"/>
    <n v="83"/>
    <x v="3"/>
    <x v="2"/>
    <x v="1"/>
  </r>
  <r>
    <s v="DMK"/>
    <s v="Grazing"/>
    <s v="Latin America and the Caribbean"/>
    <n v="76"/>
    <x v="3"/>
    <x v="2"/>
    <x v="1"/>
  </r>
  <r>
    <s v="DMK"/>
    <s v="Grazing"/>
    <s v="Near East and North Africa"/>
    <n v="10"/>
    <x v="3"/>
    <x v="2"/>
    <x v="1"/>
  </r>
  <r>
    <s v="DMK"/>
    <s v="Grazing"/>
    <s v="North America"/>
    <n v="166"/>
    <x v="3"/>
    <x v="2"/>
    <x v="1"/>
  </r>
  <r>
    <s v="DMK"/>
    <s v="Grazing"/>
    <s v="Oceania"/>
    <n v="0"/>
    <x v="3"/>
    <x v="2"/>
    <x v="1"/>
  </r>
  <r>
    <s v="DMK"/>
    <s v="Grazing"/>
    <s v="RoW"/>
    <n v="0"/>
    <x v="3"/>
    <x v="2"/>
    <x v="1"/>
  </r>
  <r>
    <s v="DMK"/>
    <s v="Grazing"/>
    <s v="Russian Federation"/>
    <n v="0"/>
    <x v="3"/>
    <x v="2"/>
    <x v="1"/>
  </r>
  <r>
    <s v="DMK"/>
    <s v="Grazing"/>
    <s v="South Asia"/>
    <n v="14"/>
    <x v="3"/>
    <x v="2"/>
    <x v="1"/>
  </r>
  <r>
    <s v="DMK"/>
    <s v="Grazing"/>
    <s v="Sub-Saharan Africa"/>
    <n v="66"/>
    <x v="3"/>
    <x v="2"/>
    <x v="1"/>
  </r>
  <r>
    <s v="DMK"/>
    <s v="Grazing"/>
    <s v="Western Europe"/>
    <n v="638224"/>
    <x v="3"/>
    <x v="2"/>
    <x v="1"/>
  </r>
  <r>
    <s v="DMK"/>
    <s v="Croplands"/>
    <s v="East Asia and Southeast Asia"/>
    <n v="94797"/>
    <x v="3"/>
    <x v="2"/>
    <x v="1"/>
  </r>
  <r>
    <s v="DMK"/>
    <s v="Croplands"/>
    <s v="Eastern Europe"/>
    <n v="372075"/>
    <x v="3"/>
    <x v="2"/>
    <x v="1"/>
  </r>
  <r>
    <s v="DMK"/>
    <s v="Croplands"/>
    <s v="Latin America and the Caribbean"/>
    <n v="541883"/>
    <x v="3"/>
    <x v="2"/>
    <x v="1"/>
  </r>
  <r>
    <s v="DMK"/>
    <s v="Croplands"/>
    <s v="Near East and North Africa"/>
    <n v="9614"/>
    <x v="3"/>
    <x v="2"/>
    <x v="1"/>
  </r>
  <r>
    <s v="DMK"/>
    <s v="Croplands"/>
    <s v="North America"/>
    <n v="190976"/>
    <x v="3"/>
    <x v="2"/>
    <x v="1"/>
  </r>
  <r>
    <s v="DMK"/>
    <s v="Croplands"/>
    <s v="Oceania"/>
    <n v="22897"/>
    <x v="3"/>
    <x v="2"/>
    <x v="1"/>
  </r>
  <r>
    <s v="DMK"/>
    <s v="Croplands"/>
    <s v="RoW"/>
    <n v="0"/>
    <x v="3"/>
    <x v="2"/>
    <x v="1"/>
  </r>
  <r>
    <s v="DMK"/>
    <s v="Croplands"/>
    <s v="Russian Federation"/>
    <n v="86002"/>
    <x v="3"/>
    <x v="2"/>
    <x v="1"/>
  </r>
  <r>
    <s v="DMK"/>
    <s v="Croplands"/>
    <s v="South Asia"/>
    <n v="23951"/>
    <x v="3"/>
    <x v="2"/>
    <x v="1"/>
  </r>
  <r>
    <s v="DMK"/>
    <s v="Croplands"/>
    <s v="Sub-Saharan Africa"/>
    <n v="11434"/>
    <x v="3"/>
    <x v="2"/>
    <x v="1"/>
  </r>
  <r>
    <s v="DMK"/>
    <s v="Croplands"/>
    <s v="Western Europe"/>
    <n v="1751652"/>
    <x v="3"/>
    <x v="2"/>
    <x v="1"/>
  </r>
  <r>
    <s v="Dairy Farmers of America"/>
    <s v="Grazing"/>
    <s v="East Asia and Southeast Asia"/>
    <n v="2"/>
    <x v="3"/>
    <x v="3"/>
    <x v="2"/>
  </r>
  <r>
    <s v="Dairy Farmers of America"/>
    <s v="Grazing"/>
    <s v="Eastern Europe"/>
    <n v="0"/>
    <x v="3"/>
    <x v="3"/>
    <x v="2"/>
  </r>
  <r>
    <s v="Dairy Farmers of America"/>
    <s v="Grazing"/>
    <s v="Latin America and the Caribbean"/>
    <n v="2"/>
    <x v="3"/>
    <x v="3"/>
    <x v="2"/>
  </r>
  <r>
    <s v="Dairy Farmers of America"/>
    <s v="Grazing"/>
    <s v="Near East and North Africa"/>
    <n v="0"/>
    <x v="3"/>
    <x v="3"/>
    <x v="2"/>
  </r>
  <r>
    <s v="Dairy Farmers of America"/>
    <s v="Grazing"/>
    <s v="North America"/>
    <n v="29715"/>
    <x v="3"/>
    <x v="3"/>
    <x v="2"/>
  </r>
  <r>
    <s v="Dairy Farmers of America"/>
    <s v="Grazing"/>
    <s v="Oceania"/>
    <n v="4"/>
    <x v="3"/>
    <x v="3"/>
    <x v="2"/>
  </r>
  <r>
    <s v="Dairy Farmers of America"/>
    <s v="Grazing"/>
    <s v="RoW"/>
    <n v="0"/>
    <x v="3"/>
    <x v="3"/>
    <x v="2"/>
  </r>
  <r>
    <s v="Dairy Farmers of America"/>
    <s v="Grazing"/>
    <s v="Russian Federation"/>
    <n v="0"/>
    <x v="3"/>
    <x v="3"/>
    <x v="2"/>
  </r>
  <r>
    <s v="Dairy Farmers of America"/>
    <s v="Grazing"/>
    <s v="South Asia"/>
    <n v="0"/>
    <x v="3"/>
    <x v="3"/>
    <x v="2"/>
  </r>
  <r>
    <s v="Dairy Farmers of America"/>
    <s v="Grazing"/>
    <s v="Sub-Saharan Africa"/>
    <n v="0"/>
    <x v="3"/>
    <x v="3"/>
    <x v="2"/>
  </r>
  <r>
    <s v="Dairy Farmers of America"/>
    <s v="Grazing"/>
    <s v="Western Europe"/>
    <n v="17"/>
    <x v="3"/>
    <x v="3"/>
    <x v="2"/>
  </r>
  <r>
    <s v="Dairy Farmers of America"/>
    <s v="Croplands"/>
    <s v="East Asia and Southeast Asia"/>
    <n v="96"/>
    <x v="3"/>
    <x v="3"/>
    <x v="2"/>
  </r>
  <r>
    <s v="Dairy Farmers of America"/>
    <s v="Croplands"/>
    <s v="Eastern Europe"/>
    <n v="96"/>
    <x v="3"/>
    <x v="3"/>
    <x v="2"/>
  </r>
  <r>
    <s v="Dairy Farmers of America"/>
    <s v="Croplands"/>
    <s v="Latin America and the Caribbean"/>
    <n v="254"/>
    <x v="3"/>
    <x v="3"/>
    <x v="2"/>
  </r>
  <r>
    <s v="Dairy Farmers of America"/>
    <s v="Croplands"/>
    <s v="Near East and North Africa"/>
    <n v="21"/>
    <x v="3"/>
    <x v="3"/>
    <x v="2"/>
  </r>
  <r>
    <s v="Dairy Farmers of America"/>
    <s v="Croplands"/>
    <s v="North America"/>
    <n v="201194"/>
    <x v="3"/>
    <x v="3"/>
    <x v="2"/>
  </r>
  <r>
    <s v="Dairy Farmers of America"/>
    <s v="Croplands"/>
    <s v="Oceania"/>
    <n v="22"/>
    <x v="3"/>
    <x v="3"/>
    <x v="2"/>
  </r>
  <r>
    <s v="Dairy Farmers of America"/>
    <s v="Croplands"/>
    <s v="RoW"/>
    <n v="0"/>
    <x v="3"/>
    <x v="3"/>
    <x v="2"/>
  </r>
  <r>
    <s v="Dairy Farmers of America"/>
    <s v="Croplands"/>
    <s v="Russian Federation"/>
    <n v="5"/>
    <x v="3"/>
    <x v="3"/>
    <x v="2"/>
  </r>
  <r>
    <s v="Dairy Farmers of America"/>
    <s v="Croplands"/>
    <s v="South Asia"/>
    <n v="800"/>
    <x v="3"/>
    <x v="3"/>
    <x v="2"/>
  </r>
  <r>
    <s v="Dairy Farmers of America"/>
    <s v="Croplands"/>
    <s v="Sub-Saharan Africa"/>
    <n v="6"/>
    <x v="3"/>
    <x v="3"/>
    <x v="2"/>
  </r>
  <r>
    <s v="Dairy Farmers of America"/>
    <s v="Croplands"/>
    <s v="Western Europe"/>
    <n v="220"/>
    <x v="3"/>
    <x v="3"/>
    <x v="2"/>
  </r>
  <r>
    <s v="Lactalis"/>
    <s v="Grazing"/>
    <s v="East Asia and Southeast Asia"/>
    <n v="0"/>
    <x v="3"/>
    <x v="3"/>
    <x v="2"/>
  </r>
  <r>
    <s v="Lactalis"/>
    <s v="Grazing"/>
    <s v="Eastern Europe"/>
    <n v="1"/>
    <x v="3"/>
    <x v="3"/>
    <x v="2"/>
  </r>
  <r>
    <s v="Lactalis"/>
    <s v="Grazing"/>
    <s v="Latin America and the Caribbean"/>
    <n v="0"/>
    <x v="3"/>
    <x v="3"/>
    <x v="2"/>
  </r>
  <r>
    <s v="Lactalis"/>
    <s v="Grazing"/>
    <s v="Near East and North Africa"/>
    <n v="0"/>
    <x v="3"/>
    <x v="3"/>
    <x v="2"/>
  </r>
  <r>
    <s v="Lactalis"/>
    <s v="Grazing"/>
    <s v="North America"/>
    <n v="3"/>
    <x v="3"/>
    <x v="3"/>
    <x v="2"/>
  </r>
  <r>
    <s v="Lactalis"/>
    <s v="Grazing"/>
    <s v="Oceania"/>
    <n v="0"/>
    <x v="3"/>
    <x v="3"/>
    <x v="2"/>
  </r>
  <r>
    <s v="Lactalis"/>
    <s v="Grazing"/>
    <s v="RoW"/>
    <n v="0"/>
    <x v="3"/>
    <x v="3"/>
    <x v="2"/>
  </r>
  <r>
    <s v="Lactalis"/>
    <s v="Grazing"/>
    <s v="Russian Federation"/>
    <n v="0"/>
    <x v="3"/>
    <x v="3"/>
    <x v="2"/>
  </r>
  <r>
    <s v="Lactalis"/>
    <s v="Grazing"/>
    <s v="South Asia"/>
    <n v="0"/>
    <x v="3"/>
    <x v="3"/>
    <x v="2"/>
  </r>
  <r>
    <s v="Lactalis"/>
    <s v="Grazing"/>
    <s v="Sub-Saharan Africa"/>
    <n v="0"/>
    <x v="3"/>
    <x v="3"/>
    <x v="2"/>
  </r>
  <r>
    <s v="Lactalis"/>
    <s v="Grazing"/>
    <s v="Western Europe"/>
    <n v="121828"/>
    <x v="3"/>
    <x v="3"/>
    <x v="2"/>
  </r>
  <r>
    <s v="Lactalis"/>
    <s v="Croplands"/>
    <s v="East Asia and Southeast Asia"/>
    <n v="2023"/>
    <x v="3"/>
    <x v="3"/>
    <x v="2"/>
  </r>
  <r>
    <s v="Lactalis"/>
    <s v="Croplands"/>
    <s v="Eastern Europe"/>
    <n v="11597"/>
    <x v="3"/>
    <x v="3"/>
    <x v="2"/>
  </r>
  <r>
    <s v="Lactalis"/>
    <s v="Croplands"/>
    <s v="Latin America and the Caribbean"/>
    <n v="2591"/>
    <x v="3"/>
    <x v="3"/>
    <x v="2"/>
  </r>
  <r>
    <s v="Lactalis"/>
    <s v="Croplands"/>
    <s v="Near East and North Africa"/>
    <n v="157"/>
    <x v="3"/>
    <x v="3"/>
    <x v="2"/>
  </r>
  <r>
    <s v="Lactalis"/>
    <s v="Croplands"/>
    <s v="North America"/>
    <n v="6364"/>
    <x v="3"/>
    <x v="3"/>
    <x v="2"/>
  </r>
  <r>
    <s v="Lactalis"/>
    <s v="Croplands"/>
    <s v="Oceania"/>
    <n v="487"/>
    <x v="3"/>
    <x v="3"/>
    <x v="2"/>
  </r>
  <r>
    <s v="Lactalis"/>
    <s v="Croplands"/>
    <s v="RoW"/>
    <n v="0"/>
    <x v="3"/>
    <x v="3"/>
    <x v="2"/>
  </r>
  <r>
    <s v="Lactalis"/>
    <s v="Croplands"/>
    <s v="Russian Federation"/>
    <n v="406"/>
    <x v="3"/>
    <x v="3"/>
    <x v="2"/>
  </r>
  <r>
    <s v="Lactalis"/>
    <s v="Croplands"/>
    <s v="South Asia"/>
    <n v="984"/>
    <x v="3"/>
    <x v="3"/>
    <x v="2"/>
  </r>
  <r>
    <s v="Lactalis"/>
    <s v="Croplands"/>
    <s v="Sub-Saharan Africa"/>
    <n v="51"/>
    <x v="3"/>
    <x v="3"/>
    <x v="2"/>
  </r>
  <r>
    <s v="Lactalis"/>
    <s v="Croplands"/>
    <s v="Western Europe"/>
    <n v="102402"/>
    <x v="3"/>
    <x v="3"/>
    <x v="2"/>
  </r>
  <r>
    <s v="Fonterra"/>
    <s v="Grazing"/>
    <s v="East Asia and Southeast Asia"/>
    <n v="0"/>
    <x v="3"/>
    <x v="3"/>
    <x v="2"/>
  </r>
  <r>
    <s v="Fonterra"/>
    <s v="Grazing"/>
    <s v="Eastern Europe"/>
    <n v="0"/>
    <x v="3"/>
    <x v="3"/>
    <x v="2"/>
  </r>
  <r>
    <s v="Fonterra"/>
    <s v="Grazing"/>
    <s v="Latin America and the Caribbean"/>
    <n v="0"/>
    <x v="3"/>
    <x v="3"/>
    <x v="2"/>
  </r>
  <r>
    <s v="Fonterra"/>
    <s v="Grazing"/>
    <s v="Near East and North Africa"/>
    <n v="0"/>
    <x v="3"/>
    <x v="3"/>
    <x v="2"/>
  </r>
  <r>
    <s v="Fonterra"/>
    <s v="Grazing"/>
    <s v="North America"/>
    <n v="0"/>
    <x v="3"/>
    <x v="3"/>
    <x v="2"/>
  </r>
  <r>
    <s v="Fonterra"/>
    <s v="Grazing"/>
    <s v="Oceania"/>
    <n v="13014"/>
    <x v="3"/>
    <x v="3"/>
    <x v="2"/>
  </r>
  <r>
    <s v="Fonterra"/>
    <s v="Grazing"/>
    <s v="RoW"/>
    <n v="0"/>
    <x v="3"/>
    <x v="3"/>
    <x v="2"/>
  </r>
  <r>
    <s v="Fonterra"/>
    <s v="Grazing"/>
    <s v="Russian Federation"/>
    <n v="0"/>
    <x v="3"/>
    <x v="3"/>
    <x v="2"/>
  </r>
  <r>
    <s v="Fonterra"/>
    <s v="Grazing"/>
    <s v="South Asia"/>
    <n v="0"/>
    <x v="3"/>
    <x v="3"/>
    <x v="2"/>
  </r>
  <r>
    <s v="Fonterra"/>
    <s v="Grazing"/>
    <s v="Sub-Saharan Africa"/>
    <n v="0"/>
    <x v="3"/>
    <x v="3"/>
    <x v="2"/>
  </r>
  <r>
    <s v="Fonterra"/>
    <s v="Grazing"/>
    <s v="Western Europe"/>
    <n v="18"/>
    <x v="3"/>
    <x v="3"/>
    <x v="2"/>
  </r>
  <r>
    <s v="Fonterra"/>
    <s v="Croplands"/>
    <s v="East Asia and Southeast Asia"/>
    <n v="10737"/>
    <x v="3"/>
    <x v="3"/>
    <x v="2"/>
  </r>
  <r>
    <s v="Fonterra"/>
    <s v="Croplands"/>
    <s v="Eastern Europe"/>
    <n v="187"/>
    <x v="3"/>
    <x v="3"/>
    <x v="2"/>
  </r>
  <r>
    <s v="Fonterra"/>
    <s v="Croplands"/>
    <s v="Latin America and the Caribbean"/>
    <n v="569"/>
    <x v="3"/>
    <x v="3"/>
    <x v="2"/>
  </r>
  <r>
    <s v="Fonterra"/>
    <s v="Croplands"/>
    <s v="Near East and North Africa"/>
    <n v="6"/>
    <x v="3"/>
    <x v="3"/>
    <x v="2"/>
  </r>
  <r>
    <s v="Fonterra"/>
    <s v="Croplands"/>
    <s v="North America"/>
    <n v="393"/>
    <x v="3"/>
    <x v="3"/>
    <x v="2"/>
  </r>
  <r>
    <s v="Fonterra"/>
    <s v="Croplands"/>
    <s v="Oceania"/>
    <n v="20229"/>
    <x v="3"/>
    <x v="3"/>
    <x v="2"/>
  </r>
  <r>
    <s v="Fonterra"/>
    <s v="Croplands"/>
    <s v="RoW"/>
    <n v="0"/>
    <x v="3"/>
    <x v="3"/>
    <x v="2"/>
  </r>
  <r>
    <s v="Fonterra"/>
    <s v="Croplands"/>
    <s v="Russian Federation"/>
    <n v="2"/>
    <x v="3"/>
    <x v="3"/>
    <x v="2"/>
  </r>
  <r>
    <s v="Fonterra"/>
    <s v="Croplands"/>
    <s v="South Asia"/>
    <n v="155"/>
    <x v="3"/>
    <x v="3"/>
    <x v="2"/>
  </r>
  <r>
    <s v="Fonterra"/>
    <s v="Croplands"/>
    <s v="Sub-Saharan Africa"/>
    <n v="2"/>
    <x v="3"/>
    <x v="3"/>
    <x v="2"/>
  </r>
  <r>
    <s v="Fonterra"/>
    <s v="Croplands"/>
    <s v="Western Europe"/>
    <n v="91"/>
    <x v="3"/>
    <x v="3"/>
    <x v="2"/>
  </r>
  <r>
    <s v="Arla"/>
    <s v="Grazing"/>
    <s v="East Asia and Southeast Asia"/>
    <n v="0"/>
    <x v="3"/>
    <x v="3"/>
    <x v="2"/>
  </r>
  <r>
    <s v="Arla"/>
    <s v="Grazing"/>
    <s v="Eastern Europe"/>
    <n v="0"/>
    <x v="3"/>
    <x v="3"/>
    <x v="2"/>
  </r>
  <r>
    <s v="Arla"/>
    <s v="Grazing"/>
    <s v="Latin America and the Caribbean"/>
    <n v="0"/>
    <x v="3"/>
    <x v="3"/>
    <x v="2"/>
  </r>
  <r>
    <s v="Arla"/>
    <s v="Grazing"/>
    <s v="Near East and North Africa"/>
    <n v="0"/>
    <x v="3"/>
    <x v="3"/>
    <x v="2"/>
  </r>
  <r>
    <s v="Arla"/>
    <s v="Grazing"/>
    <s v="North America"/>
    <n v="2"/>
    <x v="3"/>
    <x v="3"/>
    <x v="2"/>
  </r>
  <r>
    <s v="Arla"/>
    <s v="Grazing"/>
    <s v="Oceania"/>
    <n v="0"/>
    <x v="3"/>
    <x v="3"/>
    <x v="2"/>
  </r>
  <r>
    <s v="Arla"/>
    <s v="Grazing"/>
    <s v="RoW"/>
    <n v="0"/>
    <x v="3"/>
    <x v="3"/>
    <x v="2"/>
  </r>
  <r>
    <s v="Arla"/>
    <s v="Grazing"/>
    <s v="Russian Federation"/>
    <n v="0"/>
    <x v="3"/>
    <x v="3"/>
    <x v="2"/>
  </r>
  <r>
    <s v="Arla"/>
    <s v="Grazing"/>
    <s v="South Asia"/>
    <n v="0"/>
    <x v="3"/>
    <x v="3"/>
    <x v="2"/>
  </r>
  <r>
    <s v="Arla"/>
    <s v="Grazing"/>
    <s v="Sub-Saharan Africa"/>
    <n v="0"/>
    <x v="3"/>
    <x v="3"/>
    <x v="2"/>
  </r>
  <r>
    <s v="Arla"/>
    <s v="Grazing"/>
    <s v="Western Europe"/>
    <n v="72774"/>
    <x v="3"/>
    <x v="3"/>
    <x v="2"/>
  </r>
  <r>
    <s v="Arla"/>
    <s v="Croplands"/>
    <s v="East Asia and Southeast Asia"/>
    <n v="1209"/>
    <x v="3"/>
    <x v="3"/>
    <x v="2"/>
  </r>
  <r>
    <s v="Arla"/>
    <s v="Croplands"/>
    <s v="Eastern Europe"/>
    <n v="6927"/>
    <x v="3"/>
    <x v="3"/>
    <x v="2"/>
  </r>
  <r>
    <s v="Arla"/>
    <s v="Croplands"/>
    <s v="Latin America and the Caribbean"/>
    <n v="1548"/>
    <x v="3"/>
    <x v="3"/>
    <x v="2"/>
  </r>
  <r>
    <s v="Arla"/>
    <s v="Croplands"/>
    <s v="Near East and North Africa"/>
    <n v="94"/>
    <x v="3"/>
    <x v="3"/>
    <x v="2"/>
  </r>
  <r>
    <s v="Arla"/>
    <s v="Croplands"/>
    <s v="North America"/>
    <n v="3801"/>
    <x v="3"/>
    <x v="3"/>
    <x v="2"/>
  </r>
  <r>
    <s v="Arla"/>
    <s v="Croplands"/>
    <s v="Oceania"/>
    <n v="291"/>
    <x v="3"/>
    <x v="3"/>
    <x v="2"/>
  </r>
  <r>
    <s v="Arla"/>
    <s v="Croplands"/>
    <s v="RoW"/>
    <n v="0"/>
    <x v="3"/>
    <x v="3"/>
    <x v="2"/>
  </r>
  <r>
    <s v="Arla"/>
    <s v="Croplands"/>
    <s v="Russian Federation"/>
    <n v="243"/>
    <x v="3"/>
    <x v="3"/>
    <x v="2"/>
  </r>
  <r>
    <s v="Arla"/>
    <s v="Croplands"/>
    <s v="South Asia"/>
    <n v="588"/>
    <x v="3"/>
    <x v="3"/>
    <x v="2"/>
  </r>
  <r>
    <s v="Arla"/>
    <s v="Croplands"/>
    <s v="Sub-Saharan Africa"/>
    <n v="31"/>
    <x v="3"/>
    <x v="3"/>
    <x v="2"/>
  </r>
  <r>
    <s v="Arla"/>
    <s v="Croplands"/>
    <s v="Western Europe"/>
    <n v="61169"/>
    <x v="3"/>
    <x v="3"/>
    <x v="2"/>
  </r>
  <r>
    <s v="Nestlé"/>
    <s v="Grazing"/>
    <s v="East Asia and Southeast Asia"/>
    <n v="0"/>
    <x v="3"/>
    <x v="3"/>
    <x v="2"/>
  </r>
  <r>
    <s v="Nestlé"/>
    <s v="Grazing"/>
    <s v="Eastern Europe"/>
    <n v="0"/>
    <x v="3"/>
    <x v="3"/>
    <x v="2"/>
  </r>
  <r>
    <s v="Nestlé"/>
    <s v="Grazing"/>
    <s v="Latin America and the Caribbean"/>
    <n v="0"/>
    <x v="3"/>
    <x v="3"/>
    <x v="2"/>
  </r>
  <r>
    <s v="Nestlé"/>
    <s v="Grazing"/>
    <s v="Near East and North Africa"/>
    <n v="0"/>
    <x v="3"/>
    <x v="3"/>
    <x v="2"/>
  </r>
  <r>
    <s v="Nestlé"/>
    <s v="Grazing"/>
    <s v="North America"/>
    <n v="2"/>
    <x v="3"/>
    <x v="3"/>
    <x v="2"/>
  </r>
  <r>
    <s v="Nestlé"/>
    <s v="Grazing"/>
    <s v="Oceania"/>
    <n v="0"/>
    <x v="3"/>
    <x v="3"/>
    <x v="2"/>
  </r>
  <r>
    <s v="Nestlé"/>
    <s v="Grazing"/>
    <s v="RoW"/>
    <n v="0"/>
    <x v="3"/>
    <x v="3"/>
    <x v="2"/>
  </r>
  <r>
    <s v="Nestlé"/>
    <s v="Grazing"/>
    <s v="Russian Federation"/>
    <n v="0"/>
    <x v="3"/>
    <x v="3"/>
    <x v="2"/>
  </r>
  <r>
    <s v="Nestlé"/>
    <s v="Grazing"/>
    <s v="South Asia"/>
    <n v="0"/>
    <x v="3"/>
    <x v="3"/>
    <x v="2"/>
  </r>
  <r>
    <s v="Nestlé"/>
    <s v="Grazing"/>
    <s v="Sub-Saharan Africa"/>
    <n v="0"/>
    <x v="3"/>
    <x v="3"/>
    <x v="2"/>
  </r>
  <r>
    <s v="Nestlé"/>
    <s v="Grazing"/>
    <s v="Western Europe"/>
    <n v="72774"/>
    <x v="3"/>
    <x v="3"/>
    <x v="2"/>
  </r>
  <r>
    <s v="Nestlé"/>
    <s v="Croplands"/>
    <s v="East Asia and Southeast Asia"/>
    <n v="1209"/>
    <x v="3"/>
    <x v="3"/>
    <x v="2"/>
  </r>
  <r>
    <s v="Nestlé"/>
    <s v="Croplands"/>
    <s v="Eastern Europe"/>
    <n v="6927"/>
    <x v="3"/>
    <x v="3"/>
    <x v="2"/>
  </r>
  <r>
    <s v="Nestlé"/>
    <s v="Croplands"/>
    <s v="Latin America and the Caribbean"/>
    <n v="1548"/>
    <x v="3"/>
    <x v="3"/>
    <x v="2"/>
  </r>
  <r>
    <s v="Nestlé"/>
    <s v="Croplands"/>
    <s v="Near East and North Africa"/>
    <n v="94"/>
    <x v="3"/>
    <x v="3"/>
    <x v="2"/>
  </r>
  <r>
    <s v="Nestlé"/>
    <s v="Croplands"/>
    <s v="North America"/>
    <n v="3801"/>
    <x v="3"/>
    <x v="3"/>
    <x v="2"/>
  </r>
  <r>
    <s v="Nestlé"/>
    <s v="Croplands"/>
    <s v="Oceania"/>
    <n v="291"/>
    <x v="3"/>
    <x v="3"/>
    <x v="2"/>
  </r>
  <r>
    <s v="Nestlé"/>
    <s v="Croplands"/>
    <s v="RoW"/>
    <n v="0"/>
    <x v="3"/>
    <x v="3"/>
    <x v="2"/>
  </r>
  <r>
    <s v="Nestlé"/>
    <s v="Croplands"/>
    <s v="Russian Federation"/>
    <n v="243"/>
    <x v="3"/>
    <x v="3"/>
    <x v="2"/>
  </r>
  <r>
    <s v="Nestlé"/>
    <s v="Croplands"/>
    <s v="South Asia"/>
    <n v="588"/>
    <x v="3"/>
    <x v="3"/>
    <x v="2"/>
  </r>
  <r>
    <s v="Nestlé"/>
    <s v="Croplands"/>
    <s v="Sub-Saharan Africa"/>
    <n v="31"/>
    <x v="3"/>
    <x v="3"/>
    <x v="2"/>
  </r>
  <r>
    <s v="Nestlé"/>
    <s v="Croplands"/>
    <s v="Western Europe"/>
    <n v="61169"/>
    <x v="3"/>
    <x v="3"/>
    <x v="2"/>
  </r>
  <r>
    <s v="Saputo"/>
    <s v="Grazing"/>
    <s v="East Asia and Southeast Asia"/>
    <n v="0"/>
    <x v="3"/>
    <x v="3"/>
    <x v="2"/>
  </r>
  <r>
    <s v="Saputo"/>
    <s v="Grazing"/>
    <s v="Eastern Europe"/>
    <n v="0"/>
    <x v="3"/>
    <x v="3"/>
    <x v="2"/>
  </r>
  <r>
    <s v="Saputo"/>
    <s v="Grazing"/>
    <s v="Latin America and the Caribbean"/>
    <n v="0"/>
    <x v="3"/>
    <x v="3"/>
    <x v="2"/>
  </r>
  <r>
    <s v="Saputo"/>
    <s v="Grazing"/>
    <s v="Near East and North Africa"/>
    <n v="0"/>
    <x v="3"/>
    <x v="3"/>
    <x v="2"/>
  </r>
  <r>
    <s v="Saputo"/>
    <s v="Grazing"/>
    <s v="North America"/>
    <n v="11006"/>
    <x v="3"/>
    <x v="3"/>
    <x v="2"/>
  </r>
  <r>
    <s v="Saputo"/>
    <s v="Grazing"/>
    <s v="Oceania"/>
    <n v="2"/>
    <x v="3"/>
    <x v="3"/>
    <x v="2"/>
  </r>
  <r>
    <s v="Saputo"/>
    <s v="Grazing"/>
    <s v="RoW"/>
    <n v="0"/>
    <x v="3"/>
    <x v="3"/>
    <x v="2"/>
  </r>
  <r>
    <s v="Saputo"/>
    <s v="Grazing"/>
    <s v="Russian Federation"/>
    <n v="0"/>
    <x v="3"/>
    <x v="3"/>
    <x v="2"/>
  </r>
  <r>
    <s v="Saputo"/>
    <s v="Grazing"/>
    <s v="South Asia"/>
    <n v="0"/>
    <x v="3"/>
    <x v="3"/>
    <x v="2"/>
  </r>
  <r>
    <s v="Saputo"/>
    <s v="Grazing"/>
    <s v="Sub-Saharan Africa"/>
    <n v="0"/>
    <x v="3"/>
    <x v="3"/>
    <x v="2"/>
  </r>
  <r>
    <s v="Saputo"/>
    <s v="Grazing"/>
    <s v="Western Europe"/>
    <n v="6"/>
    <x v="3"/>
    <x v="3"/>
    <x v="2"/>
  </r>
  <r>
    <s v="Saputo"/>
    <s v="Croplands"/>
    <s v="East Asia and Southeast Asia"/>
    <n v="36"/>
    <x v="3"/>
    <x v="3"/>
    <x v="2"/>
  </r>
  <r>
    <s v="Saputo"/>
    <s v="Croplands"/>
    <s v="Eastern Europe"/>
    <n v="35"/>
    <x v="3"/>
    <x v="3"/>
    <x v="2"/>
  </r>
  <r>
    <s v="Saputo"/>
    <s v="Croplands"/>
    <s v="Latin America and the Caribbean"/>
    <n v="94"/>
    <x v="3"/>
    <x v="3"/>
    <x v="2"/>
  </r>
  <r>
    <s v="Saputo"/>
    <s v="Croplands"/>
    <s v="Near East and North Africa"/>
    <n v="8"/>
    <x v="3"/>
    <x v="3"/>
    <x v="2"/>
  </r>
  <r>
    <s v="Saputo"/>
    <s v="Croplands"/>
    <s v="North America"/>
    <n v="74516"/>
    <x v="3"/>
    <x v="3"/>
    <x v="2"/>
  </r>
  <r>
    <s v="Saputo"/>
    <s v="Croplands"/>
    <s v="Oceania"/>
    <n v="8"/>
    <x v="3"/>
    <x v="3"/>
    <x v="2"/>
  </r>
  <r>
    <s v="Saputo"/>
    <s v="Croplands"/>
    <s v="RoW"/>
    <n v="0"/>
    <x v="3"/>
    <x v="3"/>
    <x v="2"/>
  </r>
  <r>
    <s v="Saputo"/>
    <s v="Croplands"/>
    <s v="Russian Federation"/>
    <n v="2"/>
    <x v="3"/>
    <x v="3"/>
    <x v="2"/>
  </r>
  <r>
    <s v="Saputo"/>
    <s v="Croplands"/>
    <s v="South Asia"/>
    <n v="296"/>
    <x v="3"/>
    <x v="3"/>
    <x v="2"/>
  </r>
  <r>
    <s v="Saputo"/>
    <s v="Croplands"/>
    <s v="Sub-Saharan Africa"/>
    <n v="2"/>
    <x v="3"/>
    <x v="3"/>
    <x v="2"/>
  </r>
  <r>
    <s v="Saputo"/>
    <s v="Croplands"/>
    <s v="Western Europe"/>
    <n v="82"/>
    <x v="3"/>
    <x v="3"/>
    <x v="2"/>
  </r>
  <r>
    <s v="FrieslandCampina"/>
    <s v="Grazing"/>
    <s v="East Asia and Southeast Asia"/>
    <n v="0"/>
    <x v="3"/>
    <x v="3"/>
    <x v="2"/>
  </r>
  <r>
    <s v="FrieslandCampina"/>
    <s v="Grazing"/>
    <s v="Eastern Europe"/>
    <n v="0"/>
    <x v="3"/>
    <x v="3"/>
    <x v="2"/>
  </r>
  <r>
    <s v="FrieslandCampina"/>
    <s v="Grazing"/>
    <s v="Latin America and the Caribbean"/>
    <n v="0"/>
    <x v="3"/>
    <x v="3"/>
    <x v="2"/>
  </r>
  <r>
    <s v="FrieslandCampina"/>
    <s v="Grazing"/>
    <s v="Near East and North Africa"/>
    <n v="0"/>
    <x v="3"/>
    <x v="3"/>
    <x v="2"/>
  </r>
  <r>
    <s v="FrieslandCampina"/>
    <s v="Grazing"/>
    <s v="North America"/>
    <n v="1"/>
    <x v="3"/>
    <x v="3"/>
    <x v="2"/>
  </r>
  <r>
    <s v="FrieslandCampina"/>
    <s v="Grazing"/>
    <s v="Oceania"/>
    <n v="0"/>
    <x v="3"/>
    <x v="3"/>
    <x v="2"/>
  </r>
  <r>
    <s v="FrieslandCampina"/>
    <s v="Grazing"/>
    <s v="RoW"/>
    <n v="0"/>
    <x v="3"/>
    <x v="3"/>
    <x v="2"/>
  </r>
  <r>
    <s v="FrieslandCampina"/>
    <s v="Grazing"/>
    <s v="Russian Federation"/>
    <n v="0"/>
    <x v="3"/>
    <x v="3"/>
    <x v="2"/>
  </r>
  <r>
    <s v="FrieslandCampina"/>
    <s v="Grazing"/>
    <s v="South Asia"/>
    <n v="0"/>
    <x v="3"/>
    <x v="3"/>
    <x v="2"/>
  </r>
  <r>
    <s v="FrieslandCampina"/>
    <s v="Grazing"/>
    <s v="Sub-Saharan Africa"/>
    <n v="0"/>
    <x v="3"/>
    <x v="3"/>
    <x v="2"/>
  </r>
  <r>
    <s v="FrieslandCampina"/>
    <s v="Grazing"/>
    <s v="Western Europe"/>
    <n v="57680"/>
    <x v="3"/>
    <x v="3"/>
    <x v="2"/>
  </r>
  <r>
    <s v="FrieslandCampina"/>
    <s v="Croplands"/>
    <s v="East Asia and Southeast Asia"/>
    <n v="958"/>
    <x v="3"/>
    <x v="3"/>
    <x v="2"/>
  </r>
  <r>
    <s v="FrieslandCampina"/>
    <s v="Croplands"/>
    <s v="Eastern Europe"/>
    <n v="5491"/>
    <x v="3"/>
    <x v="3"/>
    <x v="2"/>
  </r>
  <r>
    <s v="FrieslandCampina"/>
    <s v="Croplands"/>
    <s v="Latin America and the Caribbean"/>
    <n v="1227"/>
    <x v="3"/>
    <x v="3"/>
    <x v="2"/>
  </r>
  <r>
    <s v="FrieslandCampina"/>
    <s v="Croplands"/>
    <s v="Near East and North Africa"/>
    <n v="75"/>
    <x v="3"/>
    <x v="3"/>
    <x v="2"/>
  </r>
  <r>
    <s v="FrieslandCampina"/>
    <s v="Croplands"/>
    <s v="North America"/>
    <n v="3013"/>
    <x v="3"/>
    <x v="3"/>
    <x v="2"/>
  </r>
  <r>
    <s v="FrieslandCampina"/>
    <s v="Croplands"/>
    <s v="Oceania"/>
    <n v="231"/>
    <x v="3"/>
    <x v="3"/>
    <x v="2"/>
  </r>
  <r>
    <s v="FrieslandCampina"/>
    <s v="Croplands"/>
    <s v="RoW"/>
    <n v="0"/>
    <x v="3"/>
    <x v="3"/>
    <x v="2"/>
  </r>
  <r>
    <s v="FrieslandCampina"/>
    <s v="Croplands"/>
    <s v="Russian Federation"/>
    <n v="192"/>
    <x v="3"/>
    <x v="3"/>
    <x v="2"/>
  </r>
  <r>
    <s v="FrieslandCampina"/>
    <s v="Croplands"/>
    <s v="South Asia"/>
    <n v="466"/>
    <x v="3"/>
    <x v="3"/>
    <x v="2"/>
  </r>
  <r>
    <s v="FrieslandCampina"/>
    <s v="Croplands"/>
    <s v="Sub-Saharan Africa"/>
    <n v="24"/>
    <x v="3"/>
    <x v="3"/>
    <x v="2"/>
  </r>
  <r>
    <s v="FrieslandCampina"/>
    <s v="Croplands"/>
    <s v="Western Europe"/>
    <n v="48482"/>
    <x v="3"/>
    <x v="3"/>
    <x v="2"/>
  </r>
  <r>
    <s v="Yili "/>
    <s v="Grazing"/>
    <s v="East Asia and Southeast Asia"/>
    <n v="19844"/>
    <x v="3"/>
    <x v="3"/>
    <x v="2"/>
  </r>
  <r>
    <s v="Yili "/>
    <s v="Grazing"/>
    <s v="Eastern Europe"/>
    <n v="4"/>
    <x v="3"/>
    <x v="3"/>
    <x v="2"/>
  </r>
  <r>
    <s v="Yili "/>
    <s v="Grazing"/>
    <s v="Latin America and the Caribbean"/>
    <n v="2"/>
    <x v="3"/>
    <x v="3"/>
    <x v="2"/>
  </r>
  <r>
    <s v="Yili "/>
    <s v="Grazing"/>
    <s v="Near East and North Africa"/>
    <n v="0"/>
    <x v="3"/>
    <x v="3"/>
    <x v="2"/>
  </r>
  <r>
    <s v="Yili "/>
    <s v="Grazing"/>
    <s v="North America"/>
    <n v="0"/>
    <x v="3"/>
    <x v="3"/>
    <x v="2"/>
  </r>
  <r>
    <s v="Yili "/>
    <s v="Grazing"/>
    <s v="Oceania"/>
    <n v="10"/>
    <x v="3"/>
    <x v="3"/>
    <x v="2"/>
  </r>
  <r>
    <s v="Yili "/>
    <s v="Grazing"/>
    <s v="RoW"/>
    <n v="0"/>
    <x v="3"/>
    <x v="3"/>
    <x v="2"/>
  </r>
  <r>
    <s v="Yili "/>
    <s v="Grazing"/>
    <s v="Russian Federation"/>
    <n v="0"/>
    <x v="3"/>
    <x v="3"/>
    <x v="2"/>
  </r>
  <r>
    <s v="Yili "/>
    <s v="Grazing"/>
    <s v="South Asia"/>
    <n v="0"/>
    <x v="3"/>
    <x v="3"/>
    <x v="2"/>
  </r>
  <r>
    <s v="Yili "/>
    <s v="Grazing"/>
    <s v="Sub-Saharan Africa"/>
    <n v="0"/>
    <x v="3"/>
    <x v="3"/>
    <x v="2"/>
  </r>
  <r>
    <s v="Yili "/>
    <s v="Grazing"/>
    <s v="Western Europe"/>
    <n v="66"/>
    <x v="3"/>
    <x v="3"/>
    <x v="2"/>
  </r>
  <r>
    <s v="Yili "/>
    <s v="Croplands"/>
    <s v="East Asia and Southeast Asia"/>
    <n v="107617"/>
    <x v="3"/>
    <x v="3"/>
    <x v="2"/>
  </r>
  <r>
    <s v="Yili "/>
    <s v="Croplands"/>
    <s v="Eastern Europe"/>
    <n v="609"/>
    <x v="3"/>
    <x v="3"/>
    <x v="2"/>
  </r>
  <r>
    <s v="Yili "/>
    <s v="Croplands"/>
    <s v="Latin America and the Caribbean"/>
    <n v="3549"/>
    <x v="3"/>
    <x v="3"/>
    <x v="2"/>
  </r>
  <r>
    <s v="Yili "/>
    <s v="Croplands"/>
    <s v="Near East and North Africa"/>
    <n v="90"/>
    <x v="3"/>
    <x v="3"/>
    <x v="2"/>
  </r>
  <r>
    <s v="Yili "/>
    <s v="Croplands"/>
    <s v="North America"/>
    <n v="16054"/>
    <x v="3"/>
    <x v="3"/>
    <x v="2"/>
  </r>
  <r>
    <s v="Yili "/>
    <s v="Croplands"/>
    <s v="Oceania"/>
    <n v="1239"/>
    <x v="3"/>
    <x v="3"/>
    <x v="2"/>
  </r>
  <r>
    <s v="Yili "/>
    <s v="Croplands"/>
    <s v="RoW"/>
    <n v="0"/>
    <x v="3"/>
    <x v="3"/>
    <x v="2"/>
  </r>
  <r>
    <s v="Yili "/>
    <s v="Croplands"/>
    <s v="Russian Federation"/>
    <n v="76"/>
    <x v="3"/>
    <x v="3"/>
    <x v="2"/>
  </r>
  <r>
    <s v="Yili "/>
    <s v="Croplands"/>
    <s v="South Asia"/>
    <n v="803"/>
    <x v="3"/>
    <x v="3"/>
    <x v="2"/>
  </r>
  <r>
    <s v="Yili "/>
    <s v="Croplands"/>
    <s v="Sub-Saharan Africa"/>
    <n v="163"/>
    <x v="3"/>
    <x v="3"/>
    <x v="2"/>
  </r>
  <r>
    <s v="Yili "/>
    <s v="Croplands"/>
    <s v="Western Europe"/>
    <n v="473"/>
    <x v="3"/>
    <x v="3"/>
    <x v="2"/>
  </r>
  <r>
    <s v="China Mengniu Dairy"/>
    <s v="Grazing"/>
    <s v="East Asia and Southeast Asia"/>
    <n v="19248"/>
    <x v="3"/>
    <x v="3"/>
    <x v="2"/>
  </r>
  <r>
    <s v="China Mengniu Dairy"/>
    <s v="Grazing"/>
    <s v="Eastern Europe"/>
    <n v="4"/>
    <x v="3"/>
    <x v="3"/>
    <x v="2"/>
  </r>
  <r>
    <s v="China Mengniu Dairy"/>
    <s v="Grazing"/>
    <s v="Latin America and the Caribbean"/>
    <n v="1"/>
    <x v="3"/>
    <x v="3"/>
    <x v="2"/>
  </r>
  <r>
    <s v="China Mengniu Dairy"/>
    <s v="Grazing"/>
    <s v="Near East and North Africa"/>
    <n v="0"/>
    <x v="3"/>
    <x v="3"/>
    <x v="2"/>
  </r>
  <r>
    <s v="China Mengniu Dairy"/>
    <s v="Grazing"/>
    <s v="North America"/>
    <n v="0"/>
    <x v="3"/>
    <x v="3"/>
    <x v="2"/>
  </r>
  <r>
    <s v="China Mengniu Dairy"/>
    <s v="Grazing"/>
    <s v="Oceania"/>
    <n v="10"/>
    <x v="3"/>
    <x v="3"/>
    <x v="2"/>
  </r>
  <r>
    <s v="China Mengniu Dairy"/>
    <s v="Grazing"/>
    <s v="RoW"/>
    <n v="0"/>
    <x v="3"/>
    <x v="3"/>
    <x v="2"/>
  </r>
  <r>
    <s v="China Mengniu Dairy"/>
    <s v="Grazing"/>
    <s v="Russian Federation"/>
    <n v="0"/>
    <x v="3"/>
    <x v="3"/>
    <x v="2"/>
  </r>
  <r>
    <s v="China Mengniu Dairy"/>
    <s v="Grazing"/>
    <s v="South Asia"/>
    <n v="0"/>
    <x v="3"/>
    <x v="3"/>
    <x v="2"/>
  </r>
  <r>
    <s v="China Mengniu Dairy"/>
    <s v="Grazing"/>
    <s v="Sub-Saharan Africa"/>
    <n v="0"/>
    <x v="3"/>
    <x v="3"/>
    <x v="2"/>
  </r>
  <r>
    <s v="China Mengniu Dairy"/>
    <s v="Grazing"/>
    <s v="Western Europe"/>
    <n v="64"/>
    <x v="3"/>
    <x v="3"/>
    <x v="2"/>
  </r>
  <r>
    <s v="China Mengniu Dairy"/>
    <s v="Croplands"/>
    <s v="East Asia and Southeast Asia"/>
    <n v="104389"/>
    <x v="3"/>
    <x v="3"/>
    <x v="2"/>
  </r>
  <r>
    <s v="China Mengniu Dairy"/>
    <s v="Croplands"/>
    <s v="Eastern Europe"/>
    <n v="591"/>
    <x v="3"/>
    <x v="3"/>
    <x v="2"/>
  </r>
  <r>
    <s v="China Mengniu Dairy"/>
    <s v="Croplands"/>
    <s v="Latin America and the Caribbean"/>
    <n v="3442"/>
    <x v="3"/>
    <x v="3"/>
    <x v="2"/>
  </r>
  <r>
    <s v="China Mengniu Dairy"/>
    <s v="Croplands"/>
    <s v="Near East and North Africa"/>
    <n v="87"/>
    <x v="3"/>
    <x v="3"/>
    <x v="2"/>
  </r>
  <r>
    <s v="China Mengniu Dairy"/>
    <s v="Croplands"/>
    <s v="North America"/>
    <n v="15572"/>
    <x v="3"/>
    <x v="3"/>
    <x v="2"/>
  </r>
  <r>
    <s v="China Mengniu Dairy"/>
    <s v="Croplands"/>
    <s v="Oceania"/>
    <n v="1202"/>
    <x v="3"/>
    <x v="3"/>
    <x v="2"/>
  </r>
  <r>
    <s v="China Mengniu Dairy"/>
    <s v="Croplands"/>
    <s v="RoW"/>
    <n v="0"/>
    <x v="3"/>
    <x v="3"/>
    <x v="2"/>
  </r>
  <r>
    <s v="China Mengniu Dairy"/>
    <s v="Croplands"/>
    <s v="Russian Federation"/>
    <n v="73"/>
    <x v="3"/>
    <x v="3"/>
    <x v="2"/>
  </r>
  <r>
    <s v="China Mengniu Dairy"/>
    <s v="Croplands"/>
    <s v="South Asia"/>
    <n v="779"/>
    <x v="3"/>
    <x v="3"/>
    <x v="2"/>
  </r>
  <r>
    <s v="China Mengniu Dairy"/>
    <s v="Croplands"/>
    <s v="Sub-Saharan Africa"/>
    <n v="158"/>
    <x v="3"/>
    <x v="3"/>
    <x v="2"/>
  </r>
  <r>
    <s v="China Mengniu Dairy"/>
    <s v="Croplands"/>
    <s v="Western Europe"/>
    <n v="459"/>
    <x v="3"/>
    <x v="3"/>
    <x v="2"/>
  </r>
  <r>
    <s v="Amul"/>
    <s v="Grazing"/>
    <s v="East Asia and Southeast Asia"/>
    <n v="0"/>
    <x v="3"/>
    <x v="3"/>
    <x v="2"/>
  </r>
  <r>
    <s v="Amul"/>
    <s v="Grazing"/>
    <s v="Eastern Europe"/>
    <n v="0"/>
    <x v="3"/>
    <x v="3"/>
    <x v="2"/>
  </r>
  <r>
    <s v="Amul"/>
    <s v="Grazing"/>
    <s v="Latin America and the Caribbean"/>
    <n v="0"/>
    <x v="3"/>
    <x v="3"/>
    <x v="2"/>
  </r>
  <r>
    <s v="Amul"/>
    <s v="Grazing"/>
    <s v="Near East and North Africa"/>
    <n v="3"/>
    <x v="3"/>
    <x v="3"/>
    <x v="2"/>
  </r>
  <r>
    <s v="Amul"/>
    <s v="Grazing"/>
    <s v="North America"/>
    <n v="0"/>
    <x v="3"/>
    <x v="3"/>
    <x v="2"/>
  </r>
  <r>
    <s v="Amul"/>
    <s v="Grazing"/>
    <s v="Oceania"/>
    <n v="1"/>
    <x v="3"/>
    <x v="3"/>
    <x v="2"/>
  </r>
  <r>
    <s v="Amul"/>
    <s v="Grazing"/>
    <s v="RoW"/>
    <n v="0"/>
    <x v="3"/>
    <x v="3"/>
    <x v="2"/>
  </r>
  <r>
    <s v="Amul"/>
    <s v="Grazing"/>
    <s v="Russian Federation"/>
    <n v="0"/>
    <x v="3"/>
    <x v="3"/>
    <x v="2"/>
  </r>
  <r>
    <s v="Amul"/>
    <s v="Grazing"/>
    <s v="South Asia"/>
    <n v="4008"/>
    <x v="3"/>
    <x v="3"/>
    <x v="2"/>
  </r>
  <r>
    <s v="Amul"/>
    <s v="Grazing"/>
    <s v="Sub-Saharan Africa"/>
    <n v="0"/>
    <x v="3"/>
    <x v="3"/>
    <x v="2"/>
  </r>
  <r>
    <s v="Amul"/>
    <s v="Grazing"/>
    <s v="Western Europe"/>
    <n v="9"/>
    <x v="3"/>
    <x v="3"/>
    <x v="2"/>
  </r>
  <r>
    <s v="Amul"/>
    <s v="Croplands"/>
    <s v="East Asia and Southeast Asia"/>
    <n v="215"/>
    <x v="3"/>
    <x v="3"/>
    <x v="2"/>
  </r>
  <r>
    <s v="Amul"/>
    <s v="Croplands"/>
    <s v="Eastern Europe"/>
    <n v="181"/>
    <x v="3"/>
    <x v="3"/>
    <x v="2"/>
  </r>
  <r>
    <s v="Amul"/>
    <s v="Croplands"/>
    <s v="Latin America and the Caribbean"/>
    <n v="672"/>
    <x v="3"/>
    <x v="3"/>
    <x v="2"/>
  </r>
  <r>
    <s v="Amul"/>
    <s v="Croplands"/>
    <s v="Near East and North Africa"/>
    <n v="37"/>
    <x v="3"/>
    <x v="3"/>
    <x v="2"/>
  </r>
  <r>
    <s v="Amul"/>
    <s v="Croplands"/>
    <s v="North America"/>
    <n v="1189"/>
    <x v="3"/>
    <x v="3"/>
    <x v="2"/>
  </r>
  <r>
    <s v="Amul"/>
    <s v="Croplands"/>
    <s v="Oceania"/>
    <n v="17"/>
    <x v="3"/>
    <x v="3"/>
    <x v="2"/>
  </r>
  <r>
    <s v="Amul"/>
    <s v="Croplands"/>
    <s v="RoW"/>
    <n v="0"/>
    <x v="3"/>
    <x v="3"/>
    <x v="2"/>
  </r>
  <r>
    <s v="Amul"/>
    <s v="Croplands"/>
    <s v="Russian Federation"/>
    <n v="25"/>
    <x v="3"/>
    <x v="3"/>
    <x v="2"/>
  </r>
  <r>
    <s v="Amul"/>
    <s v="Croplands"/>
    <s v="South Asia"/>
    <n v="61898"/>
    <x v="3"/>
    <x v="3"/>
    <x v="2"/>
  </r>
  <r>
    <s v="Amul"/>
    <s v="Croplands"/>
    <s v="Sub-Saharan Africa"/>
    <n v="33"/>
    <x v="3"/>
    <x v="3"/>
    <x v="2"/>
  </r>
  <r>
    <s v="Amul"/>
    <s v="Croplands"/>
    <s v="Western Europe"/>
    <n v="248"/>
    <x v="3"/>
    <x v="3"/>
    <x v="2"/>
  </r>
  <r>
    <s v="Glanbia"/>
    <s v="Grazing"/>
    <s v="East Asia and Southeast Asia"/>
    <n v="0"/>
    <x v="3"/>
    <x v="3"/>
    <x v="2"/>
  </r>
  <r>
    <s v="Glanbia"/>
    <s v="Grazing"/>
    <s v="Eastern Europe"/>
    <n v="0"/>
    <x v="3"/>
    <x v="3"/>
    <x v="2"/>
  </r>
  <r>
    <s v="Glanbia"/>
    <s v="Grazing"/>
    <s v="Latin America and the Caribbean"/>
    <n v="0"/>
    <x v="3"/>
    <x v="3"/>
    <x v="2"/>
  </r>
  <r>
    <s v="Glanbia"/>
    <s v="Grazing"/>
    <s v="Near East and North Africa"/>
    <n v="0"/>
    <x v="3"/>
    <x v="3"/>
    <x v="2"/>
  </r>
  <r>
    <s v="Glanbia"/>
    <s v="Grazing"/>
    <s v="North America"/>
    <n v="9005"/>
    <x v="3"/>
    <x v="3"/>
    <x v="2"/>
  </r>
  <r>
    <s v="Glanbia"/>
    <s v="Grazing"/>
    <s v="Oceania"/>
    <n v="1"/>
    <x v="3"/>
    <x v="3"/>
    <x v="2"/>
  </r>
  <r>
    <s v="Glanbia"/>
    <s v="Grazing"/>
    <s v="RoW"/>
    <n v="0"/>
    <x v="3"/>
    <x v="3"/>
    <x v="2"/>
  </r>
  <r>
    <s v="Glanbia"/>
    <s v="Grazing"/>
    <s v="Russian Federation"/>
    <n v="0"/>
    <x v="3"/>
    <x v="3"/>
    <x v="2"/>
  </r>
  <r>
    <s v="Glanbia"/>
    <s v="Grazing"/>
    <s v="South Asia"/>
    <n v="0"/>
    <x v="3"/>
    <x v="3"/>
    <x v="2"/>
  </r>
  <r>
    <s v="Glanbia"/>
    <s v="Grazing"/>
    <s v="Sub-Saharan Africa"/>
    <n v="0"/>
    <x v="3"/>
    <x v="3"/>
    <x v="2"/>
  </r>
  <r>
    <s v="Glanbia"/>
    <s v="Grazing"/>
    <s v="Western Europe"/>
    <n v="5"/>
    <x v="3"/>
    <x v="3"/>
    <x v="2"/>
  </r>
  <r>
    <s v="Glanbia"/>
    <s v="Croplands"/>
    <s v="East Asia and Southeast Asia"/>
    <n v="29"/>
    <x v="3"/>
    <x v="3"/>
    <x v="2"/>
  </r>
  <r>
    <s v="Glanbia"/>
    <s v="Croplands"/>
    <s v="Eastern Europe"/>
    <n v="29"/>
    <x v="3"/>
    <x v="3"/>
    <x v="2"/>
  </r>
  <r>
    <s v="Glanbia"/>
    <s v="Croplands"/>
    <s v="Latin America and the Caribbean"/>
    <n v="77"/>
    <x v="3"/>
    <x v="3"/>
    <x v="2"/>
  </r>
  <r>
    <s v="Glanbia"/>
    <s v="Croplands"/>
    <s v="Near East and North Africa"/>
    <n v="6"/>
    <x v="3"/>
    <x v="3"/>
    <x v="2"/>
  </r>
  <r>
    <s v="Glanbia"/>
    <s v="Croplands"/>
    <s v="North America"/>
    <n v="60968"/>
    <x v="3"/>
    <x v="3"/>
    <x v="2"/>
  </r>
  <r>
    <s v="Glanbia"/>
    <s v="Croplands"/>
    <s v="Oceania"/>
    <n v="7"/>
    <x v="3"/>
    <x v="3"/>
    <x v="2"/>
  </r>
  <r>
    <s v="Glanbia"/>
    <s v="Croplands"/>
    <s v="RoW"/>
    <n v="0"/>
    <x v="3"/>
    <x v="3"/>
    <x v="2"/>
  </r>
  <r>
    <s v="Glanbia"/>
    <s v="Croplands"/>
    <s v="Russian Federation"/>
    <n v="2"/>
    <x v="3"/>
    <x v="3"/>
    <x v="2"/>
  </r>
  <r>
    <s v="Glanbia"/>
    <s v="Croplands"/>
    <s v="South Asia"/>
    <n v="243"/>
    <x v="3"/>
    <x v="3"/>
    <x v="2"/>
  </r>
  <r>
    <s v="Glanbia"/>
    <s v="Croplands"/>
    <s v="Sub-Saharan Africa"/>
    <n v="2"/>
    <x v="3"/>
    <x v="3"/>
    <x v="2"/>
  </r>
  <r>
    <s v="Glanbia"/>
    <s v="Croplands"/>
    <s v="Western Europe"/>
    <n v="67"/>
    <x v="3"/>
    <x v="3"/>
    <x v="2"/>
  </r>
  <r>
    <s v="California Diaries"/>
    <s v="Grazing"/>
    <s v="East Asia and Southeast Asia"/>
    <n v="0"/>
    <x v="3"/>
    <x v="3"/>
    <x v="2"/>
  </r>
  <r>
    <s v="California Diaries"/>
    <s v="Grazing"/>
    <s v="Eastern Europe"/>
    <n v="0"/>
    <x v="3"/>
    <x v="3"/>
    <x v="2"/>
  </r>
  <r>
    <s v="California Diaries"/>
    <s v="Grazing"/>
    <s v="Latin America and the Caribbean"/>
    <n v="0"/>
    <x v="3"/>
    <x v="3"/>
    <x v="2"/>
  </r>
  <r>
    <s v="California Diaries"/>
    <s v="Grazing"/>
    <s v="Near East and North Africa"/>
    <n v="0"/>
    <x v="3"/>
    <x v="3"/>
    <x v="2"/>
  </r>
  <r>
    <s v="California Diaries"/>
    <s v="Grazing"/>
    <s v="North America"/>
    <n v="7704"/>
    <x v="3"/>
    <x v="3"/>
    <x v="2"/>
  </r>
  <r>
    <s v="California Diaries"/>
    <s v="Grazing"/>
    <s v="Oceania"/>
    <n v="1"/>
    <x v="3"/>
    <x v="3"/>
    <x v="2"/>
  </r>
  <r>
    <s v="California Diaries"/>
    <s v="Grazing"/>
    <s v="RoW"/>
    <n v="0"/>
    <x v="3"/>
    <x v="3"/>
    <x v="2"/>
  </r>
  <r>
    <s v="California Diaries"/>
    <s v="Grazing"/>
    <s v="Russian Federation"/>
    <n v="0"/>
    <x v="3"/>
    <x v="3"/>
    <x v="2"/>
  </r>
  <r>
    <s v="California Diaries"/>
    <s v="Grazing"/>
    <s v="South Asia"/>
    <n v="0"/>
    <x v="3"/>
    <x v="3"/>
    <x v="2"/>
  </r>
  <r>
    <s v="California Diaries"/>
    <s v="Grazing"/>
    <s v="Sub-Saharan Africa"/>
    <n v="0"/>
    <x v="3"/>
    <x v="3"/>
    <x v="2"/>
  </r>
  <r>
    <s v="California Diaries"/>
    <s v="Grazing"/>
    <s v="Western Europe"/>
    <n v="4"/>
    <x v="3"/>
    <x v="3"/>
    <x v="2"/>
  </r>
  <r>
    <s v="California Diaries"/>
    <s v="Croplands"/>
    <s v="East Asia and Southeast Asia"/>
    <n v="25"/>
    <x v="3"/>
    <x v="3"/>
    <x v="2"/>
  </r>
  <r>
    <s v="California Diaries"/>
    <s v="Croplands"/>
    <s v="Eastern Europe"/>
    <n v="25"/>
    <x v="3"/>
    <x v="3"/>
    <x v="2"/>
  </r>
  <r>
    <s v="California Diaries"/>
    <s v="Croplands"/>
    <s v="Latin America and the Caribbean"/>
    <n v="66"/>
    <x v="3"/>
    <x v="3"/>
    <x v="2"/>
  </r>
  <r>
    <s v="California Diaries"/>
    <s v="Croplands"/>
    <s v="Near East and North Africa"/>
    <n v="6"/>
    <x v="3"/>
    <x v="3"/>
    <x v="2"/>
  </r>
  <r>
    <s v="California Diaries"/>
    <s v="Croplands"/>
    <s v="North America"/>
    <n v="52161"/>
    <x v="3"/>
    <x v="3"/>
    <x v="2"/>
  </r>
  <r>
    <s v="California Diaries"/>
    <s v="Croplands"/>
    <s v="Oceania"/>
    <n v="6"/>
    <x v="3"/>
    <x v="3"/>
    <x v="2"/>
  </r>
  <r>
    <s v="California Diaries"/>
    <s v="Croplands"/>
    <s v="RoW"/>
    <n v="0"/>
    <x v="3"/>
    <x v="3"/>
    <x v="2"/>
  </r>
  <r>
    <s v="California Diaries"/>
    <s v="Croplands"/>
    <s v="Russian Federation"/>
    <n v="1"/>
    <x v="3"/>
    <x v="3"/>
    <x v="2"/>
  </r>
  <r>
    <s v="California Diaries"/>
    <s v="Croplands"/>
    <s v="South Asia"/>
    <n v="208"/>
    <x v="3"/>
    <x v="3"/>
    <x v="2"/>
  </r>
  <r>
    <s v="California Diaries"/>
    <s v="Croplands"/>
    <s v="Sub-Saharan Africa"/>
    <n v="2"/>
    <x v="3"/>
    <x v="3"/>
    <x v="2"/>
  </r>
  <r>
    <s v="California Diaries"/>
    <s v="Croplands"/>
    <s v="Western Europe"/>
    <n v="57"/>
    <x v="3"/>
    <x v="3"/>
    <x v="2"/>
  </r>
  <r>
    <s v="Müller"/>
    <s v="Grazing"/>
    <s v="East Asia and Southeast Asia"/>
    <n v="0"/>
    <x v="3"/>
    <x v="3"/>
    <x v="2"/>
  </r>
  <r>
    <s v="Müller"/>
    <s v="Grazing"/>
    <s v="Eastern Europe"/>
    <n v="0"/>
    <x v="3"/>
    <x v="3"/>
    <x v="2"/>
  </r>
  <r>
    <s v="Müller"/>
    <s v="Grazing"/>
    <s v="Latin America and the Caribbean"/>
    <n v="0"/>
    <x v="3"/>
    <x v="3"/>
    <x v="2"/>
  </r>
  <r>
    <s v="Müller"/>
    <s v="Grazing"/>
    <s v="Near East and North Africa"/>
    <n v="0"/>
    <x v="3"/>
    <x v="3"/>
    <x v="2"/>
  </r>
  <r>
    <s v="Müller"/>
    <s v="Grazing"/>
    <s v="North America"/>
    <n v="0"/>
    <x v="3"/>
    <x v="3"/>
    <x v="2"/>
  </r>
  <r>
    <s v="Müller"/>
    <s v="Grazing"/>
    <s v="Oceania"/>
    <n v="0"/>
    <x v="3"/>
    <x v="3"/>
    <x v="2"/>
  </r>
  <r>
    <s v="Müller"/>
    <s v="Grazing"/>
    <s v="RoW"/>
    <n v="0"/>
    <x v="3"/>
    <x v="3"/>
    <x v="2"/>
  </r>
  <r>
    <s v="Müller"/>
    <s v="Grazing"/>
    <s v="Russian Federation"/>
    <n v="0"/>
    <x v="3"/>
    <x v="3"/>
    <x v="2"/>
  </r>
  <r>
    <s v="Müller"/>
    <s v="Grazing"/>
    <s v="South Asia"/>
    <n v="0"/>
    <x v="3"/>
    <x v="3"/>
    <x v="2"/>
  </r>
  <r>
    <s v="Müller"/>
    <s v="Grazing"/>
    <s v="Sub-Saharan Africa"/>
    <n v="0"/>
    <x v="3"/>
    <x v="3"/>
    <x v="2"/>
  </r>
  <r>
    <s v="Müller"/>
    <s v="Grazing"/>
    <s v="Western Europe"/>
    <n v="36117"/>
    <x v="3"/>
    <x v="3"/>
    <x v="2"/>
  </r>
  <r>
    <s v="Müller"/>
    <s v="Croplands"/>
    <s v="East Asia and Southeast Asia"/>
    <n v="600"/>
    <x v="3"/>
    <x v="3"/>
    <x v="2"/>
  </r>
  <r>
    <s v="Müller"/>
    <s v="Croplands"/>
    <s v="Eastern Europe"/>
    <n v="3438"/>
    <x v="3"/>
    <x v="3"/>
    <x v="2"/>
  </r>
  <r>
    <s v="Müller"/>
    <s v="Croplands"/>
    <s v="Latin America and the Caribbean"/>
    <n v="768"/>
    <x v="3"/>
    <x v="3"/>
    <x v="2"/>
  </r>
  <r>
    <s v="Müller"/>
    <s v="Croplands"/>
    <s v="Near East and North Africa"/>
    <n v="47"/>
    <x v="3"/>
    <x v="3"/>
    <x v="2"/>
  </r>
  <r>
    <s v="Müller"/>
    <s v="Croplands"/>
    <s v="North America"/>
    <n v="1887"/>
    <x v="3"/>
    <x v="3"/>
    <x v="2"/>
  </r>
  <r>
    <s v="Müller"/>
    <s v="Croplands"/>
    <s v="Oceania"/>
    <n v="145"/>
    <x v="3"/>
    <x v="3"/>
    <x v="2"/>
  </r>
  <r>
    <s v="Müller"/>
    <s v="Croplands"/>
    <s v="RoW"/>
    <n v="0"/>
    <x v="3"/>
    <x v="3"/>
    <x v="2"/>
  </r>
  <r>
    <s v="Müller"/>
    <s v="Croplands"/>
    <s v="Russian Federation"/>
    <n v="120"/>
    <x v="3"/>
    <x v="3"/>
    <x v="2"/>
  </r>
  <r>
    <s v="Müller"/>
    <s v="Croplands"/>
    <s v="South Asia"/>
    <n v="292"/>
    <x v="3"/>
    <x v="3"/>
    <x v="2"/>
  </r>
  <r>
    <s v="Müller"/>
    <s v="Croplands"/>
    <s v="Sub-Saharan Africa"/>
    <n v="15"/>
    <x v="3"/>
    <x v="3"/>
    <x v="2"/>
  </r>
  <r>
    <s v="Müller"/>
    <s v="Croplands"/>
    <s v="Western Europe"/>
    <n v="30358"/>
    <x v="3"/>
    <x v="3"/>
    <x v="2"/>
  </r>
  <r>
    <s v="Danone-IFCN"/>
    <s v="Grazing"/>
    <s v="East Asia and Southeast Asia"/>
    <n v="0"/>
    <x v="3"/>
    <x v="3"/>
    <x v="2"/>
  </r>
  <r>
    <s v="Danone-IFCN"/>
    <s v="Grazing"/>
    <s v="Eastern Europe"/>
    <n v="796"/>
    <x v="3"/>
    <x v="3"/>
    <x v="2"/>
  </r>
  <r>
    <s v="Danone-IFCN"/>
    <s v="Grazing"/>
    <s v="Latin America and the Caribbean"/>
    <n v="243"/>
    <x v="3"/>
    <x v="3"/>
    <x v="2"/>
  </r>
  <r>
    <s v="Danone-IFCN"/>
    <s v="Grazing"/>
    <s v="Near East and North Africa"/>
    <n v="2356"/>
    <x v="3"/>
    <x v="3"/>
    <x v="2"/>
  </r>
  <r>
    <s v="Danone-IFCN"/>
    <s v="Grazing"/>
    <s v="North America"/>
    <n v="1938"/>
    <x v="3"/>
    <x v="3"/>
    <x v="2"/>
  </r>
  <r>
    <s v="Danone-IFCN"/>
    <s v="Grazing"/>
    <s v="Oceania"/>
    <n v="0"/>
    <x v="3"/>
    <x v="3"/>
    <x v="2"/>
  </r>
  <r>
    <s v="Danone-IFCN"/>
    <s v="Grazing"/>
    <s v="RoW"/>
    <n v="0"/>
    <x v="3"/>
    <x v="3"/>
    <x v="2"/>
  </r>
  <r>
    <s v="Danone-IFCN"/>
    <s v="Grazing"/>
    <s v="Russian Federation"/>
    <n v="112"/>
    <x v="3"/>
    <x v="3"/>
    <x v="2"/>
  </r>
  <r>
    <s v="Danone-IFCN"/>
    <s v="Grazing"/>
    <s v="South Asia"/>
    <n v="0"/>
    <x v="3"/>
    <x v="3"/>
    <x v="2"/>
  </r>
  <r>
    <s v="Danone-IFCN"/>
    <s v="Grazing"/>
    <s v="Sub-Saharan Africa"/>
    <n v="228"/>
    <x v="3"/>
    <x v="3"/>
    <x v="2"/>
  </r>
  <r>
    <s v="Danone-IFCN"/>
    <s v="Grazing"/>
    <s v="Western Europe"/>
    <n v="5771"/>
    <x v="3"/>
    <x v="3"/>
    <x v="2"/>
  </r>
  <r>
    <s v="Danone-IFCN"/>
    <s v="Croplands"/>
    <s v="East Asia and Southeast Asia"/>
    <n v="188"/>
    <x v="3"/>
    <x v="3"/>
    <x v="2"/>
  </r>
  <r>
    <s v="Danone-IFCN"/>
    <s v="Croplands"/>
    <s v="Eastern Europe"/>
    <n v="6596"/>
    <x v="3"/>
    <x v="3"/>
    <x v="2"/>
  </r>
  <r>
    <s v="Danone-IFCN"/>
    <s v="Croplands"/>
    <s v="Latin America and the Caribbean"/>
    <n v="2270"/>
    <x v="3"/>
    <x v="3"/>
    <x v="2"/>
  </r>
  <r>
    <s v="Danone-IFCN"/>
    <s v="Croplands"/>
    <s v="Near East and North Africa"/>
    <n v="3267"/>
    <x v="3"/>
    <x v="3"/>
    <x v="2"/>
  </r>
  <r>
    <s v="Danone-IFCN"/>
    <s v="Croplands"/>
    <s v="North America"/>
    <n v="14328"/>
    <x v="3"/>
    <x v="3"/>
    <x v="2"/>
  </r>
  <r>
    <s v="Danone-IFCN"/>
    <s v="Croplands"/>
    <s v="Oceania"/>
    <n v="42"/>
    <x v="3"/>
    <x v="3"/>
    <x v="2"/>
  </r>
  <r>
    <s v="Danone-IFCN"/>
    <s v="Croplands"/>
    <s v="RoW"/>
    <n v="0"/>
    <x v="3"/>
    <x v="3"/>
    <x v="2"/>
  </r>
  <r>
    <s v="Danone-IFCN"/>
    <s v="Croplands"/>
    <s v="Russian Federation"/>
    <n v="2790"/>
    <x v="3"/>
    <x v="3"/>
    <x v="2"/>
  </r>
  <r>
    <s v="Danone-IFCN"/>
    <s v="Croplands"/>
    <s v="South Asia"/>
    <n v="162"/>
    <x v="3"/>
    <x v="3"/>
    <x v="2"/>
  </r>
  <r>
    <s v="Danone-IFCN"/>
    <s v="Croplands"/>
    <s v="Sub-Saharan Africa"/>
    <n v="267"/>
    <x v="3"/>
    <x v="3"/>
    <x v="2"/>
  </r>
  <r>
    <s v="Danone-IFCN"/>
    <s v="Croplands"/>
    <s v="Western Europe"/>
    <n v="5155"/>
    <x v="3"/>
    <x v="3"/>
    <x v="2"/>
  </r>
  <r>
    <s v="Agropur"/>
    <s v="Grazing"/>
    <s v="East Asia and Southeast Asia"/>
    <n v="0"/>
    <x v="3"/>
    <x v="3"/>
    <x v="2"/>
  </r>
  <r>
    <s v="Agropur"/>
    <s v="Grazing"/>
    <s v="Eastern Europe"/>
    <n v="0"/>
    <x v="3"/>
    <x v="3"/>
    <x v="2"/>
  </r>
  <r>
    <s v="Agropur"/>
    <s v="Grazing"/>
    <s v="Latin America and the Caribbean"/>
    <n v="0"/>
    <x v="3"/>
    <x v="3"/>
    <x v="2"/>
  </r>
  <r>
    <s v="Agropur"/>
    <s v="Grazing"/>
    <s v="Near East and North Africa"/>
    <n v="0"/>
    <x v="3"/>
    <x v="3"/>
    <x v="2"/>
  </r>
  <r>
    <s v="Agropur"/>
    <s v="Grazing"/>
    <s v="North America"/>
    <n v="6703"/>
    <x v="3"/>
    <x v="3"/>
    <x v="2"/>
  </r>
  <r>
    <s v="Agropur"/>
    <s v="Grazing"/>
    <s v="Oceania"/>
    <n v="0"/>
    <x v="3"/>
    <x v="3"/>
    <x v="2"/>
  </r>
  <r>
    <s v="Agropur"/>
    <s v="Grazing"/>
    <s v="RoW"/>
    <n v="0"/>
    <x v="3"/>
    <x v="3"/>
    <x v="2"/>
  </r>
  <r>
    <s v="Agropur"/>
    <s v="Grazing"/>
    <s v="Russian Federation"/>
    <n v="0"/>
    <x v="3"/>
    <x v="3"/>
    <x v="2"/>
  </r>
  <r>
    <s v="Agropur"/>
    <s v="Grazing"/>
    <s v="South Asia"/>
    <n v="0"/>
    <x v="3"/>
    <x v="3"/>
    <x v="2"/>
  </r>
  <r>
    <s v="Agropur"/>
    <s v="Grazing"/>
    <s v="Sub-Saharan Africa"/>
    <n v="0"/>
    <x v="3"/>
    <x v="3"/>
    <x v="2"/>
  </r>
  <r>
    <s v="Agropur"/>
    <s v="Grazing"/>
    <s v="Western Europe"/>
    <n v="4"/>
    <x v="3"/>
    <x v="3"/>
    <x v="2"/>
  </r>
  <r>
    <s v="Agropur"/>
    <s v="Croplands"/>
    <s v="East Asia and Southeast Asia"/>
    <n v="22"/>
    <x v="3"/>
    <x v="3"/>
    <x v="2"/>
  </r>
  <r>
    <s v="Agropur"/>
    <s v="Croplands"/>
    <s v="Eastern Europe"/>
    <n v="22"/>
    <x v="3"/>
    <x v="3"/>
    <x v="2"/>
  </r>
  <r>
    <s v="Agropur"/>
    <s v="Croplands"/>
    <s v="Latin America and the Caribbean"/>
    <n v="57"/>
    <x v="3"/>
    <x v="3"/>
    <x v="2"/>
  </r>
  <r>
    <s v="Agropur"/>
    <s v="Croplands"/>
    <s v="Near East and North Africa"/>
    <n v="5"/>
    <x v="3"/>
    <x v="3"/>
    <x v="2"/>
  </r>
  <r>
    <s v="Agropur"/>
    <s v="Croplands"/>
    <s v="North America"/>
    <n v="45387"/>
    <x v="3"/>
    <x v="3"/>
    <x v="2"/>
  </r>
  <r>
    <s v="Agropur"/>
    <s v="Croplands"/>
    <s v="Oceania"/>
    <n v="5"/>
    <x v="3"/>
    <x v="3"/>
    <x v="2"/>
  </r>
  <r>
    <s v="Agropur"/>
    <s v="Croplands"/>
    <s v="RoW"/>
    <n v="0"/>
    <x v="3"/>
    <x v="3"/>
    <x v="2"/>
  </r>
  <r>
    <s v="Agropur"/>
    <s v="Croplands"/>
    <s v="Russian Federation"/>
    <n v="1"/>
    <x v="3"/>
    <x v="3"/>
    <x v="2"/>
  </r>
  <r>
    <s v="Agropur"/>
    <s v="Croplands"/>
    <s v="South Asia"/>
    <n v="181"/>
    <x v="3"/>
    <x v="3"/>
    <x v="2"/>
  </r>
  <r>
    <s v="Agropur"/>
    <s v="Croplands"/>
    <s v="Sub-Saharan Africa"/>
    <n v="1"/>
    <x v="3"/>
    <x v="3"/>
    <x v="2"/>
  </r>
  <r>
    <s v="Agropur"/>
    <s v="Croplands"/>
    <s v="Western Europe"/>
    <n v="50"/>
    <x v="3"/>
    <x v="3"/>
    <x v="2"/>
  </r>
  <r>
    <s v="DMK"/>
    <s v="Grazing"/>
    <s v="East Asia and Southeast Asia"/>
    <n v="0"/>
    <x v="3"/>
    <x v="3"/>
    <x v="2"/>
  </r>
  <r>
    <s v="DMK"/>
    <s v="Grazing"/>
    <s v="Eastern Europe"/>
    <n v="0"/>
    <x v="3"/>
    <x v="3"/>
    <x v="2"/>
  </r>
  <r>
    <s v="DMK"/>
    <s v="Grazing"/>
    <s v="Latin America and the Caribbean"/>
    <n v="0"/>
    <x v="3"/>
    <x v="3"/>
    <x v="2"/>
  </r>
  <r>
    <s v="DMK"/>
    <s v="Grazing"/>
    <s v="Near East and North Africa"/>
    <n v="0"/>
    <x v="3"/>
    <x v="3"/>
    <x v="2"/>
  </r>
  <r>
    <s v="DMK"/>
    <s v="Grazing"/>
    <s v="North America"/>
    <n v="0"/>
    <x v="3"/>
    <x v="3"/>
    <x v="2"/>
  </r>
  <r>
    <s v="DMK"/>
    <s v="Grazing"/>
    <s v="Oceania"/>
    <n v="0"/>
    <x v="3"/>
    <x v="3"/>
    <x v="2"/>
  </r>
  <r>
    <s v="DMK"/>
    <s v="Grazing"/>
    <s v="RoW"/>
    <n v="0"/>
    <x v="3"/>
    <x v="3"/>
    <x v="2"/>
  </r>
  <r>
    <s v="DMK"/>
    <s v="Grazing"/>
    <s v="Russian Federation"/>
    <n v="0"/>
    <x v="3"/>
    <x v="3"/>
    <x v="2"/>
  </r>
  <r>
    <s v="DMK"/>
    <s v="Grazing"/>
    <s v="South Asia"/>
    <n v="0"/>
    <x v="3"/>
    <x v="3"/>
    <x v="2"/>
  </r>
  <r>
    <s v="DMK"/>
    <s v="Grazing"/>
    <s v="Sub-Saharan Africa"/>
    <n v="0"/>
    <x v="3"/>
    <x v="3"/>
    <x v="2"/>
  </r>
  <r>
    <s v="DMK"/>
    <s v="Grazing"/>
    <s v="Western Europe"/>
    <n v="29648"/>
    <x v="3"/>
    <x v="3"/>
    <x v="2"/>
  </r>
  <r>
    <s v="DMK"/>
    <s v="Croplands"/>
    <s v="East Asia and Southeast Asia"/>
    <n v="492"/>
    <x v="3"/>
    <x v="3"/>
    <x v="2"/>
  </r>
  <r>
    <s v="DMK"/>
    <s v="Croplands"/>
    <s v="Eastern Europe"/>
    <n v="2822"/>
    <x v="3"/>
    <x v="3"/>
    <x v="2"/>
  </r>
  <r>
    <s v="DMK"/>
    <s v="Croplands"/>
    <s v="Latin America and the Caribbean"/>
    <n v="631"/>
    <x v="3"/>
    <x v="3"/>
    <x v="2"/>
  </r>
  <r>
    <s v="DMK"/>
    <s v="Croplands"/>
    <s v="Near East and North Africa"/>
    <n v="38"/>
    <x v="3"/>
    <x v="3"/>
    <x v="2"/>
  </r>
  <r>
    <s v="DMK"/>
    <s v="Croplands"/>
    <s v="North America"/>
    <n v="1549"/>
    <x v="3"/>
    <x v="3"/>
    <x v="2"/>
  </r>
  <r>
    <s v="DMK"/>
    <s v="Croplands"/>
    <s v="Oceania"/>
    <n v="119"/>
    <x v="3"/>
    <x v="3"/>
    <x v="2"/>
  </r>
  <r>
    <s v="DMK"/>
    <s v="Croplands"/>
    <s v="RoW"/>
    <n v="0"/>
    <x v="3"/>
    <x v="3"/>
    <x v="2"/>
  </r>
  <r>
    <s v="DMK"/>
    <s v="Croplands"/>
    <s v="Russian Federation"/>
    <n v="99"/>
    <x v="3"/>
    <x v="3"/>
    <x v="2"/>
  </r>
  <r>
    <s v="DMK"/>
    <s v="Croplands"/>
    <s v="South Asia"/>
    <n v="240"/>
    <x v="3"/>
    <x v="3"/>
    <x v="2"/>
  </r>
  <r>
    <s v="DMK"/>
    <s v="Croplands"/>
    <s v="Sub-Saharan Africa"/>
    <n v="13"/>
    <x v="3"/>
    <x v="3"/>
    <x v="2"/>
  </r>
  <r>
    <s v="DMK"/>
    <s v="Croplands"/>
    <s v="Western Europe"/>
    <n v="24921"/>
    <x v="3"/>
    <x v="3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70313745.991088897"/>
    <x v="0"/>
    <x v="0"/>
  </r>
  <r>
    <n v="31077290440.3353"/>
    <x v="0"/>
    <x v="1"/>
  </r>
  <r>
    <n v="374245087829.995"/>
    <x v="0"/>
    <x v="2"/>
  </r>
  <r>
    <n v="3342607813.1602802"/>
    <x v="0"/>
    <x v="3"/>
  </r>
  <r>
    <n v="1282069032.7405801"/>
    <x v="1"/>
    <x v="0"/>
  </r>
  <r>
    <n v="73341993650.354004"/>
    <x v="1"/>
    <x v="1"/>
  </r>
  <r>
    <n v="1423160312954.8101"/>
    <x v="1"/>
    <x v="2"/>
  </r>
  <r>
    <n v="5856923208.0876303"/>
    <x v="1"/>
    <x v="3"/>
  </r>
  <r>
    <n v="143153806.63444999"/>
    <x v="2"/>
    <x v="0"/>
  </r>
  <r>
    <n v="51212133589.946899"/>
    <x v="2"/>
    <x v="1"/>
  </r>
  <r>
    <n v="737855273310.74304"/>
    <x v="2"/>
    <x v="2"/>
  </r>
  <r>
    <n v="8767834403.2231693"/>
    <x v="2"/>
    <x v="3"/>
  </r>
  <r>
    <n v="463991162.53348702"/>
    <x v="3"/>
    <x v="0"/>
  </r>
  <r>
    <n v="51749013717.975403"/>
    <x v="3"/>
    <x v="1"/>
  </r>
  <r>
    <n v="840436963839.78699"/>
    <x v="3"/>
    <x v="2"/>
  </r>
  <r>
    <n v="5872893955.7172098"/>
    <x v="3"/>
    <x v="3"/>
  </r>
  <r>
    <m/>
    <x v="4"/>
    <x v="4"/>
  </r>
  <r>
    <m/>
    <x v="4"/>
    <x v="4"/>
  </r>
  <r>
    <m/>
    <x v="4"/>
    <x v="4"/>
  </r>
  <r>
    <m/>
    <x v="4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EB22E2-2F53-4E6C-9453-C937FFA318AE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24" firstHeaderRow="1" firstDataRow="1" firstDataCol="1"/>
  <pivotFields count="3">
    <pivotField dataField="1" numFmtId="164" showAll="0"/>
    <pivotField axis="axisRow" showAll="0">
      <items count="6">
        <item x="1"/>
        <item x="3"/>
        <item x="2"/>
        <item x="0"/>
        <item x="4"/>
        <item t="default"/>
      </items>
    </pivotField>
    <pivotField axis="axisRow" showAll="0">
      <items count="7">
        <item x="1"/>
        <item x="2"/>
        <item x="0"/>
        <item x="3"/>
        <item m="1" x="5"/>
        <item h="1" x="4"/>
        <item t="default"/>
      </items>
    </pivotField>
  </pivotFields>
  <rowFields count="2">
    <field x="1"/>
    <field x="2"/>
  </rowFields>
  <rowItems count="2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Footprint" fld="0" baseField="0" baseItem="0" numFmtId="164"/>
  </dataFields>
  <formats count="20"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4">
            <x v="0"/>
            <x v="1"/>
            <x v="2"/>
            <x v="3"/>
          </reference>
        </references>
      </pivotArea>
    </format>
    <format dxfId="15">
      <pivotArea dataOnly="0" labelOnly="1" grandRow="1" outline="0" fieldPosition="0"/>
    </format>
    <format dxfId="14">
      <pivotArea dataOnly="0" labelOnly="1" fieldPosition="0">
        <references count="2">
          <reference field="1" count="1" selected="0">
            <x v="0"/>
          </reference>
          <reference field="2" count="0"/>
        </references>
      </pivotArea>
    </format>
    <format dxfId="13">
      <pivotArea dataOnly="0" labelOnly="1" fieldPosition="0">
        <references count="2">
          <reference field="1" count="1" selected="0">
            <x v="1"/>
          </reference>
          <reference field="2" count="0"/>
        </references>
      </pivotArea>
    </format>
    <format dxfId="12">
      <pivotArea dataOnly="0" labelOnly="1" fieldPosition="0">
        <references count="2">
          <reference field="1" count="1" selected="0">
            <x v="2"/>
          </reference>
          <reference field="2" count="0"/>
        </references>
      </pivotArea>
    </format>
    <format dxfId="11">
      <pivotArea dataOnly="0" labelOnly="1" fieldPosition="0">
        <references count="2">
          <reference field="1" count="1" selected="0">
            <x v="3"/>
          </reference>
          <reference field="2" count="0"/>
        </references>
      </pivotArea>
    </format>
    <format dxfId="10">
      <pivotArea dataOnly="0" labelOnly="1" outline="0" axis="axisValues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field="1" type="button" dataOnly="0" labelOnly="1" outline="0" axis="axisRow" fieldPosition="0"/>
    </format>
    <format dxfId="6">
      <pivotArea dataOnly="0" labelOnly="1" fieldPosition="0">
        <references count="1">
          <reference field="1" count="4">
            <x v="0"/>
            <x v="1"/>
            <x v="2"/>
            <x v="3"/>
          </reference>
        </references>
      </pivotArea>
    </format>
    <format dxfId="5">
      <pivotArea dataOnly="0" labelOnly="1" grandRow="1" outline="0" fieldPosition="0"/>
    </format>
    <format dxfId="4">
      <pivotArea dataOnly="0" labelOnly="1" fieldPosition="0">
        <references count="2">
          <reference field="1" count="1" selected="0">
            <x v="0"/>
          </reference>
          <reference field="2" count="0"/>
        </references>
      </pivotArea>
    </format>
    <format dxfId="3">
      <pivotArea dataOnly="0" labelOnly="1" fieldPosition="0">
        <references count="2">
          <reference field="1" count="1" selected="0">
            <x v="1"/>
          </reference>
          <reference field="2" count="0"/>
        </references>
      </pivotArea>
    </format>
    <format dxfId="2">
      <pivotArea dataOnly="0" labelOnly="1" fieldPosition="0">
        <references count="2">
          <reference field="1" count="1" selected="0">
            <x v="2"/>
          </reference>
          <reference field="2" count="0"/>
        </references>
      </pivotArea>
    </format>
    <format dxfId="1">
      <pivotArea dataOnly="0" labelOnly="1" fieldPosition="0">
        <references count="2">
          <reference field="1" count="1" selected="0">
            <x v="3"/>
          </reference>
          <reference field="2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A6C630-54DD-444D-837B-E117826B67C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4" firstHeaderRow="1" firstDataRow="1" firstDataCol="1"/>
  <pivotFields count="7">
    <pivotField showAll="0"/>
    <pivotField showAll="0"/>
    <pivotField showAll="0"/>
    <pivotField dataField="1" showAll="0"/>
    <pivotField axis="axisRow" showAll="0">
      <items count="5">
        <item x="0"/>
        <item x="3"/>
        <item x="2"/>
        <item x="1"/>
        <item t="default"/>
      </items>
    </pivotField>
    <pivotField axis="axisRow" showAll="0">
      <items count="6">
        <item x="1"/>
        <item x="2"/>
        <item x="0"/>
        <item x="3"/>
        <item m="1" x="4"/>
        <item t="default"/>
      </items>
    </pivotField>
    <pivotField showAll="0"/>
  </pivotFields>
  <rowFields count="2">
    <field x="4"/>
    <field x="5"/>
  </rowFields>
  <rowItems count="2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Footprint amount" fld="3" baseField="0" baseItem="0" numFmtId="164"/>
  </dataFields>
  <formats count="12">
    <format dxfId="31">
      <pivotArea outline="0" collapsedLevelsAreSubtotals="1" fieldPosition="0"/>
    </format>
    <format dxfId="30">
      <pivotArea dataOnly="0" labelOnly="1" outline="0" axis="axisValues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4" type="button" dataOnly="0" labelOnly="1" outline="0" axis="axisRow" fieldPosition="0"/>
    </format>
    <format dxfId="26">
      <pivotArea dataOnly="0" labelOnly="1" fieldPosition="0">
        <references count="1">
          <reference field="4" count="0"/>
        </references>
      </pivotArea>
    </format>
    <format dxfId="25">
      <pivotArea dataOnly="0" labelOnly="1" grandRow="1" outline="0" fieldPosition="0"/>
    </format>
    <format dxfId="24">
      <pivotArea dataOnly="0" labelOnly="1" fieldPosition="0">
        <references count="2">
          <reference field="4" count="1" selected="0">
            <x v="0"/>
          </reference>
          <reference field="5" count="0"/>
        </references>
      </pivotArea>
    </format>
    <format dxfId="23">
      <pivotArea dataOnly="0" labelOnly="1" fieldPosition="0">
        <references count="2">
          <reference field="4" count="1" selected="0">
            <x v="1"/>
          </reference>
          <reference field="5" count="0"/>
        </references>
      </pivotArea>
    </format>
    <format dxfId="22">
      <pivotArea dataOnly="0" labelOnly="1" fieldPosition="0">
        <references count="2">
          <reference field="4" count="1" selected="0">
            <x v="2"/>
          </reference>
          <reference field="5" count="0"/>
        </references>
      </pivotArea>
    </format>
    <format dxfId="21">
      <pivotArea dataOnly="0" labelOnly="1" fieldPosition="0">
        <references count="2">
          <reference field="4" count="1" selected="0">
            <x v="3"/>
          </reference>
          <reference field="5" count="0"/>
        </references>
      </pivotArea>
    </format>
    <format dxfId="2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05C4B-7212-4875-BCDA-DC21D937DD15}">
  <sheetPr>
    <tabColor theme="4" tint="-0.249977111117893"/>
  </sheetPr>
  <dimension ref="A1:B10"/>
  <sheetViews>
    <sheetView showGridLines="0" tabSelected="1" zoomScale="145" zoomScaleNormal="145" workbookViewId="0">
      <selection activeCell="B8" sqref="B8"/>
    </sheetView>
  </sheetViews>
  <sheetFormatPr defaultRowHeight="14.4" x14ac:dyDescent="0.3"/>
  <cols>
    <col min="1" max="1" width="21.5546875" customWidth="1"/>
    <col min="2" max="2" width="86.109375" bestFit="1" customWidth="1"/>
  </cols>
  <sheetData>
    <row r="1" spans="1:2" x14ac:dyDescent="0.3">
      <c r="A1" s="2" t="s">
        <v>123</v>
      </c>
      <c r="B1" s="2" t="s">
        <v>122</v>
      </c>
    </row>
    <row r="2" spans="1:2" x14ac:dyDescent="0.3">
      <c r="A2" t="s">
        <v>130</v>
      </c>
      <c r="B2" t="s">
        <v>145</v>
      </c>
    </row>
    <row r="3" spans="1:2" x14ac:dyDescent="0.3">
      <c r="A3" t="s">
        <v>143</v>
      </c>
      <c r="B3" t="s">
        <v>144</v>
      </c>
    </row>
    <row r="4" spans="1:2" x14ac:dyDescent="0.3">
      <c r="A4" t="s">
        <v>128</v>
      </c>
      <c r="B4" t="s">
        <v>129</v>
      </c>
    </row>
    <row r="5" spans="1:2" x14ac:dyDescent="0.3">
      <c r="A5" t="s">
        <v>125</v>
      </c>
      <c r="B5" t="s">
        <v>126</v>
      </c>
    </row>
    <row r="6" spans="1:2" x14ac:dyDescent="0.3">
      <c r="A6" t="s">
        <v>120</v>
      </c>
      <c r="B6" t="s">
        <v>121</v>
      </c>
    </row>
    <row r="7" spans="1:2" x14ac:dyDescent="0.3">
      <c r="A7" t="s">
        <v>10</v>
      </c>
      <c r="B7" t="s">
        <v>124</v>
      </c>
    </row>
    <row r="8" spans="1:2" x14ac:dyDescent="0.3">
      <c r="A8" t="s">
        <v>42</v>
      </c>
      <c r="B8" t="s">
        <v>124</v>
      </c>
    </row>
    <row r="9" spans="1:2" x14ac:dyDescent="0.3">
      <c r="A9" t="s">
        <v>57</v>
      </c>
      <c r="B9" t="s">
        <v>124</v>
      </c>
    </row>
    <row r="10" spans="1:2" x14ac:dyDescent="0.3">
      <c r="A10" t="s">
        <v>68</v>
      </c>
      <c r="B10" t="s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8BA78-3D4F-4FCC-899A-D7B227519E9C}">
  <dimension ref="A1:G59"/>
  <sheetViews>
    <sheetView zoomScale="130" zoomScaleNormal="130" workbookViewId="0">
      <selection activeCell="F11" sqref="F11"/>
    </sheetView>
  </sheetViews>
  <sheetFormatPr defaultRowHeight="14.4" x14ac:dyDescent="0.3"/>
  <cols>
    <col min="1" max="1" width="22.6640625" customWidth="1"/>
    <col min="2" max="2" width="30.5546875" bestFit="1" customWidth="1"/>
    <col min="3" max="3" width="17.33203125" customWidth="1"/>
    <col min="4" max="4" width="16.88671875" bestFit="1" customWidth="1"/>
    <col min="5" max="5" width="16" bestFit="1" customWidth="1"/>
    <col min="6" max="6" width="12.33203125" bestFit="1" customWidth="1"/>
    <col min="7" max="7" width="15.33203125" customWidth="1"/>
  </cols>
  <sheetData>
    <row r="1" spans="1:7" x14ac:dyDescent="0.3">
      <c r="A1" s="2" t="s">
        <v>4</v>
      </c>
      <c r="B1" s="2" t="s">
        <v>111</v>
      </c>
      <c r="C1" s="2" t="s">
        <v>109</v>
      </c>
      <c r="D1" s="2" t="s">
        <v>110</v>
      </c>
      <c r="E1" s="2" t="s">
        <v>117</v>
      </c>
    </row>
    <row r="2" spans="1:7" x14ac:dyDescent="0.3">
      <c r="A2" t="s">
        <v>105</v>
      </c>
      <c r="B2" t="s">
        <v>115</v>
      </c>
      <c r="C2" t="s">
        <v>106</v>
      </c>
      <c r="D2" s="11">
        <f>'Relative Processing'!B5/1000000</f>
        <v>54.387898999999997</v>
      </c>
      <c r="E2" s="13">
        <f>IF(AND(D2&gt;1, D2&lt;&gt;""), ROUND(D2, 3 - LEN(INT(ABS(D2)))), D2)</f>
        <v>54.4</v>
      </c>
      <c r="F2" s="11"/>
      <c r="G2" s="2"/>
    </row>
    <row r="3" spans="1:7" x14ac:dyDescent="0.3">
      <c r="A3" t="s">
        <v>105</v>
      </c>
      <c r="B3" t="s">
        <v>115</v>
      </c>
      <c r="C3" t="s">
        <v>107</v>
      </c>
      <c r="D3" s="11">
        <f>'Relative Processing'!C5/1000000</f>
        <v>315</v>
      </c>
      <c r="E3" s="13">
        <f>IF(AND(D3&gt;1, D3&lt;&gt;""), ROUND(D3, 3 - LEN(INT(ABS(D3)))), D3)</f>
        <v>315</v>
      </c>
      <c r="F3" s="11"/>
      <c r="G3" s="2"/>
    </row>
    <row r="4" spans="1:7" x14ac:dyDescent="0.3">
      <c r="A4" t="s">
        <v>105</v>
      </c>
      <c r="B4" t="s">
        <v>115</v>
      </c>
      <c r="C4" t="s">
        <v>108</v>
      </c>
      <c r="D4" s="6">
        <f>D2/D3</f>
        <v>0.17265999682539682</v>
      </c>
      <c r="E4" s="14">
        <f t="shared" ref="E4:E49" si="0">IF(AND(D4&gt;1, D4&lt;&gt;""), ROUND(D4, 3 - LEN(INT(ABS(D4)))), D4)</f>
        <v>0.17265999682539682</v>
      </c>
      <c r="F4" s="11"/>
      <c r="G4" s="2"/>
    </row>
    <row r="5" spans="1:7" x14ac:dyDescent="0.3">
      <c r="A5" t="s">
        <v>105</v>
      </c>
      <c r="B5" t="s">
        <v>113</v>
      </c>
      <c r="C5" t="s">
        <v>106</v>
      </c>
      <c r="D5" s="12">
        <f>'Relative Impacts'!D6/1000</f>
        <v>370.00200000000001</v>
      </c>
      <c r="E5" s="13">
        <f t="shared" si="0"/>
        <v>370</v>
      </c>
      <c r="F5" s="11"/>
    </row>
    <row r="6" spans="1:7" x14ac:dyDescent="0.3">
      <c r="A6" t="s">
        <v>105</v>
      </c>
      <c r="B6" t="s">
        <v>113</v>
      </c>
      <c r="C6" t="s">
        <v>107</v>
      </c>
      <c r="D6" s="12">
        <f>'Relative Impacts'!K6/1000</f>
        <v>1282.06903274058</v>
      </c>
      <c r="E6" s="13">
        <f t="shared" si="0"/>
        <v>1280</v>
      </c>
      <c r="F6" s="11"/>
    </row>
    <row r="7" spans="1:7" x14ac:dyDescent="0.3">
      <c r="A7" t="s">
        <v>105</v>
      </c>
      <c r="B7" t="s">
        <v>113</v>
      </c>
      <c r="C7" t="s">
        <v>108</v>
      </c>
      <c r="D7" s="6">
        <f>D5/D6</f>
        <v>0.2885975642115583</v>
      </c>
      <c r="E7" s="14">
        <f t="shared" si="0"/>
        <v>0.2885975642115583</v>
      </c>
      <c r="F7" s="11"/>
    </row>
    <row r="8" spans="1:7" x14ac:dyDescent="0.3">
      <c r="A8" t="s">
        <v>105</v>
      </c>
      <c r="B8" t="s">
        <v>112</v>
      </c>
      <c r="C8" t="s">
        <v>106</v>
      </c>
      <c r="D8" s="12">
        <f>'Relative Impacts'!D5/1000000</f>
        <v>373.485591</v>
      </c>
      <c r="E8" s="13">
        <f t="shared" si="0"/>
        <v>373</v>
      </c>
      <c r="F8" s="11"/>
    </row>
    <row r="9" spans="1:7" x14ac:dyDescent="0.3">
      <c r="A9" t="s">
        <v>105</v>
      </c>
      <c r="B9" t="s">
        <v>112</v>
      </c>
      <c r="C9" t="s">
        <v>107</v>
      </c>
      <c r="D9" s="12">
        <f>'Relative Impacts'!K5/1000000</f>
        <v>1496.502306605164</v>
      </c>
      <c r="E9" s="13">
        <f t="shared" si="0"/>
        <v>1500</v>
      </c>
      <c r="F9" s="11"/>
      <c r="G9" s="13"/>
    </row>
    <row r="10" spans="1:7" x14ac:dyDescent="0.3">
      <c r="A10" t="s">
        <v>105</v>
      </c>
      <c r="B10" t="s">
        <v>112</v>
      </c>
      <c r="C10" t="s">
        <v>108</v>
      </c>
      <c r="D10" s="6">
        <f>D8/D9</f>
        <v>0.2495723456967181</v>
      </c>
      <c r="E10" s="14">
        <f t="shared" si="0"/>
        <v>0.2495723456967181</v>
      </c>
      <c r="F10" s="11"/>
      <c r="G10" s="13"/>
    </row>
    <row r="11" spans="1:7" x14ac:dyDescent="0.3">
      <c r="A11" t="s">
        <v>105</v>
      </c>
      <c r="B11" t="s">
        <v>116</v>
      </c>
      <c r="C11" t="s">
        <v>106</v>
      </c>
      <c r="D11" s="12">
        <f>'Relative Impacts'!D7/1000</f>
        <v>1774.3119999999999</v>
      </c>
      <c r="E11" s="13">
        <f t="shared" si="0"/>
        <v>1770</v>
      </c>
      <c r="F11" s="11"/>
    </row>
    <row r="12" spans="1:7" x14ac:dyDescent="0.3">
      <c r="A12" t="s">
        <v>105</v>
      </c>
      <c r="B12" t="s">
        <v>116</v>
      </c>
      <c r="C12" t="s">
        <v>107</v>
      </c>
      <c r="D12" s="12">
        <f>'Relative Impacts'!K7/1000</f>
        <v>5856.9232080876309</v>
      </c>
      <c r="E12" s="13">
        <f t="shared" si="0"/>
        <v>5860</v>
      </c>
      <c r="F12" s="11"/>
    </row>
    <row r="13" spans="1:7" x14ac:dyDescent="0.3">
      <c r="A13" t="s">
        <v>105</v>
      </c>
      <c r="B13" t="s">
        <v>116</v>
      </c>
      <c r="C13" t="s">
        <v>108</v>
      </c>
      <c r="D13" s="6">
        <f>D11/D12</f>
        <v>0.30294267774416289</v>
      </c>
      <c r="E13" s="14">
        <f t="shared" si="0"/>
        <v>0.30294267774416289</v>
      </c>
      <c r="F13" s="11"/>
    </row>
    <row r="14" spans="1:7" x14ac:dyDescent="0.3">
      <c r="A14" t="s">
        <v>102</v>
      </c>
      <c r="B14" t="s">
        <v>115</v>
      </c>
      <c r="C14" t="s">
        <v>106</v>
      </c>
      <c r="D14" s="11">
        <f>'Relative Processing'!B3/1000000</f>
        <v>17551.257787999999</v>
      </c>
      <c r="E14" s="13">
        <f t="shared" si="0"/>
        <v>17600</v>
      </c>
      <c r="F14" s="11"/>
    </row>
    <row r="15" spans="1:7" x14ac:dyDescent="0.3">
      <c r="A15" t="s">
        <v>102</v>
      </c>
      <c r="B15" t="s">
        <v>115</v>
      </c>
      <c r="C15" t="s">
        <v>107</v>
      </c>
      <c r="D15" s="11">
        <f>'Relative Processing'!C3/1000000</f>
        <v>75700</v>
      </c>
      <c r="E15" s="13">
        <f t="shared" si="0"/>
        <v>75700</v>
      </c>
      <c r="F15" s="11"/>
    </row>
    <row r="16" spans="1:7" x14ac:dyDescent="0.3">
      <c r="A16" t="s">
        <v>102</v>
      </c>
      <c r="B16" t="s">
        <v>115</v>
      </c>
      <c r="C16" t="s">
        <v>108</v>
      </c>
      <c r="D16" s="6">
        <f>D14/D15</f>
        <v>0.2318528109379128</v>
      </c>
      <c r="E16" s="14">
        <f t="shared" si="0"/>
        <v>0.2318528109379128</v>
      </c>
      <c r="F16" s="11"/>
      <c r="G16" s="13"/>
    </row>
    <row r="17" spans="1:7" x14ac:dyDescent="0.3">
      <c r="A17" t="s">
        <v>102</v>
      </c>
      <c r="B17" t="s">
        <v>113</v>
      </c>
      <c r="C17" t="s">
        <v>106</v>
      </c>
      <c r="D17" s="12">
        <f>'Relative Impacts'!D21/1000</f>
        <v>16.835999999999999</v>
      </c>
      <c r="E17" s="13">
        <f t="shared" si="0"/>
        <v>16.8</v>
      </c>
      <c r="F17" s="11"/>
      <c r="G17" s="13"/>
    </row>
    <row r="18" spans="1:7" x14ac:dyDescent="0.3">
      <c r="A18" t="s">
        <v>102</v>
      </c>
      <c r="B18" t="s">
        <v>113</v>
      </c>
      <c r="C18" t="s">
        <v>107</v>
      </c>
      <c r="D18" s="12">
        <f>'Relative Impacts'!K21/1000</f>
        <v>70.313745991088908</v>
      </c>
      <c r="E18" s="13">
        <f t="shared" si="0"/>
        <v>70.3</v>
      </c>
      <c r="F18" s="11"/>
    </row>
    <row r="19" spans="1:7" x14ac:dyDescent="0.3">
      <c r="A19" t="s">
        <v>102</v>
      </c>
      <c r="B19" t="s">
        <v>113</v>
      </c>
      <c r="C19" t="s">
        <v>108</v>
      </c>
      <c r="D19" s="6">
        <f>D17/D18</f>
        <v>0.23944109025472315</v>
      </c>
      <c r="E19" s="14">
        <f t="shared" si="0"/>
        <v>0.23944109025472315</v>
      </c>
      <c r="F19" s="11"/>
    </row>
    <row r="20" spans="1:7" x14ac:dyDescent="0.3">
      <c r="A20" t="s">
        <v>102</v>
      </c>
      <c r="B20" t="s">
        <v>112</v>
      </c>
      <c r="C20" t="s">
        <v>106</v>
      </c>
      <c r="D20" s="12">
        <f>'Relative Impacts'!D20/1000000</f>
        <v>97.794796000000005</v>
      </c>
      <c r="E20" s="13">
        <f t="shared" si="0"/>
        <v>97.8</v>
      </c>
      <c r="F20" s="11"/>
    </row>
    <row r="21" spans="1:7" x14ac:dyDescent="0.3">
      <c r="A21" t="s">
        <v>102</v>
      </c>
      <c r="B21" t="s">
        <v>112</v>
      </c>
      <c r="C21" t="s">
        <v>107</v>
      </c>
      <c r="D21" s="12">
        <f>'Relative Impacts'!K20/1000000</f>
        <v>405.32237827033032</v>
      </c>
      <c r="E21" s="13">
        <f t="shared" si="0"/>
        <v>405</v>
      </c>
      <c r="F21" s="11"/>
    </row>
    <row r="22" spans="1:7" x14ac:dyDescent="0.3">
      <c r="A22" t="s">
        <v>102</v>
      </c>
      <c r="B22" t="s">
        <v>112</v>
      </c>
      <c r="C22" t="s">
        <v>108</v>
      </c>
      <c r="D22" s="6">
        <f>D20/D21</f>
        <v>0.24127657697393562</v>
      </c>
      <c r="E22" s="14">
        <f t="shared" si="0"/>
        <v>0.24127657697393562</v>
      </c>
      <c r="F22" s="11"/>
    </row>
    <row r="23" spans="1:7" x14ac:dyDescent="0.3">
      <c r="A23" t="s">
        <v>102</v>
      </c>
      <c r="B23" t="s">
        <v>116</v>
      </c>
      <c r="C23" t="s">
        <v>106</v>
      </c>
      <c r="D23" s="12">
        <f>'Relative Impacts'!D22/1000</f>
        <v>931.79899999999998</v>
      </c>
      <c r="E23" s="13">
        <f t="shared" si="0"/>
        <v>932</v>
      </c>
      <c r="F23" s="11"/>
    </row>
    <row r="24" spans="1:7" x14ac:dyDescent="0.3">
      <c r="A24" t="s">
        <v>102</v>
      </c>
      <c r="B24" t="s">
        <v>116</v>
      </c>
      <c r="C24" t="s">
        <v>107</v>
      </c>
      <c r="D24" s="12">
        <f>'Relative Impacts'!K22/1000</f>
        <v>3342.6078131602803</v>
      </c>
      <c r="E24" s="13">
        <f t="shared" si="0"/>
        <v>3340</v>
      </c>
      <c r="F24" s="11"/>
    </row>
    <row r="25" spans="1:7" x14ac:dyDescent="0.3">
      <c r="A25" t="s">
        <v>102</v>
      </c>
      <c r="B25" t="s">
        <v>116</v>
      </c>
      <c r="C25" t="s">
        <v>108</v>
      </c>
      <c r="D25" s="6">
        <f>D23/D24</f>
        <v>0.27876408244227352</v>
      </c>
      <c r="E25" s="14">
        <f t="shared" si="0"/>
        <v>0.27876408244227352</v>
      </c>
      <c r="F25" s="11"/>
    </row>
    <row r="26" spans="1:7" x14ac:dyDescent="0.3">
      <c r="A26" t="s">
        <v>103</v>
      </c>
      <c r="B26" t="s">
        <v>115</v>
      </c>
      <c r="C26" t="s">
        <v>106</v>
      </c>
      <c r="D26" s="11">
        <f>'Relative Processing'!B4/1000000</f>
        <v>267.74621400000001</v>
      </c>
      <c r="E26" s="13">
        <f t="shared" si="0"/>
        <v>268</v>
      </c>
      <c r="F26" s="11"/>
    </row>
    <row r="27" spans="1:7" x14ac:dyDescent="0.3">
      <c r="A27" t="s">
        <v>103</v>
      </c>
      <c r="B27" t="s">
        <v>115</v>
      </c>
      <c r="C27" t="s">
        <v>107</v>
      </c>
      <c r="D27" s="11">
        <f>'Relative Processing'!C4/1000000</f>
        <v>1480</v>
      </c>
      <c r="E27" s="13">
        <f t="shared" si="0"/>
        <v>1480</v>
      </c>
      <c r="F27" s="11"/>
    </row>
    <row r="28" spans="1:7" x14ac:dyDescent="0.3">
      <c r="A28" t="s">
        <v>103</v>
      </c>
      <c r="B28" t="s">
        <v>115</v>
      </c>
      <c r="C28" t="s">
        <v>108</v>
      </c>
      <c r="D28" s="6">
        <f>D26/D27</f>
        <v>0.18090960405405407</v>
      </c>
      <c r="E28" s="14">
        <f t="shared" si="0"/>
        <v>0.18090960405405407</v>
      </c>
      <c r="F28" s="11"/>
    </row>
    <row r="29" spans="1:7" x14ac:dyDescent="0.3">
      <c r="A29" t="s">
        <v>103</v>
      </c>
      <c r="B29" t="s">
        <v>113</v>
      </c>
      <c r="C29" t="s">
        <v>106</v>
      </c>
      <c r="D29" s="12">
        <f>'Relative Impacts'!D16/1000</f>
        <v>34.750999999999998</v>
      </c>
      <c r="E29" s="13">
        <f t="shared" si="0"/>
        <v>34.799999999999997</v>
      </c>
    </row>
    <row r="30" spans="1:7" x14ac:dyDescent="0.3">
      <c r="A30" t="s">
        <v>103</v>
      </c>
      <c r="B30" t="s">
        <v>113</v>
      </c>
      <c r="C30" t="s">
        <v>107</v>
      </c>
      <c r="D30" s="12">
        <f>'Relative Impacts'!K16/1000</f>
        <v>143.15380663444998</v>
      </c>
      <c r="E30" s="13">
        <f t="shared" si="0"/>
        <v>143</v>
      </c>
      <c r="F30" s="11"/>
    </row>
    <row r="31" spans="1:7" x14ac:dyDescent="0.3">
      <c r="A31" t="s">
        <v>103</v>
      </c>
      <c r="B31" t="s">
        <v>113</v>
      </c>
      <c r="C31" t="s">
        <v>108</v>
      </c>
      <c r="D31" s="6">
        <f>D29/D30</f>
        <v>0.24275288807889212</v>
      </c>
      <c r="E31" s="14">
        <f t="shared" si="0"/>
        <v>0.24275288807889212</v>
      </c>
      <c r="F31" s="11"/>
    </row>
    <row r="32" spans="1:7" x14ac:dyDescent="0.3">
      <c r="A32" t="s">
        <v>103</v>
      </c>
      <c r="B32" t="s">
        <v>112</v>
      </c>
      <c r="C32" t="s">
        <v>106</v>
      </c>
      <c r="D32" s="12">
        <f>'Relative Impacts'!D15/1000000</f>
        <v>184.74237299999999</v>
      </c>
      <c r="E32" s="13">
        <f t="shared" si="0"/>
        <v>185</v>
      </c>
      <c r="F32" s="11"/>
    </row>
    <row r="33" spans="1:6" x14ac:dyDescent="0.3">
      <c r="A33" t="s">
        <v>103</v>
      </c>
      <c r="B33" t="s">
        <v>112</v>
      </c>
      <c r="C33" t="s">
        <v>107</v>
      </c>
      <c r="D33" s="12">
        <f>'Relative Impacts'!K15/1000000</f>
        <v>789.06740690069</v>
      </c>
      <c r="E33" s="13">
        <f t="shared" si="0"/>
        <v>789</v>
      </c>
      <c r="F33" s="11"/>
    </row>
    <row r="34" spans="1:6" x14ac:dyDescent="0.3">
      <c r="A34" t="s">
        <v>103</v>
      </c>
      <c r="B34" t="s">
        <v>112</v>
      </c>
      <c r="C34" t="s">
        <v>108</v>
      </c>
      <c r="D34" s="6">
        <f>D32/D33</f>
        <v>0.23412749200430627</v>
      </c>
      <c r="E34" s="14">
        <f t="shared" si="0"/>
        <v>0.23412749200430627</v>
      </c>
      <c r="F34" s="11"/>
    </row>
    <row r="35" spans="1:6" x14ac:dyDescent="0.3">
      <c r="A35" t="s">
        <v>103</v>
      </c>
      <c r="B35" t="s">
        <v>116</v>
      </c>
      <c r="C35" t="s">
        <v>106</v>
      </c>
      <c r="D35" s="12">
        <f>'Relative Impacts'!D17/1000</f>
        <v>2263.8209999999999</v>
      </c>
      <c r="E35" s="13">
        <f t="shared" si="0"/>
        <v>2260</v>
      </c>
      <c r="F35" s="11"/>
    </row>
    <row r="36" spans="1:6" x14ac:dyDescent="0.3">
      <c r="A36" t="s">
        <v>103</v>
      </c>
      <c r="B36" t="s">
        <v>116</v>
      </c>
      <c r="C36" t="s">
        <v>107</v>
      </c>
      <c r="D36" s="12">
        <f>'Relative Impacts'!K17/1000</f>
        <v>8767.8344032231707</v>
      </c>
      <c r="E36" s="13">
        <f t="shared" si="0"/>
        <v>8770</v>
      </c>
      <c r="F36" s="11"/>
    </row>
    <row r="37" spans="1:6" x14ac:dyDescent="0.3">
      <c r="A37" t="s">
        <v>103</v>
      </c>
      <c r="B37" t="s">
        <v>116</v>
      </c>
      <c r="C37" t="s">
        <v>108</v>
      </c>
      <c r="D37" s="6">
        <f>D35/D36</f>
        <v>0.25819614010590686</v>
      </c>
      <c r="E37" s="14">
        <f t="shared" si="0"/>
        <v>0.25819614010590686</v>
      </c>
      <c r="F37" s="11"/>
    </row>
    <row r="38" spans="1:6" x14ac:dyDescent="0.3">
      <c r="A38" t="s">
        <v>104</v>
      </c>
      <c r="B38" t="s">
        <v>114</v>
      </c>
      <c r="C38" t="s">
        <v>106</v>
      </c>
      <c r="D38" s="11">
        <f>'Relative Processing'!B6/1000000</f>
        <v>190.2</v>
      </c>
      <c r="E38" s="13">
        <f t="shared" si="0"/>
        <v>190</v>
      </c>
      <c r="F38" s="11"/>
    </row>
    <row r="39" spans="1:6" x14ac:dyDescent="0.3">
      <c r="A39" t="s">
        <v>104</v>
      </c>
      <c r="B39" t="s">
        <v>114</v>
      </c>
      <c r="C39" t="s">
        <v>107</v>
      </c>
      <c r="D39" s="11">
        <f>'Relative Processing'!C6/1000000</f>
        <v>462</v>
      </c>
      <c r="E39" s="13">
        <f t="shared" si="0"/>
        <v>462</v>
      </c>
      <c r="F39" s="11"/>
    </row>
    <row r="40" spans="1:6" x14ac:dyDescent="0.3">
      <c r="A40" t="s">
        <v>104</v>
      </c>
      <c r="B40" t="s">
        <v>114</v>
      </c>
      <c r="C40" t="s">
        <v>108</v>
      </c>
      <c r="D40" s="6">
        <f>D38/D39</f>
        <v>0.41168831168831166</v>
      </c>
      <c r="E40" s="14">
        <f t="shared" si="0"/>
        <v>0.41168831168831166</v>
      </c>
      <c r="F40" s="11"/>
    </row>
    <row r="41" spans="1:6" x14ac:dyDescent="0.3">
      <c r="A41" t="s">
        <v>104</v>
      </c>
      <c r="B41" t="s">
        <v>113</v>
      </c>
      <c r="C41" t="s">
        <v>106</v>
      </c>
      <c r="D41" s="12">
        <f>'Relative Impacts'!D11/1000</f>
        <v>78.757999999999996</v>
      </c>
      <c r="E41" s="13">
        <f t="shared" si="0"/>
        <v>78.8</v>
      </c>
      <c r="F41" s="11"/>
    </row>
    <row r="42" spans="1:6" x14ac:dyDescent="0.3">
      <c r="A42" t="s">
        <v>104</v>
      </c>
      <c r="B42" t="s">
        <v>113</v>
      </c>
      <c r="C42" t="s">
        <v>107</v>
      </c>
      <c r="D42" s="12">
        <f>'Relative Impacts'!K11/1000</f>
        <v>463.991162533487</v>
      </c>
      <c r="E42" s="13">
        <f t="shared" si="0"/>
        <v>464</v>
      </c>
      <c r="F42" s="11"/>
    </row>
    <row r="43" spans="1:6" x14ac:dyDescent="0.3">
      <c r="A43" t="s">
        <v>104</v>
      </c>
      <c r="B43" t="s">
        <v>113</v>
      </c>
      <c r="C43" t="s">
        <v>108</v>
      </c>
      <c r="D43" s="6">
        <f>D41/D42</f>
        <v>0.16974030188412459</v>
      </c>
      <c r="E43" s="14">
        <f t="shared" si="0"/>
        <v>0.16974030188412459</v>
      </c>
      <c r="F43" s="11"/>
    </row>
    <row r="44" spans="1:6" x14ac:dyDescent="0.3">
      <c r="A44" t="s">
        <v>104</v>
      </c>
      <c r="B44" t="s">
        <v>112</v>
      </c>
      <c r="C44" t="s">
        <v>106</v>
      </c>
      <c r="D44" s="12">
        <f>'Relative Impacts'!D10/1000000</f>
        <v>159.011302</v>
      </c>
      <c r="E44" s="13">
        <f t="shared" si="0"/>
        <v>159</v>
      </c>
      <c r="F44" s="11"/>
    </row>
    <row r="45" spans="1:6" x14ac:dyDescent="0.3">
      <c r="A45" t="s">
        <v>104</v>
      </c>
      <c r="B45" t="s">
        <v>112</v>
      </c>
      <c r="C45" t="s">
        <v>107</v>
      </c>
      <c r="D45" s="12">
        <f>'Relative Impacts'!K10/1000000</f>
        <v>892.1859775577625</v>
      </c>
      <c r="E45" s="13">
        <f t="shared" si="0"/>
        <v>892</v>
      </c>
      <c r="F45" s="11"/>
    </row>
    <row r="46" spans="1:6" x14ac:dyDescent="0.3">
      <c r="A46" t="s">
        <v>104</v>
      </c>
      <c r="B46" t="s">
        <v>112</v>
      </c>
      <c r="C46" t="s">
        <v>108</v>
      </c>
      <c r="D46" s="6">
        <f>D44/D45</f>
        <v>0.17822663211460885</v>
      </c>
      <c r="E46" s="14">
        <f t="shared" si="0"/>
        <v>0.17822663211460885</v>
      </c>
      <c r="F46" s="11"/>
    </row>
    <row r="47" spans="1:6" x14ac:dyDescent="0.3">
      <c r="A47" t="s">
        <v>104</v>
      </c>
      <c r="B47" t="s">
        <v>116</v>
      </c>
      <c r="C47" t="s">
        <v>106</v>
      </c>
      <c r="D47" s="12">
        <f>'Relative Impacts'!D12/1000</f>
        <v>1757.2650000000001</v>
      </c>
      <c r="E47" s="13">
        <f t="shared" si="0"/>
        <v>1760</v>
      </c>
      <c r="F47" s="11"/>
    </row>
    <row r="48" spans="1:6" x14ac:dyDescent="0.3">
      <c r="A48" t="s">
        <v>104</v>
      </c>
      <c r="B48" t="s">
        <v>116</v>
      </c>
      <c r="C48" t="s">
        <v>107</v>
      </c>
      <c r="D48" s="12">
        <f>'Relative Impacts'!K12/1000</f>
        <v>5872.8939557172098</v>
      </c>
      <c r="E48" s="13">
        <f t="shared" si="0"/>
        <v>5870</v>
      </c>
      <c r="F48" s="11"/>
    </row>
    <row r="49" spans="1:6" x14ac:dyDescent="0.3">
      <c r="A49" t="s">
        <v>104</v>
      </c>
      <c r="B49" t="s">
        <v>116</v>
      </c>
      <c r="C49" t="s">
        <v>108</v>
      </c>
      <c r="D49" s="6">
        <f>D47/D48</f>
        <v>0.29921619788304171</v>
      </c>
      <c r="E49" s="14">
        <f t="shared" si="0"/>
        <v>0.29921619788304171</v>
      </c>
      <c r="F49" s="11"/>
    </row>
    <row r="50" spans="1:6" x14ac:dyDescent="0.3">
      <c r="F50" s="11"/>
    </row>
    <row r="51" spans="1:6" x14ac:dyDescent="0.3">
      <c r="F51" s="11"/>
    </row>
    <row r="52" spans="1:6" x14ac:dyDescent="0.3">
      <c r="F52" s="11"/>
    </row>
    <row r="53" spans="1:6" x14ac:dyDescent="0.3">
      <c r="F53" s="11"/>
    </row>
    <row r="54" spans="1:6" x14ac:dyDescent="0.3">
      <c r="F54" s="11"/>
    </row>
    <row r="55" spans="1:6" x14ac:dyDescent="0.3">
      <c r="F55" s="11"/>
    </row>
    <row r="56" spans="1:6" x14ac:dyDescent="0.3">
      <c r="F56" s="11"/>
    </row>
    <row r="57" spans="1:6" x14ac:dyDescent="0.3">
      <c r="F57" s="11"/>
    </row>
    <row r="58" spans="1:6" x14ac:dyDescent="0.3">
      <c r="F58" s="11"/>
    </row>
    <row r="59" spans="1:6" x14ac:dyDescent="0.3">
      <c r="F59" s="11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FE667-BB69-4A96-8DA2-9DE36D836609}">
  <dimension ref="A1:D6"/>
  <sheetViews>
    <sheetView topLeftCell="CN1" zoomScale="130" zoomScaleNormal="130" workbookViewId="0">
      <selection activeCell="G35" sqref="G35"/>
    </sheetView>
  </sheetViews>
  <sheetFormatPr defaultRowHeight="14.4" x14ac:dyDescent="0.3"/>
  <cols>
    <col min="1" max="1" width="13.33203125" bestFit="1" customWidth="1"/>
    <col min="2" max="2" width="27.33203125" bestFit="1" customWidth="1"/>
    <col min="3" max="3" width="18.33203125" bestFit="1" customWidth="1"/>
    <col min="4" max="4" width="4.6640625" bestFit="1" customWidth="1"/>
  </cols>
  <sheetData>
    <row r="1" spans="1:4" x14ac:dyDescent="0.3">
      <c r="A1" s="2" t="s">
        <v>127</v>
      </c>
    </row>
    <row r="2" spans="1:4" x14ac:dyDescent="0.3">
      <c r="B2" t="s">
        <v>98</v>
      </c>
      <c r="C2" t="s">
        <v>119</v>
      </c>
    </row>
    <row r="3" spans="1:4" x14ac:dyDescent="0.3">
      <c r="A3" t="s">
        <v>97</v>
      </c>
      <c r="B3" s="5">
        <v>17551257788</v>
      </c>
      <c r="C3" s="5">
        <v>75700000000</v>
      </c>
      <c r="D3" s="6">
        <f>B3/C3</f>
        <v>0.23185281093791282</v>
      </c>
    </row>
    <row r="4" spans="1:4" x14ac:dyDescent="0.3">
      <c r="A4" t="s">
        <v>99</v>
      </c>
      <c r="B4" s="5">
        <v>267746214</v>
      </c>
      <c r="C4" s="5">
        <v>1480000000</v>
      </c>
      <c r="D4" s="6">
        <f>B4/C4</f>
        <v>0.18090960405405404</v>
      </c>
    </row>
    <row r="5" spans="1:4" x14ac:dyDescent="0.3">
      <c r="A5" t="s">
        <v>100</v>
      </c>
      <c r="B5" s="5">
        <v>54387899</v>
      </c>
      <c r="C5" s="5">
        <v>315000000</v>
      </c>
      <c r="D5" s="6">
        <f>B5/C5</f>
        <v>0.17265999682539682</v>
      </c>
    </row>
    <row r="6" spans="1:4" x14ac:dyDescent="0.3">
      <c r="A6" t="s">
        <v>136</v>
      </c>
      <c r="B6" s="5">
        <v>190200000</v>
      </c>
      <c r="C6" s="5">
        <v>462000000</v>
      </c>
      <c r="D6" s="6">
        <f>B6/C6</f>
        <v>0.41168831168831171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6CBC5-C1D0-4E53-B1F7-E8795C484277}">
  <dimension ref="A1:O64"/>
  <sheetViews>
    <sheetView showGridLines="0" zoomScaleNormal="100" workbookViewId="0">
      <selection activeCell="L6" sqref="L6"/>
    </sheetView>
  </sheetViews>
  <sheetFormatPr defaultRowHeight="14.4" x14ac:dyDescent="0.3"/>
  <cols>
    <col min="1" max="1" width="40.109375" customWidth="1"/>
    <col min="2" max="2" width="23.6640625" bestFit="1" customWidth="1"/>
    <col min="3" max="3" width="31.6640625" customWidth="1"/>
    <col min="4" max="4" width="21.5546875" customWidth="1"/>
    <col min="5" max="6" width="14.33203125" customWidth="1"/>
    <col min="7" max="7" width="29.33203125" bestFit="1" customWidth="1"/>
    <col min="8" max="8" width="21.33203125" customWidth="1"/>
    <col min="10" max="10" width="30.6640625" customWidth="1"/>
    <col min="11" max="11" width="23.6640625" customWidth="1"/>
    <col min="12" max="12" width="18.44140625" customWidth="1"/>
    <col min="14" max="14" width="22.109375" bestFit="1" customWidth="1"/>
    <col min="15" max="15" width="23.5546875" bestFit="1" customWidth="1"/>
    <col min="16" max="16" width="18.44140625" customWidth="1"/>
  </cols>
  <sheetData>
    <row r="1" spans="1:15" ht="15" thickBot="1" x14ac:dyDescent="0.35">
      <c r="A1" s="28" t="s">
        <v>120</v>
      </c>
      <c r="B1" s="29"/>
      <c r="C1" s="29"/>
      <c r="D1" s="29"/>
      <c r="E1" s="29"/>
      <c r="G1" s="30" t="s">
        <v>125</v>
      </c>
      <c r="H1" s="32"/>
      <c r="J1" s="30" t="s">
        <v>135</v>
      </c>
      <c r="K1" s="31"/>
      <c r="L1" s="31"/>
      <c r="M1" s="32"/>
    </row>
    <row r="2" spans="1:15" ht="15" thickBot="1" x14ac:dyDescent="0.35">
      <c r="A2" s="33" t="s">
        <v>131</v>
      </c>
      <c r="B2" s="34"/>
      <c r="C2" s="33" t="s">
        <v>133</v>
      </c>
      <c r="D2" s="35"/>
      <c r="E2" s="34"/>
      <c r="G2" s="33" t="s">
        <v>131</v>
      </c>
      <c r="H2" s="34"/>
      <c r="J2" s="33" t="s">
        <v>133</v>
      </c>
      <c r="K2" s="35"/>
      <c r="L2" s="35"/>
      <c r="M2" s="34"/>
    </row>
    <row r="3" spans="1:15" ht="15" thickBot="1" x14ac:dyDescent="0.35">
      <c r="A3" s="15" t="s">
        <v>85</v>
      </c>
      <c r="B3" s="16" t="s">
        <v>84</v>
      </c>
      <c r="C3" s="33" t="s">
        <v>132</v>
      </c>
      <c r="D3" s="36" t="s">
        <v>110</v>
      </c>
      <c r="E3" s="37" t="s">
        <v>6</v>
      </c>
      <c r="G3" s="15" t="s">
        <v>85</v>
      </c>
      <c r="H3" s="22" t="s">
        <v>93</v>
      </c>
      <c r="J3" s="33" t="s">
        <v>132</v>
      </c>
      <c r="K3" s="36" t="s">
        <v>110</v>
      </c>
      <c r="L3" s="36" t="s">
        <v>134</v>
      </c>
      <c r="M3" s="37" t="s">
        <v>6</v>
      </c>
    </row>
    <row r="4" spans="1:15" x14ac:dyDescent="0.3">
      <c r="A4" s="17" t="s">
        <v>10</v>
      </c>
      <c r="B4" s="16">
        <v>375629905</v>
      </c>
      <c r="C4" s="23" t="str">
        <f>A4</f>
        <v>Bovine Meat</v>
      </c>
      <c r="E4" s="22"/>
      <c r="G4" s="17" t="s">
        <v>10</v>
      </c>
      <c r="H4" s="16">
        <v>1503641298845.9922</v>
      </c>
      <c r="J4" s="23" t="str">
        <f>G4</f>
        <v>Bovine Meat</v>
      </c>
      <c r="K4" s="8"/>
      <c r="M4" s="22"/>
      <c r="N4" s="2"/>
    </row>
    <row r="5" spans="1:15" x14ac:dyDescent="0.3">
      <c r="A5" s="18" t="s">
        <v>36</v>
      </c>
      <c r="B5" s="16">
        <v>16293926</v>
      </c>
      <c r="C5" s="21" t="s">
        <v>101</v>
      </c>
      <c r="D5" s="3">
        <f>B5+B6</f>
        <v>373485591</v>
      </c>
      <c r="E5" s="22" t="s">
        <v>94</v>
      </c>
      <c r="G5" s="18" t="s">
        <v>90</v>
      </c>
      <c r="H5" s="16">
        <v>73341993650.354004</v>
      </c>
      <c r="J5" s="21" t="str">
        <f>C5</f>
        <v>Blue and green water footprint</v>
      </c>
      <c r="K5" s="3">
        <f>(H5+H6)/1000</f>
        <v>1496502306.6051641</v>
      </c>
      <c r="L5" s="38">
        <f>D5/K5</f>
        <v>0.24957234569671807</v>
      </c>
      <c r="M5" s="22" t="s">
        <v>94</v>
      </c>
      <c r="N5" s="3"/>
    </row>
    <row r="6" spans="1:15" x14ac:dyDescent="0.3">
      <c r="A6" s="18" t="s">
        <v>38</v>
      </c>
      <c r="B6" s="16">
        <v>357191665</v>
      </c>
      <c r="C6" s="21" t="str">
        <f>A7</f>
        <v>Land use</v>
      </c>
      <c r="D6" s="3">
        <f>B7</f>
        <v>370002</v>
      </c>
      <c r="E6" s="22" t="s">
        <v>95</v>
      </c>
      <c r="G6" s="18" t="s">
        <v>91</v>
      </c>
      <c r="H6" s="16">
        <v>1423160312954.8101</v>
      </c>
      <c r="J6" s="21" t="str">
        <f>C6</f>
        <v>Land use</v>
      </c>
      <c r="K6" s="3">
        <f>H7/1000</f>
        <v>1282069.0327405802</v>
      </c>
      <c r="L6" s="38">
        <f>D6/K6</f>
        <v>0.2885975642115583</v>
      </c>
      <c r="M6" s="22" t="s">
        <v>95</v>
      </c>
      <c r="N6" s="3"/>
    </row>
    <row r="7" spans="1:15" x14ac:dyDescent="0.3">
      <c r="A7" s="18" t="s">
        <v>11</v>
      </c>
      <c r="B7" s="16">
        <v>370002</v>
      </c>
      <c r="C7" s="21" t="str">
        <f>A8</f>
        <v>Nitrogen application</v>
      </c>
      <c r="D7" s="3">
        <f>B8</f>
        <v>1774312</v>
      </c>
      <c r="E7" s="22" t="s">
        <v>96</v>
      </c>
      <c r="G7" s="18" t="s">
        <v>89</v>
      </c>
      <c r="H7" s="16">
        <v>1282069032.7405801</v>
      </c>
      <c r="J7" s="21" t="str">
        <f>C7</f>
        <v>Nitrogen application</v>
      </c>
      <c r="K7" s="3">
        <f>H8/1000</f>
        <v>5856923.2080876306</v>
      </c>
      <c r="L7" s="38">
        <f>D7/K7</f>
        <v>0.30294267774416295</v>
      </c>
      <c r="M7" s="22" t="s">
        <v>96</v>
      </c>
      <c r="N7" s="3"/>
    </row>
    <row r="8" spans="1:15" x14ac:dyDescent="0.3">
      <c r="A8" s="18" t="s">
        <v>39</v>
      </c>
      <c r="B8" s="16">
        <v>1774312</v>
      </c>
      <c r="C8" s="21"/>
      <c r="E8" s="22"/>
      <c r="G8" s="18" t="s">
        <v>92</v>
      </c>
      <c r="H8" s="16">
        <v>5856923208.0876303</v>
      </c>
      <c r="J8" s="21"/>
      <c r="L8" s="38"/>
      <c r="M8" s="22"/>
      <c r="N8" s="3"/>
    </row>
    <row r="9" spans="1:15" x14ac:dyDescent="0.3">
      <c r="A9" s="17" t="s">
        <v>68</v>
      </c>
      <c r="B9" s="16">
        <v>160847325</v>
      </c>
      <c r="C9" s="23" t="str">
        <f>A9</f>
        <v>Milk - Excluding Butter</v>
      </c>
      <c r="E9" s="22"/>
      <c r="G9" s="17" t="s">
        <v>68</v>
      </c>
      <c r="H9" s="16">
        <v>898522862676.01306</v>
      </c>
      <c r="J9" s="23" t="str">
        <f>C9</f>
        <v>Milk - Excluding Butter</v>
      </c>
      <c r="L9" s="38"/>
      <c r="M9" s="22"/>
      <c r="N9" s="3"/>
    </row>
    <row r="10" spans="1:15" x14ac:dyDescent="0.3">
      <c r="A10" s="18" t="s">
        <v>36</v>
      </c>
      <c r="B10" s="16">
        <v>7955661</v>
      </c>
      <c r="C10" s="21" t="s">
        <v>101</v>
      </c>
      <c r="D10" s="3">
        <f>B10+B11</f>
        <v>159011302</v>
      </c>
      <c r="E10" s="22" t="s">
        <v>94</v>
      </c>
      <c r="G10" s="18" t="s">
        <v>90</v>
      </c>
      <c r="H10" s="16">
        <v>51749013717.975403</v>
      </c>
      <c r="J10" s="21" t="str">
        <f>C10</f>
        <v>Blue and green water footprint</v>
      </c>
      <c r="K10" s="3">
        <f>(H10+H11)/1000</f>
        <v>892185977.5577625</v>
      </c>
      <c r="L10" s="38">
        <f>D10/K10</f>
        <v>0.17822663211460885</v>
      </c>
      <c r="M10" s="22" t="s">
        <v>94</v>
      </c>
      <c r="O10" s="2"/>
    </row>
    <row r="11" spans="1:15" x14ac:dyDescent="0.3">
      <c r="A11" s="18" t="s">
        <v>38</v>
      </c>
      <c r="B11" s="16">
        <v>151055641</v>
      </c>
      <c r="C11" s="21" t="str">
        <f>A12</f>
        <v>Land use</v>
      </c>
      <c r="D11" s="3">
        <f>B12</f>
        <v>78758</v>
      </c>
      <c r="E11" s="22" t="s">
        <v>95</v>
      </c>
      <c r="G11" s="18" t="s">
        <v>91</v>
      </c>
      <c r="H11" s="16">
        <v>840436963839.78699</v>
      </c>
      <c r="J11" s="21" t="str">
        <f>C11</f>
        <v>Land use</v>
      </c>
      <c r="K11" s="3">
        <f>H12/1000</f>
        <v>463991.16253348702</v>
      </c>
      <c r="L11" s="38">
        <f>D11/K11</f>
        <v>0.16974030188412459</v>
      </c>
      <c r="M11" s="22" t="s">
        <v>95</v>
      </c>
    </row>
    <row r="12" spans="1:15" x14ac:dyDescent="0.3">
      <c r="A12" s="18" t="s">
        <v>11</v>
      </c>
      <c r="B12" s="16">
        <v>78758</v>
      </c>
      <c r="C12" s="21" t="str">
        <f>A13</f>
        <v>Nitrogen application</v>
      </c>
      <c r="D12" s="3">
        <f>B13</f>
        <v>1757265</v>
      </c>
      <c r="E12" s="22" t="s">
        <v>96</v>
      </c>
      <c r="G12" s="18" t="s">
        <v>89</v>
      </c>
      <c r="H12" s="16">
        <v>463991162.53348702</v>
      </c>
      <c r="J12" s="21" t="str">
        <f>C12</f>
        <v>Nitrogen application</v>
      </c>
      <c r="K12" s="3">
        <f>H13/1000</f>
        <v>5872893.9557172097</v>
      </c>
      <c r="L12" s="38">
        <f>D12/K12</f>
        <v>0.29921619788304166</v>
      </c>
      <c r="M12" s="22" t="s">
        <v>96</v>
      </c>
    </row>
    <row r="13" spans="1:15" x14ac:dyDescent="0.3">
      <c r="A13" s="18" t="s">
        <v>39</v>
      </c>
      <c r="B13" s="16">
        <v>1757265</v>
      </c>
      <c r="C13" s="21"/>
      <c r="E13" s="22"/>
      <c r="G13" s="18" t="s">
        <v>92</v>
      </c>
      <c r="H13" s="16">
        <v>5872893955.7172098</v>
      </c>
      <c r="J13" s="21"/>
      <c r="L13" s="38"/>
      <c r="M13" s="22"/>
    </row>
    <row r="14" spans="1:15" x14ac:dyDescent="0.3">
      <c r="A14" s="17" t="s">
        <v>57</v>
      </c>
      <c r="B14" s="16">
        <v>187040945</v>
      </c>
      <c r="C14" s="23" t="str">
        <f>A14</f>
        <v>Pigmeat</v>
      </c>
      <c r="E14" s="22"/>
      <c r="G14" s="17" t="s">
        <v>57</v>
      </c>
      <c r="H14" s="16">
        <v>797978395110.54749</v>
      </c>
      <c r="J14" s="23" t="str">
        <f>C14</f>
        <v>Pigmeat</v>
      </c>
      <c r="L14" s="38"/>
      <c r="M14" s="22"/>
    </row>
    <row r="15" spans="1:15" x14ac:dyDescent="0.3">
      <c r="A15" s="18" t="s">
        <v>36</v>
      </c>
      <c r="B15" s="16">
        <v>12217402</v>
      </c>
      <c r="C15" s="21" t="s">
        <v>101</v>
      </c>
      <c r="D15" s="3">
        <f>B15+B16</f>
        <v>184742373</v>
      </c>
      <c r="E15" s="22" t="s">
        <v>94</v>
      </c>
      <c r="G15" s="18" t="s">
        <v>90</v>
      </c>
      <c r="H15" s="16">
        <v>51212133589.946899</v>
      </c>
      <c r="J15" s="21" t="str">
        <f>C15</f>
        <v>Blue and green water footprint</v>
      </c>
      <c r="K15" s="3">
        <f>(H15+H16)/1000</f>
        <v>789067406.90068996</v>
      </c>
      <c r="L15" s="38">
        <f>D15/K15</f>
        <v>0.2341274920043063</v>
      </c>
      <c r="M15" s="22" t="s">
        <v>94</v>
      </c>
    </row>
    <row r="16" spans="1:15" x14ac:dyDescent="0.3">
      <c r="A16" s="18" t="s">
        <v>38</v>
      </c>
      <c r="B16" s="16">
        <v>172524971</v>
      </c>
      <c r="C16" s="21" t="str">
        <f>A17</f>
        <v>Land use</v>
      </c>
      <c r="D16" s="3">
        <f>B17</f>
        <v>34751</v>
      </c>
      <c r="E16" s="22" t="s">
        <v>95</v>
      </c>
      <c r="G16" s="18" t="s">
        <v>91</v>
      </c>
      <c r="H16" s="16">
        <v>737855273310.74304</v>
      </c>
      <c r="J16" s="21" t="str">
        <f>C16</f>
        <v>Land use</v>
      </c>
      <c r="K16" s="3">
        <f>H17/1000</f>
        <v>143153.80663444998</v>
      </c>
      <c r="L16" s="38">
        <f>D16/K16</f>
        <v>0.24275288807889212</v>
      </c>
      <c r="M16" s="22" t="s">
        <v>95</v>
      </c>
    </row>
    <row r="17" spans="1:13" x14ac:dyDescent="0.3">
      <c r="A17" s="18" t="s">
        <v>11</v>
      </c>
      <c r="B17" s="16">
        <v>34751</v>
      </c>
      <c r="C17" s="21" t="str">
        <f>A18</f>
        <v>Nitrogen application</v>
      </c>
      <c r="D17" s="3">
        <f>B18</f>
        <v>2263821</v>
      </c>
      <c r="E17" s="22" t="s">
        <v>96</v>
      </c>
      <c r="G17" s="18" t="s">
        <v>89</v>
      </c>
      <c r="H17" s="16">
        <v>143153806.63444999</v>
      </c>
      <c r="J17" s="21" t="str">
        <f>C17</f>
        <v>Nitrogen application</v>
      </c>
      <c r="K17" s="3">
        <f>H18/1000</f>
        <v>8767834.40322317</v>
      </c>
      <c r="L17" s="38">
        <f>D17/K17</f>
        <v>0.25819614010590686</v>
      </c>
      <c r="M17" s="22" t="s">
        <v>96</v>
      </c>
    </row>
    <row r="18" spans="1:13" x14ac:dyDescent="0.3">
      <c r="A18" s="18" t="s">
        <v>39</v>
      </c>
      <c r="B18" s="16">
        <v>2263821</v>
      </c>
      <c r="C18" s="21"/>
      <c r="E18" s="22"/>
      <c r="G18" s="18" t="s">
        <v>92</v>
      </c>
      <c r="H18" s="16">
        <v>8767834403.2231693</v>
      </c>
      <c r="J18" s="21"/>
      <c r="L18" s="38"/>
      <c r="M18" s="22"/>
    </row>
    <row r="19" spans="1:13" x14ac:dyDescent="0.3">
      <c r="A19" s="17" t="s">
        <v>42</v>
      </c>
      <c r="B19" s="16">
        <v>98743431</v>
      </c>
      <c r="C19" s="23" t="str">
        <f>A19</f>
        <v>Poultry Meat</v>
      </c>
      <c r="E19" s="22"/>
      <c r="G19" s="17" t="s">
        <v>42</v>
      </c>
      <c r="H19" s="16">
        <v>408735299829.48169</v>
      </c>
      <c r="J19" s="23" t="str">
        <f>C19</f>
        <v>Poultry Meat</v>
      </c>
      <c r="L19" s="38"/>
      <c r="M19" s="22"/>
    </row>
    <row r="20" spans="1:13" x14ac:dyDescent="0.3">
      <c r="A20" s="18" t="s">
        <v>36</v>
      </c>
      <c r="B20" s="16">
        <v>6419016</v>
      </c>
      <c r="C20" s="21" t="s">
        <v>101</v>
      </c>
      <c r="D20" s="3">
        <f>B20+B21</f>
        <v>97794796</v>
      </c>
      <c r="E20" s="22" t="s">
        <v>94</v>
      </c>
      <c r="G20" s="18" t="s">
        <v>90</v>
      </c>
      <c r="H20" s="16">
        <v>31077290440.3353</v>
      </c>
      <c r="J20" s="21" t="str">
        <f>C20</f>
        <v>Blue and green water footprint</v>
      </c>
      <c r="K20" s="3">
        <f>(H20+H21)/1000</f>
        <v>405322378.27033031</v>
      </c>
      <c r="L20" s="38">
        <f>D20/K20</f>
        <v>0.24127657697393562</v>
      </c>
      <c r="M20" s="22" t="s">
        <v>94</v>
      </c>
    </row>
    <row r="21" spans="1:13" x14ac:dyDescent="0.3">
      <c r="A21" s="18" t="s">
        <v>38</v>
      </c>
      <c r="B21" s="16">
        <v>91375780</v>
      </c>
      <c r="C21" s="21" t="str">
        <f>A22</f>
        <v>Land use</v>
      </c>
      <c r="D21" s="3">
        <f>B22</f>
        <v>16836</v>
      </c>
      <c r="E21" s="22" t="s">
        <v>95</v>
      </c>
      <c r="G21" s="18" t="s">
        <v>91</v>
      </c>
      <c r="H21" s="16">
        <v>374245087829.995</v>
      </c>
      <c r="J21" s="21" t="str">
        <f>C21</f>
        <v>Land use</v>
      </c>
      <c r="K21" s="3">
        <f>H22/1000</f>
        <v>70313.745991088901</v>
      </c>
      <c r="L21" s="38">
        <f>D21/K21</f>
        <v>0.23944109025472321</v>
      </c>
      <c r="M21" s="22" t="s">
        <v>95</v>
      </c>
    </row>
    <row r="22" spans="1:13" ht="15" thickBot="1" x14ac:dyDescent="0.35">
      <c r="A22" s="18" t="s">
        <v>11</v>
      </c>
      <c r="B22" s="16">
        <v>16836</v>
      </c>
      <c r="C22" s="21" t="str">
        <f>A23</f>
        <v>Nitrogen application</v>
      </c>
      <c r="D22" s="3">
        <f>B23</f>
        <v>931799</v>
      </c>
      <c r="E22" s="22" t="s">
        <v>96</v>
      </c>
      <c r="G22" s="18" t="s">
        <v>89</v>
      </c>
      <c r="H22" s="16">
        <v>70313745.991088897</v>
      </c>
      <c r="J22" s="24" t="str">
        <f>C22</f>
        <v>Nitrogen application</v>
      </c>
      <c r="K22" s="27">
        <f>H23/1000</f>
        <v>3342607.8131602802</v>
      </c>
      <c r="L22" s="39">
        <f>D22/K22</f>
        <v>0.27876408244227352</v>
      </c>
      <c r="M22" s="26" t="s">
        <v>96</v>
      </c>
    </row>
    <row r="23" spans="1:13" x14ac:dyDescent="0.3">
      <c r="A23" s="18" t="s">
        <v>39</v>
      </c>
      <c r="B23" s="16">
        <v>931799</v>
      </c>
      <c r="C23" s="21"/>
      <c r="E23" s="22"/>
      <c r="G23" s="18" t="s">
        <v>92</v>
      </c>
      <c r="H23" s="16">
        <v>3342607813.1602802</v>
      </c>
    </row>
    <row r="24" spans="1:13" ht="15" thickBot="1" x14ac:dyDescent="0.35">
      <c r="A24" s="19" t="s">
        <v>86</v>
      </c>
      <c r="B24" s="20">
        <v>822261606</v>
      </c>
      <c r="C24" s="24"/>
      <c r="D24" s="25"/>
      <c r="E24" s="26"/>
      <c r="G24" s="19" t="s">
        <v>86</v>
      </c>
      <c r="H24" s="20">
        <v>3608877856462.0347</v>
      </c>
      <c r="K24" s="2"/>
      <c r="L24" s="10"/>
    </row>
    <row r="28" spans="1:13" ht="15" thickBot="1" x14ac:dyDescent="0.35"/>
    <row r="29" spans="1:13" ht="15" thickBot="1" x14ac:dyDescent="0.35">
      <c r="A29" s="30" t="s">
        <v>142</v>
      </c>
      <c r="B29" s="31"/>
      <c r="C29" s="31"/>
      <c r="D29" s="31"/>
      <c r="E29" s="32"/>
    </row>
    <row r="30" spans="1:13" ht="15" thickBot="1" x14ac:dyDescent="0.35">
      <c r="A30" s="33" t="s">
        <v>133</v>
      </c>
      <c r="B30" s="35"/>
      <c r="C30" s="35"/>
      <c r="D30" s="35"/>
      <c r="E30" s="34"/>
    </row>
    <row r="31" spans="1:13" ht="15" thickBot="1" x14ac:dyDescent="0.35">
      <c r="A31" s="33" t="s">
        <v>137</v>
      </c>
      <c r="B31" s="36" t="s">
        <v>139</v>
      </c>
      <c r="C31" s="36" t="s">
        <v>141</v>
      </c>
      <c r="D31" s="36" t="s">
        <v>140</v>
      </c>
      <c r="E31" s="37" t="s">
        <v>6</v>
      </c>
    </row>
    <row r="32" spans="1:13" x14ac:dyDescent="0.3">
      <c r="A32" s="21" t="s">
        <v>138</v>
      </c>
      <c r="B32" s="3">
        <f>D5+D10+D15+D20</f>
        <v>815034062</v>
      </c>
      <c r="C32" s="3">
        <f>K5+K10+K15+K20</f>
        <v>3583078069.3339472</v>
      </c>
      <c r="D32" s="38">
        <f>B32/C32</f>
        <v>0.22746757012512023</v>
      </c>
      <c r="E32" s="22" t="s">
        <v>94</v>
      </c>
    </row>
    <row r="33" spans="1:6" x14ac:dyDescent="0.3">
      <c r="A33" s="21" t="s">
        <v>11</v>
      </c>
      <c r="B33" s="3">
        <f>D6+D11+D16+D21</f>
        <v>500347</v>
      </c>
      <c r="C33" s="3">
        <f>K6+K11+K16+K21</f>
        <v>1959527.7478996059</v>
      </c>
      <c r="D33" s="38">
        <f t="shared" ref="D33:D34" si="0">B33/C33</f>
        <v>0.25534060466166703</v>
      </c>
      <c r="E33" s="22" t="s">
        <v>95</v>
      </c>
    </row>
    <row r="34" spans="1:6" ht="15" thickBot="1" x14ac:dyDescent="0.35">
      <c r="A34" s="24" t="s">
        <v>39</v>
      </c>
      <c r="B34" s="27">
        <f>D7+D12+D17+D22</f>
        <v>6727197</v>
      </c>
      <c r="C34" s="27">
        <f>K7+K12+K17+K22</f>
        <v>23840259.38018829</v>
      </c>
      <c r="D34" s="39">
        <f t="shared" si="0"/>
        <v>0.28217801210629567</v>
      </c>
      <c r="E34" s="26" t="s">
        <v>96</v>
      </c>
    </row>
    <row r="35" spans="1:6" x14ac:dyDescent="0.3">
      <c r="C35" s="38"/>
      <c r="D35" s="38"/>
    </row>
    <row r="36" spans="1:6" x14ac:dyDescent="0.3">
      <c r="A36" s="21"/>
      <c r="C36" s="38"/>
    </row>
    <row r="39" spans="1:6" x14ac:dyDescent="0.3">
      <c r="E39" s="2"/>
      <c r="F39" s="2"/>
    </row>
    <row r="40" spans="1:6" x14ac:dyDescent="0.3">
      <c r="E40" s="2"/>
      <c r="F40" s="2"/>
    </row>
    <row r="42" spans="1:6" x14ac:dyDescent="0.3">
      <c r="B42" s="2"/>
    </row>
    <row r="44" spans="1:6" x14ac:dyDescent="0.3">
      <c r="B44" s="5"/>
      <c r="C44" s="5"/>
      <c r="D44" s="6"/>
      <c r="E44" s="5"/>
      <c r="F44" s="5"/>
    </row>
    <row r="45" spans="1:6" x14ac:dyDescent="0.3">
      <c r="B45" s="5"/>
      <c r="C45" s="5"/>
      <c r="D45" s="6"/>
      <c r="E45" s="5"/>
      <c r="F45" s="5"/>
    </row>
    <row r="46" spans="1:6" x14ac:dyDescent="0.3">
      <c r="B46" s="5"/>
      <c r="C46" s="5"/>
      <c r="D46" s="6"/>
      <c r="E46" s="5"/>
      <c r="F46" s="5"/>
    </row>
    <row r="47" spans="1:6" x14ac:dyDescent="0.3">
      <c r="B47" s="5"/>
      <c r="C47" s="5"/>
      <c r="D47" s="6"/>
      <c r="E47" s="5"/>
      <c r="F47" s="5"/>
    </row>
    <row r="49" spans="1:7" x14ac:dyDescent="0.3">
      <c r="A49" s="9"/>
    </row>
    <row r="50" spans="1:7" x14ac:dyDescent="0.3">
      <c r="A50" s="2"/>
    </row>
    <row r="51" spans="1:7" x14ac:dyDescent="0.3">
      <c r="A51" s="2"/>
    </row>
    <row r="52" spans="1:7" x14ac:dyDescent="0.3">
      <c r="A52" s="8"/>
    </row>
    <row r="53" spans="1:7" x14ac:dyDescent="0.3">
      <c r="A53" s="8"/>
    </row>
    <row r="60" spans="1:7" x14ac:dyDescent="0.3">
      <c r="C60" s="2"/>
      <c r="D60" s="2"/>
      <c r="E60" s="2"/>
      <c r="F60" s="2"/>
      <c r="G60" s="2"/>
    </row>
    <row r="61" spans="1:7" x14ac:dyDescent="0.3">
      <c r="A61" s="5"/>
      <c r="C61" s="6"/>
      <c r="D61" s="6"/>
      <c r="E61" s="6"/>
      <c r="F61" s="6"/>
    </row>
    <row r="62" spans="1:7" x14ac:dyDescent="0.3">
      <c r="G62" s="4"/>
    </row>
    <row r="64" spans="1:7" x14ac:dyDescent="0.3">
      <c r="A64" s="7"/>
      <c r="C64" s="6"/>
      <c r="D64" s="6"/>
      <c r="E64" s="6"/>
      <c r="F64" s="6"/>
    </row>
  </sheetData>
  <conditionalFormatting sqref="C35:C36 D35">
    <cfRule type="colorScale" priority="7">
      <colorScale>
        <cfvo type="min"/>
        <cfvo type="max"/>
        <color rgb="FFFCFCFF"/>
        <color rgb="FFF8696B"/>
      </colorScale>
    </cfRule>
  </conditionalFormatting>
  <conditionalFormatting sqref="L5:L22">
    <cfRule type="colorScale" priority="6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4A777-1F2A-4446-94CD-E713E1D88A68}">
  <dimension ref="A1:D21"/>
  <sheetViews>
    <sheetView zoomScale="130" zoomScaleNormal="130" workbookViewId="0">
      <selection activeCell="D21" sqref="D21"/>
    </sheetView>
  </sheetViews>
  <sheetFormatPr defaultRowHeight="14.4" x14ac:dyDescent="0.3"/>
  <cols>
    <col min="1" max="1" width="3" bestFit="1" customWidth="1"/>
    <col min="2" max="2" width="21.88671875" customWidth="1"/>
    <col min="3" max="3" width="20.5546875" bestFit="1" customWidth="1"/>
    <col min="4" max="4" width="25.6640625" bestFit="1" customWidth="1"/>
  </cols>
  <sheetData>
    <row r="1" spans="1:4" x14ac:dyDescent="0.3">
      <c r="B1" s="2" t="s">
        <v>5</v>
      </c>
      <c r="C1" s="2" t="s">
        <v>87</v>
      </c>
      <c r="D1" s="2" t="s">
        <v>88</v>
      </c>
    </row>
    <row r="2" spans="1:4" x14ac:dyDescent="0.3">
      <c r="A2">
        <v>0</v>
      </c>
      <c r="B2" s="5">
        <v>70313745.991088897</v>
      </c>
      <c r="C2" t="s">
        <v>42</v>
      </c>
      <c r="D2" t="s">
        <v>89</v>
      </c>
    </row>
    <row r="3" spans="1:4" x14ac:dyDescent="0.3">
      <c r="A3">
        <v>1</v>
      </c>
      <c r="B3" s="5">
        <v>31077290440.3353</v>
      </c>
      <c r="C3" t="s">
        <v>42</v>
      </c>
      <c r="D3" t="s">
        <v>90</v>
      </c>
    </row>
    <row r="4" spans="1:4" x14ac:dyDescent="0.3">
      <c r="A4">
        <v>2</v>
      </c>
      <c r="B4" s="5">
        <v>374245087829.995</v>
      </c>
      <c r="C4" t="s">
        <v>42</v>
      </c>
      <c r="D4" t="s">
        <v>91</v>
      </c>
    </row>
    <row r="5" spans="1:4" x14ac:dyDescent="0.3">
      <c r="A5">
        <v>3</v>
      </c>
      <c r="B5" s="5">
        <v>3342607813.1602802</v>
      </c>
      <c r="C5" t="s">
        <v>42</v>
      </c>
      <c r="D5" t="s">
        <v>92</v>
      </c>
    </row>
    <row r="6" spans="1:4" x14ac:dyDescent="0.3">
      <c r="A6">
        <v>4</v>
      </c>
      <c r="B6" s="5">
        <v>1282069032.7405801</v>
      </c>
      <c r="C6" t="s">
        <v>10</v>
      </c>
      <c r="D6" t="s">
        <v>89</v>
      </c>
    </row>
    <row r="7" spans="1:4" x14ac:dyDescent="0.3">
      <c r="A7">
        <v>5</v>
      </c>
      <c r="B7" s="5">
        <v>73341993650.354004</v>
      </c>
      <c r="C7" t="s">
        <v>10</v>
      </c>
      <c r="D7" t="s">
        <v>90</v>
      </c>
    </row>
    <row r="8" spans="1:4" x14ac:dyDescent="0.3">
      <c r="A8">
        <v>6</v>
      </c>
      <c r="B8" s="5">
        <v>1423160312954.8101</v>
      </c>
      <c r="C8" t="s">
        <v>10</v>
      </c>
      <c r="D8" t="s">
        <v>91</v>
      </c>
    </row>
    <row r="9" spans="1:4" x14ac:dyDescent="0.3">
      <c r="A9">
        <v>7</v>
      </c>
      <c r="B9" s="5">
        <v>5856923208.0876303</v>
      </c>
      <c r="C9" t="s">
        <v>10</v>
      </c>
      <c r="D9" t="s">
        <v>92</v>
      </c>
    </row>
    <row r="10" spans="1:4" x14ac:dyDescent="0.3">
      <c r="A10">
        <v>8</v>
      </c>
      <c r="B10" s="5">
        <v>143153806.63444999</v>
      </c>
      <c r="C10" t="s">
        <v>57</v>
      </c>
      <c r="D10" t="s">
        <v>89</v>
      </c>
    </row>
    <row r="11" spans="1:4" x14ac:dyDescent="0.3">
      <c r="A11">
        <v>9</v>
      </c>
      <c r="B11" s="5">
        <v>51212133589.946899</v>
      </c>
      <c r="C11" t="s">
        <v>57</v>
      </c>
      <c r="D11" t="s">
        <v>90</v>
      </c>
    </row>
    <row r="12" spans="1:4" x14ac:dyDescent="0.3">
      <c r="A12">
        <v>10</v>
      </c>
      <c r="B12" s="5">
        <v>737855273310.74304</v>
      </c>
      <c r="C12" t="s">
        <v>57</v>
      </c>
      <c r="D12" t="s">
        <v>91</v>
      </c>
    </row>
    <row r="13" spans="1:4" x14ac:dyDescent="0.3">
      <c r="A13">
        <v>11</v>
      </c>
      <c r="B13" s="5">
        <v>8767834403.2231693</v>
      </c>
      <c r="C13" t="s">
        <v>57</v>
      </c>
      <c r="D13" t="s">
        <v>92</v>
      </c>
    </row>
    <row r="14" spans="1:4" x14ac:dyDescent="0.3">
      <c r="A14">
        <v>12</v>
      </c>
      <c r="B14" s="5">
        <v>463991162.53348702</v>
      </c>
      <c r="C14" t="s">
        <v>68</v>
      </c>
      <c r="D14" t="s">
        <v>89</v>
      </c>
    </row>
    <row r="15" spans="1:4" x14ac:dyDescent="0.3">
      <c r="A15">
        <v>13</v>
      </c>
      <c r="B15" s="5">
        <v>51749013717.975403</v>
      </c>
      <c r="C15" t="s">
        <v>68</v>
      </c>
      <c r="D15" t="s">
        <v>90</v>
      </c>
    </row>
    <row r="16" spans="1:4" x14ac:dyDescent="0.3">
      <c r="A16">
        <v>14</v>
      </c>
      <c r="B16" s="5">
        <v>840436963839.78699</v>
      </c>
      <c r="C16" t="s">
        <v>68</v>
      </c>
      <c r="D16" t="s">
        <v>91</v>
      </c>
    </row>
    <row r="17" spans="1:4" x14ac:dyDescent="0.3">
      <c r="A17">
        <v>15</v>
      </c>
      <c r="B17" s="5">
        <v>5872893955.7172098</v>
      </c>
      <c r="C17" t="s">
        <v>68</v>
      </c>
      <c r="D17" t="s">
        <v>92</v>
      </c>
    </row>
    <row r="21" spans="1:4" x14ac:dyDescent="0.3">
      <c r="B21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623D0-FF7A-4EBF-9356-541CC68D88B5}">
  <dimension ref="A1:G6161"/>
  <sheetViews>
    <sheetView zoomScale="115" zoomScaleNormal="115" workbookViewId="0">
      <selection activeCell="K12" sqref="K12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0</v>
      </c>
      <c r="E2" t="s">
        <v>10</v>
      </c>
      <c r="F2" t="s">
        <v>11</v>
      </c>
      <c r="G2" t="s">
        <v>12</v>
      </c>
    </row>
    <row r="3" spans="1:7" x14ac:dyDescent="0.3">
      <c r="A3" t="s">
        <v>7</v>
      </c>
      <c r="B3" t="s">
        <v>8</v>
      </c>
      <c r="C3" t="s">
        <v>13</v>
      </c>
      <c r="D3">
        <v>18</v>
      </c>
      <c r="E3" t="s">
        <v>10</v>
      </c>
      <c r="F3" t="s">
        <v>11</v>
      </c>
      <c r="G3" t="s">
        <v>12</v>
      </c>
    </row>
    <row r="4" spans="1:7" x14ac:dyDescent="0.3">
      <c r="A4" t="s">
        <v>7</v>
      </c>
      <c r="B4" t="s">
        <v>8</v>
      </c>
      <c r="C4" t="s">
        <v>14</v>
      </c>
      <c r="D4">
        <v>0</v>
      </c>
      <c r="E4" t="s">
        <v>10</v>
      </c>
      <c r="F4" t="s">
        <v>11</v>
      </c>
      <c r="G4" t="s">
        <v>12</v>
      </c>
    </row>
    <row r="5" spans="1:7" x14ac:dyDescent="0.3">
      <c r="A5" t="s">
        <v>7</v>
      </c>
      <c r="B5" t="s">
        <v>8</v>
      </c>
      <c r="C5" t="s">
        <v>15</v>
      </c>
      <c r="D5">
        <v>0</v>
      </c>
      <c r="E5" t="s">
        <v>10</v>
      </c>
      <c r="F5" t="s">
        <v>11</v>
      </c>
      <c r="G5" t="s">
        <v>12</v>
      </c>
    </row>
    <row r="6" spans="1:7" x14ac:dyDescent="0.3">
      <c r="A6" t="s">
        <v>7</v>
      </c>
      <c r="B6" t="s">
        <v>8</v>
      </c>
      <c r="C6" t="s">
        <v>16</v>
      </c>
      <c r="D6">
        <v>0</v>
      </c>
      <c r="E6" t="s">
        <v>10</v>
      </c>
      <c r="F6" t="s">
        <v>11</v>
      </c>
      <c r="G6" t="s">
        <v>12</v>
      </c>
    </row>
    <row r="7" spans="1:7" x14ac:dyDescent="0.3">
      <c r="A7" t="s">
        <v>7</v>
      </c>
      <c r="B7" t="s">
        <v>8</v>
      </c>
      <c r="C7" t="s">
        <v>17</v>
      </c>
      <c r="D7">
        <v>0</v>
      </c>
      <c r="E7" t="s">
        <v>10</v>
      </c>
      <c r="F7" t="s">
        <v>11</v>
      </c>
      <c r="G7" t="s">
        <v>12</v>
      </c>
    </row>
    <row r="8" spans="1:7" x14ac:dyDescent="0.3">
      <c r="A8" t="s">
        <v>7</v>
      </c>
      <c r="B8" t="s">
        <v>8</v>
      </c>
      <c r="C8" t="s">
        <v>18</v>
      </c>
      <c r="D8">
        <v>0</v>
      </c>
      <c r="E8" t="s">
        <v>10</v>
      </c>
      <c r="F8" t="s">
        <v>11</v>
      </c>
      <c r="G8" t="s">
        <v>12</v>
      </c>
    </row>
    <row r="9" spans="1:7" x14ac:dyDescent="0.3">
      <c r="A9" t="s">
        <v>7</v>
      </c>
      <c r="B9" t="s">
        <v>8</v>
      </c>
      <c r="C9" t="s">
        <v>19</v>
      </c>
      <c r="D9">
        <v>0</v>
      </c>
      <c r="E9" t="s">
        <v>10</v>
      </c>
      <c r="F9" t="s">
        <v>11</v>
      </c>
      <c r="G9" t="s">
        <v>12</v>
      </c>
    </row>
    <row r="10" spans="1:7" x14ac:dyDescent="0.3">
      <c r="A10" t="s">
        <v>7</v>
      </c>
      <c r="B10" t="s">
        <v>8</v>
      </c>
      <c r="C10" t="s">
        <v>20</v>
      </c>
      <c r="D10">
        <v>0</v>
      </c>
      <c r="E10" t="s">
        <v>10</v>
      </c>
      <c r="F10" t="s">
        <v>11</v>
      </c>
      <c r="G10" t="s">
        <v>12</v>
      </c>
    </row>
    <row r="11" spans="1:7" x14ac:dyDescent="0.3">
      <c r="A11" t="s">
        <v>7</v>
      </c>
      <c r="B11" t="s">
        <v>8</v>
      </c>
      <c r="C11" t="s">
        <v>21</v>
      </c>
      <c r="D11">
        <v>0</v>
      </c>
      <c r="E11" t="s">
        <v>10</v>
      </c>
      <c r="F11" t="s">
        <v>11</v>
      </c>
      <c r="G11" t="s">
        <v>12</v>
      </c>
    </row>
    <row r="12" spans="1:7" x14ac:dyDescent="0.3">
      <c r="A12" t="s">
        <v>7</v>
      </c>
      <c r="B12" t="s">
        <v>8</v>
      </c>
      <c r="C12" t="s">
        <v>22</v>
      </c>
      <c r="D12">
        <v>1605</v>
      </c>
      <c r="E12" t="s">
        <v>10</v>
      </c>
      <c r="F12" t="s">
        <v>11</v>
      </c>
      <c r="G12" t="s">
        <v>12</v>
      </c>
    </row>
    <row r="13" spans="1:7" x14ac:dyDescent="0.3">
      <c r="A13" t="s">
        <v>7</v>
      </c>
      <c r="B13" t="s">
        <v>23</v>
      </c>
      <c r="C13" t="s">
        <v>9</v>
      </c>
      <c r="D13">
        <v>3</v>
      </c>
      <c r="E13" t="s">
        <v>10</v>
      </c>
      <c r="F13" t="s">
        <v>11</v>
      </c>
      <c r="G13" t="s">
        <v>12</v>
      </c>
    </row>
    <row r="14" spans="1:7" x14ac:dyDescent="0.3">
      <c r="A14" t="s">
        <v>7</v>
      </c>
      <c r="B14" t="s">
        <v>23</v>
      </c>
      <c r="C14" t="s">
        <v>13</v>
      </c>
      <c r="D14">
        <v>48</v>
      </c>
      <c r="E14" t="s">
        <v>10</v>
      </c>
      <c r="F14" t="s">
        <v>11</v>
      </c>
      <c r="G14" t="s">
        <v>12</v>
      </c>
    </row>
    <row r="15" spans="1:7" x14ac:dyDescent="0.3">
      <c r="A15" t="s">
        <v>7</v>
      </c>
      <c r="B15" t="s">
        <v>23</v>
      </c>
      <c r="C15" t="s">
        <v>14</v>
      </c>
      <c r="D15">
        <v>36</v>
      </c>
      <c r="E15" t="s">
        <v>10</v>
      </c>
      <c r="F15" t="s">
        <v>11</v>
      </c>
      <c r="G15" t="s">
        <v>12</v>
      </c>
    </row>
    <row r="16" spans="1:7" x14ac:dyDescent="0.3">
      <c r="A16" t="s">
        <v>7</v>
      </c>
      <c r="B16" t="s">
        <v>23</v>
      </c>
      <c r="C16" t="s">
        <v>15</v>
      </c>
      <c r="D16">
        <v>3</v>
      </c>
      <c r="E16" t="s">
        <v>10</v>
      </c>
      <c r="F16" t="s">
        <v>11</v>
      </c>
      <c r="G16" t="s">
        <v>12</v>
      </c>
    </row>
    <row r="17" spans="1:7" x14ac:dyDescent="0.3">
      <c r="A17" t="s">
        <v>7</v>
      </c>
      <c r="B17" t="s">
        <v>23</v>
      </c>
      <c r="C17" t="s">
        <v>16</v>
      </c>
      <c r="D17">
        <v>18</v>
      </c>
      <c r="E17" t="s">
        <v>10</v>
      </c>
      <c r="F17" t="s">
        <v>11</v>
      </c>
      <c r="G17" t="s">
        <v>12</v>
      </c>
    </row>
    <row r="18" spans="1:7" x14ac:dyDescent="0.3">
      <c r="A18" t="s">
        <v>7</v>
      </c>
      <c r="B18" t="s">
        <v>23</v>
      </c>
      <c r="C18" t="s">
        <v>17</v>
      </c>
      <c r="D18">
        <v>3</v>
      </c>
      <c r="E18" t="s">
        <v>10</v>
      </c>
      <c r="F18" t="s">
        <v>11</v>
      </c>
      <c r="G18" t="s">
        <v>12</v>
      </c>
    </row>
    <row r="19" spans="1:7" x14ac:dyDescent="0.3">
      <c r="A19" t="s">
        <v>7</v>
      </c>
      <c r="B19" t="s">
        <v>23</v>
      </c>
      <c r="C19" t="s">
        <v>18</v>
      </c>
      <c r="D19">
        <v>0</v>
      </c>
      <c r="E19" t="s">
        <v>10</v>
      </c>
      <c r="F19" t="s">
        <v>11</v>
      </c>
      <c r="G19" t="s">
        <v>12</v>
      </c>
    </row>
    <row r="20" spans="1:7" x14ac:dyDescent="0.3">
      <c r="A20" t="s">
        <v>7</v>
      </c>
      <c r="B20" t="s">
        <v>23</v>
      </c>
      <c r="C20" t="s">
        <v>19</v>
      </c>
      <c r="D20">
        <v>7</v>
      </c>
      <c r="E20" t="s">
        <v>10</v>
      </c>
      <c r="F20" t="s">
        <v>11</v>
      </c>
      <c r="G20" t="s">
        <v>12</v>
      </c>
    </row>
    <row r="21" spans="1:7" x14ac:dyDescent="0.3">
      <c r="A21" t="s">
        <v>7</v>
      </c>
      <c r="B21" t="s">
        <v>23</v>
      </c>
      <c r="C21" t="s">
        <v>20</v>
      </c>
      <c r="D21">
        <v>3</v>
      </c>
      <c r="E21" t="s">
        <v>10</v>
      </c>
      <c r="F21" t="s">
        <v>11</v>
      </c>
      <c r="G21" t="s">
        <v>12</v>
      </c>
    </row>
    <row r="22" spans="1:7" x14ac:dyDescent="0.3">
      <c r="A22" t="s">
        <v>7</v>
      </c>
      <c r="B22" t="s">
        <v>23</v>
      </c>
      <c r="C22" t="s">
        <v>21</v>
      </c>
      <c r="D22">
        <v>1</v>
      </c>
      <c r="E22" t="s">
        <v>10</v>
      </c>
      <c r="F22" t="s">
        <v>11</v>
      </c>
      <c r="G22" t="s">
        <v>12</v>
      </c>
    </row>
    <row r="23" spans="1:7" x14ac:dyDescent="0.3">
      <c r="A23" t="s">
        <v>7</v>
      </c>
      <c r="B23" t="s">
        <v>23</v>
      </c>
      <c r="C23" t="s">
        <v>22</v>
      </c>
      <c r="D23">
        <v>338</v>
      </c>
      <c r="E23" t="s">
        <v>10</v>
      </c>
      <c r="F23" t="s">
        <v>11</v>
      </c>
      <c r="G23" t="s">
        <v>12</v>
      </c>
    </row>
    <row r="24" spans="1:7" x14ac:dyDescent="0.3">
      <c r="A24" t="s">
        <v>24</v>
      </c>
      <c r="B24" t="s">
        <v>8</v>
      </c>
      <c r="C24" t="s">
        <v>9</v>
      </c>
      <c r="D24">
        <v>2</v>
      </c>
      <c r="E24" t="s">
        <v>10</v>
      </c>
      <c r="F24" t="s">
        <v>11</v>
      </c>
      <c r="G24" t="s">
        <v>12</v>
      </c>
    </row>
    <row r="25" spans="1:7" x14ac:dyDescent="0.3">
      <c r="A25" t="s">
        <v>24</v>
      </c>
      <c r="B25" t="s">
        <v>8</v>
      </c>
      <c r="C25" t="s">
        <v>13</v>
      </c>
      <c r="D25">
        <v>0</v>
      </c>
      <c r="E25" t="s">
        <v>10</v>
      </c>
      <c r="F25" t="s">
        <v>11</v>
      </c>
      <c r="G25" t="s">
        <v>12</v>
      </c>
    </row>
    <row r="26" spans="1:7" x14ac:dyDescent="0.3">
      <c r="A26" t="s">
        <v>24</v>
      </c>
      <c r="B26" t="s">
        <v>8</v>
      </c>
      <c r="C26" t="s">
        <v>14</v>
      </c>
      <c r="D26">
        <v>892</v>
      </c>
      <c r="E26" t="s">
        <v>10</v>
      </c>
      <c r="F26" t="s">
        <v>11</v>
      </c>
      <c r="G26" t="s">
        <v>12</v>
      </c>
    </row>
    <row r="27" spans="1:7" x14ac:dyDescent="0.3">
      <c r="A27" t="s">
        <v>24</v>
      </c>
      <c r="B27" t="s">
        <v>8</v>
      </c>
      <c r="C27" t="s">
        <v>15</v>
      </c>
      <c r="D27">
        <v>0</v>
      </c>
      <c r="E27" t="s">
        <v>10</v>
      </c>
      <c r="F27" t="s">
        <v>11</v>
      </c>
      <c r="G27" t="s">
        <v>12</v>
      </c>
    </row>
    <row r="28" spans="1:7" x14ac:dyDescent="0.3">
      <c r="A28" t="s">
        <v>24</v>
      </c>
      <c r="B28" t="s">
        <v>8</v>
      </c>
      <c r="C28" t="s">
        <v>16</v>
      </c>
      <c r="D28">
        <v>37025</v>
      </c>
      <c r="E28" t="s">
        <v>10</v>
      </c>
      <c r="F28" t="s">
        <v>11</v>
      </c>
      <c r="G28" t="s">
        <v>12</v>
      </c>
    </row>
    <row r="29" spans="1:7" x14ac:dyDescent="0.3">
      <c r="A29" t="s">
        <v>24</v>
      </c>
      <c r="B29" t="s">
        <v>8</v>
      </c>
      <c r="C29" t="s">
        <v>17</v>
      </c>
      <c r="D29">
        <v>11407</v>
      </c>
      <c r="E29" t="s">
        <v>10</v>
      </c>
      <c r="F29" t="s">
        <v>11</v>
      </c>
      <c r="G29" t="s">
        <v>12</v>
      </c>
    </row>
    <row r="30" spans="1:7" x14ac:dyDescent="0.3">
      <c r="A30" t="s">
        <v>24</v>
      </c>
      <c r="B30" t="s">
        <v>8</v>
      </c>
      <c r="C30" t="s">
        <v>18</v>
      </c>
      <c r="D30">
        <v>0</v>
      </c>
      <c r="E30" t="s">
        <v>10</v>
      </c>
      <c r="F30" t="s">
        <v>11</v>
      </c>
      <c r="G30" t="s">
        <v>12</v>
      </c>
    </row>
    <row r="31" spans="1:7" x14ac:dyDescent="0.3">
      <c r="A31" t="s">
        <v>24</v>
      </c>
      <c r="B31" t="s">
        <v>8</v>
      </c>
      <c r="C31" t="s">
        <v>19</v>
      </c>
      <c r="D31">
        <v>0</v>
      </c>
      <c r="E31" t="s">
        <v>10</v>
      </c>
      <c r="F31" t="s">
        <v>11</v>
      </c>
      <c r="G31" t="s">
        <v>12</v>
      </c>
    </row>
    <row r="32" spans="1:7" x14ac:dyDescent="0.3">
      <c r="A32" t="s">
        <v>24</v>
      </c>
      <c r="B32" t="s">
        <v>8</v>
      </c>
      <c r="C32" t="s">
        <v>20</v>
      </c>
      <c r="D32">
        <v>0</v>
      </c>
      <c r="E32" t="s">
        <v>10</v>
      </c>
      <c r="F32" t="s">
        <v>11</v>
      </c>
      <c r="G32" t="s">
        <v>12</v>
      </c>
    </row>
    <row r="33" spans="1:7" x14ac:dyDescent="0.3">
      <c r="A33" t="s">
        <v>24</v>
      </c>
      <c r="B33" t="s">
        <v>8</v>
      </c>
      <c r="C33" t="s">
        <v>21</v>
      </c>
      <c r="D33">
        <v>0</v>
      </c>
      <c r="E33" t="s">
        <v>10</v>
      </c>
      <c r="F33" t="s">
        <v>11</v>
      </c>
      <c r="G33" t="s">
        <v>12</v>
      </c>
    </row>
    <row r="34" spans="1:7" x14ac:dyDescent="0.3">
      <c r="A34" t="s">
        <v>24</v>
      </c>
      <c r="B34" t="s">
        <v>8</v>
      </c>
      <c r="C34" t="s">
        <v>22</v>
      </c>
      <c r="D34">
        <v>0</v>
      </c>
      <c r="E34" t="s">
        <v>10</v>
      </c>
      <c r="F34" t="s">
        <v>11</v>
      </c>
      <c r="G34" t="s">
        <v>12</v>
      </c>
    </row>
    <row r="35" spans="1:7" x14ac:dyDescent="0.3">
      <c r="A35" t="s">
        <v>24</v>
      </c>
      <c r="B35" t="s">
        <v>23</v>
      </c>
      <c r="C35" t="s">
        <v>9</v>
      </c>
      <c r="D35">
        <v>4</v>
      </c>
      <c r="E35" t="s">
        <v>10</v>
      </c>
      <c r="F35" t="s">
        <v>11</v>
      </c>
      <c r="G35" t="s">
        <v>12</v>
      </c>
    </row>
    <row r="36" spans="1:7" x14ac:dyDescent="0.3">
      <c r="A36" t="s">
        <v>24</v>
      </c>
      <c r="B36" t="s">
        <v>23</v>
      </c>
      <c r="C36" t="s">
        <v>13</v>
      </c>
      <c r="D36">
        <v>2</v>
      </c>
      <c r="E36" t="s">
        <v>10</v>
      </c>
      <c r="F36" t="s">
        <v>11</v>
      </c>
      <c r="G36" t="s">
        <v>12</v>
      </c>
    </row>
    <row r="37" spans="1:7" x14ac:dyDescent="0.3">
      <c r="A37" t="s">
        <v>24</v>
      </c>
      <c r="B37" t="s">
        <v>23</v>
      </c>
      <c r="C37" t="s">
        <v>14</v>
      </c>
      <c r="D37">
        <v>32</v>
      </c>
      <c r="E37" t="s">
        <v>10</v>
      </c>
      <c r="F37" t="s">
        <v>11</v>
      </c>
      <c r="G37" t="s">
        <v>12</v>
      </c>
    </row>
    <row r="38" spans="1:7" x14ac:dyDescent="0.3">
      <c r="A38" t="s">
        <v>24</v>
      </c>
      <c r="B38" t="s">
        <v>23</v>
      </c>
      <c r="C38" t="s">
        <v>15</v>
      </c>
      <c r="D38">
        <v>0</v>
      </c>
      <c r="E38" t="s">
        <v>10</v>
      </c>
      <c r="F38" t="s">
        <v>11</v>
      </c>
      <c r="G38" t="s">
        <v>12</v>
      </c>
    </row>
    <row r="39" spans="1:7" x14ac:dyDescent="0.3">
      <c r="A39" t="s">
        <v>24</v>
      </c>
      <c r="B39" t="s">
        <v>23</v>
      </c>
      <c r="C39" t="s">
        <v>16</v>
      </c>
      <c r="D39">
        <v>3103</v>
      </c>
      <c r="E39" t="s">
        <v>10</v>
      </c>
      <c r="F39" t="s">
        <v>11</v>
      </c>
      <c r="G39" t="s">
        <v>12</v>
      </c>
    </row>
    <row r="40" spans="1:7" x14ac:dyDescent="0.3">
      <c r="A40" t="s">
        <v>24</v>
      </c>
      <c r="B40" t="s">
        <v>23</v>
      </c>
      <c r="C40" t="s">
        <v>17</v>
      </c>
      <c r="D40">
        <v>115</v>
      </c>
      <c r="E40" t="s">
        <v>10</v>
      </c>
      <c r="F40" t="s">
        <v>11</v>
      </c>
      <c r="G40" t="s">
        <v>12</v>
      </c>
    </row>
    <row r="41" spans="1:7" x14ac:dyDescent="0.3">
      <c r="A41" t="s">
        <v>24</v>
      </c>
      <c r="B41" t="s">
        <v>23</v>
      </c>
      <c r="C41" t="s">
        <v>18</v>
      </c>
      <c r="D41">
        <v>0</v>
      </c>
      <c r="E41" t="s">
        <v>10</v>
      </c>
      <c r="F41" t="s">
        <v>11</v>
      </c>
      <c r="G41" t="s">
        <v>12</v>
      </c>
    </row>
    <row r="42" spans="1:7" x14ac:dyDescent="0.3">
      <c r="A42" t="s">
        <v>24</v>
      </c>
      <c r="B42" t="s">
        <v>23</v>
      </c>
      <c r="C42" t="s">
        <v>19</v>
      </c>
      <c r="D42">
        <v>0</v>
      </c>
      <c r="E42" t="s">
        <v>10</v>
      </c>
      <c r="F42" t="s">
        <v>11</v>
      </c>
      <c r="G42" t="s">
        <v>12</v>
      </c>
    </row>
    <row r="43" spans="1:7" x14ac:dyDescent="0.3">
      <c r="A43" t="s">
        <v>24</v>
      </c>
      <c r="B43" t="s">
        <v>23</v>
      </c>
      <c r="C43" t="s">
        <v>20</v>
      </c>
      <c r="D43">
        <v>7</v>
      </c>
      <c r="E43" t="s">
        <v>10</v>
      </c>
      <c r="F43" t="s">
        <v>11</v>
      </c>
      <c r="G43" t="s">
        <v>12</v>
      </c>
    </row>
    <row r="44" spans="1:7" x14ac:dyDescent="0.3">
      <c r="A44" t="s">
        <v>24</v>
      </c>
      <c r="B44" t="s">
        <v>23</v>
      </c>
      <c r="C44" t="s">
        <v>21</v>
      </c>
      <c r="D44">
        <v>0</v>
      </c>
      <c r="E44" t="s">
        <v>10</v>
      </c>
      <c r="F44" t="s">
        <v>11</v>
      </c>
      <c r="G44" t="s">
        <v>12</v>
      </c>
    </row>
    <row r="45" spans="1:7" x14ac:dyDescent="0.3">
      <c r="A45" t="s">
        <v>24</v>
      </c>
      <c r="B45" t="s">
        <v>23</v>
      </c>
      <c r="C45" t="s">
        <v>22</v>
      </c>
      <c r="D45">
        <v>2</v>
      </c>
      <c r="E45" t="s">
        <v>10</v>
      </c>
      <c r="F45" t="s">
        <v>11</v>
      </c>
      <c r="G45" t="s">
        <v>12</v>
      </c>
    </row>
    <row r="46" spans="1:7" x14ac:dyDescent="0.3">
      <c r="A46" t="s">
        <v>25</v>
      </c>
      <c r="B46" t="s">
        <v>8</v>
      </c>
      <c r="C46" t="s">
        <v>9</v>
      </c>
      <c r="D46">
        <v>0</v>
      </c>
      <c r="E46" t="s">
        <v>10</v>
      </c>
      <c r="F46" t="s">
        <v>11</v>
      </c>
      <c r="G46" t="s">
        <v>12</v>
      </c>
    </row>
    <row r="47" spans="1:7" x14ac:dyDescent="0.3">
      <c r="A47" t="s">
        <v>25</v>
      </c>
      <c r="B47" t="s">
        <v>8</v>
      </c>
      <c r="C47" t="s">
        <v>13</v>
      </c>
      <c r="D47">
        <v>7</v>
      </c>
      <c r="E47" t="s">
        <v>10</v>
      </c>
      <c r="F47" t="s">
        <v>11</v>
      </c>
      <c r="G47" t="s">
        <v>12</v>
      </c>
    </row>
    <row r="48" spans="1:7" x14ac:dyDescent="0.3">
      <c r="A48" t="s">
        <v>25</v>
      </c>
      <c r="B48" t="s">
        <v>8</v>
      </c>
      <c r="C48" t="s">
        <v>14</v>
      </c>
      <c r="D48">
        <v>0</v>
      </c>
      <c r="E48" t="s">
        <v>10</v>
      </c>
      <c r="F48" t="s">
        <v>11</v>
      </c>
      <c r="G48" t="s">
        <v>12</v>
      </c>
    </row>
    <row r="49" spans="1:7" x14ac:dyDescent="0.3">
      <c r="A49" t="s">
        <v>25</v>
      </c>
      <c r="B49" t="s">
        <v>8</v>
      </c>
      <c r="C49" t="s">
        <v>15</v>
      </c>
      <c r="D49">
        <v>0</v>
      </c>
      <c r="E49" t="s">
        <v>10</v>
      </c>
      <c r="F49" t="s">
        <v>11</v>
      </c>
      <c r="G49" t="s">
        <v>12</v>
      </c>
    </row>
    <row r="50" spans="1:7" x14ac:dyDescent="0.3">
      <c r="A50" t="s">
        <v>25</v>
      </c>
      <c r="B50" t="s">
        <v>8</v>
      </c>
      <c r="C50" t="s">
        <v>16</v>
      </c>
      <c r="D50">
        <v>0</v>
      </c>
      <c r="E50" t="s">
        <v>10</v>
      </c>
      <c r="F50" t="s">
        <v>11</v>
      </c>
      <c r="G50" t="s">
        <v>12</v>
      </c>
    </row>
    <row r="51" spans="1:7" x14ac:dyDescent="0.3">
      <c r="A51" t="s">
        <v>25</v>
      </c>
      <c r="B51" t="s">
        <v>8</v>
      </c>
      <c r="C51" t="s">
        <v>17</v>
      </c>
      <c r="D51">
        <v>0</v>
      </c>
      <c r="E51" t="s">
        <v>10</v>
      </c>
      <c r="F51" t="s">
        <v>11</v>
      </c>
      <c r="G51" t="s">
        <v>12</v>
      </c>
    </row>
    <row r="52" spans="1:7" x14ac:dyDescent="0.3">
      <c r="A52" t="s">
        <v>25</v>
      </c>
      <c r="B52" t="s">
        <v>8</v>
      </c>
      <c r="C52" t="s">
        <v>18</v>
      </c>
      <c r="D52">
        <v>0</v>
      </c>
      <c r="E52" t="s">
        <v>10</v>
      </c>
      <c r="F52" t="s">
        <v>11</v>
      </c>
      <c r="G52" t="s">
        <v>12</v>
      </c>
    </row>
    <row r="53" spans="1:7" x14ac:dyDescent="0.3">
      <c r="A53" t="s">
        <v>25</v>
      </c>
      <c r="B53" t="s">
        <v>8</v>
      </c>
      <c r="C53" t="s">
        <v>19</v>
      </c>
      <c r="D53">
        <v>0</v>
      </c>
      <c r="E53" t="s">
        <v>10</v>
      </c>
      <c r="F53" t="s">
        <v>11</v>
      </c>
      <c r="G53" t="s">
        <v>12</v>
      </c>
    </row>
    <row r="54" spans="1:7" x14ac:dyDescent="0.3">
      <c r="A54" t="s">
        <v>25</v>
      </c>
      <c r="B54" t="s">
        <v>8</v>
      </c>
      <c r="C54" t="s">
        <v>20</v>
      </c>
      <c r="D54">
        <v>0</v>
      </c>
      <c r="E54" t="s">
        <v>10</v>
      </c>
      <c r="F54" t="s">
        <v>11</v>
      </c>
      <c r="G54" t="s">
        <v>12</v>
      </c>
    </row>
    <row r="55" spans="1:7" x14ac:dyDescent="0.3">
      <c r="A55" t="s">
        <v>25</v>
      </c>
      <c r="B55" t="s">
        <v>8</v>
      </c>
      <c r="C55" t="s">
        <v>21</v>
      </c>
      <c r="D55">
        <v>0</v>
      </c>
      <c r="E55" t="s">
        <v>10</v>
      </c>
      <c r="F55" t="s">
        <v>11</v>
      </c>
      <c r="G55" t="s">
        <v>12</v>
      </c>
    </row>
    <row r="56" spans="1:7" x14ac:dyDescent="0.3">
      <c r="A56" t="s">
        <v>25</v>
      </c>
      <c r="B56" t="s">
        <v>8</v>
      </c>
      <c r="C56" t="s">
        <v>22</v>
      </c>
      <c r="D56">
        <v>665</v>
      </c>
      <c r="E56" t="s">
        <v>10</v>
      </c>
      <c r="F56" t="s">
        <v>11</v>
      </c>
      <c r="G56" t="s">
        <v>12</v>
      </c>
    </row>
    <row r="57" spans="1:7" x14ac:dyDescent="0.3">
      <c r="A57" t="s">
        <v>25</v>
      </c>
      <c r="B57" t="s">
        <v>23</v>
      </c>
      <c r="C57" t="s">
        <v>9</v>
      </c>
      <c r="D57">
        <v>1</v>
      </c>
      <c r="E57" t="s">
        <v>10</v>
      </c>
      <c r="F57" t="s">
        <v>11</v>
      </c>
      <c r="G57" t="s">
        <v>12</v>
      </c>
    </row>
    <row r="58" spans="1:7" x14ac:dyDescent="0.3">
      <c r="A58" t="s">
        <v>25</v>
      </c>
      <c r="B58" t="s">
        <v>23</v>
      </c>
      <c r="C58" t="s">
        <v>13</v>
      </c>
      <c r="D58">
        <v>20</v>
      </c>
      <c r="E58" t="s">
        <v>10</v>
      </c>
      <c r="F58" t="s">
        <v>11</v>
      </c>
      <c r="G58" t="s">
        <v>12</v>
      </c>
    </row>
    <row r="59" spans="1:7" x14ac:dyDescent="0.3">
      <c r="A59" t="s">
        <v>25</v>
      </c>
      <c r="B59" t="s">
        <v>23</v>
      </c>
      <c r="C59" t="s">
        <v>14</v>
      </c>
      <c r="D59">
        <v>15</v>
      </c>
      <c r="E59" t="s">
        <v>10</v>
      </c>
      <c r="F59" t="s">
        <v>11</v>
      </c>
      <c r="G59" t="s">
        <v>12</v>
      </c>
    </row>
    <row r="60" spans="1:7" x14ac:dyDescent="0.3">
      <c r="A60" t="s">
        <v>25</v>
      </c>
      <c r="B60" t="s">
        <v>23</v>
      </c>
      <c r="C60" t="s">
        <v>15</v>
      </c>
      <c r="D60">
        <v>1</v>
      </c>
      <c r="E60" t="s">
        <v>10</v>
      </c>
      <c r="F60" t="s">
        <v>11</v>
      </c>
      <c r="G60" t="s">
        <v>12</v>
      </c>
    </row>
    <row r="61" spans="1:7" x14ac:dyDescent="0.3">
      <c r="A61" t="s">
        <v>25</v>
      </c>
      <c r="B61" t="s">
        <v>23</v>
      </c>
      <c r="C61" t="s">
        <v>16</v>
      </c>
      <c r="D61">
        <v>8</v>
      </c>
      <c r="E61" t="s">
        <v>10</v>
      </c>
      <c r="F61" t="s">
        <v>11</v>
      </c>
      <c r="G61" t="s">
        <v>12</v>
      </c>
    </row>
    <row r="62" spans="1:7" x14ac:dyDescent="0.3">
      <c r="A62" t="s">
        <v>25</v>
      </c>
      <c r="B62" t="s">
        <v>23</v>
      </c>
      <c r="C62" t="s">
        <v>17</v>
      </c>
      <c r="D62">
        <v>1</v>
      </c>
      <c r="E62" t="s">
        <v>10</v>
      </c>
      <c r="F62" t="s">
        <v>11</v>
      </c>
      <c r="G62" t="s">
        <v>12</v>
      </c>
    </row>
    <row r="63" spans="1:7" x14ac:dyDescent="0.3">
      <c r="A63" t="s">
        <v>25</v>
      </c>
      <c r="B63" t="s">
        <v>23</v>
      </c>
      <c r="C63" t="s">
        <v>18</v>
      </c>
      <c r="D63">
        <v>0</v>
      </c>
      <c r="E63" t="s">
        <v>10</v>
      </c>
      <c r="F63" t="s">
        <v>11</v>
      </c>
      <c r="G63" t="s">
        <v>12</v>
      </c>
    </row>
    <row r="64" spans="1:7" x14ac:dyDescent="0.3">
      <c r="A64" t="s">
        <v>25</v>
      </c>
      <c r="B64" t="s">
        <v>23</v>
      </c>
      <c r="C64" t="s">
        <v>19</v>
      </c>
      <c r="D64">
        <v>3</v>
      </c>
      <c r="E64" t="s">
        <v>10</v>
      </c>
      <c r="F64" t="s">
        <v>11</v>
      </c>
      <c r="G64" t="s">
        <v>12</v>
      </c>
    </row>
    <row r="65" spans="1:7" x14ac:dyDescent="0.3">
      <c r="A65" t="s">
        <v>25</v>
      </c>
      <c r="B65" t="s">
        <v>23</v>
      </c>
      <c r="C65" t="s">
        <v>20</v>
      </c>
      <c r="D65">
        <v>1</v>
      </c>
      <c r="E65" t="s">
        <v>10</v>
      </c>
      <c r="F65" t="s">
        <v>11</v>
      </c>
      <c r="G65" t="s">
        <v>12</v>
      </c>
    </row>
    <row r="66" spans="1:7" x14ac:dyDescent="0.3">
      <c r="A66" t="s">
        <v>25</v>
      </c>
      <c r="B66" t="s">
        <v>23</v>
      </c>
      <c r="C66" t="s">
        <v>21</v>
      </c>
      <c r="D66">
        <v>0</v>
      </c>
      <c r="E66" t="s">
        <v>10</v>
      </c>
      <c r="F66" t="s">
        <v>11</v>
      </c>
      <c r="G66" t="s">
        <v>12</v>
      </c>
    </row>
    <row r="67" spans="1:7" x14ac:dyDescent="0.3">
      <c r="A67" t="s">
        <v>25</v>
      </c>
      <c r="B67" t="s">
        <v>23</v>
      </c>
      <c r="C67" t="s">
        <v>22</v>
      </c>
      <c r="D67">
        <v>140</v>
      </c>
      <c r="E67" t="s">
        <v>10</v>
      </c>
      <c r="F67" t="s">
        <v>11</v>
      </c>
      <c r="G67" t="s">
        <v>12</v>
      </c>
    </row>
    <row r="68" spans="1:7" x14ac:dyDescent="0.3">
      <c r="A68" t="s">
        <v>26</v>
      </c>
      <c r="B68" t="s">
        <v>8</v>
      </c>
      <c r="C68" t="s">
        <v>9</v>
      </c>
      <c r="D68">
        <v>0</v>
      </c>
      <c r="E68" t="s">
        <v>10</v>
      </c>
      <c r="F68" t="s">
        <v>11</v>
      </c>
      <c r="G68" t="s">
        <v>12</v>
      </c>
    </row>
    <row r="69" spans="1:7" x14ac:dyDescent="0.3">
      <c r="A69" t="s">
        <v>26</v>
      </c>
      <c r="B69" t="s">
        <v>8</v>
      </c>
      <c r="C69" t="s">
        <v>13</v>
      </c>
      <c r="D69">
        <v>17</v>
      </c>
      <c r="E69" t="s">
        <v>10</v>
      </c>
      <c r="F69" t="s">
        <v>11</v>
      </c>
      <c r="G69" t="s">
        <v>12</v>
      </c>
    </row>
    <row r="70" spans="1:7" x14ac:dyDescent="0.3">
      <c r="A70" t="s">
        <v>26</v>
      </c>
      <c r="B70" t="s">
        <v>8</v>
      </c>
      <c r="C70" t="s">
        <v>14</v>
      </c>
      <c r="D70">
        <v>0</v>
      </c>
      <c r="E70" t="s">
        <v>10</v>
      </c>
      <c r="F70" t="s">
        <v>11</v>
      </c>
      <c r="G70" t="s">
        <v>12</v>
      </c>
    </row>
    <row r="71" spans="1:7" x14ac:dyDescent="0.3">
      <c r="A71" t="s">
        <v>26</v>
      </c>
      <c r="B71" t="s">
        <v>8</v>
      </c>
      <c r="C71" t="s">
        <v>15</v>
      </c>
      <c r="D71">
        <v>0</v>
      </c>
      <c r="E71" t="s">
        <v>10</v>
      </c>
      <c r="F71" t="s">
        <v>11</v>
      </c>
      <c r="G71" t="s">
        <v>12</v>
      </c>
    </row>
    <row r="72" spans="1:7" x14ac:dyDescent="0.3">
      <c r="A72" t="s">
        <v>26</v>
      </c>
      <c r="B72" t="s">
        <v>8</v>
      </c>
      <c r="C72" t="s">
        <v>16</v>
      </c>
      <c r="D72">
        <v>0</v>
      </c>
      <c r="E72" t="s">
        <v>10</v>
      </c>
      <c r="F72" t="s">
        <v>11</v>
      </c>
      <c r="G72" t="s">
        <v>12</v>
      </c>
    </row>
    <row r="73" spans="1:7" x14ac:dyDescent="0.3">
      <c r="A73" t="s">
        <v>26</v>
      </c>
      <c r="B73" t="s">
        <v>8</v>
      </c>
      <c r="C73" t="s">
        <v>17</v>
      </c>
      <c r="D73">
        <v>0</v>
      </c>
      <c r="E73" t="s">
        <v>10</v>
      </c>
      <c r="F73" t="s">
        <v>11</v>
      </c>
      <c r="G73" t="s">
        <v>12</v>
      </c>
    </row>
    <row r="74" spans="1:7" x14ac:dyDescent="0.3">
      <c r="A74" t="s">
        <v>26</v>
      </c>
      <c r="B74" t="s">
        <v>8</v>
      </c>
      <c r="C74" t="s">
        <v>18</v>
      </c>
      <c r="D74">
        <v>0</v>
      </c>
      <c r="E74" t="s">
        <v>10</v>
      </c>
      <c r="F74" t="s">
        <v>11</v>
      </c>
      <c r="G74" t="s">
        <v>12</v>
      </c>
    </row>
    <row r="75" spans="1:7" x14ac:dyDescent="0.3">
      <c r="A75" t="s">
        <v>26</v>
      </c>
      <c r="B75" t="s">
        <v>8</v>
      </c>
      <c r="C75" t="s">
        <v>19</v>
      </c>
      <c r="D75">
        <v>0</v>
      </c>
      <c r="E75" t="s">
        <v>10</v>
      </c>
      <c r="F75" t="s">
        <v>11</v>
      </c>
      <c r="G75" t="s">
        <v>12</v>
      </c>
    </row>
    <row r="76" spans="1:7" x14ac:dyDescent="0.3">
      <c r="A76" t="s">
        <v>26</v>
      </c>
      <c r="B76" t="s">
        <v>8</v>
      </c>
      <c r="C76" t="s">
        <v>20</v>
      </c>
      <c r="D76">
        <v>0</v>
      </c>
      <c r="E76" t="s">
        <v>10</v>
      </c>
      <c r="F76" t="s">
        <v>11</v>
      </c>
      <c r="G76" t="s">
        <v>12</v>
      </c>
    </row>
    <row r="77" spans="1:7" x14ac:dyDescent="0.3">
      <c r="A77" t="s">
        <v>26</v>
      </c>
      <c r="B77" t="s">
        <v>8</v>
      </c>
      <c r="C77" t="s">
        <v>21</v>
      </c>
      <c r="D77">
        <v>0</v>
      </c>
      <c r="E77" t="s">
        <v>10</v>
      </c>
      <c r="F77" t="s">
        <v>11</v>
      </c>
      <c r="G77" t="s">
        <v>12</v>
      </c>
    </row>
    <row r="78" spans="1:7" x14ac:dyDescent="0.3">
      <c r="A78" t="s">
        <v>26</v>
      </c>
      <c r="B78" t="s">
        <v>8</v>
      </c>
      <c r="C78" t="s">
        <v>22</v>
      </c>
      <c r="D78">
        <v>1549</v>
      </c>
      <c r="E78" t="s">
        <v>10</v>
      </c>
      <c r="F78" t="s">
        <v>11</v>
      </c>
      <c r="G78" t="s">
        <v>12</v>
      </c>
    </row>
    <row r="79" spans="1:7" x14ac:dyDescent="0.3">
      <c r="A79" t="s">
        <v>26</v>
      </c>
      <c r="B79" t="s">
        <v>23</v>
      </c>
      <c r="C79" t="s">
        <v>9</v>
      </c>
      <c r="D79">
        <v>3</v>
      </c>
      <c r="E79" t="s">
        <v>10</v>
      </c>
      <c r="F79" t="s">
        <v>11</v>
      </c>
      <c r="G79" t="s">
        <v>12</v>
      </c>
    </row>
    <row r="80" spans="1:7" x14ac:dyDescent="0.3">
      <c r="A80" t="s">
        <v>26</v>
      </c>
      <c r="B80" t="s">
        <v>23</v>
      </c>
      <c r="C80" t="s">
        <v>13</v>
      </c>
      <c r="D80">
        <v>47</v>
      </c>
      <c r="E80" t="s">
        <v>10</v>
      </c>
      <c r="F80" t="s">
        <v>11</v>
      </c>
      <c r="G80" t="s">
        <v>12</v>
      </c>
    </row>
    <row r="81" spans="1:7" x14ac:dyDescent="0.3">
      <c r="A81" t="s">
        <v>26</v>
      </c>
      <c r="B81" t="s">
        <v>23</v>
      </c>
      <c r="C81" t="s">
        <v>14</v>
      </c>
      <c r="D81">
        <v>34</v>
      </c>
      <c r="E81" t="s">
        <v>10</v>
      </c>
      <c r="F81" t="s">
        <v>11</v>
      </c>
      <c r="G81" t="s">
        <v>12</v>
      </c>
    </row>
    <row r="82" spans="1:7" x14ac:dyDescent="0.3">
      <c r="A82" t="s">
        <v>26</v>
      </c>
      <c r="B82" t="s">
        <v>23</v>
      </c>
      <c r="C82" t="s">
        <v>15</v>
      </c>
      <c r="D82">
        <v>3</v>
      </c>
      <c r="E82" t="s">
        <v>10</v>
      </c>
      <c r="F82" t="s">
        <v>11</v>
      </c>
      <c r="G82" t="s">
        <v>12</v>
      </c>
    </row>
    <row r="83" spans="1:7" x14ac:dyDescent="0.3">
      <c r="A83" t="s">
        <v>26</v>
      </c>
      <c r="B83" t="s">
        <v>23</v>
      </c>
      <c r="C83" t="s">
        <v>16</v>
      </c>
      <c r="D83">
        <v>18</v>
      </c>
      <c r="E83" t="s">
        <v>10</v>
      </c>
      <c r="F83" t="s">
        <v>11</v>
      </c>
      <c r="G83" t="s">
        <v>12</v>
      </c>
    </row>
    <row r="84" spans="1:7" x14ac:dyDescent="0.3">
      <c r="A84" t="s">
        <v>26</v>
      </c>
      <c r="B84" t="s">
        <v>23</v>
      </c>
      <c r="C84" t="s">
        <v>17</v>
      </c>
      <c r="D84">
        <v>3</v>
      </c>
      <c r="E84" t="s">
        <v>10</v>
      </c>
      <c r="F84" t="s">
        <v>11</v>
      </c>
      <c r="G84" t="s">
        <v>12</v>
      </c>
    </row>
    <row r="85" spans="1:7" x14ac:dyDescent="0.3">
      <c r="A85" t="s">
        <v>26</v>
      </c>
      <c r="B85" t="s">
        <v>23</v>
      </c>
      <c r="C85" t="s">
        <v>18</v>
      </c>
      <c r="D85">
        <v>0</v>
      </c>
      <c r="E85" t="s">
        <v>10</v>
      </c>
      <c r="F85" t="s">
        <v>11</v>
      </c>
      <c r="G85" t="s">
        <v>12</v>
      </c>
    </row>
    <row r="86" spans="1:7" x14ac:dyDescent="0.3">
      <c r="A86" t="s">
        <v>26</v>
      </c>
      <c r="B86" t="s">
        <v>23</v>
      </c>
      <c r="C86" t="s">
        <v>19</v>
      </c>
      <c r="D86">
        <v>7</v>
      </c>
      <c r="E86" t="s">
        <v>10</v>
      </c>
      <c r="F86" t="s">
        <v>11</v>
      </c>
      <c r="G86" t="s">
        <v>12</v>
      </c>
    </row>
    <row r="87" spans="1:7" x14ac:dyDescent="0.3">
      <c r="A87" t="s">
        <v>26</v>
      </c>
      <c r="B87" t="s">
        <v>23</v>
      </c>
      <c r="C87" t="s">
        <v>20</v>
      </c>
      <c r="D87">
        <v>3</v>
      </c>
      <c r="E87" t="s">
        <v>10</v>
      </c>
      <c r="F87" t="s">
        <v>11</v>
      </c>
      <c r="G87" t="s">
        <v>12</v>
      </c>
    </row>
    <row r="88" spans="1:7" x14ac:dyDescent="0.3">
      <c r="A88" t="s">
        <v>26</v>
      </c>
      <c r="B88" t="s">
        <v>23</v>
      </c>
      <c r="C88" t="s">
        <v>21</v>
      </c>
      <c r="D88">
        <v>1</v>
      </c>
      <c r="E88" t="s">
        <v>10</v>
      </c>
      <c r="F88" t="s">
        <v>11</v>
      </c>
      <c r="G88" t="s">
        <v>12</v>
      </c>
    </row>
    <row r="89" spans="1:7" x14ac:dyDescent="0.3">
      <c r="A89" t="s">
        <v>26</v>
      </c>
      <c r="B89" t="s">
        <v>23</v>
      </c>
      <c r="C89" t="s">
        <v>22</v>
      </c>
      <c r="D89">
        <v>326</v>
      </c>
      <c r="E89" t="s">
        <v>10</v>
      </c>
      <c r="F89" t="s">
        <v>11</v>
      </c>
      <c r="G89" t="s">
        <v>12</v>
      </c>
    </row>
    <row r="90" spans="1:7" x14ac:dyDescent="0.3">
      <c r="A90" t="s">
        <v>27</v>
      </c>
      <c r="B90" t="s">
        <v>8</v>
      </c>
      <c r="C90" t="s">
        <v>9</v>
      </c>
      <c r="D90">
        <v>3</v>
      </c>
      <c r="E90" t="s">
        <v>10</v>
      </c>
      <c r="F90" t="s">
        <v>11</v>
      </c>
      <c r="G90" t="s">
        <v>12</v>
      </c>
    </row>
    <row r="91" spans="1:7" x14ac:dyDescent="0.3">
      <c r="A91" t="s">
        <v>27</v>
      </c>
      <c r="B91" t="s">
        <v>8</v>
      </c>
      <c r="C91" t="s">
        <v>13</v>
      </c>
      <c r="D91">
        <v>0</v>
      </c>
      <c r="E91" t="s">
        <v>10</v>
      </c>
      <c r="F91" t="s">
        <v>11</v>
      </c>
      <c r="G91" t="s">
        <v>12</v>
      </c>
    </row>
    <row r="92" spans="1:7" x14ac:dyDescent="0.3">
      <c r="A92" t="s">
        <v>27</v>
      </c>
      <c r="B92" t="s">
        <v>8</v>
      </c>
      <c r="C92" t="s">
        <v>14</v>
      </c>
      <c r="D92">
        <v>71166</v>
      </c>
      <c r="E92" t="s">
        <v>10</v>
      </c>
      <c r="F92" t="s">
        <v>11</v>
      </c>
      <c r="G92" t="s">
        <v>12</v>
      </c>
    </row>
    <row r="93" spans="1:7" x14ac:dyDescent="0.3">
      <c r="A93" t="s">
        <v>27</v>
      </c>
      <c r="B93" t="s">
        <v>8</v>
      </c>
      <c r="C93" t="s">
        <v>15</v>
      </c>
      <c r="D93">
        <v>0</v>
      </c>
      <c r="E93" t="s">
        <v>10</v>
      </c>
      <c r="F93" t="s">
        <v>11</v>
      </c>
      <c r="G93" t="s">
        <v>12</v>
      </c>
    </row>
    <row r="94" spans="1:7" x14ac:dyDescent="0.3">
      <c r="A94" t="s">
        <v>27</v>
      </c>
      <c r="B94" t="s">
        <v>8</v>
      </c>
      <c r="C94" t="s">
        <v>16</v>
      </c>
      <c r="D94">
        <v>47403</v>
      </c>
      <c r="E94" t="s">
        <v>10</v>
      </c>
      <c r="F94" t="s">
        <v>11</v>
      </c>
      <c r="G94" t="s">
        <v>12</v>
      </c>
    </row>
    <row r="95" spans="1:7" x14ac:dyDescent="0.3">
      <c r="A95" t="s">
        <v>27</v>
      </c>
      <c r="B95" t="s">
        <v>8</v>
      </c>
      <c r="C95" t="s">
        <v>17</v>
      </c>
      <c r="D95">
        <v>40074</v>
      </c>
      <c r="E95" t="s">
        <v>10</v>
      </c>
      <c r="F95" t="s">
        <v>11</v>
      </c>
      <c r="G95" t="s">
        <v>12</v>
      </c>
    </row>
    <row r="96" spans="1:7" x14ac:dyDescent="0.3">
      <c r="A96" t="s">
        <v>27</v>
      </c>
      <c r="B96" t="s">
        <v>8</v>
      </c>
      <c r="C96" t="s">
        <v>18</v>
      </c>
      <c r="D96">
        <v>0</v>
      </c>
      <c r="E96" t="s">
        <v>10</v>
      </c>
      <c r="F96" t="s">
        <v>11</v>
      </c>
      <c r="G96" t="s">
        <v>12</v>
      </c>
    </row>
    <row r="97" spans="1:7" x14ac:dyDescent="0.3">
      <c r="A97" t="s">
        <v>27</v>
      </c>
      <c r="B97" t="s">
        <v>8</v>
      </c>
      <c r="C97" t="s">
        <v>19</v>
      </c>
      <c r="D97">
        <v>0</v>
      </c>
      <c r="E97" t="s">
        <v>10</v>
      </c>
      <c r="F97" t="s">
        <v>11</v>
      </c>
      <c r="G97" t="s">
        <v>12</v>
      </c>
    </row>
    <row r="98" spans="1:7" x14ac:dyDescent="0.3">
      <c r="A98" t="s">
        <v>27</v>
      </c>
      <c r="B98" t="s">
        <v>8</v>
      </c>
      <c r="C98" t="s">
        <v>20</v>
      </c>
      <c r="D98">
        <v>0</v>
      </c>
      <c r="E98" t="s">
        <v>10</v>
      </c>
      <c r="F98" t="s">
        <v>11</v>
      </c>
      <c r="G98" t="s">
        <v>12</v>
      </c>
    </row>
    <row r="99" spans="1:7" x14ac:dyDescent="0.3">
      <c r="A99" t="s">
        <v>27</v>
      </c>
      <c r="B99" t="s">
        <v>8</v>
      </c>
      <c r="C99" t="s">
        <v>21</v>
      </c>
      <c r="D99">
        <v>1</v>
      </c>
      <c r="E99" t="s">
        <v>10</v>
      </c>
      <c r="F99" t="s">
        <v>11</v>
      </c>
      <c r="G99" t="s">
        <v>12</v>
      </c>
    </row>
    <row r="100" spans="1:7" x14ac:dyDescent="0.3">
      <c r="A100" t="s">
        <v>27</v>
      </c>
      <c r="B100" t="s">
        <v>8</v>
      </c>
      <c r="C100" t="s">
        <v>22</v>
      </c>
      <c r="D100">
        <v>2</v>
      </c>
      <c r="E100" t="s">
        <v>10</v>
      </c>
      <c r="F100" t="s">
        <v>11</v>
      </c>
      <c r="G100" t="s">
        <v>12</v>
      </c>
    </row>
    <row r="101" spans="1:7" x14ac:dyDescent="0.3">
      <c r="A101" t="s">
        <v>27</v>
      </c>
      <c r="B101" t="s">
        <v>23</v>
      </c>
      <c r="C101" t="s">
        <v>9</v>
      </c>
      <c r="D101">
        <v>13</v>
      </c>
      <c r="E101" t="s">
        <v>10</v>
      </c>
      <c r="F101" t="s">
        <v>11</v>
      </c>
      <c r="G101" t="s">
        <v>12</v>
      </c>
    </row>
    <row r="102" spans="1:7" x14ac:dyDescent="0.3">
      <c r="A102" t="s">
        <v>27</v>
      </c>
      <c r="B102" t="s">
        <v>23</v>
      </c>
      <c r="C102" t="s">
        <v>13</v>
      </c>
      <c r="D102">
        <v>4</v>
      </c>
      <c r="E102" t="s">
        <v>10</v>
      </c>
      <c r="F102" t="s">
        <v>11</v>
      </c>
      <c r="G102" t="s">
        <v>12</v>
      </c>
    </row>
    <row r="103" spans="1:7" x14ac:dyDescent="0.3">
      <c r="A103" t="s">
        <v>27</v>
      </c>
      <c r="B103" t="s">
        <v>23</v>
      </c>
      <c r="C103" t="s">
        <v>14</v>
      </c>
      <c r="D103">
        <v>1684</v>
      </c>
      <c r="E103" t="s">
        <v>10</v>
      </c>
      <c r="F103" t="s">
        <v>11</v>
      </c>
      <c r="G103" t="s">
        <v>12</v>
      </c>
    </row>
    <row r="104" spans="1:7" x14ac:dyDescent="0.3">
      <c r="A104" t="s">
        <v>27</v>
      </c>
      <c r="B104" t="s">
        <v>23</v>
      </c>
      <c r="C104" t="s">
        <v>15</v>
      </c>
      <c r="D104">
        <v>3</v>
      </c>
      <c r="E104" t="s">
        <v>10</v>
      </c>
      <c r="F104" t="s">
        <v>11</v>
      </c>
      <c r="G104" t="s">
        <v>12</v>
      </c>
    </row>
    <row r="105" spans="1:7" x14ac:dyDescent="0.3">
      <c r="A105" t="s">
        <v>27</v>
      </c>
      <c r="B105" t="s">
        <v>23</v>
      </c>
      <c r="C105" t="s">
        <v>16</v>
      </c>
      <c r="D105">
        <v>4076</v>
      </c>
      <c r="E105" t="s">
        <v>10</v>
      </c>
      <c r="F105" t="s">
        <v>11</v>
      </c>
      <c r="G105" t="s">
        <v>12</v>
      </c>
    </row>
    <row r="106" spans="1:7" x14ac:dyDescent="0.3">
      <c r="A106" t="s">
        <v>27</v>
      </c>
      <c r="B106" t="s">
        <v>23</v>
      </c>
      <c r="C106" t="s">
        <v>17</v>
      </c>
      <c r="D106">
        <v>404</v>
      </c>
      <c r="E106" t="s">
        <v>10</v>
      </c>
      <c r="F106" t="s">
        <v>11</v>
      </c>
      <c r="G106" t="s">
        <v>12</v>
      </c>
    </row>
    <row r="107" spans="1:7" x14ac:dyDescent="0.3">
      <c r="A107" t="s">
        <v>27</v>
      </c>
      <c r="B107" t="s">
        <v>23</v>
      </c>
      <c r="C107" t="s">
        <v>18</v>
      </c>
      <c r="D107">
        <v>0</v>
      </c>
      <c r="E107" t="s">
        <v>10</v>
      </c>
      <c r="F107" t="s">
        <v>11</v>
      </c>
      <c r="G107" t="s">
        <v>12</v>
      </c>
    </row>
    <row r="108" spans="1:7" x14ac:dyDescent="0.3">
      <c r="A108" t="s">
        <v>27</v>
      </c>
      <c r="B108" t="s">
        <v>23</v>
      </c>
      <c r="C108" t="s">
        <v>19</v>
      </c>
      <c r="D108">
        <v>3</v>
      </c>
      <c r="E108" t="s">
        <v>10</v>
      </c>
      <c r="F108" t="s">
        <v>11</v>
      </c>
      <c r="G108" t="s">
        <v>12</v>
      </c>
    </row>
    <row r="109" spans="1:7" x14ac:dyDescent="0.3">
      <c r="A109" t="s">
        <v>27</v>
      </c>
      <c r="B109" t="s">
        <v>23</v>
      </c>
      <c r="C109" t="s">
        <v>20</v>
      </c>
      <c r="D109">
        <v>11</v>
      </c>
      <c r="E109" t="s">
        <v>10</v>
      </c>
      <c r="F109" t="s">
        <v>11</v>
      </c>
      <c r="G109" t="s">
        <v>12</v>
      </c>
    </row>
    <row r="110" spans="1:7" x14ac:dyDescent="0.3">
      <c r="A110" t="s">
        <v>27</v>
      </c>
      <c r="B110" t="s">
        <v>23</v>
      </c>
      <c r="C110" t="s">
        <v>21</v>
      </c>
      <c r="D110">
        <v>8</v>
      </c>
      <c r="E110" t="s">
        <v>10</v>
      </c>
      <c r="F110" t="s">
        <v>11</v>
      </c>
      <c r="G110" t="s">
        <v>12</v>
      </c>
    </row>
    <row r="111" spans="1:7" x14ac:dyDescent="0.3">
      <c r="A111" t="s">
        <v>27</v>
      </c>
      <c r="B111" t="s">
        <v>23</v>
      </c>
      <c r="C111" t="s">
        <v>22</v>
      </c>
      <c r="D111">
        <v>5</v>
      </c>
      <c r="E111" t="s">
        <v>10</v>
      </c>
      <c r="F111" t="s">
        <v>11</v>
      </c>
      <c r="G111" t="s">
        <v>12</v>
      </c>
    </row>
    <row r="112" spans="1:7" x14ac:dyDescent="0.3">
      <c r="A112" t="s">
        <v>28</v>
      </c>
      <c r="B112" t="s">
        <v>8</v>
      </c>
      <c r="C112" t="s">
        <v>9</v>
      </c>
      <c r="D112">
        <v>1</v>
      </c>
      <c r="E112" t="s">
        <v>10</v>
      </c>
      <c r="F112" t="s">
        <v>11</v>
      </c>
      <c r="G112" t="s">
        <v>12</v>
      </c>
    </row>
    <row r="113" spans="1:7" x14ac:dyDescent="0.3">
      <c r="A113" t="s">
        <v>28</v>
      </c>
      <c r="B113" t="s">
        <v>8</v>
      </c>
      <c r="C113" t="s">
        <v>13</v>
      </c>
      <c r="D113">
        <v>0</v>
      </c>
      <c r="E113" t="s">
        <v>10</v>
      </c>
      <c r="F113" t="s">
        <v>11</v>
      </c>
      <c r="G113" t="s">
        <v>12</v>
      </c>
    </row>
    <row r="114" spans="1:7" x14ac:dyDescent="0.3">
      <c r="A114" t="s">
        <v>28</v>
      </c>
      <c r="B114" t="s">
        <v>8</v>
      </c>
      <c r="C114" t="s">
        <v>14</v>
      </c>
      <c r="D114">
        <v>35737</v>
      </c>
      <c r="E114" t="s">
        <v>10</v>
      </c>
      <c r="F114" t="s">
        <v>11</v>
      </c>
      <c r="G114" t="s">
        <v>12</v>
      </c>
    </row>
    <row r="115" spans="1:7" x14ac:dyDescent="0.3">
      <c r="A115" t="s">
        <v>28</v>
      </c>
      <c r="B115" t="s">
        <v>8</v>
      </c>
      <c r="C115" t="s">
        <v>15</v>
      </c>
      <c r="D115">
        <v>0</v>
      </c>
      <c r="E115" t="s">
        <v>10</v>
      </c>
      <c r="F115" t="s">
        <v>11</v>
      </c>
      <c r="G115" t="s">
        <v>12</v>
      </c>
    </row>
    <row r="116" spans="1:7" x14ac:dyDescent="0.3">
      <c r="A116" t="s">
        <v>28</v>
      </c>
      <c r="B116" t="s">
        <v>8</v>
      </c>
      <c r="C116" t="s">
        <v>16</v>
      </c>
      <c r="D116">
        <v>19051</v>
      </c>
      <c r="E116" t="s">
        <v>10</v>
      </c>
      <c r="F116" t="s">
        <v>11</v>
      </c>
      <c r="G116" t="s">
        <v>12</v>
      </c>
    </row>
    <row r="117" spans="1:7" x14ac:dyDescent="0.3">
      <c r="A117" t="s">
        <v>28</v>
      </c>
      <c r="B117" t="s">
        <v>8</v>
      </c>
      <c r="C117" t="s">
        <v>17</v>
      </c>
      <c r="D117">
        <v>11</v>
      </c>
      <c r="E117" t="s">
        <v>10</v>
      </c>
      <c r="F117" t="s">
        <v>11</v>
      </c>
      <c r="G117" t="s">
        <v>12</v>
      </c>
    </row>
    <row r="118" spans="1:7" x14ac:dyDescent="0.3">
      <c r="A118" t="s">
        <v>28</v>
      </c>
      <c r="B118" t="s">
        <v>8</v>
      </c>
      <c r="C118" t="s">
        <v>18</v>
      </c>
      <c r="D118">
        <v>0</v>
      </c>
      <c r="E118" t="s">
        <v>10</v>
      </c>
      <c r="F118" t="s">
        <v>11</v>
      </c>
      <c r="G118" t="s">
        <v>12</v>
      </c>
    </row>
    <row r="119" spans="1:7" x14ac:dyDescent="0.3">
      <c r="A119" t="s">
        <v>28</v>
      </c>
      <c r="B119" t="s">
        <v>8</v>
      </c>
      <c r="C119" t="s">
        <v>19</v>
      </c>
      <c r="D119">
        <v>0</v>
      </c>
      <c r="E119" t="s">
        <v>10</v>
      </c>
      <c r="F119" t="s">
        <v>11</v>
      </c>
      <c r="G119" t="s">
        <v>12</v>
      </c>
    </row>
    <row r="120" spans="1:7" x14ac:dyDescent="0.3">
      <c r="A120" t="s">
        <v>28</v>
      </c>
      <c r="B120" t="s">
        <v>8</v>
      </c>
      <c r="C120" t="s">
        <v>20</v>
      </c>
      <c r="D120">
        <v>0</v>
      </c>
      <c r="E120" t="s">
        <v>10</v>
      </c>
      <c r="F120" t="s">
        <v>11</v>
      </c>
      <c r="G120" t="s">
        <v>12</v>
      </c>
    </row>
    <row r="121" spans="1:7" x14ac:dyDescent="0.3">
      <c r="A121" t="s">
        <v>28</v>
      </c>
      <c r="B121" t="s">
        <v>8</v>
      </c>
      <c r="C121" t="s">
        <v>21</v>
      </c>
      <c r="D121">
        <v>0</v>
      </c>
      <c r="E121" t="s">
        <v>10</v>
      </c>
      <c r="F121" t="s">
        <v>11</v>
      </c>
      <c r="G121" t="s">
        <v>12</v>
      </c>
    </row>
    <row r="122" spans="1:7" x14ac:dyDescent="0.3">
      <c r="A122" t="s">
        <v>28</v>
      </c>
      <c r="B122" t="s">
        <v>8</v>
      </c>
      <c r="C122" t="s">
        <v>22</v>
      </c>
      <c r="D122">
        <v>0</v>
      </c>
      <c r="E122" t="s">
        <v>10</v>
      </c>
      <c r="F122" t="s">
        <v>11</v>
      </c>
      <c r="G122" t="s">
        <v>12</v>
      </c>
    </row>
    <row r="123" spans="1:7" x14ac:dyDescent="0.3">
      <c r="A123" t="s">
        <v>28</v>
      </c>
      <c r="B123" t="s">
        <v>23</v>
      </c>
      <c r="C123" t="s">
        <v>9</v>
      </c>
      <c r="D123">
        <v>1</v>
      </c>
      <c r="E123" t="s">
        <v>10</v>
      </c>
      <c r="F123" t="s">
        <v>11</v>
      </c>
      <c r="G123" t="s">
        <v>12</v>
      </c>
    </row>
    <row r="124" spans="1:7" x14ac:dyDescent="0.3">
      <c r="A124" t="s">
        <v>28</v>
      </c>
      <c r="B124" t="s">
        <v>23</v>
      </c>
      <c r="C124" t="s">
        <v>13</v>
      </c>
      <c r="D124">
        <v>1</v>
      </c>
      <c r="E124" t="s">
        <v>10</v>
      </c>
      <c r="F124" t="s">
        <v>11</v>
      </c>
      <c r="G124" t="s">
        <v>12</v>
      </c>
    </row>
    <row r="125" spans="1:7" x14ac:dyDescent="0.3">
      <c r="A125" t="s">
        <v>28</v>
      </c>
      <c r="B125" t="s">
        <v>23</v>
      </c>
      <c r="C125" t="s">
        <v>14</v>
      </c>
      <c r="D125">
        <v>831</v>
      </c>
      <c r="E125" t="s">
        <v>10</v>
      </c>
      <c r="F125" t="s">
        <v>11</v>
      </c>
      <c r="G125" t="s">
        <v>12</v>
      </c>
    </row>
    <row r="126" spans="1:7" x14ac:dyDescent="0.3">
      <c r="A126" t="s">
        <v>28</v>
      </c>
      <c r="B126" t="s">
        <v>23</v>
      </c>
      <c r="C126" t="s">
        <v>15</v>
      </c>
      <c r="D126">
        <v>1</v>
      </c>
      <c r="E126" t="s">
        <v>10</v>
      </c>
      <c r="F126" t="s">
        <v>11</v>
      </c>
      <c r="G126" t="s">
        <v>12</v>
      </c>
    </row>
    <row r="127" spans="1:7" x14ac:dyDescent="0.3">
      <c r="A127" t="s">
        <v>28</v>
      </c>
      <c r="B127" t="s">
        <v>23</v>
      </c>
      <c r="C127" t="s">
        <v>16</v>
      </c>
      <c r="D127">
        <v>1647</v>
      </c>
      <c r="E127" t="s">
        <v>10</v>
      </c>
      <c r="F127" t="s">
        <v>11</v>
      </c>
      <c r="G127" t="s">
        <v>12</v>
      </c>
    </row>
    <row r="128" spans="1:7" x14ac:dyDescent="0.3">
      <c r="A128" t="s">
        <v>28</v>
      </c>
      <c r="B128" t="s">
        <v>23</v>
      </c>
      <c r="C128" t="s">
        <v>17</v>
      </c>
      <c r="D128">
        <v>0</v>
      </c>
      <c r="E128" t="s">
        <v>10</v>
      </c>
      <c r="F128" t="s">
        <v>11</v>
      </c>
      <c r="G128" t="s">
        <v>12</v>
      </c>
    </row>
    <row r="129" spans="1:7" x14ac:dyDescent="0.3">
      <c r="A129" t="s">
        <v>28</v>
      </c>
      <c r="B129" t="s">
        <v>23</v>
      </c>
      <c r="C129" t="s">
        <v>18</v>
      </c>
      <c r="D129">
        <v>0</v>
      </c>
      <c r="E129" t="s">
        <v>10</v>
      </c>
      <c r="F129" t="s">
        <v>11</v>
      </c>
      <c r="G129" t="s">
        <v>12</v>
      </c>
    </row>
    <row r="130" spans="1:7" x14ac:dyDescent="0.3">
      <c r="A130" t="s">
        <v>28</v>
      </c>
      <c r="B130" t="s">
        <v>23</v>
      </c>
      <c r="C130" t="s">
        <v>19</v>
      </c>
      <c r="D130">
        <v>1</v>
      </c>
      <c r="E130" t="s">
        <v>10</v>
      </c>
      <c r="F130" t="s">
        <v>11</v>
      </c>
      <c r="G130" t="s">
        <v>12</v>
      </c>
    </row>
    <row r="131" spans="1:7" x14ac:dyDescent="0.3">
      <c r="A131" t="s">
        <v>28</v>
      </c>
      <c r="B131" t="s">
        <v>23</v>
      </c>
      <c r="C131" t="s">
        <v>20</v>
      </c>
      <c r="D131">
        <v>4</v>
      </c>
      <c r="E131" t="s">
        <v>10</v>
      </c>
      <c r="F131" t="s">
        <v>11</v>
      </c>
      <c r="G131" t="s">
        <v>12</v>
      </c>
    </row>
    <row r="132" spans="1:7" x14ac:dyDescent="0.3">
      <c r="A132" t="s">
        <v>28</v>
      </c>
      <c r="B132" t="s">
        <v>23</v>
      </c>
      <c r="C132" t="s">
        <v>21</v>
      </c>
      <c r="D132">
        <v>4</v>
      </c>
      <c r="E132" t="s">
        <v>10</v>
      </c>
      <c r="F132" t="s">
        <v>11</v>
      </c>
      <c r="G132" t="s">
        <v>12</v>
      </c>
    </row>
    <row r="133" spans="1:7" x14ac:dyDescent="0.3">
      <c r="A133" t="s">
        <v>28</v>
      </c>
      <c r="B133" t="s">
        <v>23</v>
      </c>
      <c r="C133" t="s">
        <v>22</v>
      </c>
      <c r="D133">
        <v>2</v>
      </c>
      <c r="E133" t="s">
        <v>10</v>
      </c>
      <c r="F133" t="s">
        <v>11</v>
      </c>
      <c r="G133" t="s">
        <v>12</v>
      </c>
    </row>
    <row r="134" spans="1:7" x14ac:dyDescent="0.3">
      <c r="A134" t="s">
        <v>29</v>
      </c>
      <c r="B134" t="s">
        <v>8</v>
      </c>
      <c r="C134" t="s">
        <v>9</v>
      </c>
      <c r="D134">
        <v>0</v>
      </c>
      <c r="E134" t="s">
        <v>10</v>
      </c>
      <c r="F134" t="s">
        <v>11</v>
      </c>
      <c r="G134" t="s">
        <v>12</v>
      </c>
    </row>
    <row r="135" spans="1:7" x14ac:dyDescent="0.3">
      <c r="A135" t="s">
        <v>29</v>
      </c>
      <c r="B135" t="s">
        <v>8</v>
      </c>
      <c r="C135" t="s">
        <v>13</v>
      </c>
      <c r="D135">
        <v>0</v>
      </c>
      <c r="E135" t="s">
        <v>10</v>
      </c>
      <c r="F135" t="s">
        <v>11</v>
      </c>
      <c r="G135" t="s">
        <v>12</v>
      </c>
    </row>
    <row r="136" spans="1:7" x14ac:dyDescent="0.3">
      <c r="A136" t="s">
        <v>29</v>
      </c>
      <c r="B136" t="s">
        <v>8</v>
      </c>
      <c r="C136" t="s">
        <v>14</v>
      </c>
      <c r="D136">
        <v>29425</v>
      </c>
      <c r="E136" t="s">
        <v>10</v>
      </c>
      <c r="F136" t="s">
        <v>11</v>
      </c>
      <c r="G136" t="s">
        <v>12</v>
      </c>
    </row>
    <row r="137" spans="1:7" x14ac:dyDescent="0.3">
      <c r="A137" t="s">
        <v>29</v>
      </c>
      <c r="B137" t="s">
        <v>8</v>
      </c>
      <c r="C137" t="s">
        <v>15</v>
      </c>
      <c r="D137">
        <v>0</v>
      </c>
      <c r="E137" t="s">
        <v>10</v>
      </c>
      <c r="F137" t="s">
        <v>11</v>
      </c>
      <c r="G137" t="s">
        <v>12</v>
      </c>
    </row>
    <row r="138" spans="1:7" x14ac:dyDescent="0.3">
      <c r="A138" t="s">
        <v>29</v>
      </c>
      <c r="B138" t="s">
        <v>8</v>
      </c>
      <c r="C138" t="s">
        <v>16</v>
      </c>
      <c r="D138">
        <v>8</v>
      </c>
      <c r="E138" t="s">
        <v>10</v>
      </c>
      <c r="F138" t="s">
        <v>11</v>
      </c>
      <c r="G138" t="s">
        <v>12</v>
      </c>
    </row>
    <row r="139" spans="1:7" x14ac:dyDescent="0.3">
      <c r="A139" t="s">
        <v>29</v>
      </c>
      <c r="B139" t="s">
        <v>8</v>
      </c>
      <c r="C139" t="s">
        <v>17</v>
      </c>
      <c r="D139">
        <v>0</v>
      </c>
      <c r="E139" t="s">
        <v>10</v>
      </c>
      <c r="F139" t="s">
        <v>11</v>
      </c>
      <c r="G139" t="s">
        <v>12</v>
      </c>
    </row>
    <row r="140" spans="1:7" x14ac:dyDescent="0.3">
      <c r="A140" t="s">
        <v>29</v>
      </c>
      <c r="B140" t="s">
        <v>8</v>
      </c>
      <c r="C140" t="s">
        <v>18</v>
      </c>
      <c r="D140">
        <v>0</v>
      </c>
      <c r="E140" t="s">
        <v>10</v>
      </c>
      <c r="F140" t="s">
        <v>11</v>
      </c>
      <c r="G140" t="s">
        <v>12</v>
      </c>
    </row>
    <row r="141" spans="1:7" x14ac:dyDescent="0.3">
      <c r="A141" t="s">
        <v>29</v>
      </c>
      <c r="B141" t="s">
        <v>8</v>
      </c>
      <c r="C141" t="s">
        <v>19</v>
      </c>
      <c r="D141">
        <v>0</v>
      </c>
      <c r="E141" t="s">
        <v>10</v>
      </c>
      <c r="F141" t="s">
        <v>11</v>
      </c>
      <c r="G141" t="s">
        <v>12</v>
      </c>
    </row>
    <row r="142" spans="1:7" x14ac:dyDescent="0.3">
      <c r="A142" t="s">
        <v>29</v>
      </c>
      <c r="B142" t="s">
        <v>8</v>
      </c>
      <c r="C142" t="s">
        <v>20</v>
      </c>
      <c r="D142">
        <v>0</v>
      </c>
      <c r="E142" t="s">
        <v>10</v>
      </c>
      <c r="F142" t="s">
        <v>11</v>
      </c>
      <c r="G142" t="s">
        <v>12</v>
      </c>
    </row>
    <row r="143" spans="1:7" x14ac:dyDescent="0.3">
      <c r="A143" t="s">
        <v>29</v>
      </c>
      <c r="B143" t="s">
        <v>8</v>
      </c>
      <c r="C143" t="s">
        <v>21</v>
      </c>
      <c r="D143">
        <v>0</v>
      </c>
      <c r="E143" t="s">
        <v>10</v>
      </c>
      <c r="F143" t="s">
        <v>11</v>
      </c>
      <c r="G143" t="s">
        <v>12</v>
      </c>
    </row>
    <row r="144" spans="1:7" x14ac:dyDescent="0.3">
      <c r="A144" t="s">
        <v>29</v>
      </c>
      <c r="B144" t="s">
        <v>8</v>
      </c>
      <c r="C144" t="s">
        <v>22</v>
      </c>
      <c r="D144">
        <v>0</v>
      </c>
      <c r="E144" t="s">
        <v>10</v>
      </c>
      <c r="F144" t="s">
        <v>11</v>
      </c>
      <c r="G144" t="s">
        <v>12</v>
      </c>
    </row>
    <row r="145" spans="1:7" x14ac:dyDescent="0.3">
      <c r="A145" t="s">
        <v>29</v>
      </c>
      <c r="B145" t="s">
        <v>23</v>
      </c>
      <c r="C145" t="s">
        <v>9</v>
      </c>
      <c r="D145">
        <v>0</v>
      </c>
      <c r="E145" t="s">
        <v>10</v>
      </c>
      <c r="F145" t="s">
        <v>11</v>
      </c>
      <c r="G145" t="s">
        <v>12</v>
      </c>
    </row>
    <row r="146" spans="1:7" x14ac:dyDescent="0.3">
      <c r="A146" t="s">
        <v>29</v>
      </c>
      <c r="B146" t="s">
        <v>23</v>
      </c>
      <c r="C146" t="s">
        <v>13</v>
      </c>
      <c r="D146">
        <v>0</v>
      </c>
      <c r="E146" t="s">
        <v>10</v>
      </c>
      <c r="F146" t="s">
        <v>11</v>
      </c>
      <c r="G146" t="s">
        <v>12</v>
      </c>
    </row>
    <row r="147" spans="1:7" x14ac:dyDescent="0.3">
      <c r="A147" t="s">
        <v>29</v>
      </c>
      <c r="B147" t="s">
        <v>23</v>
      </c>
      <c r="C147" t="s">
        <v>14</v>
      </c>
      <c r="D147">
        <v>683</v>
      </c>
      <c r="E147" t="s">
        <v>10</v>
      </c>
      <c r="F147" t="s">
        <v>11</v>
      </c>
      <c r="G147" t="s">
        <v>12</v>
      </c>
    </row>
    <row r="148" spans="1:7" x14ac:dyDescent="0.3">
      <c r="A148" t="s">
        <v>29</v>
      </c>
      <c r="B148" t="s">
        <v>23</v>
      </c>
      <c r="C148" t="s">
        <v>15</v>
      </c>
      <c r="D148">
        <v>0</v>
      </c>
      <c r="E148" t="s">
        <v>10</v>
      </c>
      <c r="F148" t="s">
        <v>11</v>
      </c>
      <c r="G148" t="s">
        <v>12</v>
      </c>
    </row>
    <row r="149" spans="1:7" x14ac:dyDescent="0.3">
      <c r="A149" t="s">
        <v>29</v>
      </c>
      <c r="B149" t="s">
        <v>23</v>
      </c>
      <c r="C149" t="s">
        <v>16</v>
      </c>
      <c r="D149">
        <v>43</v>
      </c>
      <c r="E149" t="s">
        <v>10</v>
      </c>
      <c r="F149" t="s">
        <v>11</v>
      </c>
      <c r="G149" t="s">
        <v>12</v>
      </c>
    </row>
    <row r="150" spans="1:7" x14ac:dyDescent="0.3">
      <c r="A150" t="s">
        <v>29</v>
      </c>
      <c r="B150" t="s">
        <v>23</v>
      </c>
      <c r="C150" t="s">
        <v>17</v>
      </c>
      <c r="D150">
        <v>0</v>
      </c>
      <c r="E150" t="s">
        <v>10</v>
      </c>
      <c r="F150" t="s">
        <v>11</v>
      </c>
      <c r="G150" t="s">
        <v>12</v>
      </c>
    </row>
    <row r="151" spans="1:7" x14ac:dyDescent="0.3">
      <c r="A151" t="s">
        <v>29</v>
      </c>
      <c r="B151" t="s">
        <v>23</v>
      </c>
      <c r="C151" t="s">
        <v>18</v>
      </c>
      <c r="D151">
        <v>0</v>
      </c>
      <c r="E151" t="s">
        <v>10</v>
      </c>
      <c r="F151" t="s">
        <v>11</v>
      </c>
      <c r="G151" t="s">
        <v>12</v>
      </c>
    </row>
    <row r="152" spans="1:7" x14ac:dyDescent="0.3">
      <c r="A152" t="s">
        <v>29</v>
      </c>
      <c r="B152" t="s">
        <v>23</v>
      </c>
      <c r="C152" t="s">
        <v>19</v>
      </c>
      <c r="D152">
        <v>0</v>
      </c>
      <c r="E152" t="s">
        <v>10</v>
      </c>
      <c r="F152" t="s">
        <v>11</v>
      </c>
      <c r="G152" t="s">
        <v>12</v>
      </c>
    </row>
    <row r="153" spans="1:7" x14ac:dyDescent="0.3">
      <c r="A153" t="s">
        <v>29</v>
      </c>
      <c r="B153" t="s">
        <v>23</v>
      </c>
      <c r="C153" t="s">
        <v>20</v>
      </c>
      <c r="D153">
        <v>0</v>
      </c>
      <c r="E153" t="s">
        <v>10</v>
      </c>
      <c r="F153" t="s">
        <v>11</v>
      </c>
      <c r="G153" t="s">
        <v>12</v>
      </c>
    </row>
    <row r="154" spans="1:7" x14ac:dyDescent="0.3">
      <c r="A154" t="s">
        <v>29</v>
      </c>
      <c r="B154" t="s">
        <v>23</v>
      </c>
      <c r="C154" t="s">
        <v>21</v>
      </c>
      <c r="D154">
        <v>3</v>
      </c>
      <c r="E154" t="s">
        <v>10</v>
      </c>
      <c r="F154" t="s">
        <v>11</v>
      </c>
      <c r="G154" t="s">
        <v>12</v>
      </c>
    </row>
    <row r="155" spans="1:7" x14ac:dyDescent="0.3">
      <c r="A155" t="s">
        <v>29</v>
      </c>
      <c r="B155" t="s">
        <v>23</v>
      </c>
      <c r="C155" t="s">
        <v>22</v>
      </c>
      <c r="D155">
        <v>0</v>
      </c>
      <c r="E155" t="s">
        <v>10</v>
      </c>
      <c r="F155" t="s">
        <v>11</v>
      </c>
      <c r="G155" t="s">
        <v>12</v>
      </c>
    </row>
    <row r="156" spans="1:7" x14ac:dyDescent="0.3">
      <c r="A156" t="s">
        <v>30</v>
      </c>
      <c r="B156" t="s">
        <v>8</v>
      </c>
      <c r="C156" t="s">
        <v>9</v>
      </c>
      <c r="D156">
        <v>0</v>
      </c>
      <c r="E156" t="s">
        <v>10</v>
      </c>
      <c r="F156" t="s">
        <v>11</v>
      </c>
      <c r="G156" t="s">
        <v>12</v>
      </c>
    </row>
    <row r="157" spans="1:7" x14ac:dyDescent="0.3">
      <c r="A157" t="s">
        <v>30</v>
      </c>
      <c r="B157" t="s">
        <v>8</v>
      </c>
      <c r="C157" t="s">
        <v>13</v>
      </c>
      <c r="D157">
        <v>0</v>
      </c>
      <c r="E157" t="s">
        <v>10</v>
      </c>
      <c r="F157" t="s">
        <v>11</v>
      </c>
      <c r="G157" t="s">
        <v>12</v>
      </c>
    </row>
    <row r="158" spans="1:7" x14ac:dyDescent="0.3">
      <c r="A158" t="s">
        <v>30</v>
      </c>
      <c r="B158" t="s">
        <v>8</v>
      </c>
      <c r="C158" t="s">
        <v>14</v>
      </c>
      <c r="D158">
        <v>0</v>
      </c>
      <c r="E158" t="s">
        <v>10</v>
      </c>
      <c r="F158" t="s">
        <v>11</v>
      </c>
      <c r="G158" t="s">
        <v>12</v>
      </c>
    </row>
    <row r="159" spans="1:7" x14ac:dyDescent="0.3">
      <c r="A159" t="s">
        <v>30</v>
      </c>
      <c r="B159" t="s">
        <v>8</v>
      </c>
      <c r="C159" t="s">
        <v>15</v>
      </c>
      <c r="D159">
        <v>0</v>
      </c>
      <c r="E159" t="s">
        <v>10</v>
      </c>
      <c r="F159" t="s">
        <v>11</v>
      </c>
      <c r="G159" t="s">
        <v>12</v>
      </c>
    </row>
    <row r="160" spans="1:7" x14ac:dyDescent="0.3">
      <c r="A160" t="s">
        <v>30</v>
      </c>
      <c r="B160" t="s">
        <v>8</v>
      </c>
      <c r="C160" t="s">
        <v>16</v>
      </c>
      <c r="D160">
        <v>0</v>
      </c>
      <c r="E160" t="s">
        <v>10</v>
      </c>
      <c r="F160" t="s">
        <v>11</v>
      </c>
      <c r="G160" t="s">
        <v>12</v>
      </c>
    </row>
    <row r="161" spans="1:7" x14ac:dyDescent="0.3">
      <c r="A161" t="s">
        <v>30</v>
      </c>
      <c r="B161" t="s">
        <v>8</v>
      </c>
      <c r="C161" t="s">
        <v>17</v>
      </c>
      <c r="D161">
        <v>5114</v>
      </c>
      <c r="E161" t="s">
        <v>10</v>
      </c>
      <c r="F161" t="s">
        <v>11</v>
      </c>
      <c r="G161" t="s">
        <v>12</v>
      </c>
    </row>
    <row r="162" spans="1:7" x14ac:dyDescent="0.3">
      <c r="A162" t="s">
        <v>30</v>
      </c>
      <c r="B162" t="s">
        <v>8</v>
      </c>
      <c r="C162" t="s">
        <v>18</v>
      </c>
      <c r="D162">
        <v>0</v>
      </c>
      <c r="E162" t="s">
        <v>10</v>
      </c>
      <c r="F162" t="s">
        <v>11</v>
      </c>
      <c r="G162" t="s">
        <v>12</v>
      </c>
    </row>
    <row r="163" spans="1:7" x14ac:dyDescent="0.3">
      <c r="A163" t="s">
        <v>30</v>
      </c>
      <c r="B163" t="s">
        <v>8</v>
      </c>
      <c r="C163" t="s">
        <v>19</v>
      </c>
      <c r="D163">
        <v>0</v>
      </c>
      <c r="E163" t="s">
        <v>10</v>
      </c>
      <c r="F163" t="s">
        <v>11</v>
      </c>
      <c r="G163" t="s">
        <v>12</v>
      </c>
    </row>
    <row r="164" spans="1:7" x14ac:dyDescent="0.3">
      <c r="A164" t="s">
        <v>30</v>
      </c>
      <c r="B164" t="s">
        <v>8</v>
      </c>
      <c r="C164" t="s">
        <v>20</v>
      </c>
      <c r="D164">
        <v>0</v>
      </c>
      <c r="E164" t="s">
        <v>10</v>
      </c>
      <c r="F164" t="s">
        <v>11</v>
      </c>
      <c r="G164" t="s">
        <v>12</v>
      </c>
    </row>
    <row r="165" spans="1:7" x14ac:dyDescent="0.3">
      <c r="A165" t="s">
        <v>30</v>
      </c>
      <c r="B165" t="s">
        <v>8</v>
      </c>
      <c r="C165" t="s">
        <v>21</v>
      </c>
      <c r="D165">
        <v>0</v>
      </c>
      <c r="E165" t="s">
        <v>10</v>
      </c>
      <c r="F165" t="s">
        <v>11</v>
      </c>
      <c r="G165" t="s">
        <v>12</v>
      </c>
    </row>
    <row r="166" spans="1:7" x14ac:dyDescent="0.3">
      <c r="A166" t="s">
        <v>30</v>
      </c>
      <c r="B166" t="s">
        <v>8</v>
      </c>
      <c r="C166" t="s">
        <v>22</v>
      </c>
      <c r="D166">
        <v>0</v>
      </c>
      <c r="E166" t="s">
        <v>10</v>
      </c>
      <c r="F166" t="s">
        <v>11</v>
      </c>
      <c r="G166" t="s">
        <v>12</v>
      </c>
    </row>
    <row r="167" spans="1:7" x14ac:dyDescent="0.3">
      <c r="A167" t="s">
        <v>30</v>
      </c>
      <c r="B167" t="s">
        <v>23</v>
      </c>
      <c r="C167" t="s">
        <v>9</v>
      </c>
      <c r="D167">
        <v>1</v>
      </c>
      <c r="E167" t="s">
        <v>10</v>
      </c>
      <c r="F167" t="s">
        <v>11</v>
      </c>
      <c r="G167" t="s">
        <v>12</v>
      </c>
    </row>
    <row r="168" spans="1:7" x14ac:dyDescent="0.3">
      <c r="A168" t="s">
        <v>30</v>
      </c>
      <c r="B168" t="s">
        <v>23</v>
      </c>
      <c r="C168" t="s">
        <v>13</v>
      </c>
      <c r="D168">
        <v>0</v>
      </c>
      <c r="E168" t="s">
        <v>10</v>
      </c>
      <c r="F168" t="s">
        <v>11</v>
      </c>
      <c r="G168" t="s">
        <v>12</v>
      </c>
    </row>
    <row r="169" spans="1:7" x14ac:dyDescent="0.3">
      <c r="A169" t="s">
        <v>30</v>
      </c>
      <c r="B169" t="s">
        <v>23</v>
      </c>
      <c r="C169" t="s">
        <v>14</v>
      </c>
      <c r="D169">
        <v>3</v>
      </c>
      <c r="E169" t="s">
        <v>10</v>
      </c>
      <c r="F169" t="s">
        <v>11</v>
      </c>
      <c r="G169" t="s">
        <v>12</v>
      </c>
    </row>
    <row r="170" spans="1:7" x14ac:dyDescent="0.3">
      <c r="A170" t="s">
        <v>30</v>
      </c>
      <c r="B170" t="s">
        <v>23</v>
      </c>
      <c r="C170" t="s">
        <v>15</v>
      </c>
      <c r="D170">
        <v>0</v>
      </c>
      <c r="E170" t="s">
        <v>10</v>
      </c>
      <c r="F170" t="s">
        <v>11</v>
      </c>
      <c r="G170" t="s">
        <v>12</v>
      </c>
    </row>
    <row r="171" spans="1:7" x14ac:dyDescent="0.3">
      <c r="A171" t="s">
        <v>30</v>
      </c>
      <c r="B171" t="s">
        <v>23</v>
      </c>
      <c r="C171" t="s">
        <v>16</v>
      </c>
      <c r="D171">
        <v>0</v>
      </c>
      <c r="E171" t="s">
        <v>10</v>
      </c>
      <c r="F171" t="s">
        <v>11</v>
      </c>
      <c r="G171" t="s">
        <v>12</v>
      </c>
    </row>
    <row r="172" spans="1:7" x14ac:dyDescent="0.3">
      <c r="A172" t="s">
        <v>30</v>
      </c>
      <c r="B172" t="s">
        <v>23</v>
      </c>
      <c r="C172" t="s">
        <v>17</v>
      </c>
      <c r="D172">
        <v>51</v>
      </c>
      <c r="E172" t="s">
        <v>10</v>
      </c>
      <c r="F172" t="s">
        <v>11</v>
      </c>
      <c r="G172" t="s">
        <v>12</v>
      </c>
    </row>
    <row r="173" spans="1:7" x14ac:dyDescent="0.3">
      <c r="A173" t="s">
        <v>30</v>
      </c>
      <c r="B173" t="s">
        <v>23</v>
      </c>
      <c r="C173" t="s">
        <v>18</v>
      </c>
      <c r="D173">
        <v>0</v>
      </c>
      <c r="E173" t="s">
        <v>10</v>
      </c>
      <c r="F173" t="s">
        <v>11</v>
      </c>
      <c r="G173" t="s">
        <v>12</v>
      </c>
    </row>
    <row r="174" spans="1:7" x14ac:dyDescent="0.3">
      <c r="A174" t="s">
        <v>30</v>
      </c>
      <c r="B174" t="s">
        <v>23</v>
      </c>
      <c r="C174" t="s">
        <v>19</v>
      </c>
      <c r="D174">
        <v>0</v>
      </c>
      <c r="E174" t="s">
        <v>10</v>
      </c>
      <c r="F174" t="s">
        <v>11</v>
      </c>
      <c r="G174" t="s">
        <v>12</v>
      </c>
    </row>
    <row r="175" spans="1:7" x14ac:dyDescent="0.3">
      <c r="A175" t="s">
        <v>30</v>
      </c>
      <c r="B175" t="s">
        <v>23</v>
      </c>
      <c r="C175" t="s">
        <v>20</v>
      </c>
      <c r="D175">
        <v>0</v>
      </c>
      <c r="E175" t="s">
        <v>10</v>
      </c>
      <c r="F175" t="s">
        <v>11</v>
      </c>
      <c r="G175" t="s">
        <v>12</v>
      </c>
    </row>
    <row r="176" spans="1:7" x14ac:dyDescent="0.3">
      <c r="A176" t="s">
        <v>30</v>
      </c>
      <c r="B176" t="s">
        <v>23</v>
      </c>
      <c r="C176" t="s">
        <v>21</v>
      </c>
      <c r="D176">
        <v>0</v>
      </c>
      <c r="E176" t="s">
        <v>10</v>
      </c>
      <c r="F176" t="s">
        <v>11</v>
      </c>
      <c r="G176" t="s">
        <v>12</v>
      </c>
    </row>
    <row r="177" spans="1:7" x14ac:dyDescent="0.3">
      <c r="A177" t="s">
        <v>30</v>
      </c>
      <c r="B177" t="s">
        <v>23</v>
      </c>
      <c r="C177" t="s">
        <v>22</v>
      </c>
      <c r="D177">
        <v>0</v>
      </c>
      <c r="E177" t="s">
        <v>10</v>
      </c>
      <c r="F177" t="s">
        <v>11</v>
      </c>
      <c r="G177" t="s">
        <v>12</v>
      </c>
    </row>
    <row r="178" spans="1:7" x14ac:dyDescent="0.3">
      <c r="A178" t="s">
        <v>31</v>
      </c>
      <c r="B178" t="s">
        <v>8</v>
      </c>
      <c r="C178" t="s">
        <v>9</v>
      </c>
      <c r="D178">
        <v>0</v>
      </c>
      <c r="E178" t="s">
        <v>10</v>
      </c>
      <c r="F178" t="s">
        <v>11</v>
      </c>
      <c r="G178" t="s">
        <v>12</v>
      </c>
    </row>
    <row r="179" spans="1:7" x14ac:dyDescent="0.3">
      <c r="A179" t="s">
        <v>31</v>
      </c>
      <c r="B179" t="s">
        <v>8</v>
      </c>
      <c r="C179" t="s">
        <v>13</v>
      </c>
      <c r="D179">
        <v>0</v>
      </c>
      <c r="E179" t="s">
        <v>10</v>
      </c>
      <c r="F179" t="s">
        <v>11</v>
      </c>
      <c r="G179" t="s">
        <v>12</v>
      </c>
    </row>
    <row r="180" spans="1:7" x14ac:dyDescent="0.3">
      <c r="A180" t="s">
        <v>31</v>
      </c>
      <c r="B180" t="s">
        <v>8</v>
      </c>
      <c r="C180" t="s">
        <v>14</v>
      </c>
      <c r="D180">
        <v>0</v>
      </c>
      <c r="E180" t="s">
        <v>10</v>
      </c>
      <c r="F180" t="s">
        <v>11</v>
      </c>
      <c r="G180" t="s">
        <v>12</v>
      </c>
    </row>
    <row r="181" spans="1:7" x14ac:dyDescent="0.3">
      <c r="A181" t="s">
        <v>31</v>
      </c>
      <c r="B181" t="s">
        <v>8</v>
      </c>
      <c r="C181" t="s">
        <v>15</v>
      </c>
      <c r="D181">
        <v>0</v>
      </c>
      <c r="E181" t="s">
        <v>10</v>
      </c>
      <c r="F181" t="s">
        <v>11</v>
      </c>
      <c r="G181" t="s">
        <v>12</v>
      </c>
    </row>
    <row r="182" spans="1:7" x14ac:dyDescent="0.3">
      <c r="A182" t="s">
        <v>31</v>
      </c>
      <c r="B182" t="s">
        <v>8</v>
      </c>
      <c r="C182" t="s">
        <v>16</v>
      </c>
      <c r="D182">
        <v>0</v>
      </c>
      <c r="E182" t="s">
        <v>10</v>
      </c>
      <c r="F182" t="s">
        <v>11</v>
      </c>
      <c r="G182" t="s">
        <v>12</v>
      </c>
    </row>
    <row r="183" spans="1:7" x14ac:dyDescent="0.3">
      <c r="A183" t="s">
        <v>31</v>
      </c>
      <c r="B183" t="s">
        <v>8</v>
      </c>
      <c r="C183" t="s">
        <v>17</v>
      </c>
      <c r="D183">
        <v>11387</v>
      </c>
      <c r="E183" t="s">
        <v>10</v>
      </c>
      <c r="F183" t="s">
        <v>11</v>
      </c>
      <c r="G183" t="s">
        <v>12</v>
      </c>
    </row>
    <row r="184" spans="1:7" x14ac:dyDescent="0.3">
      <c r="A184" t="s">
        <v>31</v>
      </c>
      <c r="B184" t="s">
        <v>8</v>
      </c>
      <c r="C184" t="s">
        <v>18</v>
      </c>
      <c r="D184">
        <v>0</v>
      </c>
      <c r="E184" t="s">
        <v>10</v>
      </c>
      <c r="F184" t="s">
        <v>11</v>
      </c>
      <c r="G184" t="s">
        <v>12</v>
      </c>
    </row>
    <row r="185" spans="1:7" x14ac:dyDescent="0.3">
      <c r="A185" t="s">
        <v>31</v>
      </c>
      <c r="B185" t="s">
        <v>8</v>
      </c>
      <c r="C185" t="s">
        <v>19</v>
      </c>
      <c r="D185">
        <v>0</v>
      </c>
      <c r="E185" t="s">
        <v>10</v>
      </c>
      <c r="F185" t="s">
        <v>11</v>
      </c>
      <c r="G185" t="s">
        <v>12</v>
      </c>
    </row>
    <row r="186" spans="1:7" x14ac:dyDescent="0.3">
      <c r="A186" t="s">
        <v>31</v>
      </c>
      <c r="B186" t="s">
        <v>8</v>
      </c>
      <c r="C186" t="s">
        <v>20</v>
      </c>
      <c r="D186">
        <v>0</v>
      </c>
      <c r="E186" t="s">
        <v>10</v>
      </c>
      <c r="F186" t="s">
        <v>11</v>
      </c>
      <c r="G186" t="s">
        <v>12</v>
      </c>
    </row>
    <row r="187" spans="1:7" x14ac:dyDescent="0.3">
      <c r="A187" t="s">
        <v>31</v>
      </c>
      <c r="B187" t="s">
        <v>8</v>
      </c>
      <c r="C187" t="s">
        <v>21</v>
      </c>
      <c r="D187">
        <v>0</v>
      </c>
      <c r="E187" t="s">
        <v>10</v>
      </c>
      <c r="F187" t="s">
        <v>11</v>
      </c>
      <c r="G187" t="s">
        <v>12</v>
      </c>
    </row>
    <row r="188" spans="1:7" x14ac:dyDescent="0.3">
      <c r="A188" t="s">
        <v>31</v>
      </c>
      <c r="B188" t="s">
        <v>8</v>
      </c>
      <c r="C188" t="s">
        <v>22</v>
      </c>
      <c r="D188">
        <v>0</v>
      </c>
      <c r="E188" t="s">
        <v>10</v>
      </c>
      <c r="F188" t="s">
        <v>11</v>
      </c>
      <c r="G188" t="s">
        <v>12</v>
      </c>
    </row>
    <row r="189" spans="1:7" x14ac:dyDescent="0.3">
      <c r="A189" t="s">
        <v>31</v>
      </c>
      <c r="B189" t="s">
        <v>23</v>
      </c>
      <c r="C189" t="s">
        <v>9</v>
      </c>
      <c r="D189">
        <v>3</v>
      </c>
      <c r="E189" t="s">
        <v>10</v>
      </c>
      <c r="F189" t="s">
        <v>11</v>
      </c>
      <c r="G189" t="s">
        <v>12</v>
      </c>
    </row>
    <row r="190" spans="1:7" x14ac:dyDescent="0.3">
      <c r="A190" t="s">
        <v>31</v>
      </c>
      <c r="B190" t="s">
        <v>23</v>
      </c>
      <c r="C190" t="s">
        <v>13</v>
      </c>
      <c r="D190">
        <v>0</v>
      </c>
      <c r="E190" t="s">
        <v>10</v>
      </c>
      <c r="F190" t="s">
        <v>11</v>
      </c>
      <c r="G190" t="s">
        <v>12</v>
      </c>
    </row>
    <row r="191" spans="1:7" x14ac:dyDescent="0.3">
      <c r="A191" t="s">
        <v>31</v>
      </c>
      <c r="B191" t="s">
        <v>23</v>
      </c>
      <c r="C191" t="s">
        <v>14</v>
      </c>
      <c r="D191">
        <v>8</v>
      </c>
      <c r="E191" t="s">
        <v>10</v>
      </c>
      <c r="F191" t="s">
        <v>11</v>
      </c>
      <c r="G191" t="s">
        <v>12</v>
      </c>
    </row>
    <row r="192" spans="1:7" x14ac:dyDescent="0.3">
      <c r="A192" t="s">
        <v>31</v>
      </c>
      <c r="B192" t="s">
        <v>23</v>
      </c>
      <c r="C192" t="s">
        <v>15</v>
      </c>
      <c r="D192">
        <v>0</v>
      </c>
      <c r="E192" t="s">
        <v>10</v>
      </c>
      <c r="F192" t="s">
        <v>11</v>
      </c>
      <c r="G192" t="s">
        <v>12</v>
      </c>
    </row>
    <row r="193" spans="1:7" x14ac:dyDescent="0.3">
      <c r="A193" t="s">
        <v>31</v>
      </c>
      <c r="B193" t="s">
        <v>23</v>
      </c>
      <c r="C193" t="s">
        <v>16</v>
      </c>
      <c r="D193">
        <v>1</v>
      </c>
      <c r="E193" t="s">
        <v>10</v>
      </c>
      <c r="F193" t="s">
        <v>11</v>
      </c>
      <c r="G193" t="s">
        <v>12</v>
      </c>
    </row>
    <row r="194" spans="1:7" x14ac:dyDescent="0.3">
      <c r="A194" t="s">
        <v>31</v>
      </c>
      <c r="B194" t="s">
        <v>23</v>
      </c>
      <c r="C194" t="s">
        <v>17</v>
      </c>
      <c r="D194">
        <v>115</v>
      </c>
      <c r="E194" t="s">
        <v>10</v>
      </c>
      <c r="F194" t="s">
        <v>11</v>
      </c>
      <c r="G194" t="s">
        <v>12</v>
      </c>
    </row>
    <row r="195" spans="1:7" x14ac:dyDescent="0.3">
      <c r="A195" t="s">
        <v>31</v>
      </c>
      <c r="B195" t="s">
        <v>23</v>
      </c>
      <c r="C195" t="s">
        <v>18</v>
      </c>
      <c r="D195">
        <v>0</v>
      </c>
      <c r="E195" t="s">
        <v>10</v>
      </c>
      <c r="F195" t="s">
        <v>11</v>
      </c>
      <c r="G195" t="s">
        <v>12</v>
      </c>
    </row>
    <row r="196" spans="1:7" x14ac:dyDescent="0.3">
      <c r="A196" t="s">
        <v>31</v>
      </c>
      <c r="B196" t="s">
        <v>23</v>
      </c>
      <c r="C196" t="s">
        <v>19</v>
      </c>
      <c r="D196">
        <v>0</v>
      </c>
      <c r="E196" t="s">
        <v>10</v>
      </c>
      <c r="F196" t="s">
        <v>11</v>
      </c>
      <c r="G196" t="s">
        <v>12</v>
      </c>
    </row>
    <row r="197" spans="1:7" x14ac:dyDescent="0.3">
      <c r="A197" t="s">
        <v>31</v>
      </c>
      <c r="B197" t="s">
        <v>23</v>
      </c>
      <c r="C197" t="s">
        <v>20</v>
      </c>
      <c r="D197">
        <v>0</v>
      </c>
      <c r="E197" t="s">
        <v>10</v>
      </c>
      <c r="F197" t="s">
        <v>11</v>
      </c>
      <c r="G197" t="s">
        <v>12</v>
      </c>
    </row>
    <row r="198" spans="1:7" x14ac:dyDescent="0.3">
      <c r="A198" t="s">
        <v>31</v>
      </c>
      <c r="B198" t="s">
        <v>23</v>
      </c>
      <c r="C198" t="s">
        <v>21</v>
      </c>
      <c r="D198">
        <v>0</v>
      </c>
      <c r="E198" t="s">
        <v>10</v>
      </c>
      <c r="F198" t="s">
        <v>11</v>
      </c>
      <c r="G198" t="s">
        <v>12</v>
      </c>
    </row>
    <row r="199" spans="1:7" x14ac:dyDescent="0.3">
      <c r="A199" t="s">
        <v>31</v>
      </c>
      <c r="B199" t="s">
        <v>23</v>
      </c>
      <c r="C199" t="s">
        <v>22</v>
      </c>
      <c r="D199">
        <v>0</v>
      </c>
      <c r="E199" t="s">
        <v>10</v>
      </c>
      <c r="F199" t="s">
        <v>11</v>
      </c>
      <c r="G199" t="s">
        <v>12</v>
      </c>
    </row>
    <row r="200" spans="1:7" x14ac:dyDescent="0.3">
      <c r="A200" t="s">
        <v>32</v>
      </c>
      <c r="B200" t="s">
        <v>8</v>
      </c>
      <c r="C200" t="s">
        <v>9</v>
      </c>
      <c r="D200">
        <v>0</v>
      </c>
      <c r="E200" t="s">
        <v>10</v>
      </c>
      <c r="F200" t="s">
        <v>11</v>
      </c>
      <c r="G200" t="s">
        <v>12</v>
      </c>
    </row>
    <row r="201" spans="1:7" x14ac:dyDescent="0.3">
      <c r="A201" t="s">
        <v>32</v>
      </c>
      <c r="B201" t="s">
        <v>8</v>
      </c>
      <c r="C201" t="s">
        <v>13</v>
      </c>
      <c r="D201">
        <v>3</v>
      </c>
      <c r="E201" t="s">
        <v>10</v>
      </c>
      <c r="F201" t="s">
        <v>11</v>
      </c>
      <c r="G201" t="s">
        <v>12</v>
      </c>
    </row>
    <row r="202" spans="1:7" x14ac:dyDescent="0.3">
      <c r="A202" t="s">
        <v>32</v>
      </c>
      <c r="B202" t="s">
        <v>8</v>
      </c>
      <c r="C202" t="s">
        <v>14</v>
      </c>
      <c r="D202">
        <v>0</v>
      </c>
      <c r="E202" t="s">
        <v>10</v>
      </c>
      <c r="F202" t="s">
        <v>11</v>
      </c>
      <c r="G202" t="s">
        <v>12</v>
      </c>
    </row>
    <row r="203" spans="1:7" x14ac:dyDescent="0.3">
      <c r="A203" t="s">
        <v>32</v>
      </c>
      <c r="B203" t="s">
        <v>8</v>
      </c>
      <c r="C203" t="s">
        <v>15</v>
      </c>
      <c r="D203">
        <v>0</v>
      </c>
      <c r="E203" t="s">
        <v>10</v>
      </c>
      <c r="F203" t="s">
        <v>11</v>
      </c>
      <c r="G203" t="s">
        <v>12</v>
      </c>
    </row>
    <row r="204" spans="1:7" x14ac:dyDescent="0.3">
      <c r="A204" t="s">
        <v>32</v>
      </c>
      <c r="B204" t="s">
        <v>8</v>
      </c>
      <c r="C204" t="s">
        <v>16</v>
      </c>
      <c r="D204">
        <v>0</v>
      </c>
      <c r="E204" t="s">
        <v>10</v>
      </c>
      <c r="F204" t="s">
        <v>11</v>
      </c>
      <c r="G204" t="s">
        <v>12</v>
      </c>
    </row>
    <row r="205" spans="1:7" x14ac:dyDescent="0.3">
      <c r="A205" t="s">
        <v>32</v>
      </c>
      <c r="B205" t="s">
        <v>8</v>
      </c>
      <c r="C205" t="s">
        <v>17</v>
      </c>
      <c r="D205">
        <v>0</v>
      </c>
      <c r="E205" t="s">
        <v>10</v>
      </c>
      <c r="F205" t="s">
        <v>11</v>
      </c>
      <c r="G205" t="s">
        <v>12</v>
      </c>
    </row>
    <row r="206" spans="1:7" x14ac:dyDescent="0.3">
      <c r="A206" t="s">
        <v>32</v>
      </c>
      <c r="B206" t="s">
        <v>8</v>
      </c>
      <c r="C206" t="s">
        <v>18</v>
      </c>
      <c r="D206">
        <v>0</v>
      </c>
      <c r="E206" t="s">
        <v>10</v>
      </c>
      <c r="F206" t="s">
        <v>11</v>
      </c>
      <c r="G206" t="s">
        <v>12</v>
      </c>
    </row>
    <row r="207" spans="1:7" x14ac:dyDescent="0.3">
      <c r="A207" t="s">
        <v>32</v>
      </c>
      <c r="B207" t="s">
        <v>8</v>
      </c>
      <c r="C207" t="s">
        <v>19</v>
      </c>
      <c r="D207">
        <v>0</v>
      </c>
      <c r="E207" t="s">
        <v>10</v>
      </c>
      <c r="F207" t="s">
        <v>11</v>
      </c>
      <c r="G207" t="s">
        <v>12</v>
      </c>
    </row>
    <row r="208" spans="1:7" x14ac:dyDescent="0.3">
      <c r="A208" t="s">
        <v>32</v>
      </c>
      <c r="B208" t="s">
        <v>8</v>
      </c>
      <c r="C208" t="s">
        <v>20</v>
      </c>
      <c r="D208">
        <v>0</v>
      </c>
      <c r="E208" t="s">
        <v>10</v>
      </c>
      <c r="F208" t="s">
        <v>11</v>
      </c>
      <c r="G208" t="s">
        <v>12</v>
      </c>
    </row>
    <row r="209" spans="1:7" x14ac:dyDescent="0.3">
      <c r="A209" t="s">
        <v>32</v>
      </c>
      <c r="B209" t="s">
        <v>8</v>
      </c>
      <c r="C209" t="s">
        <v>21</v>
      </c>
      <c r="D209">
        <v>0</v>
      </c>
      <c r="E209" t="s">
        <v>10</v>
      </c>
      <c r="F209" t="s">
        <v>11</v>
      </c>
      <c r="G209" t="s">
        <v>12</v>
      </c>
    </row>
    <row r="210" spans="1:7" x14ac:dyDescent="0.3">
      <c r="A210" t="s">
        <v>32</v>
      </c>
      <c r="B210" t="s">
        <v>8</v>
      </c>
      <c r="C210" t="s">
        <v>22</v>
      </c>
      <c r="D210">
        <v>302</v>
      </c>
      <c r="E210" t="s">
        <v>10</v>
      </c>
      <c r="F210" t="s">
        <v>11</v>
      </c>
      <c r="G210" t="s">
        <v>12</v>
      </c>
    </row>
    <row r="211" spans="1:7" x14ac:dyDescent="0.3">
      <c r="A211" t="s">
        <v>32</v>
      </c>
      <c r="B211" t="s">
        <v>23</v>
      </c>
      <c r="C211" t="s">
        <v>9</v>
      </c>
      <c r="D211">
        <v>0</v>
      </c>
      <c r="E211" t="s">
        <v>10</v>
      </c>
      <c r="F211" t="s">
        <v>11</v>
      </c>
      <c r="G211" t="s">
        <v>12</v>
      </c>
    </row>
    <row r="212" spans="1:7" x14ac:dyDescent="0.3">
      <c r="A212" t="s">
        <v>32</v>
      </c>
      <c r="B212" t="s">
        <v>23</v>
      </c>
      <c r="C212" t="s">
        <v>13</v>
      </c>
      <c r="D212">
        <v>9</v>
      </c>
      <c r="E212" t="s">
        <v>10</v>
      </c>
      <c r="F212" t="s">
        <v>11</v>
      </c>
      <c r="G212" t="s">
        <v>12</v>
      </c>
    </row>
    <row r="213" spans="1:7" x14ac:dyDescent="0.3">
      <c r="A213" t="s">
        <v>32</v>
      </c>
      <c r="B213" t="s">
        <v>23</v>
      </c>
      <c r="C213" t="s">
        <v>14</v>
      </c>
      <c r="D213">
        <v>7</v>
      </c>
      <c r="E213" t="s">
        <v>10</v>
      </c>
      <c r="F213" t="s">
        <v>11</v>
      </c>
      <c r="G213" t="s">
        <v>12</v>
      </c>
    </row>
    <row r="214" spans="1:7" x14ac:dyDescent="0.3">
      <c r="A214" t="s">
        <v>32</v>
      </c>
      <c r="B214" t="s">
        <v>23</v>
      </c>
      <c r="C214" t="s">
        <v>15</v>
      </c>
      <c r="D214">
        <v>0</v>
      </c>
      <c r="E214" t="s">
        <v>10</v>
      </c>
      <c r="F214" t="s">
        <v>11</v>
      </c>
      <c r="G214" t="s">
        <v>12</v>
      </c>
    </row>
    <row r="215" spans="1:7" x14ac:dyDescent="0.3">
      <c r="A215" t="s">
        <v>32</v>
      </c>
      <c r="B215" t="s">
        <v>23</v>
      </c>
      <c r="C215" t="s">
        <v>16</v>
      </c>
      <c r="D215">
        <v>3</v>
      </c>
      <c r="E215" t="s">
        <v>10</v>
      </c>
      <c r="F215" t="s">
        <v>11</v>
      </c>
      <c r="G215" t="s">
        <v>12</v>
      </c>
    </row>
    <row r="216" spans="1:7" x14ac:dyDescent="0.3">
      <c r="A216" t="s">
        <v>32</v>
      </c>
      <c r="B216" t="s">
        <v>23</v>
      </c>
      <c r="C216" t="s">
        <v>17</v>
      </c>
      <c r="D216">
        <v>0</v>
      </c>
      <c r="E216" t="s">
        <v>10</v>
      </c>
      <c r="F216" t="s">
        <v>11</v>
      </c>
      <c r="G216" t="s">
        <v>12</v>
      </c>
    </row>
    <row r="217" spans="1:7" x14ac:dyDescent="0.3">
      <c r="A217" t="s">
        <v>32</v>
      </c>
      <c r="B217" t="s">
        <v>23</v>
      </c>
      <c r="C217" t="s">
        <v>18</v>
      </c>
      <c r="D217">
        <v>0</v>
      </c>
      <c r="E217" t="s">
        <v>10</v>
      </c>
      <c r="F217" t="s">
        <v>11</v>
      </c>
      <c r="G217" t="s">
        <v>12</v>
      </c>
    </row>
    <row r="218" spans="1:7" x14ac:dyDescent="0.3">
      <c r="A218" t="s">
        <v>32</v>
      </c>
      <c r="B218" t="s">
        <v>23</v>
      </c>
      <c r="C218" t="s">
        <v>19</v>
      </c>
      <c r="D218">
        <v>1</v>
      </c>
      <c r="E218" t="s">
        <v>10</v>
      </c>
      <c r="F218" t="s">
        <v>11</v>
      </c>
      <c r="G218" t="s">
        <v>12</v>
      </c>
    </row>
    <row r="219" spans="1:7" x14ac:dyDescent="0.3">
      <c r="A219" t="s">
        <v>32</v>
      </c>
      <c r="B219" t="s">
        <v>23</v>
      </c>
      <c r="C219" t="s">
        <v>20</v>
      </c>
      <c r="D219">
        <v>0</v>
      </c>
      <c r="E219" t="s">
        <v>10</v>
      </c>
      <c r="F219" t="s">
        <v>11</v>
      </c>
      <c r="G219" t="s">
        <v>12</v>
      </c>
    </row>
    <row r="220" spans="1:7" x14ac:dyDescent="0.3">
      <c r="A220" t="s">
        <v>32</v>
      </c>
      <c r="B220" t="s">
        <v>23</v>
      </c>
      <c r="C220" t="s">
        <v>21</v>
      </c>
      <c r="D220">
        <v>0</v>
      </c>
      <c r="E220" t="s">
        <v>10</v>
      </c>
      <c r="F220" t="s">
        <v>11</v>
      </c>
      <c r="G220" t="s">
        <v>12</v>
      </c>
    </row>
    <row r="221" spans="1:7" x14ac:dyDescent="0.3">
      <c r="A221" t="s">
        <v>32</v>
      </c>
      <c r="B221" t="s">
        <v>23</v>
      </c>
      <c r="C221" t="s">
        <v>22</v>
      </c>
      <c r="D221">
        <v>64</v>
      </c>
      <c r="E221" t="s">
        <v>10</v>
      </c>
      <c r="F221" t="s">
        <v>11</v>
      </c>
      <c r="G221" t="s">
        <v>12</v>
      </c>
    </row>
    <row r="222" spans="1:7" x14ac:dyDescent="0.3">
      <c r="A222" t="s">
        <v>33</v>
      </c>
      <c r="B222" t="s">
        <v>8</v>
      </c>
      <c r="C222" t="s">
        <v>9</v>
      </c>
      <c r="D222">
        <v>2</v>
      </c>
      <c r="E222" t="s">
        <v>10</v>
      </c>
      <c r="F222" t="s">
        <v>11</v>
      </c>
      <c r="G222" t="s">
        <v>12</v>
      </c>
    </row>
    <row r="223" spans="1:7" x14ac:dyDescent="0.3">
      <c r="A223" t="s">
        <v>33</v>
      </c>
      <c r="B223" t="s">
        <v>8</v>
      </c>
      <c r="C223" t="s">
        <v>13</v>
      </c>
      <c r="D223">
        <v>0</v>
      </c>
      <c r="E223" t="s">
        <v>10</v>
      </c>
      <c r="F223" t="s">
        <v>11</v>
      </c>
      <c r="G223" t="s">
        <v>12</v>
      </c>
    </row>
    <row r="224" spans="1:7" x14ac:dyDescent="0.3">
      <c r="A224" t="s">
        <v>33</v>
      </c>
      <c r="B224" t="s">
        <v>8</v>
      </c>
      <c r="C224" t="s">
        <v>14</v>
      </c>
      <c r="D224">
        <v>753</v>
      </c>
      <c r="E224" t="s">
        <v>10</v>
      </c>
      <c r="F224" t="s">
        <v>11</v>
      </c>
      <c r="G224" t="s">
        <v>12</v>
      </c>
    </row>
    <row r="225" spans="1:7" x14ac:dyDescent="0.3">
      <c r="A225" t="s">
        <v>33</v>
      </c>
      <c r="B225" t="s">
        <v>8</v>
      </c>
      <c r="C225" t="s">
        <v>15</v>
      </c>
      <c r="D225">
        <v>0</v>
      </c>
      <c r="E225" t="s">
        <v>10</v>
      </c>
      <c r="F225" t="s">
        <v>11</v>
      </c>
      <c r="G225" t="s">
        <v>12</v>
      </c>
    </row>
    <row r="226" spans="1:7" x14ac:dyDescent="0.3">
      <c r="A226" t="s">
        <v>33</v>
      </c>
      <c r="B226" t="s">
        <v>8</v>
      </c>
      <c r="C226" t="s">
        <v>16</v>
      </c>
      <c r="D226">
        <v>31273</v>
      </c>
      <c r="E226" t="s">
        <v>10</v>
      </c>
      <c r="F226" t="s">
        <v>11</v>
      </c>
      <c r="G226" t="s">
        <v>12</v>
      </c>
    </row>
    <row r="227" spans="1:7" x14ac:dyDescent="0.3">
      <c r="A227" t="s">
        <v>33</v>
      </c>
      <c r="B227" t="s">
        <v>8</v>
      </c>
      <c r="C227" t="s">
        <v>17</v>
      </c>
      <c r="D227">
        <v>6923</v>
      </c>
      <c r="E227" t="s">
        <v>10</v>
      </c>
      <c r="F227" t="s">
        <v>11</v>
      </c>
      <c r="G227" t="s">
        <v>12</v>
      </c>
    </row>
    <row r="228" spans="1:7" x14ac:dyDescent="0.3">
      <c r="A228" t="s">
        <v>33</v>
      </c>
      <c r="B228" t="s">
        <v>8</v>
      </c>
      <c r="C228" t="s">
        <v>18</v>
      </c>
      <c r="D228">
        <v>0</v>
      </c>
      <c r="E228" t="s">
        <v>10</v>
      </c>
      <c r="F228" t="s">
        <v>11</v>
      </c>
      <c r="G228" t="s">
        <v>12</v>
      </c>
    </row>
    <row r="229" spans="1:7" x14ac:dyDescent="0.3">
      <c r="A229" t="s">
        <v>33</v>
      </c>
      <c r="B229" t="s">
        <v>8</v>
      </c>
      <c r="C229" t="s">
        <v>19</v>
      </c>
      <c r="D229">
        <v>0</v>
      </c>
      <c r="E229" t="s">
        <v>10</v>
      </c>
      <c r="F229" t="s">
        <v>11</v>
      </c>
      <c r="G229" t="s">
        <v>12</v>
      </c>
    </row>
    <row r="230" spans="1:7" x14ac:dyDescent="0.3">
      <c r="A230" t="s">
        <v>33</v>
      </c>
      <c r="B230" t="s">
        <v>8</v>
      </c>
      <c r="C230" t="s">
        <v>20</v>
      </c>
      <c r="D230">
        <v>0</v>
      </c>
      <c r="E230" t="s">
        <v>10</v>
      </c>
      <c r="F230" t="s">
        <v>11</v>
      </c>
      <c r="G230" t="s">
        <v>12</v>
      </c>
    </row>
    <row r="231" spans="1:7" x14ac:dyDescent="0.3">
      <c r="A231" t="s">
        <v>33</v>
      </c>
      <c r="B231" t="s">
        <v>8</v>
      </c>
      <c r="C231" t="s">
        <v>21</v>
      </c>
      <c r="D231">
        <v>0</v>
      </c>
      <c r="E231" t="s">
        <v>10</v>
      </c>
      <c r="F231" t="s">
        <v>11</v>
      </c>
      <c r="G231" t="s">
        <v>12</v>
      </c>
    </row>
    <row r="232" spans="1:7" x14ac:dyDescent="0.3">
      <c r="A232" t="s">
        <v>33</v>
      </c>
      <c r="B232" t="s">
        <v>8</v>
      </c>
      <c r="C232" t="s">
        <v>22</v>
      </c>
      <c r="D232">
        <v>0</v>
      </c>
      <c r="E232" t="s">
        <v>10</v>
      </c>
      <c r="F232" t="s">
        <v>11</v>
      </c>
      <c r="G232" t="s">
        <v>12</v>
      </c>
    </row>
    <row r="233" spans="1:7" x14ac:dyDescent="0.3">
      <c r="A233" t="s">
        <v>33</v>
      </c>
      <c r="B233" t="s">
        <v>23</v>
      </c>
      <c r="C233" t="s">
        <v>9</v>
      </c>
      <c r="D233">
        <v>3</v>
      </c>
      <c r="E233" t="s">
        <v>10</v>
      </c>
      <c r="F233" t="s">
        <v>11</v>
      </c>
      <c r="G233" t="s">
        <v>12</v>
      </c>
    </row>
    <row r="234" spans="1:7" x14ac:dyDescent="0.3">
      <c r="A234" t="s">
        <v>33</v>
      </c>
      <c r="B234" t="s">
        <v>23</v>
      </c>
      <c r="C234" t="s">
        <v>13</v>
      </c>
      <c r="D234">
        <v>2</v>
      </c>
      <c r="E234" t="s">
        <v>10</v>
      </c>
      <c r="F234" t="s">
        <v>11</v>
      </c>
      <c r="G234" t="s">
        <v>12</v>
      </c>
    </row>
    <row r="235" spans="1:7" x14ac:dyDescent="0.3">
      <c r="A235" t="s">
        <v>33</v>
      </c>
      <c r="B235" t="s">
        <v>23</v>
      </c>
      <c r="C235" t="s">
        <v>14</v>
      </c>
      <c r="D235">
        <v>25</v>
      </c>
      <c r="E235" t="s">
        <v>10</v>
      </c>
      <c r="F235" t="s">
        <v>11</v>
      </c>
      <c r="G235" t="s">
        <v>12</v>
      </c>
    </row>
    <row r="236" spans="1:7" x14ac:dyDescent="0.3">
      <c r="A236" t="s">
        <v>33</v>
      </c>
      <c r="B236" t="s">
        <v>23</v>
      </c>
      <c r="C236" t="s">
        <v>15</v>
      </c>
      <c r="D236">
        <v>0</v>
      </c>
      <c r="E236" t="s">
        <v>10</v>
      </c>
      <c r="F236" t="s">
        <v>11</v>
      </c>
      <c r="G236" t="s">
        <v>12</v>
      </c>
    </row>
    <row r="237" spans="1:7" x14ac:dyDescent="0.3">
      <c r="A237" t="s">
        <v>33</v>
      </c>
      <c r="B237" t="s">
        <v>23</v>
      </c>
      <c r="C237" t="s">
        <v>16</v>
      </c>
      <c r="D237">
        <v>2621</v>
      </c>
      <c r="E237" t="s">
        <v>10</v>
      </c>
      <c r="F237" t="s">
        <v>11</v>
      </c>
      <c r="G237" t="s">
        <v>12</v>
      </c>
    </row>
    <row r="238" spans="1:7" x14ac:dyDescent="0.3">
      <c r="A238" t="s">
        <v>33</v>
      </c>
      <c r="B238" t="s">
        <v>23</v>
      </c>
      <c r="C238" t="s">
        <v>17</v>
      </c>
      <c r="D238">
        <v>70</v>
      </c>
      <c r="E238" t="s">
        <v>10</v>
      </c>
      <c r="F238" t="s">
        <v>11</v>
      </c>
      <c r="G238" t="s">
        <v>12</v>
      </c>
    </row>
    <row r="239" spans="1:7" x14ac:dyDescent="0.3">
      <c r="A239" t="s">
        <v>33</v>
      </c>
      <c r="B239" t="s">
        <v>23</v>
      </c>
      <c r="C239" t="s">
        <v>18</v>
      </c>
      <c r="D239">
        <v>0</v>
      </c>
      <c r="E239" t="s">
        <v>10</v>
      </c>
      <c r="F239" t="s">
        <v>11</v>
      </c>
      <c r="G239" t="s">
        <v>12</v>
      </c>
    </row>
    <row r="240" spans="1:7" x14ac:dyDescent="0.3">
      <c r="A240" t="s">
        <v>33</v>
      </c>
      <c r="B240" t="s">
        <v>23</v>
      </c>
      <c r="C240" t="s">
        <v>19</v>
      </c>
      <c r="D240">
        <v>0</v>
      </c>
      <c r="E240" t="s">
        <v>10</v>
      </c>
      <c r="F240" t="s">
        <v>11</v>
      </c>
      <c r="G240" t="s">
        <v>12</v>
      </c>
    </row>
    <row r="241" spans="1:7" x14ac:dyDescent="0.3">
      <c r="A241" t="s">
        <v>33</v>
      </c>
      <c r="B241" t="s">
        <v>23</v>
      </c>
      <c r="C241" t="s">
        <v>20</v>
      </c>
      <c r="D241">
        <v>6</v>
      </c>
      <c r="E241" t="s">
        <v>10</v>
      </c>
      <c r="F241" t="s">
        <v>11</v>
      </c>
      <c r="G241" t="s">
        <v>12</v>
      </c>
    </row>
    <row r="242" spans="1:7" x14ac:dyDescent="0.3">
      <c r="A242" t="s">
        <v>33</v>
      </c>
      <c r="B242" t="s">
        <v>23</v>
      </c>
      <c r="C242" t="s">
        <v>21</v>
      </c>
      <c r="D242">
        <v>0</v>
      </c>
      <c r="E242" t="s">
        <v>10</v>
      </c>
      <c r="F242" t="s">
        <v>11</v>
      </c>
      <c r="G242" t="s">
        <v>12</v>
      </c>
    </row>
    <row r="243" spans="1:7" x14ac:dyDescent="0.3">
      <c r="A243" t="s">
        <v>33</v>
      </c>
      <c r="B243" t="s">
        <v>23</v>
      </c>
      <c r="C243" t="s">
        <v>22</v>
      </c>
      <c r="D243">
        <v>2</v>
      </c>
      <c r="E243" t="s">
        <v>10</v>
      </c>
      <c r="F243" t="s">
        <v>11</v>
      </c>
      <c r="G243" t="s">
        <v>12</v>
      </c>
    </row>
    <row r="244" spans="1:7" x14ac:dyDescent="0.3">
      <c r="A244" t="s">
        <v>34</v>
      </c>
      <c r="B244" t="s">
        <v>8</v>
      </c>
      <c r="C244" t="s">
        <v>9</v>
      </c>
      <c r="D244">
        <v>0</v>
      </c>
      <c r="E244" t="s">
        <v>10</v>
      </c>
      <c r="F244" t="s">
        <v>11</v>
      </c>
      <c r="G244" t="s">
        <v>12</v>
      </c>
    </row>
    <row r="245" spans="1:7" x14ac:dyDescent="0.3">
      <c r="A245" t="s">
        <v>34</v>
      </c>
      <c r="B245" t="s">
        <v>8</v>
      </c>
      <c r="C245" t="s">
        <v>13</v>
      </c>
      <c r="D245">
        <v>8</v>
      </c>
      <c r="E245" t="s">
        <v>10</v>
      </c>
      <c r="F245" t="s">
        <v>11</v>
      </c>
      <c r="G245" t="s">
        <v>12</v>
      </c>
    </row>
    <row r="246" spans="1:7" x14ac:dyDescent="0.3">
      <c r="A246" t="s">
        <v>34</v>
      </c>
      <c r="B246" t="s">
        <v>8</v>
      </c>
      <c r="C246" t="s">
        <v>14</v>
      </c>
      <c r="D246">
        <v>0</v>
      </c>
      <c r="E246" t="s">
        <v>10</v>
      </c>
      <c r="F246" t="s">
        <v>11</v>
      </c>
      <c r="G246" t="s">
        <v>12</v>
      </c>
    </row>
    <row r="247" spans="1:7" x14ac:dyDescent="0.3">
      <c r="A247" t="s">
        <v>34</v>
      </c>
      <c r="B247" t="s">
        <v>8</v>
      </c>
      <c r="C247" t="s">
        <v>15</v>
      </c>
      <c r="D247">
        <v>0</v>
      </c>
      <c r="E247" t="s">
        <v>10</v>
      </c>
      <c r="F247" t="s">
        <v>11</v>
      </c>
      <c r="G247" t="s">
        <v>12</v>
      </c>
    </row>
    <row r="248" spans="1:7" x14ac:dyDescent="0.3">
      <c r="A248" t="s">
        <v>34</v>
      </c>
      <c r="B248" t="s">
        <v>8</v>
      </c>
      <c r="C248" t="s">
        <v>16</v>
      </c>
      <c r="D248">
        <v>0</v>
      </c>
      <c r="E248" t="s">
        <v>10</v>
      </c>
      <c r="F248" t="s">
        <v>11</v>
      </c>
      <c r="G248" t="s">
        <v>12</v>
      </c>
    </row>
    <row r="249" spans="1:7" x14ac:dyDescent="0.3">
      <c r="A249" t="s">
        <v>34</v>
      </c>
      <c r="B249" t="s">
        <v>8</v>
      </c>
      <c r="C249" t="s">
        <v>17</v>
      </c>
      <c r="D249">
        <v>0</v>
      </c>
      <c r="E249" t="s">
        <v>10</v>
      </c>
      <c r="F249" t="s">
        <v>11</v>
      </c>
      <c r="G249" t="s">
        <v>12</v>
      </c>
    </row>
    <row r="250" spans="1:7" x14ac:dyDescent="0.3">
      <c r="A250" t="s">
        <v>34</v>
      </c>
      <c r="B250" t="s">
        <v>8</v>
      </c>
      <c r="C250" t="s">
        <v>18</v>
      </c>
      <c r="D250">
        <v>0</v>
      </c>
      <c r="E250" t="s">
        <v>10</v>
      </c>
      <c r="F250" t="s">
        <v>11</v>
      </c>
      <c r="G250" t="s">
        <v>12</v>
      </c>
    </row>
    <row r="251" spans="1:7" x14ac:dyDescent="0.3">
      <c r="A251" t="s">
        <v>34</v>
      </c>
      <c r="B251" t="s">
        <v>8</v>
      </c>
      <c r="C251" t="s">
        <v>19</v>
      </c>
      <c r="D251">
        <v>0</v>
      </c>
      <c r="E251" t="s">
        <v>10</v>
      </c>
      <c r="F251" t="s">
        <v>11</v>
      </c>
      <c r="G251" t="s">
        <v>12</v>
      </c>
    </row>
    <row r="252" spans="1:7" x14ac:dyDescent="0.3">
      <c r="A252" t="s">
        <v>34</v>
      </c>
      <c r="B252" t="s">
        <v>8</v>
      </c>
      <c r="C252" t="s">
        <v>20</v>
      </c>
      <c r="D252">
        <v>0</v>
      </c>
      <c r="E252" t="s">
        <v>10</v>
      </c>
      <c r="F252" t="s">
        <v>11</v>
      </c>
      <c r="G252" t="s">
        <v>12</v>
      </c>
    </row>
    <row r="253" spans="1:7" x14ac:dyDescent="0.3">
      <c r="A253" t="s">
        <v>34</v>
      </c>
      <c r="B253" t="s">
        <v>8</v>
      </c>
      <c r="C253" t="s">
        <v>21</v>
      </c>
      <c r="D253">
        <v>0</v>
      </c>
      <c r="E253" t="s">
        <v>10</v>
      </c>
      <c r="F253" t="s">
        <v>11</v>
      </c>
      <c r="G253" t="s">
        <v>12</v>
      </c>
    </row>
    <row r="254" spans="1:7" x14ac:dyDescent="0.3">
      <c r="A254" t="s">
        <v>34</v>
      </c>
      <c r="B254" t="s">
        <v>8</v>
      </c>
      <c r="C254" t="s">
        <v>22</v>
      </c>
      <c r="D254">
        <v>756</v>
      </c>
      <c r="E254" t="s">
        <v>10</v>
      </c>
      <c r="F254" t="s">
        <v>11</v>
      </c>
      <c r="G254" t="s">
        <v>12</v>
      </c>
    </row>
    <row r="255" spans="1:7" x14ac:dyDescent="0.3">
      <c r="A255" t="s">
        <v>34</v>
      </c>
      <c r="B255" t="s">
        <v>23</v>
      </c>
      <c r="C255" t="s">
        <v>9</v>
      </c>
      <c r="D255">
        <v>2</v>
      </c>
      <c r="E255" t="s">
        <v>10</v>
      </c>
      <c r="F255" t="s">
        <v>11</v>
      </c>
      <c r="G255" t="s">
        <v>12</v>
      </c>
    </row>
    <row r="256" spans="1:7" x14ac:dyDescent="0.3">
      <c r="A256" t="s">
        <v>34</v>
      </c>
      <c r="B256" t="s">
        <v>23</v>
      </c>
      <c r="C256" t="s">
        <v>13</v>
      </c>
      <c r="D256">
        <v>23</v>
      </c>
      <c r="E256" t="s">
        <v>10</v>
      </c>
      <c r="F256" t="s">
        <v>11</v>
      </c>
      <c r="G256" t="s">
        <v>12</v>
      </c>
    </row>
    <row r="257" spans="1:7" x14ac:dyDescent="0.3">
      <c r="A257" t="s">
        <v>34</v>
      </c>
      <c r="B257" t="s">
        <v>23</v>
      </c>
      <c r="C257" t="s">
        <v>14</v>
      </c>
      <c r="D257">
        <v>17</v>
      </c>
      <c r="E257" t="s">
        <v>10</v>
      </c>
      <c r="F257" t="s">
        <v>11</v>
      </c>
      <c r="G257" t="s">
        <v>12</v>
      </c>
    </row>
    <row r="258" spans="1:7" x14ac:dyDescent="0.3">
      <c r="A258" t="s">
        <v>34</v>
      </c>
      <c r="B258" t="s">
        <v>23</v>
      </c>
      <c r="C258" t="s">
        <v>15</v>
      </c>
      <c r="D258">
        <v>1</v>
      </c>
      <c r="E258" t="s">
        <v>10</v>
      </c>
      <c r="F258" t="s">
        <v>11</v>
      </c>
      <c r="G258" t="s">
        <v>12</v>
      </c>
    </row>
    <row r="259" spans="1:7" x14ac:dyDescent="0.3">
      <c r="A259" t="s">
        <v>34</v>
      </c>
      <c r="B259" t="s">
        <v>23</v>
      </c>
      <c r="C259" t="s">
        <v>16</v>
      </c>
      <c r="D259">
        <v>9</v>
      </c>
      <c r="E259" t="s">
        <v>10</v>
      </c>
      <c r="F259" t="s">
        <v>11</v>
      </c>
      <c r="G259" t="s">
        <v>12</v>
      </c>
    </row>
    <row r="260" spans="1:7" x14ac:dyDescent="0.3">
      <c r="A260" t="s">
        <v>34</v>
      </c>
      <c r="B260" t="s">
        <v>23</v>
      </c>
      <c r="C260" t="s">
        <v>17</v>
      </c>
      <c r="D260">
        <v>1</v>
      </c>
      <c r="E260" t="s">
        <v>10</v>
      </c>
      <c r="F260" t="s">
        <v>11</v>
      </c>
      <c r="G260" t="s">
        <v>12</v>
      </c>
    </row>
    <row r="261" spans="1:7" x14ac:dyDescent="0.3">
      <c r="A261" t="s">
        <v>34</v>
      </c>
      <c r="B261" t="s">
        <v>23</v>
      </c>
      <c r="C261" t="s">
        <v>18</v>
      </c>
      <c r="D261">
        <v>0</v>
      </c>
      <c r="E261" t="s">
        <v>10</v>
      </c>
      <c r="F261" t="s">
        <v>11</v>
      </c>
      <c r="G261" t="s">
        <v>12</v>
      </c>
    </row>
    <row r="262" spans="1:7" x14ac:dyDescent="0.3">
      <c r="A262" t="s">
        <v>34</v>
      </c>
      <c r="B262" t="s">
        <v>23</v>
      </c>
      <c r="C262" t="s">
        <v>19</v>
      </c>
      <c r="D262">
        <v>3</v>
      </c>
      <c r="E262" t="s">
        <v>10</v>
      </c>
      <c r="F262" t="s">
        <v>11</v>
      </c>
      <c r="G262" t="s">
        <v>12</v>
      </c>
    </row>
    <row r="263" spans="1:7" x14ac:dyDescent="0.3">
      <c r="A263" t="s">
        <v>34</v>
      </c>
      <c r="B263" t="s">
        <v>23</v>
      </c>
      <c r="C263" t="s">
        <v>20</v>
      </c>
      <c r="D263">
        <v>2</v>
      </c>
      <c r="E263" t="s">
        <v>10</v>
      </c>
      <c r="F263" t="s">
        <v>11</v>
      </c>
      <c r="G263" t="s">
        <v>12</v>
      </c>
    </row>
    <row r="264" spans="1:7" x14ac:dyDescent="0.3">
      <c r="A264" t="s">
        <v>34</v>
      </c>
      <c r="B264" t="s">
        <v>23</v>
      </c>
      <c r="C264" t="s">
        <v>21</v>
      </c>
      <c r="D264">
        <v>0</v>
      </c>
      <c r="E264" t="s">
        <v>10</v>
      </c>
      <c r="F264" t="s">
        <v>11</v>
      </c>
      <c r="G264" t="s">
        <v>12</v>
      </c>
    </row>
    <row r="265" spans="1:7" x14ac:dyDescent="0.3">
      <c r="A265" t="s">
        <v>34</v>
      </c>
      <c r="B265" t="s">
        <v>23</v>
      </c>
      <c r="C265" t="s">
        <v>22</v>
      </c>
      <c r="D265">
        <v>159</v>
      </c>
      <c r="E265" t="s">
        <v>10</v>
      </c>
      <c r="F265" t="s">
        <v>11</v>
      </c>
      <c r="G265" t="s">
        <v>12</v>
      </c>
    </row>
    <row r="266" spans="1:7" x14ac:dyDescent="0.3">
      <c r="A266" t="s">
        <v>35</v>
      </c>
      <c r="B266" t="s">
        <v>8</v>
      </c>
      <c r="C266" t="s">
        <v>9</v>
      </c>
      <c r="D266">
        <v>0</v>
      </c>
      <c r="E266" t="s">
        <v>10</v>
      </c>
      <c r="F266" t="s">
        <v>11</v>
      </c>
      <c r="G266" t="s">
        <v>12</v>
      </c>
    </row>
    <row r="267" spans="1:7" x14ac:dyDescent="0.3">
      <c r="A267" t="s">
        <v>35</v>
      </c>
      <c r="B267" t="s">
        <v>8</v>
      </c>
      <c r="C267" t="s">
        <v>13</v>
      </c>
      <c r="D267">
        <v>3</v>
      </c>
      <c r="E267" t="s">
        <v>10</v>
      </c>
      <c r="F267" t="s">
        <v>11</v>
      </c>
      <c r="G267" t="s">
        <v>12</v>
      </c>
    </row>
    <row r="268" spans="1:7" x14ac:dyDescent="0.3">
      <c r="A268" t="s">
        <v>35</v>
      </c>
      <c r="B268" t="s">
        <v>8</v>
      </c>
      <c r="C268" t="s">
        <v>14</v>
      </c>
      <c r="D268">
        <v>0</v>
      </c>
      <c r="E268" t="s">
        <v>10</v>
      </c>
      <c r="F268" t="s">
        <v>11</v>
      </c>
      <c r="G268" t="s">
        <v>12</v>
      </c>
    </row>
    <row r="269" spans="1:7" x14ac:dyDescent="0.3">
      <c r="A269" t="s">
        <v>35</v>
      </c>
      <c r="B269" t="s">
        <v>8</v>
      </c>
      <c r="C269" t="s">
        <v>15</v>
      </c>
      <c r="D269">
        <v>0</v>
      </c>
      <c r="E269" t="s">
        <v>10</v>
      </c>
      <c r="F269" t="s">
        <v>11</v>
      </c>
      <c r="G269" t="s">
        <v>12</v>
      </c>
    </row>
    <row r="270" spans="1:7" x14ac:dyDescent="0.3">
      <c r="A270" t="s">
        <v>35</v>
      </c>
      <c r="B270" t="s">
        <v>8</v>
      </c>
      <c r="C270" t="s">
        <v>16</v>
      </c>
      <c r="D270">
        <v>0</v>
      </c>
      <c r="E270" t="s">
        <v>10</v>
      </c>
      <c r="F270" t="s">
        <v>11</v>
      </c>
      <c r="G270" t="s">
        <v>12</v>
      </c>
    </row>
    <row r="271" spans="1:7" x14ac:dyDescent="0.3">
      <c r="A271" t="s">
        <v>35</v>
      </c>
      <c r="B271" t="s">
        <v>8</v>
      </c>
      <c r="C271" t="s">
        <v>17</v>
      </c>
      <c r="D271">
        <v>0</v>
      </c>
      <c r="E271" t="s">
        <v>10</v>
      </c>
      <c r="F271" t="s">
        <v>11</v>
      </c>
      <c r="G271" t="s">
        <v>12</v>
      </c>
    </row>
    <row r="272" spans="1:7" x14ac:dyDescent="0.3">
      <c r="A272" t="s">
        <v>35</v>
      </c>
      <c r="B272" t="s">
        <v>8</v>
      </c>
      <c r="C272" t="s">
        <v>18</v>
      </c>
      <c r="D272">
        <v>0</v>
      </c>
      <c r="E272" t="s">
        <v>10</v>
      </c>
      <c r="F272" t="s">
        <v>11</v>
      </c>
      <c r="G272" t="s">
        <v>12</v>
      </c>
    </row>
    <row r="273" spans="1:7" x14ac:dyDescent="0.3">
      <c r="A273" t="s">
        <v>35</v>
      </c>
      <c r="B273" t="s">
        <v>8</v>
      </c>
      <c r="C273" t="s">
        <v>19</v>
      </c>
      <c r="D273">
        <v>0</v>
      </c>
      <c r="E273" t="s">
        <v>10</v>
      </c>
      <c r="F273" t="s">
        <v>11</v>
      </c>
      <c r="G273" t="s">
        <v>12</v>
      </c>
    </row>
    <row r="274" spans="1:7" x14ac:dyDescent="0.3">
      <c r="A274" t="s">
        <v>35</v>
      </c>
      <c r="B274" t="s">
        <v>8</v>
      </c>
      <c r="C274" t="s">
        <v>20</v>
      </c>
      <c r="D274">
        <v>0</v>
      </c>
      <c r="E274" t="s">
        <v>10</v>
      </c>
      <c r="F274" t="s">
        <v>11</v>
      </c>
      <c r="G274" t="s">
        <v>12</v>
      </c>
    </row>
    <row r="275" spans="1:7" x14ac:dyDescent="0.3">
      <c r="A275" t="s">
        <v>35</v>
      </c>
      <c r="B275" t="s">
        <v>8</v>
      </c>
      <c r="C275" t="s">
        <v>21</v>
      </c>
      <c r="D275">
        <v>0</v>
      </c>
      <c r="E275" t="s">
        <v>10</v>
      </c>
      <c r="F275" t="s">
        <v>11</v>
      </c>
      <c r="G275" t="s">
        <v>12</v>
      </c>
    </row>
    <row r="276" spans="1:7" x14ac:dyDescent="0.3">
      <c r="A276" t="s">
        <v>35</v>
      </c>
      <c r="B276" t="s">
        <v>8</v>
      </c>
      <c r="C276" t="s">
        <v>22</v>
      </c>
      <c r="D276">
        <v>316</v>
      </c>
      <c r="E276" t="s">
        <v>10</v>
      </c>
      <c r="F276" t="s">
        <v>11</v>
      </c>
      <c r="G276" t="s">
        <v>12</v>
      </c>
    </row>
    <row r="277" spans="1:7" x14ac:dyDescent="0.3">
      <c r="A277" t="s">
        <v>35</v>
      </c>
      <c r="B277" t="s">
        <v>23</v>
      </c>
      <c r="C277" t="s">
        <v>9</v>
      </c>
      <c r="D277">
        <v>0</v>
      </c>
      <c r="E277" t="s">
        <v>10</v>
      </c>
      <c r="F277" t="s">
        <v>11</v>
      </c>
      <c r="G277" t="s">
        <v>12</v>
      </c>
    </row>
    <row r="278" spans="1:7" x14ac:dyDescent="0.3">
      <c r="A278" t="s">
        <v>35</v>
      </c>
      <c r="B278" t="s">
        <v>23</v>
      </c>
      <c r="C278" t="s">
        <v>13</v>
      </c>
      <c r="D278">
        <v>10</v>
      </c>
      <c r="E278" t="s">
        <v>10</v>
      </c>
      <c r="F278" t="s">
        <v>11</v>
      </c>
      <c r="G278" t="s">
        <v>12</v>
      </c>
    </row>
    <row r="279" spans="1:7" x14ac:dyDescent="0.3">
      <c r="A279" t="s">
        <v>35</v>
      </c>
      <c r="B279" t="s">
        <v>23</v>
      </c>
      <c r="C279" t="s">
        <v>14</v>
      </c>
      <c r="D279">
        <v>7</v>
      </c>
      <c r="E279" t="s">
        <v>10</v>
      </c>
      <c r="F279" t="s">
        <v>11</v>
      </c>
      <c r="G279" t="s">
        <v>12</v>
      </c>
    </row>
    <row r="280" spans="1:7" x14ac:dyDescent="0.3">
      <c r="A280" t="s">
        <v>35</v>
      </c>
      <c r="B280" t="s">
        <v>23</v>
      </c>
      <c r="C280" t="s">
        <v>15</v>
      </c>
      <c r="D280">
        <v>0</v>
      </c>
      <c r="E280" t="s">
        <v>10</v>
      </c>
      <c r="F280" t="s">
        <v>11</v>
      </c>
      <c r="G280" t="s">
        <v>12</v>
      </c>
    </row>
    <row r="281" spans="1:7" x14ac:dyDescent="0.3">
      <c r="A281" t="s">
        <v>35</v>
      </c>
      <c r="B281" t="s">
        <v>23</v>
      </c>
      <c r="C281" t="s">
        <v>16</v>
      </c>
      <c r="D281">
        <v>4</v>
      </c>
      <c r="E281" t="s">
        <v>10</v>
      </c>
      <c r="F281" t="s">
        <v>11</v>
      </c>
      <c r="G281" t="s">
        <v>12</v>
      </c>
    </row>
    <row r="282" spans="1:7" x14ac:dyDescent="0.3">
      <c r="A282" t="s">
        <v>35</v>
      </c>
      <c r="B282" t="s">
        <v>23</v>
      </c>
      <c r="C282" t="s">
        <v>17</v>
      </c>
      <c r="D282">
        <v>0</v>
      </c>
      <c r="E282" t="s">
        <v>10</v>
      </c>
      <c r="F282" t="s">
        <v>11</v>
      </c>
      <c r="G282" t="s">
        <v>12</v>
      </c>
    </row>
    <row r="283" spans="1:7" x14ac:dyDescent="0.3">
      <c r="A283" t="s">
        <v>35</v>
      </c>
      <c r="B283" t="s">
        <v>23</v>
      </c>
      <c r="C283" t="s">
        <v>18</v>
      </c>
      <c r="D283">
        <v>0</v>
      </c>
      <c r="E283" t="s">
        <v>10</v>
      </c>
      <c r="F283" t="s">
        <v>11</v>
      </c>
      <c r="G283" t="s">
        <v>12</v>
      </c>
    </row>
    <row r="284" spans="1:7" x14ac:dyDescent="0.3">
      <c r="A284" t="s">
        <v>35</v>
      </c>
      <c r="B284" t="s">
        <v>23</v>
      </c>
      <c r="C284" t="s">
        <v>19</v>
      </c>
      <c r="D284">
        <v>1</v>
      </c>
      <c r="E284" t="s">
        <v>10</v>
      </c>
      <c r="F284" t="s">
        <v>11</v>
      </c>
      <c r="G284" t="s">
        <v>12</v>
      </c>
    </row>
    <row r="285" spans="1:7" x14ac:dyDescent="0.3">
      <c r="A285" t="s">
        <v>35</v>
      </c>
      <c r="B285" t="s">
        <v>23</v>
      </c>
      <c r="C285" t="s">
        <v>20</v>
      </c>
      <c r="D285">
        <v>0</v>
      </c>
      <c r="E285" t="s">
        <v>10</v>
      </c>
      <c r="F285" t="s">
        <v>11</v>
      </c>
      <c r="G285" t="s">
        <v>12</v>
      </c>
    </row>
    <row r="286" spans="1:7" x14ac:dyDescent="0.3">
      <c r="A286" t="s">
        <v>35</v>
      </c>
      <c r="B286" t="s">
        <v>23</v>
      </c>
      <c r="C286" t="s">
        <v>21</v>
      </c>
      <c r="D286">
        <v>0</v>
      </c>
      <c r="E286" t="s">
        <v>10</v>
      </c>
      <c r="F286" t="s">
        <v>11</v>
      </c>
      <c r="G286" t="s">
        <v>12</v>
      </c>
    </row>
    <row r="287" spans="1:7" x14ac:dyDescent="0.3">
      <c r="A287" t="s">
        <v>35</v>
      </c>
      <c r="B287" t="s">
        <v>23</v>
      </c>
      <c r="C287" t="s">
        <v>22</v>
      </c>
      <c r="D287">
        <v>67</v>
      </c>
      <c r="E287" t="s">
        <v>10</v>
      </c>
      <c r="F287" t="s">
        <v>11</v>
      </c>
      <c r="G287" t="s">
        <v>12</v>
      </c>
    </row>
    <row r="288" spans="1:7" x14ac:dyDescent="0.3">
      <c r="A288" t="s">
        <v>7</v>
      </c>
      <c r="B288" t="s">
        <v>8</v>
      </c>
      <c r="C288" t="s">
        <v>9</v>
      </c>
      <c r="D288">
        <v>0</v>
      </c>
      <c r="E288" t="s">
        <v>10</v>
      </c>
      <c r="F288" t="s">
        <v>36</v>
      </c>
      <c r="G288" t="s">
        <v>37</v>
      </c>
    </row>
    <row r="289" spans="1:7" x14ac:dyDescent="0.3">
      <c r="A289" t="s">
        <v>7</v>
      </c>
      <c r="B289" t="s">
        <v>8</v>
      </c>
      <c r="C289" t="s">
        <v>13</v>
      </c>
      <c r="D289">
        <v>0</v>
      </c>
      <c r="E289" t="s">
        <v>10</v>
      </c>
      <c r="F289" t="s">
        <v>36</v>
      </c>
      <c r="G289" t="s">
        <v>37</v>
      </c>
    </row>
    <row r="290" spans="1:7" x14ac:dyDescent="0.3">
      <c r="A290" t="s">
        <v>7</v>
      </c>
      <c r="B290" t="s">
        <v>8</v>
      </c>
      <c r="C290" t="s">
        <v>14</v>
      </c>
      <c r="D290">
        <v>0</v>
      </c>
      <c r="E290" t="s">
        <v>10</v>
      </c>
      <c r="F290" t="s">
        <v>36</v>
      </c>
      <c r="G290" t="s">
        <v>37</v>
      </c>
    </row>
    <row r="291" spans="1:7" x14ac:dyDescent="0.3">
      <c r="A291" t="s">
        <v>7</v>
      </c>
      <c r="B291" t="s">
        <v>8</v>
      </c>
      <c r="C291" t="s">
        <v>15</v>
      </c>
      <c r="D291">
        <v>0</v>
      </c>
      <c r="E291" t="s">
        <v>10</v>
      </c>
      <c r="F291" t="s">
        <v>36</v>
      </c>
      <c r="G291" t="s">
        <v>37</v>
      </c>
    </row>
    <row r="292" spans="1:7" x14ac:dyDescent="0.3">
      <c r="A292" t="s">
        <v>7</v>
      </c>
      <c r="B292" t="s">
        <v>8</v>
      </c>
      <c r="C292" t="s">
        <v>16</v>
      </c>
      <c r="D292">
        <v>0</v>
      </c>
      <c r="E292" t="s">
        <v>10</v>
      </c>
      <c r="F292" t="s">
        <v>36</v>
      </c>
      <c r="G292" t="s">
        <v>37</v>
      </c>
    </row>
    <row r="293" spans="1:7" x14ac:dyDescent="0.3">
      <c r="A293" t="s">
        <v>7</v>
      </c>
      <c r="B293" t="s">
        <v>8</v>
      </c>
      <c r="C293" t="s">
        <v>17</v>
      </c>
      <c r="D293">
        <v>0</v>
      </c>
      <c r="E293" t="s">
        <v>10</v>
      </c>
      <c r="F293" t="s">
        <v>36</v>
      </c>
      <c r="G293" t="s">
        <v>37</v>
      </c>
    </row>
    <row r="294" spans="1:7" x14ac:dyDescent="0.3">
      <c r="A294" t="s">
        <v>7</v>
      </c>
      <c r="B294" t="s">
        <v>8</v>
      </c>
      <c r="C294" t="s">
        <v>18</v>
      </c>
      <c r="D294">
        <v>0</v>
      </c>
      <c r="E294" t="s">
        <v>10</v>
      </c>
      <c r="F294" t="s">
        <v>36</v>
      </c>
      <c r="G294" t="s">
        <v>37</v>
      </c>
    </row>
    <row r="295" spans="1:7" x14ac:dyDescent="0.3">
      <c r="A295" t="s">
        <v>7</v>
      </c>
      <c r="B295" t="s">
        <v>8</v>
      </c>
      <c r="C295" t="s">
        <v>19</v>
      </c>
      <c r="D295">
        <v>0</v>
      </c>
      <c r="E295" t="s">
        <v>10</v>
      </c>
      <c r="F295" t="s">
        <v>36</v>
      </c>
      <c r="G295" t="s">
        <v>37</v>
      </c>
    </row>
    <row r="296" spans="1:7" x14ac:dyDescent="0.3">
      <c r="A296" t="s">
        <v>7</v>
      </c>
      <c r="B296" t="s">
        <v>8</v>
      </c>
      <c r="C296" t="s">
        <v>20</v>
      </c>
      <c r="D296">
        <v>0</v>
      </c>
      <c r="E296" t="s">
        <v>10</v>
      </c>
      <c r="F296" t="s">
        <v>36</v>
      </c>
      <c r="G296" t="s">
        <v>37</v>
      </c>
    </row>
    <row r="297" spans="1:7" x14ac:dyDescent="0.3">
      <c r="A297" t="s">
        <v>7</v>
      </c>
      <c r="B297" t="s">
        <v>8</v>
      </c>
      <c r="C297" t="s">
        <v>21</v>
      </c>
      <c r="D297">
        <v>0</v>
      </c>
      <c r="E297" t="s">
        <v>10</v>
      </c>
      <c r="F297" t="s">
        <v>36</v>
      </c>
      <c r="G297" t="s">
        <v>37</v>
      </c>
    </row>
    <row r="298" spans="1:7" x14ac:dyDescent="0.3">
      <c r="A298" t="s">
        <v>7</v>
      </c>
      <c r="B298" t="s">
        <v>8</v>
      </c>
      <c r="C298" t="s">
        <v>22</v>
      </c>
      <c r="D298">
        <v>0</v>
      </c>
      <c r="E298" t="s">
        <v>10</v>
      </c>
      <c r="F298" t="s">
        <v>36</v>
      </c>
      <c r="G298" t="s">
        <v>37</v>
      </c>
    </row>
    <row r="299" spans="1:7" x14ac:dyDescent="0.3">
      <c r="A299" t="s">
        <v>7</v>
      </c>
      <c r="B299" t="s">
        <v>23</v>
      </c>
      <c r="C299" t="s">
        <v>9</v>
      </c>
      <c r="D299">
        <v>784</v>
      </c>
      <c r="E299" t="s">
        <v>10</v>
      </c>
      <c r="F299" t="s">
        <v>36</v>
      </c>
      <c r="G299" t="s">
        <v>37</v>
      </c>
    </row>
    <row r="300" spans="1:7" x14ac:dyDescent="0.3">
      <c r="A300" t="s">
        <v>7</v>
      </c>
      <c r="B300" t="s">
        <v>23</v>
      </c>
      <c r="C300" t="s">
        <v>13</v>
      </c>
      <c r="D300">
        <v>8492</v>
      </c>
      <c r="E300" t="s">
        <v>10</v>
      </c>
      <c r="F300" t="s">
        <v>36</v>
      </c>
      <c r="G300" t="s">
        <v>37</v>
      </c>
    </row>
    <row r="301" spans="1:7" x14ac:dyDescent="0.3">
      <c r="A301" t="s">
        <v>7</v>
      </c>
      <c r="B301" t="s">
        <v>23</v>
      </c>
      <c r="C301" t="s">
        <v>14</v>
      </c>
      <c r="D301">
        <v>593</v>
      </c>
      <c r="E301" t="s">
        <v>10</v>
      </c>
      <c r="F301" t="s">
        <v>36</v>
      </c>
      <c r="G301" t="s">
        <v>37</v>
      </c>
    </row>
    <row r="302" spans="1:7" x14ac:dyDescent="0.3">
      <c r="A302" t="s">
        <v>7</v>
      </c>
      <c r="B302" t="s">
        <v>23</v>
      </c>
      <c r="C302" t="s">
        <v>15</v>
      </c>
      <c r="D302">
        <v>4141</v>
      </c>
      <c r="E302" t="s">
        <v>10</v>
      </c>
      <c r="F302" t="s">
        <v>36</v>
      </c>
      <c r="G302" t="s">
        <v>37</v>
      </c>
    </row>
    <row r="303" spans="1:7" x14ac:dyDescent="0.3">
      <c r="A303" t="s">
        <v>7</v>
      </c>
      <c r="B303" t="s">
        <v>23</v>
      </c>
      <c r="C303" t="s">
        <v>16</v>
      </c>
      <c r="D303">
        <v>2806</v>
      </c>
      <c r="E303" t="s">
        <v>10</v>
      </c>
      <c r="F303" t="s">
        <v>36</v>
      </c>
      <c r="G303" t="s">
        <v>37</v>
      </c>
    </row>
    <row r="304" spans="1:7" x14ac:dyDescent="0.3">
      <c r="A304" t="s">
        <v>7</v>
      </c>
      <c r="B304" t="s">
        <v>23</v>
      </c>
      <c r="C304" t="s">
        <v>17</v>
      </c>
      <c r="D304">
        <v>28</v>
      </c>
      <c r="E304" t="s">
        <v>10</v>
      </c>
      <c r="F304" t="s">
        <v>36</v>
      </c>
      <c r="G304" t="s">
        <v>37</v>
      </c>
    </row>
    <row r="305" spans="1:7" x14ac:dyDescent="0.3">
      <c r="A305" t="s">
        <v>7</v>
      </c>
      <c r="B305" t="s">
        <v>23</v>
      </c>
      <c r="C305" t="s">
        <v>18</v>
      </c>
      <c r="D305">
        <v>0</v>
      </c>
      <c r="E305" t="s">
        <v>10</v>
      </c>
      <c r="F305" t="s">
        <v>36</v>
      </c>
      <c r="G305" t="s">
        <v>37</v>
      </c>
    </row>
    <row r="306" spans="1:7" x14ac:dyDescent="0.3">
      <c r="A306" t="s">
        <v>7</v>
      </c>
      <c r="B306" t="s">
        <v>23</v>
      </c>
      <c r="C306" t="s">
        <v>19</v>
      </c>
      <c r="D306">
        <v>1349</v>
      </c>
      <c r="E306" t="s">
        <v>10</v>
      </c>
      <c r="F306" t="s">
        <v>36</v>
      </c>
      <c r="G306" t="s">
        <v>37</v>
      </c>
    </row>
    <row r="307" spans="1:7" x14ac:dyDescent="0.3">
      <c r="A307" t="s">
        <v>7</v>
      </c>
      <c r="B307" t="s">
        <v>23</v>
      </c>
      <c r="C307" t="s">
        <v>20</v>
      </c>
      <c r="D307">
        <v>2548</v>
      </c>
      <c r="E307" t="s">
        <v>10</v>
      </c>
      <c r="F307" t="s">
        <v>36</v>
      </c>
      <c r="G307" t="s">
        <v>37</v>
      </c>
    </row>
    <row r="308" spans="1:7" x14ac:dyDescent="0.3">
      <c r="A308" t="s">
        <v>7</v>
      </c>
      <c r="B308" t="s">
        <v>23</v>
      </c>
      <c r="C308" t="s">
        <v>21</v>
      </c>
      <c r="D308">
        <v>195</v>
      </c>
      <c r="E308" t="s">
        <v>10</v>
      </c>
      <c r="F308" t="s">
        <v>36</v>
      </c>
      <c r="G308" t="s">
        <v>37</v>
      </c>
    </row>
    <row r="309" spans="1:7" x14ac:dyDescent="0.3">
      <c r="A309" t="s">
        <v>7</v>
      </c>
      <c r="B309" t="s">
        <v>23</v>
      </c>
      <c r="C309" t="s">
        <v>22</v>
      </c>
      <c r="D309">
        <v>255837</v>
      </c>
      <c r="E309" t="s">
        <v>10</v>
      </c>
      <c r="F309" t="s">
        <v>36</v>
      </c>
      <c r="G309" t="s">
        <v>37</v>
      </c>
    </row>
    <row r="310" spans="1:7" x14ac:dyDescent="0.3">
      <c r="A310" t="s">
        <v>24</v>
      </c>
      <c r="B310" t="s">
        <v>8</v>
      </c>
      <c r="C310" t="s">
        <v>9</v>
      </c>
      <c r="D310">
        <v>0</v>
      </c>
      <c r="E310" t="s">
        <v>10</v>
      </c>
      <c r="F310" t="s">
        <v>36</v>
      </c>
      <c r="G310" t="s">
        <v>37</v>
      </c>
    </row>
    <row r="311" spans="1:7" x14ac:dyDescent="0.3">
      <c r="A311" t="s">
        <v>24</v>
      </c>
      <c r="B311" t="s">
        <v>8</v>
      </c>
      <c r="C311" t="s">
        <v>13</v>
      </c>
      <c r="D311">
        <v>0</v>
      </c>
      <c r="E311" t="s">
        <v>10</v>
      </c>
      <c r="F311" t="s">
        <v>36</v>
      </c>
      <c r="G311" t="s">
        <v>37</v>
      </c>
    </row>
    <row r="312" spans="1:7" x14ac:dyDescent="0.3">
      <c r="A312" t="s">
        <v>24</v>
      </c>
      <c r="B312" t="s">
        <v>8</v>
      </c>
      <c r="C312" t="s">
        <v>14</v>
      </c>
      <c r="D312">
        <v>0</v>
      </c>
      <c r="E312" t="s">
        <v>10</v>
      </c>
      <c r="F312" t="s">
        <v>36</v>
      </c>
      <c r="G312" t="s">
        <v>37</v>
      </c>
    </row>
    <row r="313" spans="1:7" x14ac:dyDescent="0.3">
      <c r="A313" t="s">
        <v>24</v>
      </c>
      <c r="B313" t="s">
        <v>8</v>
      </c>
      <c r="C313" t="s">
        <v>15</v>
      </c>
      <c r="D313">
        <v>0</v>
      </c>
      <c r="E313" t="s">
        <v>10</v>
      </c>
      <c r="F313" t="s">
        <v>36</v>
      </c>
      <c r="G313" t="s">
        <v>37</v>
      </c>
    </row>
    <row r="314" spans="1:7" x14ac:dyDescent="0.3">
      <c r="A314" t="s">
        <v>24</v>
      </c>
      <c r="B314" t="s">
        <v>8</v>
      </c>
      <c r="C314" t="s">
        <v>16</v>
      </c>
      <c r="D314">
        <v>0</v>
      </c>
      <c r="E314" t="s">
        <v>10</v>
      </c>
      <c r="F314" t="s">
        <v>36</v>
      </c>
      <c r="G314" t="s">
        <v>37</v>
      </c>
    </row>
    <row r="315" spans="1:7" x14ac:dyDescent="0.3">
      <c r="A315" t="s">
        <v>24</v>
      </c>
      <c r="B315" t="s">
        <v>8</v>
      </c>
      <c r="C315" t="s">
        <v>17</v>
      </c>
      <c r="D315">
        <v>0</v>
      </c>
      <c r="E315" t="s">
        <v>10</v>
      </c>
      <c r="F315" t="s">
        <v>36</v>
      </c>
      <c r="G315" t="s">
        <v>37</v>
      </c>
    </row>
    <row r="316" spans="1:7" x14ac:dyDescent="0.3">
      <c r="A316" t="s">
        <v>24</v>
      </c>
      <c r="B316" t="s">
        <v>8</v>
      </c>
      <c r="C316" t="s">
        <v>18</v>
      </c>
      <c r="D316">
        <v>0</v>
      </c>
      <c r="E316" t="s">
        <v>10</v>
      </c>
      <c r="F316" t="s">
        <v>36</v>
      </c>
      <c r="G316" t="s">
        <v>37</v>
      </c>
    </row>
    <row r="317" spans="1:7" x14ac:dyDescent="0.3">
      <c r="A317" t="s">
        <v>24</v>
      </c>
      <c r="B317" t="s">
        <v>8</v>
      </c>
      <c r="C317" t="s">
        <v>19</v>
      </c>
      <c r="D317">
        <v>0</v>
      </c>
      <c r="E317" t="s">
        <v>10</v>
      </c>
      <c r="F317" t="s">
        <v>36</v>
      </c>
      <c r="G317" t="s">
        <v>37</v>
      </c>
    </row>
    <row r="318" spans="1:7" x14ac:dyDescent="0.3">
      <c r="A318" t="s">
        <v>24</v>
      </c>
      <c r="B318" t="s">
        <v>8</v>
      </c>
      <c r="C318" t="s">
        <v>20</v>
      </c>
      <c r="D318">
        <v>0</v>
      </c>
      <c r="E318" t="s">
        <v>10</v>
      </c>
      <c r="F318" t="s">
        <v>36</v>
      </c>
      <c r="G318" t="s">
        <v>37</v>
      </c>
    </row>
    <row r="319" spans="1:7" x14ac:dyDescent="0.3">
      <c r="A319" t="s">
        <v>24</v>
      </c>
      <c r="B319" t="s">
        <v>8</v>
      </c>
      <c r="C319" t="s">
        <v>21</v>
      </c>
      <c r="D319">
        <v>0</v>
      </c>
      <c r="E319" t="s">
        <v>10</v>
      </c>
      <c r="F319" t="s">
        <v>36</v>
      </c>
      <c r="G319" t="s">
        <v>37</v>
      </c>
    </row>
    <row r="320" spans="1:7" x14ac:dyDescent="0.3">
      <c r="A320" t="s">
        <v>24</v>
      </c>
      <c r="B320" t="s">
        <v>8</v>
      </c>
      <c r="C320" t="s">
        <v>22</v>
      </c>
      <c r="D320">
        <v>0</v>
      </c>
      <c r="E320" t="s">
        <v>10</v>
      </c>
      <c r="F320" t="s">
        <v>36</v>
      </c>
      <c r="G320" t="s">
        <v>37</v>
      </c>
    </row>
    <row r="321" spans="1:7" x14ac:dyDescent="0.3">
      <c r="A321" t="s">
        <v>24</v>
      </c>
      <c r="B321" t="s">
        <v>23</v>
      </c>
      <c r="C321" t="s">
        <v>9</v>
      </c>
      <c r="D321">
        <v>1000</v>
      </c>
      <c r="E321" t="s">
        <v>10</v>
      </c>
      <c r="F321" t="s">
        <v>36</v>
      </c>
      <c r="G321" t="s">
        <v>37</v>
      </c>
    </row>
    <row r="322" spans="1:7" x14ac:dyDescent="0.3">
      <c r="A322" t="s">
        <v>24</v>
      </c>
      <c r="B322" t="s">
        <v>23</v>
      </c>
      <c r="C322" t="s">
        <v>13</v>
      </c>
      <c r="D322">
        <v>156</v>
      </c>
      <c r="E322" t="s">
        <v>10</v>
      </c>
      <c r="F322" t="s">
        <v>36</v>
      </c>
      <c r="G322" t="s">
        <v>37</v>
      </c>
    </row>
    <row r="323" spans="1:7" x14ac:dyDescent="0.3">
      <c r="A323" t="s">
        <v>24</v>
      </c>
      <c r="B323" t="s">
        <v>23</v>
      </c>
      <c r="C323" t="s">
        <v>14</v>
      </c>
      <c r="D323">
        <v>39338</v>
      </c>
      <c r="E323" t="s">
        <v>10</v>
      </c>
      <c r="F323" t="s">
        <v>36</v>
      </c>
      <c r="G323" t="s">
        <v>37</v>
      </c>
    </row>
    <row r="324" spans="1:7" x14ac:dyDescent="0.3">
      <c r="A324" t="s">
        <v>24</v>
      </c>
      <c r="B324" t="s">
        <v>23</v>
      </c>
      <c r="C324" t="s">
        <v>15</v>
      </c>
      <c r="D324">
        <v>463</v>
      </c>
      <c r="E324" t="s">
        <v>10</v>
      </c>
      <c r="F324" t="s">
        <v>36</v>
      </c>
      <c r="G324" t="s">
        <v>37</v>
      </c>
    </row>
    <row r="325" spans="1:7" x14ac:dyDescent="0.3">
      <c r="A325" t="s">
        <v>24</v>
      </c>
      <c r="B325" t="s">
        <v>23</v>
      </c>
      <c r="C325" t="s">
        <v>16</v>
      </c>
      <c r="D325">
        <v>2729221</v>
      </c>
      <c r="E325" t="s">
        <v>10</v>
      </c>
      <c r="F325" t="s">
        <v>36</v>
      </c>
      <c r="G325" t="s">
        <v>37</v>
      </c>
    </row>
    <row r="326" spans="1:7" x14ac:dyDescent="0.3">
      <c r="A326" t="s">
        <v>24</v>
      </c>
      <c r="B326" t="s">
        <v>23</v>
      </c>
      <c r="C326" t="s">
        <v>17</v>
      </c>
      <c r="D326">
        <v>119132</v>
      </c>
      <c r="E326" t="s">
        <v>10</v>
      </c>
      <c r="F326" t="s">
        <v>36</v>
      </c>
      <c r="G326" t="s">
        <v>37</v>
      </c>
    </row>
    <row r="327" spans="1:7" x14ac:dyDescent="0.3">
      <c r="A327" t="s">
        <v>24</v>
      </c>
      <c r="B327" t="s">
        <v>23</v>
      </c>
      <c r="C327" t="s">
        <v>18</v>
      </c>
      <c r="D327">
        <v>0</v>
      </c>
      <c r="E327" t="s">
        <v>10</v>
      </c>
      <c r="F327" t="s">
        <v>36</v>
      </c>
      <c r="G327" t="s">
        <v>37</v>
      </c>
    </row>
    <row r="328" spans="1:7" x14ac:dyDescent="0.3">
      <c r="A328" t="s">
        <v>24</v>
      </c>
      <c r="B328" t="s">
        <v>23</v>
      </c>
      <c r="C328" t="s">
        <v>19</v>
      </c>
      <c r="D328">
        <v>64</v>
      </c>
      <c r="E328" t="s">
        <v>10</v>
      </c>
      <c r="F328" t="s">
        <v>36</v>
      </c>
      <c r="G328" t="s">
        <v>37</v>
      </c>
    </row>
    <row r="329" spans="1:7" x14ac:dyDescent="0.3">
      <c r="A329" t="s">
        <v>24</v>
      </c>
      <c r="B329" t="s">
        <v>23</v>
      </c>
      <c r="C329" t="s">
        <v>20</v>
      </c>
      <c r="D329">
        <v>2547</v>
      </c>
      <c r="E329" t="s">
        <v>10</v>
      </c>
      <c r="F329" t="s">
        <v>36</v>
      </c>
      <c r="G329" t="s">
        <v>37</v>
      </c>
    </row>
    <row r="330" spans="1:7" x14ac:dyDescent="0.3">
      <c r="A330" t="s">
        <v>24</v>
      </c>
      <c r="B330" t="s">
        <v>23</v>
      </c>
      <c r="C330" t="s">
        <v>21</v>
      </c>
      <c r="D330">
        <v>675</v>
      </c>
      <c r="E330" t="s">
        <v>10</v>
      </c>
      <c r="F330" t="s">
        <v>36</v>
      </c>
      <c r="G330" t="s">
        <v>37</v>
      </c>
    </row>
    <row r="331" spans="1:7" x14ac:dyDescent="0.3">
      <c r="A331" t="s">
        <v>24</v>
      </c>
      <c r="B331" t="s">
        <v>23</v>
      </c>
      <c r="C331" t="s">
        <v>22</v>
      </c>
      <c r="D331">
        <v>592</v>
      </c>
      <c r="E331" t="s">
        <v>10</v>
      </c>
      <c r="F331" t="s">
        <v>36</v>
      </c>
      <c r="G331" t="s">
        <v>37</v>
      </c>
    </row>
    <row r="332" spans="1:7" x14ac:dyDescent="0.3">
      <c r="A332" t="s">
        <v>25</v>
      </c>
      <c r="B332" t="s">
        <v>8</v>
      </c>
      <c r="C332" t="s">
        <v>9</v>
      </c>
      <c r="D332">
        <v>0</v>
      </c>
      <c r="E332" t="s">
        <v>10</v>
      </c>
      <c r="F332" t="s">
        <v>36</v>
      </c>
      <c r="G332" t="s">
        <v>37</v>
      </c>
    </row>
    <row r="333" spans="1:7" x14ac:dyDescent="0.3">
      <c r="A333" t="s">
        <v>25</v>
      </c>
      <c r="B333" t="s">
        <v>8</v>
      </c>
      <c r="C333" t="s">
        <v>13</v>
      </c>
      <c r="D333">
        <v>0</v>
      </c>
      <c r="E333" t="s">
        <v>10</v>
      </c>
      <c r="F333" t="s">
        <v>36</v>
      </c>
      <c r="G333" t="s">
        <v>37</v>
      </c>
    </row>
    <row r="334" spans="1:7" x14ac:dyDescent="0.3">
      <c r="A334" t="s">
        <v>25</v>
      </c>
      <c r="B334" t="s">
        <v>8</v>
      </c>
      <c r="C334" t="s">
        <v>14</v>
      </c>
      <c r="D334">
        <v>0</v>
      </c>
      <c r="E334" t="s">
        <v>10</v>
      </c>
      <c r="F334" t="s">
        <v>36</v>
      </c>
      <c r="G334" t="s">
        <v>37</v>
      </c>
    </row>
    <row r="335" spans="1:7" x14ac:dyDescent="0.3">
      <c r="A335" t="s">
        <v>25</v>
      </c>
      <c r="B335" t="s">
        <v>8</v>
      </c>
      <c r="C335" t="s">
        <v>15</v>
      </c>
      <c r="D335">
        <v>0</v>
      </c>
      <c r="E335" t="s">
        <v>10</v>
      </c>
      <c r="F335" t="s">
        <v>36</v>
      </c>
      <c r="G335" t="s">
        <v>37</v>
      </c>
    </row>
    <row r="336" spans="1:7" x14ac:dyDescent="0.3">
      <c r="A336" t="s">
        <v>25</v>
      </c>
      <c r="B336" t="s">
        <v>8</v>
      </c>
      <c r="C336" t="s">
        <v>16</v>
      </c>
      <c r="D336">
        <v>0</v>
      </c>
      <c r="E336" t="s">
        <v>10</v>
      </c>
      <c r="F336" t="s">
        <v>36</v>
      </c>
      <c r="G336" t="s">
        <v>37</v>
      </c>
    </row>
    <row r="337" spans="1:7" x14ac:dyDescent="0.3">
      <c r="A337" t="s">
        <v>25</v>
      </c>
      <c r="B337" t="s">
        <v>8</v>
      </c>
      <c r="C337" t="s">
        <v>17</v>
      </c>
      <c r="D337">
        <v>0</v>
      </c>
      <c r="E337" t="s">
        <v>10</v>
      </c>
      <c r="F337" t="s">
        <v>36</v>
      </c>
      <c r="G337" t="s">
        <v>37</v>
      </c>
    </row>
    <row r="338" spans="1:7" x14ac:dyDescent="0.3">
      <c r="A338" t="s">
        <v>25</v>
      </c>
      <c r="B338" t="s">
        <v>8</v>
      </c>
      <c r="C338" t="s">
        <v>18</v>
      </c>
      <c r="D338">
        <v>0</v>
      </c>
      <c r="E338" t="s">
        <v>10</v>
      </c>
      <c r="F338" t="s">
        <v>36</v>
      </c>
      <c r="G338" t="s">
        <v>37</v>
      </c>
    </row>
    <row r="339" spans="1:7" x14ac:dyDescent="0.3">
      <c r="A339" t="s">
        <v>25</v>
      </c>
      <c r="B339" t="s">
        <v>8</v>
      </c>
      <c r="C339" t="s">
        <v>19</v>
      </c>
      <c r="D339">
        <v>0</v>
      </c>
      <c r="E339" t="s">
        <v>10</v>
      </c>
      <c r="F339" t="s">
        <v>36</v>
      </c>
      <c r="G339" t="s">
        <v>37</v>
      </c>
    </row>
    <row r="340" spans="1:7" x14ac:dyDescent="0.3">
      <c r="A340" t="s">
        <v>25</v>
      </c>
      <c r="B340" t="s">
        <v>8</v>
      </c>
      <c r="C340" t="s">
        <v>20</v>
      </c>
      <c r="D340">
        <v>0</v>
      </c>
      <c r="E340" t="s">
        <v>10</v>
      </c>
      <c r="F340" t="s">
        <v>36</v>
      </c>
      <c r="G340" t="s">
        <v>37</v>
      </c>
    </row>
    <row r="341" spans="1:7" x14ac:dyDescent="0.3">
      <c r="A341" t="s">
        <v>25</v>
      </c>
      <c r="B341" t="s">
        <v>8</v>
      </c>
      <c r="C341" t="s">
        <v>21</v>
      </c>
      <c r="D341">
        <v>0</v>
      </c>
      <c r="E341" t="s">
        <v>10</v>
      </c>
      <c r="F341" t="s">
        <v>36</v>
      </c>
      <c r="G341" t="s">
        <v>37</v>
      </c>
    </row>
    <row r="342" spans="1:7" x14ac:dyDescent="0.3">
      <c r="A342" t="s">
        <v>25</v>
      </c>
      <c r="B342" t="s">
        <v>8</v>
      </c>
      <c r="C342" t="s">
        <v>22</v>
      </c>
      <c r="D342">
        <v>0</v>
      </c>
      <c r="E342" t="s">
        <v>10</v>
      </c>
      <c r="F342" t="s">
        <v>36</v>
      </c>
      <c r="G342" t="s">
        <v>37</v>
      </c>
    </row>
    <row r="343" spans="1:7" x14ac:dyDescent="0.3">
      <c r="A343" t="s">
        <v>25</v>
      </c>
      <c r="B343" t="s">
        <v>23</v>
      </c>
      <c r="C343" t="s">
        <v>9</v>
      </c>
      <c r="D343">
        <v>325</v>
      </c>
      <c r="E343" t="s">
        <v>10</v>
      </c>
      <c r="F343" t="s">
        <v>36</v>
      </c>
      <c r="G343" t="s">
        <v>37</v>
      </c>
    </row>
    <row r="344" spans="1:7" x14ac:dyDescent="0.3">
      <c r="A344" t="s">
        <v>25</v>
      </c>
      <c r="B344" t="s">
        <v>23</v>
      </c>
      <c r="C344" t="s">
        <v>13</v>
      </c>
      <c r="D344">
        <v>3518</v>
      </c>
      <c r="E344" t="s">
        <v>10</v>
      </c>
      <c r="F344" t="s">
        <v>36</v>
      </c>
      <c r="G344" t="s">
        <v>37</v>
      </c>
    </row>
    <row r="345" spans="1:7" x14ac:dyDescent="0.3">
      <c r="A345" t="s">
        <v>25</v>
      </c>
      <c r="B345" t="s">
        <v>23</v>
      </c>
      <c r="C345" t="s">
        <v>14</v>
      </c>
      <c r="D345">
        <v>246</v>
      </c>
      <c r="E345" t="s">
        <v>10</v>
      </c>
      <c r="F345" t="s">
        <v>36</v>
      </c>
      <c r="G345" t="s">
        <v>37</v>
      </c>
    </row>
    <row r="346" spans="1:7" x14ac:dyDescent="0.3">
      <c r="A346" t="s">
        <v>25</v>
      </c>
      <c r="B346" t="s">
        <v>23</v>
      </c>
      <c r="C346" t="s">
        <v>15</v>
      </c>
      <c r="D346">
        <v>1716</v>
      </c>
      <c r="E346" t="s">
        <v>10</v>
      </c>
      <c r="F346" t="s">
        <v>36</v>
      </c>
      <c r="G346" t="s">
        <v>37</v>
      </c>
    </row>
    <row r="347" spans="1:7" x14ac:dyDescent="0.3">
      <c r="A347" t="s">
        <v>25</v>
      </c>
      <c r="B347" t="s">
        <v>23</v>
      </c>
      <c r="C347" t="s">
        <v>16</v>
      </c>
      <c r="D347">
        <v>1162</v>
      </c>
      <c r="E347" t="s">
        <v>10</v>
      </c>
      <c r="F347" t="s">
        <v>36</v>
      </c>
      <c r="G347" t="s">
        <v>37</v>
      </c>
    </row>
    <row r="348" spans="1:7" x14ac:dyDescent="0.3">
      <c r="A348" t="s">
        <v>25</v>
      </c>
      <c r="B348" t="s">
        <v>23</v>
      </c>
      <c r="C348" t="s">
        <v>17</v>
      </c>
      <c r="D348">
        <v>12</v>
      </c>
      <c r="E348" t="s">
        <v>10</v>
      </c>
      <c r="F348" t="s">
        <v>36</v>
      </c>
      <c r="G348" t="s">
        <v>37</v>
      </c>
    </row>
    <row r="349" spans="1:7" x14ac:dyDescent="0.3">
      <c r="A349" t="s">
        <v>25</v>
      </c>
      <c r="B349" t="s">
        <v>23</v>
      </c>
      <c r="C349" t="s">
        <v>18</v>
      </c>
      <c r="D349">
        <v>0</v>
      </c>
      <c r="E349" t="s">
        <v>10</v>
      </c>
      <c r="F349" t="s">
        <v>36</v>
      </c>
      <c r="G349" t="s">
        <v>37</v>
      </c>
    </row>
    <row r="350" spans="1:7" x14ac:dyDescent="0.3">
      <c r="A350" t="s">
        <v>25</v>
      </c>
      <c r="B350" t="s">
        <v>23</v>
      </c>
      <c r="C350" t="s">
        <v>19</v>
      </c>
      <c r="D350">
        <v>559</v>
      </c>
      <c r="E350" t="s">
        <v>10</v>
      </c>
      <c r="F350" t="s">
        <v>36</v>
      </c>
      <c r="G350" t="s">
        <v>37</v>
      </c>
    </row>
    <row r="351" spans="1:7" x14ac:dyDescent="0.3">
      <c r="A351" t="s">
        <v>25</v>
      </c>
      <c r="B351" t="s">
        <v>23</v>
      </c>
      <c r="C351" t="s">
        <v>20</v>
      </c>
      <c r="D351">
        <v>1056</v>
      </c>
      <c r="E351" t="s">
        <v>10</v>
      </c>
      <c r="F351" t="s">
        <v>36</v>
      </c>
      <c r="G351" t="s">
        <v>37</v>
      </c>
    </row>
    <row r="352" spans="1:7" x14ac:dyDescent="0.3">
      <c r="A352" t="s">
        <v>25</v>
      </c>
      <c r="B352" t="s">
        <v>23</v>
      </c>
      <c r="C352" t="s">
        <v>21</v>
      </c>
      <c r="D352">
        <v>81</v>
      </c>
      <c r="E352" t="s">
        <v>10</v>
      </c>
      <c r="F352" t="s">
        <v>36</v>
      </c>
      <c r="G352" t="s">
        <v>37</v>
      </c>
    </row>
    <row r="353" spans="1:7" x14ac:dyDescent="0.3">
      <c r="A353" t="s">
        <v>25</v>
      </c>
      <c r="B353" t="s">
        <v>23</v>
      </c>
      <c r="C353" t="s">
        <v>22</v>
      </c>
      <c r="D353">
        <v>105983</v>
      </c>
      <c r="E353" t="s">
        <v>10</v>
      </c>
      <c r="F353" t="s">
        <v>36</v>
      </c>
      <c r="G353" t="s">
        <v>37</v>
      </c>
    </row>
    <row r="354" spans="1:7" x14ac:dyDescent="0.3">
      <c r="A354" t="s">
        <v>26</v>
      </c>
      <c r="B354" t="s">
        <v>8</v>
      </c>
      <c r="C354" t="s">
        <v>9</v>
      </c>
      <c r="D354">
        <v>0</v>
      </c>
      <c r="E354" t="s">
        <v>10</v>
      </c>
      <c r="F354" t="s">
        <v>36</v>
      </c>
      <c r="G354" t="s">
        <v>37</v>
      </c>
    </row>
    <row r="355" spans="1:7" x14ac:dyDescent="0.3">
      <c r="A355" t="s">
        <v>26</v>
      </c>
      <c r="B355" t="s">
        <v>8</v>
      </c>
      <c r="C355" t="s">
        <v>13</v>
      </c>
      <c r="D355">
        <v>0</v>
      </c>
      <c r="E355" t="s">
        <v>10</v>
      </c>
      <c r="F355" t="s">
        <v>36</v>
      </c>
      <c r="G355" t="s">
        <v>37</v>
      </c>
    </row>
    <row r="356" spans="1:7" x14ac:dyDescent="0.3">
      <c r="A356" t="s">
        <v>26</v>
      </c>
      <c r="B356" t="s">
        <v>8</v>
      </c>
      <c r="C356" t="s">
        <v>14</v>
      </c>
      <c r="D356">
        <v>0</v>
      </c>
      <c r="E356" t="s">
        <v>10</v>
      </c>
      <c r="F356" t="s">
        <v>36</v>
      </c>
      <c r="G356" t="s">
        <v>37</v>
      </c>
    </row>
    <row r="357" spans="1:7" x14ac:dyDescent="0.3">
      <c r="A357" t="s">
        <v>26</v>
      </c>
      <c r="B357" t="s">
        <v>8</v>
      </c>
      <c r="C357" t="s">
        <v>15</v>
      </c>
      <c r="D357">
        <v>0</v>
      </c>
      <c r="E357" t="s">
        <v>10</v>
      </c>
      <c r="F357" t="s">
        <v>36</v>
      </c>
      <c r="G357" t="s">
        <v>37</v>
      </c>
    </row>
    <row r="358" spans="1:7" x14ac:dyDescent="0.3">
      <c r="A358" t="s">
        <v>26</v>
      </c>
      <c r="B358" t="s">
        <v>8</v>
      </c>
      <c r="C358" t="s">
        <v>16</v>
      </c>
      <c r="D358">
        <v>0</v>
      </c>
      <c r="E358" t="s">
        <v>10</v>
      </c>
      <c r="F358" t="s">
        <v>36</v>
      </c>
      <c r="G358" t="s">
        <v>37</v>
      </c>
    </row>
    <row r="359" spans="1:7" x14ac:dyDescent="0.3">
      <c r="A359" t="s">
        <v>26</v>
      </c>
      <c r="B359" t="s">
        <v>8</v>
      </c>
      <c r="C359" t="s">
        <v>17</v>
      </c>
      <c r="D359">
        <v>0</v>
      </c>
      <c r="E359" t="s">
        <v>10</v>
      </c>
      <c r="F359" t="s">
        <v>36</v>
      </c>
      <c r="G359" t="s">
        <v>37</v>
      </c>
    </row>
    <row r="360" spans="1:7" x14ac:dyDescent="0.3">
      <c r="A360" t="s">
        <v>26</v>
      </c>
      <c r="B360" t="s">
        <v>8</v>
      </c>
      <c r="C360" t="s">
        <v>18</v>
      </c>
      <c r="D360">
        <v>0</v>
      </c>
      <c r="E360" t="s">
        <v>10</v>
      </c>
      <c r="F360" t="s">
        <v>36</v>
      </c>
      <c r="G360" t="s">
        <v>37</v>
      </c>
    </row>
    <row r="361" spans="1:7" x14ac:dyDescent="0.3">
      <c r="A361" t="s">
        <v>26</v>
      </c>
      <c r="B361" t="s">
        <v>8</v>
      </c>
      <c r="C361" t="s">
        <v>19</v>
      </c>
      <c r="D361">
        <v>0</v>
      </c>
      <c r="E361" t="s">
        <v>10</v>
      </c>
      <c r="F361" t="s">
        <v>36</v>
      </c>
      <c r="G361" t="s">
        <v>37</v>
      </c>
    </row>
    <row r="362" spans="1:7" x14ac:dyDescent="0.3">
      <c r="A362" t="s">
        <v>26</v>
      </c>
      <c r="B362" t="s">
        <v>8</v>
      </c>
      <c r="C362" t="s">
        <v>20</v>
      </c>
      <c r="D362">
        <v>0</v>
      </c>
      <c r="E362" t="s">
        <v>10</v>
      </c>
      <c r="F362" t="s">
        <v>36</v>
      </c>
      <c r="G362" t="s">
        <v>37</v>
      </c>
    </row>
    <row r="363" spans="1:7" x14ac:dyDescent="0.3">
      <c r="A363" t="s">
        <v>26</v>
      </c>
      <c r="B363" t="s">
        <v>8</v>
      </c>
      <c r="C363" t="s">
        <v>21</v>
      </c>
      <c r="D363">
        <v>0</v>
      </c>
      <c r="E363" t="s">
        <v>10</v>
      </c>
      <c r="F363" t="s">
        <v>36</v>
      </c>
      <c r="G363" t="s">
        <v>37</v>
      </c>
    </row>
    <row r="364" spans="1:7" x14ac:dyDescent="0.3">
      <c r="A364" t="s">
        <v>26</v>
      </c>
      <c r="B364" t="s">
        <v>8</v>
      </c>
      <c r="C364" t="s">
        <v>22</v>
      </c>
      <c r="D364">
        <v>0</v>
      </c>
      <c r="E364" t="s">
        <v>10</v>
      </c>
      <c r="F364" t="s">
        <v>36</v>
      </c>
      <c r="G364" t="s">
        <v>37</v>
      </c>
    </row>
    <row r="365" spans="1:7" x14ac:dyDescent="0.3">
      <c r="A365" t="s">
        <v>26</v>
      </c>
      <c r="B365" t="s">
        <v>23</v>
      </c>
      <c r="C365" t="s">
        <v>9</v>
      </c>
      <c r="D365">
        <v>757</v>
      </c>
      <c r="E365" t="s">
        <v>10</v>
      </c>
      <c r="F365" t="s">
        <v>36</v>
      </c>
      <c r="G365" t="s">
        <v>37</v>
      </c>
    </row>
    <row r="366" spans="1:7" x14ac:dyDescent="0.3">
      <c r="A366" t="s">
        <v>26</v>
      </c>
      <c r="B366" t="s">
        <v>23</v>
      </c>
      <c r="C366" t="s">
        <v>13</v>
      </c>
      <c r="D366">
        <v>8197</v>
      </c>
      <c r="E366" t="s">
        <v>10</v>
      </c>
      <c r="F366" t="s">
        <v>36</v>
      </c>
      <c r="G366" t="s">
        <v>37</v>
      </c>
    </row>
    <row r="367" spans="1:7" x14ac:dyDescent="0.3">
      <c r="A367" t="s">
        <v>26</v>
      </c>
      <c r="B367" t="s">
        <v>23</v>
      </c>
      <c r="C367" t="s">
        <v>14</v>
      </c>
      <c r="D367">
        <v>573</v>
      </c>
      <c r="E367" t="s">
        <v>10</v>
      </c>
      <c r="F367" t="s">
        <v>36</v>
      </c>
      <c r="G367" t="s">
        <v>37</v>
      </c>
    </row>
    <row r="368" spans="1:7" x14ac:dyDescent="0.3">
      <c r="A368" t="s">
        <v>26</v>
      </c>
      <c r="B368" t="s">
        <v>23</v>
      </c>
      <c r="C368" t="s">
        <v>15</v>
      </c>
      <c r="D368">
        <v>3998</v>
      </c>
      <c r="E368" t="s">
        <v>10</v>
      </c>
      <c r="F368" t="s">
        <v>36</v>
      </c>
      <c r="G368" t="s">
        <v>37</v>
      </c>
    </row>
    <row r="369" spans="1:7" x14ac:dyDescent="0.3">
      <c r="A369" t="s">
        <v>26</v>
      </c>
      <c r="B369" t="s">
        <v>23</v>
      </c>
      <c r="C369" t="s">
        <v>16</v>
      </c>
      <c r="D369">
        <v>2708</v>
      </c>
      <c r="E369" t="s">
        <v>10</v>
      </c>
      <c r="F369" t="s">
        <v>36</v>
      </c>
      <c r="G369" t="s">
        <v>37</v>
      </c>
    </row>
    <row r="370" spans="1:7" x14ac:dyDescent="0.3">
      <c r="A370" t="s">
        <v>26</v>
      </c>
      <c r="B370" t="s">
        <v>23</v>
      </c>
      <c r="C370" t="s">
        <v>17</v>
      </c>
      <c r="D370">
        <v>27</v>
      </c>
      <c r="E370" t="s">
        <v>10</v>
      </c>
      <c r="F370" t="s">
        <v>36</v>
      </c>
      <c r="G370" t="s">
        <v>37</v>
      </c>
    </row>
    <row r="371" spans="1:7" x14ac:dyDescent="0.3">
      <c r="A371" t="s">
        <v>26</v>
      </c>
      <c r="B371" t="s">
        <v>23</v>
      </c>
      <c r="C371" t="s">
        <v>18</v>
      </c>
      <c r="D371">
        <v>0</v>
      </c>
      <c r="E371" t="s">
        <v>10</v>
      </c>
      <c r="F371" t="s">
        <v>36</v>
      </c>
      <c r="G371" t="s">
        <v>37</v>
      </c>
    </row>
    <row r="372" spans="1:7" x14ac:dyDescent="0.3">
      <c r="A372" t="s">
        <v>26</v>
      </c>
      <c r="B372" t="s">
        <v>23</v>
      </c>
      <c r="C372" t="s">
        <v>19</v>
      </c>
      <c r="D372">
        <v>1303</v>
      </c>
      <c r="E372" t="s">
        <v>10</v>
      </c>
      <c r="F372" t="s">
        <v>36</v>
      </c>
      <c r="G372" t="s">
        <v>37</v>
      </c>
    </row>
    <row r="373" spans="1:7" x14ac:dyDescent="0.3">
      <c r="A373" t="s">
        <v>26</v>
      </c>
      <c r="B373" t="s">
        <v>23</v>
      </c>
      <c r="C373" t="s">
        <v>20</v>
      </c>
      <c r="D373">
        <v>2460</v>
      </c>
      <c r="E373" t="s">
        <v>10</v>
      </c>
      <c r="F373" t="s">
        <v>36</v>
      </c>
      <c r="G373" t="s">
        <v>37</v>
      </c>
    </row>
    <row r="374" spans="1:7" x14ac:dyDescent="0.3">
      <c r="A374" t="s">
        <v>26</v>
      </c>
      <c r="B374" t="s">
        <v>23</v>
      </c>
      <c r="C374" t="s">
        <v>21</v>
      </c>
      <c r="D374">
        <v>188</v>
      </c>
      <c r="E374" t="s">
        <v>10</v>
      </c>
      <c r="F374" t="s">
        <v>36</v>
      </c>
      <c r="G374" t="s">
        <v>37</v>
      </c>
    </row>
    <row r="375" spans="1:7" x14ac:dyDescent="0.3">
      <c r="A375" t="s">
        <v>26</v>
      </c>
      <c r="B375" t="s">
        <v>23</v>
      </c>
      <c r="C375" t="s">
        <v>22</v>
      </c>
      <c r="D375">
        <v>246960</v>
      </c>
      <c r="E375" t="s">
        <v>10</v>
      </c>
      <c r="F375" t="s">
        <v>36</v>
      </c>
      <c r="G375" t="s">
        <v>37</v>
      </c>
    </row>
    <row r="376" spans="1:7" x14ac:dyDescent="0.3">
      <c r="A376" t="s">
        <v>27</v>
      </c>
      <c r="B376" t="s">
        <v>8</v>
      </c>
      <c r="C376" t="s">
        <v>9</v>
      </c>
      <c r="D376">
        <v>0</v>
      </c>
      <c r="E376" t="s">
        <v>10</v>
      </c>
      <c r="F376" t="s">
        <v>36</v>
      </c>
      <c r="G376" t="s">
        <v>37</v>
      </c>
    </row>
    <row r="377" spans="1:7" x14ac:dyDescent="0.3">
      <c r="A377" t="s">
        <v>27</v>
      </c>
      <c r="B377" t="s">
        <v>8</v>
      </c>
      <c r="C377" t="s">
        <v>13</v>
      </c>
      <c r="D377">
        <v>0</v>
      </c>
      <c r="E377" t="s">
        <v>10</v>
      </c>
      <c r="F377" t="s">
        <v>36</v>
      </c>
      <c r="G377" t="s">
        <v>37</v>
      </c>
    </row>
    <row r="378" spans="1:7" x14ac:dyDescent="0.3">
      <c r="A378" t="s">
        <v>27</v>
      </c>
      <c r="B378" t="s">
        <v>8</v>
      </c>
      <c r="C378" t="s">
        <v>14</v>
      </c>
      <c r="D378">
        <v>0</v>
      </c>
      <c r="E378" t="s">
        <v>10</v>
      </c>
      <c r="F378" t="s">
        <v>36</v>
      </c>
      <c r="G378" t="s">
        <v>37</v>
      </c>
    </row>
    <row r="379" spans="1:7" x14ac:dyDescent="0.3">
      <c r="A379" t="s">
        <v>27</v>
      </c>
      <c r="B379" t="s">
        <v>8</v>
      </c>
      <c r="C379" t="s">
        <v>15</v>
      </c>
      <c r="D379">
        <v>0</v>
      </c>
      <c r="E379" t="s">
        <v>10</v>
      </c>
      <c r="F379" t="s">
        <v>36</v>
      </c>
      <c r="G379" t="s">
        <v>37</v>
      </c>
    </row>
    <row r="380" spans="1:7" x14ac:dyDescent="0.3">
      <c r="A380" t="s">
        <v>27</v>
      </c>
      <c r="B380" t="s">
        <v>8</v>
      </c>
      <c r="C380" t="s">
        <v>16</v>
      </c>
      <c r="D380">
        <v>0</v>
      </c>
      <c r="E380" t="s">
        <v>10</v>
      </c>
      <c r="F380" t="s">
        <v>36</v>
      </c>
      <c r="G380" t="s">
        <v>37</v>
      </c>
    </row>
    <row r="381" spans="1:7" x14ac:dyDescent="0.3">
      <c r="A381" t="s">
        <v>27</v>
      </c>
      <c r="B381" t="s">
        <v>8</v>
      </c>
      <c r="C381" t="s">
        <v>17</v>
      </c>
      <c r="D381">
        <v>0</v>
      </c>
      <c r="E381" t="s">
        <v>10</v>
      </c>
      <c r="F381" t="s">
        <v>36</v>
      </c>
      <c r="G381" t="s">
        <v>37</v>
      </c>
    </row>
    <row r="382" spans="1:7" x14ac:dyDescent="0.3">
      <c r="A382" t="s">
        <v>27</v>
      </c>
      <c r="B382" t="s">
        <v>8</v>
      </c>
      <c r="C382" t="s">
        <v>18</v>
      </c>
      <c r="D382">
        <v>0</v>
      </c>
      <c r="E382" t="s">
        <v>10</v>
      </c>
      <c r="F382" t="s">
        <v>36</v>
      </c>
      <c r="G382" t="s">
        <v>37</v>
      </c>
    </row>
    <row r="383" spans="1:7" x14ac:dyDescent="0.3">
      <c r="A383" t="s">
        <v>27</v>
      </c>
      <c r="B383" t="s">
        <v>8</v>
      </c>
      <c r="C383" t="s">
        <v>19</v>
      </c>
      <c r="D383">
        <v>0</v>
      </c>
      <c r="E383" t="s">
        <v>10</v>
      </c>
      <c r="F383" t="s">
        <v>36</v>
      </c>
      <c r="G383" t="s">
        <v>37</v>
      </c>
    </row>
    <row r="384" spans="1:7" x14ac:dyDescent="0.3">
      <c r="A384" t="s">
        <v>27</v>
      </c>
      <c r="B384" t="s">
        <v>8</v>
      </c>
      <c r="C384" t="s">
        <v>20</v>
      </c>
      <c r="D384">
        <v>0</v>
      </c>
      <c r="E384" t="s">
        <v>10</v>
      </c>
      <c r="F384" t="s">
        <v>36</v>
      </c>
      <c r="G384" t="s">
        <v>37</v>
      </c>
    </row>
    <row r="385" spans="1:7" x14ac:dyDescent="0.3">
      <c r="A385" t="s">
        <v>27</v>
      </c>
      <c r="B385" t="s">
        <v>8</v>
      </c>
      <c r="C385" t="s">
        <v>21</v>
      </c>
      <c r="D385">
        <v>0</v>
      </c>
      <c r="E385" t="s">
        <v>10</v>
      </c>
      <c r="F385" t="s">
        <v>36</v>
      </c>
      <c r="G385" t="s">
        <v>37</v>
      </c>
    </row>
    <row r="386" spans="1:7" x14ac:dyDescent="0.3">
      <c r="A386" t="s">
        <v>27</v>
      </c>
      <c r="B386" t="s">
        <v>8</v>
      </c>
      <c r="C386" t="s">
        <v>22</v>
      </c>
      <c r="D386">
        <v>0</v>
      </c>
      <c r="E386" t="s">
        <v>10</v>
      </c>
      <c r="F386" t="s">
        <v>36</v>
      </c>
      <c r="G386" t="s">
        <v>37</v>
      </c>
    </row>
    <row r="387" spans="1:7" x14ac:dyDescent="0.3">
      <c r="A387" t="s">
        <v>27</v>
      </c>
      <c r="B387" t="s">
        <v>23</v>
      </c>
      <c r="C387" t="s">
        <v>9</v>
      </c>
      <c r="D387">
        <v>1746</v>
      </c>
      <c r="E387" t="s">
        <v>10</v>
      </c>
      <c r="F387" t="s">
        <v>36</v>
      </c>
      <c r="G387" t="s">
        <v>37</v>
      </c>
    </row>
    <row r="388" spans="1:7" x14ac:dyDescent="0.3">
      <c r="A388" t="s">
        <v>27</v>
      </c>
      <c r="B388" t="s">
        <v>23</v>
      </c>
      <c r="C388" t="s">
        <v>13</v>
      </c>
      <c r="D388">
        <v>318</v>
      </c>
      <c r="E388" t="s">
        <v>10</v>
      </c>
      <c r="F388" t="s">
        <v>36</v>
      </c>
      <c r="G388" t="s">
        <v>37</v>
      </c>
    </row>
    <row r="389" spans="1:7" x14ac:dyDescent="0.3">
      <c r="A389" t="s">
        <v>27</v>
      </c>
      <c r="B389" t="s">
        <v>23</v>
      </c>
      <c r="C389" t="s">
        <v>14</v>
      </c>
      <c r="D389">
        <v>2349078</v>
      </c>
      <c r="E389" t="s">
        <v>10</v>
      </c>
      <c r="F389" t="s">
        <v>36</v>
      </c>
      <c r="G389" t="s">
        <v>37</v>
      </c>
    </row>
    <row r="390" spans="1:7" x14ac:dyDescent="0.3">
      <c r="A390" t="s">
        <v>27</v>
      </c>
      <c r="B390" t="s">
        <v>23</v>
      </c>
      <c r="C390" t="s">
        <v>15</v>
      </c>
      <c r="D390">
        <v>7097</v>
      </c>
      <c r="E390" t="s">
        <v>10</v>
      </c>
      <c r="F390" t="s">
        <v>36</v>
      </c>
      <c r="G390" t="s">
        <v>37</v>
      </c>
    </row>
    <row r="391" spans="1:7" x14ac:dyDescent="0.3">
      <c r="A391" t="s">
        <v>27</v>
      </c>
      <c r="B391" t="s">
        <v>23</v>
      </c>
      <c r="C391" t="s">
        <v>16</v>
      </c>
      <c r="D391">
        <v>3534499</v>
      </c>
      <c r="E391" t="s">
        <v>10</v>
      </c>
      <c r="F391" t="s">
        <v>36</v>
      </c>
      <c r="G391" t="s">
        <v>37</v>
      </c>
    </row>
    <row r="392" spans="1:7" x14ac:dyDescent="0.3">
      <c r="A392" t="s">
        <v>27</v>
      </c>
      <c r="B392" t="s">
        <v>23</v>
      </c>
      <c r="C392" t="s">
        <v>17</v>
      </c>
      <c r="D392">
        <v>418502</v>
      </c>
      <c r="E392" t="s">
        <v>10</v>
      </c>
      <c r="F392" t="s">
        <v>36</v>
      </c>
      <c r="G392" t="s">
        <v>37</v>
      </c>
    </row>
    <row r="393" spans="1:7" x14ac:dyDescent="0.3">
      <c r="A393" t="s">
        <v>27</v>
      </c>
      <c r="B393" t="s">
        <v>23</v>
      </c>
      <c r="C393" t="s">
        <v>18</v>
      </c>
      <c r="D393">
        <v>0</v>
      </c>
      <c r="E393" t="s">
        <v>10</v>
      </c>
      <c r="F393" t="s">
        <v>36</v>
      </c>
      <c r="G393" t="s">
        <v>37</v>
      </c>
    </row>
    <row r="394" spans="1:7" x14ac:dyDescent="0.3">
      <c r="A394" t="s">
        <v>27</v>
      </c>
      <c r="B394" t="s">
        <v>23</v>
      </c>
      <c r="C394" t="s">
        <v>19</v>
      </c>
      <c r="D394">
        <v>335</v>
      </c>
      <c r="E394" t="s">
        <v>10</v>
      </c>
      <c r="F394" t="s">
        <v>36</v>
      </c>
      <c r="G394" t="s">
        <v>37</v>
      </c>
    </row>
    <row r="395" spans="1:7" x14ac:dyDescent="0.3">
      <c r="A395" t="s">
        <v>27</v>
      </c>
      <c r="B395" t="s">
        <v>23</v>
      </c>
      <c r="C395" t="s">
        <v>20</v>
      </c>
      <c r="D395">
        <v>5364</v>
      </c>
      <c r="E395" t="s">
        <v>10</v>
      </c>
      <c r="F395" t="s">
        <v>36</v>
      </c>
      <c r="G395" t="s">
        <v>37</v>
      </c>
    </row>
    <row r="396" spans="1:7" x14ac:dyDescent="0.3">
      <c r="A396" t="s">
        <v>27</v>
      </c>
      <c r="B396" t="s">
        <v>23</v>
      </c>
      <c r="C396" t="s">
        <v>21</v>
      </c>
      <c r="D396">
        <v>1082</v>
      </c>
      <c r="E396" t="s">
        <v>10</v>
      </c>
      <c r="F396" t="s">
        <v>36</v>
      </c>
      <c r="G396" t="s">
        <v>37</v>
      </c>
    </row>
    <row r="397" spans="1:7" x14ac:dyDescent="0.3">
      <c r="A397" t="s">
        <v>27</v>
      </c>
      <c r="B397" t="s">
        <v>23</v>
      </c>
      <c r="C397" t="s">
        <v>22</v>
      </c>
      <c r="D397">
        <v>1331</v>
      </c>
      <c r="E397" t="s">
        <v>10</v>
      </c>
      <c r="F397" t="s">
        <v>36</v>
      </c>
      <c r="G397" t="s">
        <v>37</v>
      </c>
    </row>
    <row r="398" spans="1:7" x14ac:dyDescent="0.3">
      <c r="A398" t="s">
        <v>28</v>
      </c>
      <c r="B398" t="s">
        <v>8</v>
      </c>
      <c r="C398" t="s">
        <v>9</v>
      </c>
      <c r="D398">
        <v>0</v>
      </c>
      <c r="E398" t="s">
        <v>10</v>
      </c>
      <c r="F398" t="s">
        <v>36</v>
      </c>
      <c r="G398" t="s">
        <v>37</v>
      </c>
    </row>
    <row r="399" spans="1:7" x14ac:dyDescent="0.3">
      <c r="A399" t="s">
        <v>28</v>
      </c>
      <c r="B399" t="s">
        <v>8</v>
      </c>
      <c r="C399" t="s">
        <v>13</v>
      </c>
      <c r="D399">
        <v>0</v>
      </c>
      <c r="E399" t="s">
        <v>10</v>
      </c>
      <c r="F399" t="s">
        <v>36</v>
      </c>
      <c r="G399" t="s">
        <v>37</v>
      </c>
    </row>
    <row r="400" spans="1:7" x14ac:dyDescent="0.3">
      <c r="A400" t="s">
        <v>28</v>
      </c>
      <c r="B400" t="s">
        <v>8</v>
      </c>
      <c r="C400" t="s">
        <v>14</v>
      </c>
      <c r="D400">
        <v>0</v>
      </c>
      <c r="E400" t="s">
        <v>10</v>
      </c>
      <c r="F400" t="s">
        <v>36</v>
      </c>
      <c r="G400" t="s">
        <v>37</v>
      </c>
    </row>
    <row r="401" spans="1:7" x14ac:dyDescent="0.3">
      <c r="A401" t="s">
        <v>28</v>
      </c>
      <c r="B401" t="s">
        <v>8</v>
      </c>
      <c r="C401" t="s">
        <v>15</v>
      </c>
      <c r="D401">
        <v>0</v>
      </c>
      <c r="E401" t="s">
        <v>10</v>
      </c>
      <c r="F401" t="s">
        <v>36</v>
      </c>
      <c r="G401" t="s">
        <v>37</v>
      </c>
    </row>
    <row r="402" spans="1:7" x14ac:dyDescent="0.3">
      <c r="A402" t="s">
        <v>28</v>
      </c>
      <c r="B402" t="s">
        <v>8</v>
      </c>
      <c r="C402" t="s">
        <v>16</v>
      </c>
      <c r="D402">
        <v>0</v>
      </c>
      <c r="E402" t="s">
        <v>10</v>
      </c>
      <c r="F402" t="s">
        <v>36</v>
      </c>
      <c r="G402" t="s">
        <v>37</v>
      </c>
    </row>
    <row r="403" spans="1:7" x14ac:dyDescent="0.3">
      <c r="A403" t="s">
        <v>28</v>
      </c>
      <c r="B403" t="s">
        <v>8</v>
      </c>
      <c r="C403" t="s">
        <v>17</v>
      </c>
      <c r="D403">
        <v>0</v>
      </c>
      <c r="E403" t="s">
        <v>10</v>
      </c>
      <c r="F403" t="s">
        <v>36</v>
      </c>
      <c r="G403" t="s">
        <v>37</v>
      </c>
    </row>
    <row r="404" spans="1:7" x14ac:dyDescent="0.3">
      <c r="A404" t="s">
        <v>28</v>
      </c>
      <c r="B404" t="s">
        <v>8</v>
      </c>
      <c r="C404" t="s">
        <v>18</v>
      </c>
      <c r="D404">
        <v>0</v>
      </c>
      <c r="E404" t="s">
        <v>10</v>
      </c>
      <c r="F404" t="s">
        <v>36</v>
      </c>
      <c r="G404" t="s">
        <v>37</v>
      </c>
    </row>
    <row r="405" spans="1:7" x14ac:dyDescent="0.3">
      <c r="A405" t="s">
        <v>28</v>
      </c>
      <c r="B405" t="s">
        <v>8</v>
      </c>
      <c r="C405" t="s">
        <v>19</v>
      </c>
      <c r="D405">
        <v>0</v>
      </c>
      <c r="E405" t="s">
        <v>10</v>
      </c>
      <c r="F405" t="s">
        <v>36</v>
      </c>
      <c r="G405" t="s">
        <v>37</v>
      </c>
    </row>
    <row r="406" spans="1:7" x14ac:dyDescent="0.3">
      <c r="A406" t="s">
        <v>28</v>
      </c>
      <c r="B406" t="s">
        <v>8</v>
      </c>
      <c r="C406" t="s">
        <v>20</v>
      </c>
      <c r="D406">
        <v>0</v>
      </c>
      <c r="E406" t="s">
        <v>10</v>
      </c>
      <c r="F406" t="s">
        <v>36</v>
      </c>
      <c r="G406" t="s">
        <v>37</v>
      </c>
    </row>
    <row r="407" spans="1:7" x14ac:dyDescent="0.3">
      <c r="A407" t="s">
        <v>28</v>
      </c>
      <c r="B407" t="s">
        <v>8</v>
      </c>
      <c r="C407" t="s">
        <v>21</v>
      </c>
      <c r="D407">
        <v>0</v>
      </c>
      <c r="E407" t="s">
        <v>10</v>
      </c>
      <c r="F407" t="s">
        <v>36</v>
      </c>
      <c r="G407" t="s">
        <v>37</v>
      </c>
    </row>
    <row r="408" spans="1:7" x14ac:dyDescent="0.3">
      <c r="A408" t="s">
        <v>28</v>
      </c>
      <c r="B408" t="s">
        <v>8</v>
      </c>
      <c r="C408" t="s">
        <v>22</v>
      </c>
      <c r="D408">
        <v>0</v>
      </c>
      <c r="E408" t="s">
        <v>10</v>
      </c>
      <c r="F408" t="s">
        <v>36</v>
      </c>
      <c r="G408" t="s">
        <v>37</v>
      </c>
    </row>
    <row r="409" spans="1:7" x14ac:dyDescent="0.3">
      <c r="A409" t="s">
        <v>28</v>
      </c>
      <c r="B409" t="s">
        <v>23</v>
      </c>
      <c r="C409" t="s">
        <v>9</v>
      </c>
      <c r="D409">
        <v>646</v>
      </c>
      <c r="E409" t="s">
        <v>10</v>
      </c>
      <c r="F409" t="s">
        <v>36</v>
      </c>
      <c r="G409" t="s">
        <v>37</v>
      </c>
    </row>
    <row r="410" spans="1:7" x14ac:dyDescent="0.3">
      <c r="A410" t="s">
        <v>28</v>
      </c>
      <c r="B410" t="s">
        <v>23</v>
      </c>
      <c r="C410" t="s">
        <v>13</v>
      </c>
      <c r="D410">
        <v>111</v>
      </c>
      <c r="E410" t="s">
        <v>10</v>
      </c>
      <c r="F410" t="s">
        <v>36</v>
      </c>
      <c r="G410" t="s">
        <v>37</v>
      </c>
    </row>
    <row r="411" spans="1:7" x14ac:dyDescent="0.3">
      <c r="A411" t="s">
        <v>28</v>
      </c>
      <c r="B411" t="s">
        <v>23</v>
      </c>
      <c r="C411" t="s">
        <v>14</v>
      </c>
      <c r="D411">
        <v>1178155</v>
      </c>
      <c r="E411" t="s">
        <v>10</v>
      </c>
      <c r="F411" t="s">
        <v>36</v>
      </c>
      <c r="G411" t="s">
        <v>37</v>
      </c>
    </row>
    <row r="412" spans="1:7" x14ac:dyDescent="0.3">
      <c r="A412" t="s">
        <v>28</v>
      </c>
      <c r="B412" t="s">
        <v>23</v>
      </c>
      <c r="C412" t="s">
        <v>15</v>
      </c>
      <c r="D412">
        <v>3440</v>
      </c>
      <c r="E412" t="s">
        <v>10</v>
      </c>
      <c r="F412" t="s">
        <v>36</v>
      </c>
      <c r="G412" t="s">
        <v>37</v>
      </c>
    </row>
    <row r="413" spans="1:7" x14ac:dyDescent="0.3">
      <c r="A413" t="s">
        <v>28</v>
      </c>
      <c r="B413" t="s">
        <v>23</v>
      </c>
      <c r="C413" t="s">
        <v>16</v>
      </c>
      <c r="D413">
        <v>1424335</v>
      </c>
      <c r="E413" t="s">
        <v>10</v>
      </c>
      <c r="F413" t="s">
        <v>36</v>
      </c>
      <c r="G413" t="s">
        <v>37</v>
      </c>
    </row>
    <row r="414" spans="1:7" x14ac:dyDescent="0.3">
      <c r="A414" t="s">
        <v>28</v>
      </c>
      <c r="B414" t="s">
        <v>23</v>
      </c>
      <c r="C414" t="s">
        <v>17</v>
      </c>
      <c r="D414">
        <v>153</v>
      </c>
      <c r="E414" t="s">
        <v>10</v>
      </c>
      <c r="F414" t="s">
        <v>36</v>
      </c>
      <c r="G414" t="s">
        <v>37</v>
      </c>
    </row>
    <row r="415" spans="1:7" x14ac:dyDescent="0.3">
      <c r="A415" t="s">
        <v>28</v>
      </c>
      <c r="B415" t="s">
        <v>23</v>
      </c>
      <c r="C415" t="s">
        <v>18</v>
      </c>
      <c r="D415">
        <v>0</v>
      </c>
      <c r="E415" t="s">
        <v>10</v>
      </c>
      <c r="F415" t="s">
        <v>36</v>
      </c>
      <c r="G415" t="s">
        <v>37</v>
      </c>
    </row>
    <row r="416" spans="1:7" x14ac:dyDescent="0.3">
      <c r="A416" t="s">
        <v>28</v>
      </c>
      <c r="B416" t="s">
        <v>23</v>
      </c>
      <c r="C416" t="s">
        <v>19</v>
      </c>
      <c r="D416">
        <v>152</v>
      </c>
      <c r="E416" t="s">
        <v>10</v>
      </c>
      <c r="F416" t="s">
        <v>36</v>
      </c>
      <c r="G416" t="s">
        <v>37</v>
      </c>
    </row>
    <row r="417" spans="1:7" x14ac:dyDescent="0.3">
      <c r="A417" t="s">
        <v>28</v>
      </c>
      <c r="B417" t="s">
        <v>23</v>
      </c>
      <c r="C417" t="s">
        <v>20</v>
      </c>
      <c r="D417">
        <v>1934</v>
      </c>
      <c r="E417" t="s">
        <v>10</v>
      </c>
      <c r="F417" t="s">
        <v>36</v>
      </c>
      <c r="G417" t="s">
        <v>37</v>
      </c>
    </row>
    <row r="418" spans="1:7" x14ac:dyDescent="0.3">
      <c r="A418" t="s">
        <v>28</v>
      </c>
      <c r="B418" t="s">
        <v>23</v>
      </c>
      <c r="C418" t="s">
        <v>21</v>
      </c>
      <c r="D418">
        <v>450</v>
      </c>
      <c r="E418" t="s">
        <v>10</v>
      </c>
      <c r="F418" t="s">
        <v>36</v>
      </c>
      <c r="G418" t="s">
        <v>37</v>
      </c>
    </row>
    <row r="419" spans="1:7" x14ac:dyDescent="0.3">
      <c r="A419" t="s">
        <v>28</v>
      </c>
      <c r="B419" t="s">
        <v>23</v>
      </c>
      <c r="C419" t="s">
        <v>22</v>
      </c>
      <c r="D419">
        <v>570</v>
      </c>
      <c r="E419" t="s">
        <v>10</v>
      </c>
      <c r="F419" t="s">
        <v>36</v>
      </c>
      <c r="G419" t="s">
        <v>37</v>
      </c>
    </row>
    <row r="420" spans="1:7" x14ac:dyDescent="0.3">
      <c r="A420" t="s">
        <v>29</v>
      </c>
      <c r="B420" t="s">
        <v>8</v>
      </c>
      <c r="C420" t="s">
        <v>9</v>
      </c>
      <c r="D420">
        <v>0</v>
      </c>
      <c r="E420" t="s">
        <v>10</v>
      </c>
      <c r="F420" t="s">
        <v>36</v>
      </c>
      <c r="G420" t="s">
        <v>37</v>
      </c>
    </row>
    <row r="421" spans="1:7" x14ac:dyDescent="0.3">
      <c r="A421" t="s">
        <v>29</v>
      </c>
      <c r="B421" t="s">
        <v>8</v>
      </c>
      <c r="C421" t="s">
        <v>13</v>
      </c>
      <c r="D421">
        <v>0</v>
      </c>
      <c r="E421" t="s">
        <v>10</v>
      </c>
      <c r="F421" t="s">
        <v>36</v>
      </c>
      <c r="G421" t="s">
        <v>37</v>
      </c>
    </row>
    <row r="422" spans="1:7" x14ac:dyDescent="0.3">
      <c r="A422" t="s">
        <v>29</v>
      </c>
      <c r="B422" t="s">
        <v>8</v>
      </c>
      <c r="C422" t="s">
        <v>14</v>
      </c>
      <c r="D422">
        <v>0</v>
      </c>
      <c r="E422" t="s">
        <v>10</v>
      </c>
      <c r="F422" t="s">
        <v>36</v>
      </c>
      <c r="G422" t="s">
        <v>37</v>
      </c>
    </row>
    <row r="423" spans="1:7" x14ac:dyDescent="0.3">
      <c r="A423" t="s">
        <v>29</v>
      </c>
      <c r="B423" t="s">
        <v>8</v>
      </c>
      <c r="C423" t="s">
        <v>15</v>
      </c>
      <c r="D423">
        <v>0</v>
      </c>
      <c r="E423" t="s">
        <v>10</v>
      </c>
      <c r="F423" t="s">
        <v>36</v>
      </c>
      <c r="G423" t="s">
        <v>37</v>
      </c>
    </row>
    <row r="424" spans="1:7" x14ac:dyDescent="0.3">
      <c r="A424" t="s">
        <v>29</v>
      </c>
      <c r="B424" t="s">
        <v>8</v>
      </c>
      <c r="C424" t="s">
        <v>16</v>
      </c>
      <c r="D424">
        <v>0</v>
      </c>
      <c r="E424" t="s">
        <v>10</v>
      </c>
      <c r="F424" t="s">
        <v>36</v>
      </c>
      <c r="G424" t="s">
        <v>37</v>
      </c>
    </row>
    <row r="425" spans="1:7" x14ac:dyDescent="0.3">
      <c r="A425" t="s">
        <v>29</v>
      </c>
      <c r="B425" t="s">
        <v>8</v>
      </c>
      <c r="C425" t="s">
        <v>17</v>
      </c>
      <c r="D425">
        <v>0</v>
      </c>
      <c r="E425" t="s">
        <v>10</v>
      </c>
      <c r="F425" t="s">
        <v>36</v>
      </c>
      <c r="G425" t="s">
        <v>37</v>
      </c>
    </row>
    <row r="426" spans="1:7" x14ac:dyDescent="0.3">
      <c r="A426" t="s">
        <v>29</v>
      </c>
      <c r="B426" t="s">
        <v>8</v>
      </c>
      <c r="C426" t="s">
        <v>18</v>
      </c>
      <c r="D426">
        <v>0</v>
      </c>
      <c r="E426" t="s">
        <v>10</v>
      </c>
      <c r="F426" t="s">
        <v>36</v>
      </c>
      <c r="G426" t="s">
        <v>37</v>
      </c>
    </row>
    <row r="427" spans="1:7" x14ac:dyDescent="0.3">
      <c r="A427" t="s">
        <v>29</v>
      </c>
      <c r="B427" t="s">
        <v>8</v>
      </c>
      <c r="C427" t="s">
        <v>19</v>
      </c>
      <c r="D427">
        <v>0</v>
      </c>
      <c r="E427" t="s">
        <v>10</v>
      </c>
      <c r="F427" t="s">
        <v>36</v>
      </c>
      <c r="G427" t="s">
        <v>37</v>
      </c>
    </row>
    <row r="428" spans="1:7" x14ac:dyDescent="0.3">
      <c r="A428" t="s">
        <v>29</v>
      </c>
      <c r="B428" t="s">
        <v>8</v>
      </c>
      <c r="C428" t="s">
        <v>20</v>
      </c>
      <c r="D428">
        <v>0</v>
      </c>
      <c r="E428" t="s">
        <v>10</v>
      </c>
      <c r="F428" t="s">
        <v>36</v>
      </c>
      <c r="G428" t="s">
        <v>37</v>
      </c>
    </row>
    <row r="429" spans="1:7" x14ac:dyDescent="0.3">
      <c r="A429" t="s">
        <v>29</v>
      </c>
      <c r="B429" t="s">
        <v>8</v>
      </c>
      <c r="C429" t="s">
        <v>21</v>
      </c>
      <c r="D429">
        <v>0</v>
      </c>
      <c r="E429" t="s">
        <v>10</v>
      </c>
      <c r="F429" t="s">
        <v>36</v>
      </c>
      <c r="G429" t="s">
        <v>37</v>
      </c>
    </row>
    <row r="430" spans="1:7" x14ac:dyDescent="0.3">
      <c r="A430" t="s">
        <v>29</v>
      </c>
      <c r="B430" t="s">
        <v>8</v>
      </c>
      <c r="C430" t="s">
        <v>22</v>
      </c>
      <c r="D430">
        <v>0</v>
      </c>
      <c r="E430" t="s">
        <v>10</v>
      </c>
      <c r="F430" t="s">
        <v>36</v>
      </c>
      <c r="G430" t="s">
        <v>37</v>
      </c>
    </row>
    <row r="431" spans="1:7" x14ac:dyDescent="0.3">
      <c r="A431" t="s">
        <v>29</v>
      </c>
      <c r="B431" t="s">
        <v>23</v>
      </c>
      <c r="C431" t="s">
        <v>9</v>
      </c>
      <c r="D431">
        <v>137</v>
      </c>
      <c r="E431" t="s">
        <v>10</v>
      </c>
      <c r="F431" t="s">
        <v>36</v>
      </c>
      <c r="G431" t="s">
        <v>37</v>
      </c>
    </row>
    <row r="432" spans="1:7" x14ac:dyDescent="0.3">
      <c r="A432" t="s">
        <v>29</v>
      </c>
      <c r="B432" t="s">
        <v>23</v>
      </c>
      <c r="C432" t="s">
        <v>13</v>
      </c>
      <c r="D432">
        <v>33</v>
      </c>
      <c r="E432" t="s">
        <v>10</v>
      </c>
      <c r="F432" t="s">
        <v>36</v>
      </c>
      <c r="G432" t="s">
        <v>37</v>
      </c>
    </row>
    <row r="433" spans="1:7" x14ac:dyDescent="0.3">
      <c r="A433" t="s">
        <v>29</v>
      </c>
      <c r="B433" t="s">
        <v>23</v>
      </c>
      <c r="C433" t="s">
        <v>14</v>
      </c>
      <c r="D433">
        <v>965835</v>
      </c>
      <c r="E433" t="s">
        <v>10</v>
      </c>
      <c r="F433" t="s">
        <v>36</v>
      </c>
      <c r="G433" t="s">
        <v>37</v>
      </c>
    </row>
    <row r="434" spans="1:7" x14ac:dyDescent="0.3">
      <c r="A434" t="s">
        <v>29</v>
      </c>
      <c r="B434" t="s">
        <v>23</v>
      </c>
      <c r="C434" t="s">
        <v>15</v>
      </c>
      <c r="D434">
        <v>2690</v>
      </c>
      <c r="E434" t="s">
        <v>10</v>
      </c>
      <c r="F434" t="s">
        <v>36</v>
      </c>
      <c r="G434" t="s">
        <v>37</v>
      </c>
    </row>
    <row r="435" spans="1:7" x14ac:dyDescent="0.3">
      <c r="A435" t="s">
        <v>29</v>
      </c>
      <c r="B435" t="s">
        <v>23</v>
      </c>
      <c r="C435" t="s">
        <v>16</v>
      </c>
      <c r="D435">
        <v>17328</v>
      </c>
      <c r="E435" t="s">
        <v>10</v>
      </c>
      <c r="F435" t="s">
        <v>36</v>
      </c>
      <c r="G435" t="s">
        <v>37</v>
      </c>
    </row>
    <row r="436" spans="1:7" x14ac:dyDescent="0.3">
      <c r="A436" t="s">
        <v>29</v>
      </c>
      <c r="B436" t="s">
        <v>23</v>
      </c>
      <c r="C436" t="s">
        <v>17</v>
      </c>
      <c r="D436">
        <v>25</v>
      </c>
      <c r="E436" t="s">
        <v>10</v>
      </c>
      <c r="F436" t="s">
        <v>36</v>
      </c>
      <c r="G436" t="s">
        <v>37</v>
      </c>
    </row>
    <row r="437" spans="1:7" x14ac:dyDescent="0.3">
      <c r="A437" t="s">
        <v>29</v>
      </c>
      <c r="B437" t="s">
        <v>23</v>
      </c>
      <c r="C437" t="s">
        <v>18</v>
      </c>
      <c r="D437">
        <v>0</v>
      </c>
      <c r="E437" t="s">
        <v>10</v>
      </c>
      <c r="F437" t="s">
        <v>36</v>
      </c>
      <c r="G437" t="s">
        <v>37</v>
      </c>
    </row>
    <row r="438" spans="1:7" x14ac:dyDescent="0.3">
      <c r="A438" t="s">
        <v>29</v>
      </c>
      <c r="B438" t="s">
        <v>23</v>
      </c>
      <c r="C438" t="s">
        <v>19</v>
      </c>
      <c r="D438">
        <v>102</v>
      </c>
      <c r="E438" t="s">
        <v>10</v>
      </c>
      <c r="F438" t="s">
        <v>36</v>
      </c>
      <c r="G438" t="s">
        <v>37</v>
      </c>
    </row>
    <row r="439" spans="1:7" x14ac:dyDescent="0.3">
      <c r="A439" t="s">
        <v>29</v>
      </c>
      <c r="B439" t="s">
        <v>23</v>
      </c>
      <c r="C439" t="s">
        <v>20</v>
      </c>
      <c r="D439">
        <v>634</v>
      </c>
      <c r="E439" t="s">
        <v>10</v>
      </c>
      <c r="F439" t="s">
        <v>36</v>
      </c>
      <c r="G439" t="s">
        <v>37</v>
      </c>
    </row>
    <row r="440" spans="1:7" x14ac:dyDescent="0.3">
      <c r="A440" t="s">
        <v>29</v>
      </c>
      <c r="B440" t="s">
        <v>23</v>
      </c>
      <c r="C440" t="s">
        <v>21</v>
      </c>
      <c r="D440">
        <v>87</v>
      </c>
      <c r="E440" t="s">
        <v>10</v>
      </c>
      <c r="F440" t="s">
        <v>36</v>
      </c>
      <c r="G440" t="s">
        <v>37</v>
      </c>
    </row>
    <row r="441" spans="1:7" x14ac:dyDescent="0.3">
      <c r="A441" t="s">
        <v>29</v>
      </c>
      <c r="B441" t="s">
        <v>23</v>
      </c>
      <c r="C441" t="s">
        <v>22</v>
      </c>
      <c r="D441">
        <v>228</v>
      </c>
      <c r="E441" t="s">
        <v>10</v>
      </c>
      <c r="F441" t="s">
        <v>36</v>
      </c>
      <c r="G441" t="s">
        <v>37</v>
      </c>
    </row>
    <row r="442" spans="1:7" x14ac:dyDescent="0.3">
      <c r="A442" t="s">
        <v>30</v>
      </c>
      <c r="B442" t="s">
        <v>8</v>
      </c>
      <c r="C442" t="s">
        <v>9</v>
      </c>
      <c r="D442">
        <v>0</v>
      </c>
      <c r="E442" t="s">
        <v>10</v>
      </c>
      <c r="F442" t="s">
        <v>36</v>
      </c>
      <c r="G442" t="s">
        <v>37</v>
      </c>
    </row>
    <row r="443" spans="1:7" x14ac:dyDescent="0.3">
      <c r="A443" t="s">
        <v>30</v>
      </c>
      <c r="B443" t="s">
        <v>8</v>
      </c>
      <c r="C443" t="s">
        <v>13</v>
      </c>
      <c r="D443">
        <v>0</v>
      </c>
      <c r="E443" t="s">
        <v>10</v>
      </c>
      <c r="F443" t="s">
        <v>36</v>
      </c>
      <c r="G443" t="s">
        <v>37</v>
      </c>
    </row>
    <row r="444" spans="1:7" x14ac:dyDescent="0.3">
      <c r="A444" t="s">
        <v>30</v>
      </c>
      <c r="B444" t="s">
        <v>8</v>
      </c>
      <c r="C444" t="s">
        <v>14</v>
      </c>
      <c r="D444">
        <v>0</v>
      </c>
      <c r="E444" t="s">
        <v>10</v>
      </c>
      <c r="F444" t="s">
        <v>36</v>
      </c>
      <c r="G444" t="s">
        <v>37</v>
      </c>
    </row>
    <row r="445" spans="1:7" x14ac:dyDescent="0.3">
      <c r="A445" t="s">
        <v>30</v>
      </c>
      <c r="B445" t="s">
        <v>8</v>
      </c>
      <c r="C445" t="s">
        <v>15</v>
      </c>
      <c r="D445">
        <v>0</v>
      </c>
      <c r="E445" t="s">
        <v>10</v>
      </c>
      <c r="F445" t="s">
        <v>36</v>
      </c>
      <c r="G445" t="s">
        <v>37</v>
      </c>
    </row>
    <row r="446" spans="1:7" x14ac:dyDescent="0.3">
      <c r="A446" t="s">
        <v>30</v>
      </c>
      <c r="B446" t="s">
        <v>8</v>
      </c>
      <c r="C446" t="s">
        <v>16</v>
      </c>
      <c r="D446">
        <v>0</v>
      </c>
      <c r="E446" t="s">
        <v>10</v>
      </c>
      <c r="F446" t="s">
        <v>36</v>
      </c>
      <c r="G446" t="s">
        <v>37</v>
      </c>
    </row>
    <row r="447" spans="1:7" x14ac:dyDescent="0.3">
      <c r="A447" t="s">
        <v>30</v>
      </c>
      <c r="B447" t="s">
        <v>8</v>
      </c>
      <c r="C447" t="s">
        <v>17</v>
      </c>
      <c r="D447">
        <v>0</v>
      </c>
      <c r="E447" t="s">
        <v>10</v>
      </c>
      <c r="F447" t="s">
        <v>36</v>
      </c>
      <c r="G447" t="s">
        <v>37</v>
      </c>
    </row>
    <row r="448" spans="1:7" x14ac:dyDescent="0.3">
      <c r="A448" t="s">
        <v>30</v>
      </c>
      <c r="B448" t="s">
        <v>8</v>
      </c>
      <c r="C448" t="s">
        <v>18</v>
      </c>
      <c r="D448">
        <v>0</v>
      </c>
      <c r="E448" t="s">
        <v>10</v>
      </c>
      <c r="F448" t="s">
        <v>36</v>
      </c>
      <c r="G448" t="s">
        <v>37</v>
      </c>
    </row>
    <row r="449" spans="1:7" x14ac:dyDescent="0.3">
      <c r="A449" t="s">
        <v>30</v>
      </c>
      <c r="B449" t="s">
        <v>8</v>
      </c>
      <c r="C449" t="s">
        <v>19</v>
      </c>
      <c r="D449">
        <v>0</v>
      </c>
      <c r="E449" t="s">
        <v>10</v>
      </c>
      <c r="F449" t="s">
        <v>36</v>
      </c>
      <c r="G449" t="s">
        <v>37</v>
      </c>
    </row>
    <row r="450" spans="1:7" x14ac:dyDescent="0.3">
      <c r="A450" t="s">
        <v>30</v>
      </c>
      <c r="B450" t="s">
        <v>8</v>
      </c>
      <c r="C450" t="s">
        <v>20</v>
      </c>
      <c r="D450">
        <v>0</v>
      </c>
      <c r="E450" t="s">
        <v>10</v>
      </c>
      <c r="F450" t="s">
        <v>36</v>
      </c>
      <c r="G450" t="s">
        <v>37</v>
      </c>
    </row>
    <row r="451" spans="1:7" x14ac:dyDescent="0.3">
      <c r="A451" t="s">
        <v>30</v>
      </c>
      <c r="B451" t="s">
        <v>8</v>
      </c>
      <c r="C451" t="s">
        <v>21</v>
      </c>
      <c r="D451">
        <v>0</v>
      </c>
      <c r="E451" t="s">
        <v>10</v>
      </c>
      <c r="F451" t="s">
        <v>36</v>
      </c>
      <c r="G451" t="s">
        <v>37</v>
      </c>
    </row>
    <row r="452" spans="1:7" x14ac:dyDescent="0.3">
      <c r="A452" t="s">
        <v>30</v>
      </c>
      <c r="B452" t="s">
        <v>8</v>
      </c>
      <c r="C452" t="s">
        <v>22</v>
      </c>
      <c r="D452">
        <v>0</v>
      </c>
      <c r="E452" t="s">
        <v>10</v>
      </c>
      <c r="F452" t="s">
        <v>36</v>
      </c>
      <c r="G452" t="s">
        <v>37</v>
      </c>
    </row>
    <row r="453" spans="1:7" x14ac:dyDescent="0.3">
      <c r="A453" t="s">
        <v>30</v>
      </c>
      <c r="B453" t="s">
        <v>23</v>
      </c>
      <c r="C453" t="s">
        <v>9</v>
      </c>
      <c r="D453">
        <v>28</v>
      </c>
      <c r="E453" t="s">
        <v>10</v>
      </c>
      <c r="F453" t="s">
        <v>36</v>
      </c>
      <c r="G453" t="s">
        <v>37</v>
      </c>
    </row>
    <row r="454" spans="1:7" x14ac:dyDescent="0.3">
      <c r="A454" t="s">
        <v>30</v>
      </c>
      <c r="B454" t="s">
        <v>23</v>
      </c>
      <c r="C454" t="s">
        <v>13</v>
      </c>
      <c r="D454">
        <v>8</v>
      </c>
      <c r="E454" t="s">
        <v>10</v>
      </c>
      <c r="F454" t="s">
        <v>36</v>
      </c>
      <c r="G454" t="s">
        <v>37</v>
      </c>
    </row>
    <row r="455" spans="1:7" x14ac:dyDescent="0.3">
      <c r="A455" t="s">
        <v>30</v>
      </c>
      <c r="B455" t="s">
        <v>23</v>
      </c>
      <c r="C455" t="s">
        <v>14</v>
      </c>
      <c r="D455">
        <v>50</v>
      </c>
      <c r="E455" t="s">
        <v>10</v>
      </c>
      <c r="F455" t="s">
        <v>36</v>
      </c>
      <c r="G455" t="s">
        <v>37</v>
      </c>
    </row>
    <row r="456" spans="1:7" x14ac:dyDescent="0.3">
      <c r="A456" t="s">
        <v>30</v>
      </c>
      <c r="B456" t="s">
        <v>23</v>
      </c>
      <c r="C456" t="s">
        <v>15</v>
      </c>
      <c r="D456">
        <v>20</v>
      </c>
      <c r="E456" t="s">
        <v>10</v>
      </c>
      <c r="F456" t="s">
        <v>36</v>
      </c>
      <c r="G456" t="s">
        <v>37</v>
      </c>
    </row>
    <row r="457" spans="1:7" x14ac:dyDescent="0.3">
      <c r="A457" t="s">
        <v>30</v>
      </c>
      <c r="B457" t="s">
        <v>23</v>
      </c>
      <c r="C457" t="s">
        <v>16</v>
      </c>
      <c r="D457">
        <v>83</v>
      </c>
      <c r="E457" t="s">
        <v>10</v>
      </c>
      <c r="F457" t="s">
        <v>36</v>
      </c>
      <c r="G457" t="s">
        <v>37</v>
      </c>
    </row>
    <row r="458" spans="1:7" x14ac:dyDescent="0.3">
      <c r="A458" t="s">
        <v>30</v>
      </c>
      <c r="B458" t="s">
        <v>23</v>
      </c>
      <c r="C458" t="s">
        <v>17</v>
      </c>
      <c r="D458">
        <v>53399</v>
      </c>
      <c r="E458" t="s">
        <v>10</v>
      </c>
      <c r="F458" t="s">
        <v>36</v>
      </c>
      <c r="G458" t="s">
        <v>37</v>
      </c>
    </row>
    <row r="459" spans="1:7" x14ac:dyDescent="0.3">
      <c r="A459" t="s">
        <v>30</v>
      </c>
      <c r="B459" t="s">
        <v>23</v>
      </c>
      <c r="C459" t="s">
        <v>18</v>
      </c>
      <c r="D459">
        <v>0</v>
      </c>
      <c r="E459" t="s">
        <v>10</v>
      </c>
      <c r="F459" t="s">
        <v>36</v>
      </c>
      <c r="G459" t="s">
        <v>37</v>
      </c>
    </row>
    <row r="460" spans="1:7" x14ac:dyDescent="0.3">
      <c r="A460" t="s">
        <v>30</v>
      </c>
      <c r="B460" t="s">
        <v>23</v>
      </c>
      <c r="C460" t="s">
        <v>19</v>
      </c>
      <c r="D460">
        <v>2</v>
      </c>
      <c r="E460" t="s">
        <v>10</v>
      </c>
      <c r="F460" t="s">
        <v>36</v>
      </c>
      <c r="G460" t="s">
        <v>37</v>
      </c>
    </row>
    <row r="461" spans="1:7" x14ac:dyDescent="0.3">
      <c r="A461" t="s">
        <v>30</v>
      </c>
      <c r="B461" t="s">
        <v>23</v>
      </c>
      <c r="C461" t="s">
        <v>20</v>
      </c>
      <c r="D461">
        <v>119</v>
      </c>
      <c r="E461" t="s">
        <v>10</v>
      </c>
      <c r="F461" t="s">
        <v>36</v>
      </c>
      <c r="G461" t="s">
        <v>37</v>
      </c>
    </row>
    <row r="462" spans="1:7" x14ac:dyDescent="0.3">
      <c r="A462" t="s">
        <v>30</v>
      </c>
      <c r="B462" t="s">
        <v>23</v>
      </c>
      <c r="C462" t="s">
        <v>21</v>
      </c>
      <c r="D462">
        <v>2</v>
      </c>
      <c r="E462" t="s">
        <v>10</v>
      </c>
      <c r="F462" t="s">
        <v>36</v>
      </c>
      <c r="G462" t="s">
        <v>37</v>
      </c>
    </row>
    <row r="463" spans="1:7" x14ac:dyDescent="0.3">
      <c r="A463" t="s">
        <v>30</v>
      </c>
      <c r="B463" t="s">
        <v>23</v>
      </c>
      <c r="C463" t="s">
        <v>22</v>
      </c>
      <c r="D463">
        <v>6</v>
      </c>
      <c r="E463" t="s">
        <v>10</v>
      </c>
      <c r="F463" t="s">
        <v>36</v>
      </c>
      <c r="G463" t="s">
        <v>37</v>
      </c>
    </row>
    <row r="464" spans="1:7" x14ac:dyDescent="0.3">
      <c r="A464" t="s">
        <v>31</v>
      </c>
      <c r="B464" t="s">
        <v>8</v>
      </c>
      <c r="C464" t="s">
        <v>9</v>
      </c>
      <c r="D464">
        <v>0</v>
      </c>
      <c r="E464" t="s">
        <v>10</v>
      </c>
      <c r="F464" t="s">
        <v>36</v>
      </c>
      <c r="G464" t="s">
        <v>37</v>
      </c>
    </row>
    <row r="465" spans="1:7" x14ac:dyDescent="0.3">
      <c r="A465" t="s">
        <v>31</v>
      </c>
      <c r="B465" t="s">
        <v>8</v>
      </c>
      <c r="C465" t="s">
        <v>13</v>
      </c>
      <c r="D465">
        <v>0</v>
      </c>
      <c r="E465" t="s">
        <v>10</v>
      </c>
      <c r="F465" t="s">
        <v>36</v>
      </c>
      <c r="G465" t="s">
        <v>37</v>
      </c>
    </row>
    <row r="466" spans="1:7" x14ac:dyDescent="0.3">
      <c r="A466" t="s">
        <v>31</v>
      </c>
      <c r="B466" t="s">
        <v>8</v>
      </c>
      <c r="C466" t="s">
        <v>14</v>
      </c>
      <c r="D466">
        <v>0</v>
      </c>
      <c r="E466" t="s">
        <v>10</v>
      </c>
      <c r="F466" t="s">
        <v>36</v>
      </c>
      <c r="G466" t="s">
        <v>37</v>
      </c>
    </row>
    <row r="467" spans="1:7" x14ac:dyDescent="0.3">
      <c r="A467" t="s">
        <v>31</v>
      </c>
      <c r="B467" t="s">
        <v>8</v>
      </c>
      <c r="C467" t="s">
        <v>15</v>
      </c>
      <c r="D467">
        <v>0</v>
      </c>
      <c r="E467" t="s">
        <v>10</v>
      </c>
      <c r="F467" t="s">
        <v>36</v>
      </c>
      <c r="G467" t="s">
        <v>37</v>
      </c>
    </row>
    <row r="468" spans="1:7" x14ac:dyDescent="0.3">
      <c r="A468" t="s">
        <v>31</v>
      </c>
      <c r="B468" t="s">
        <v>8</v>
      </c>
      <c r="C468" t="s">
        <v>16</v>
      </c>
      <c r="D468">
        <v>0</v>
      </c>
      <c r="E468" t="s">
        <v>10</v>
      </c>
      <c r="F468" t="s">
        <v>36</v>
      </c>
      <c r="G468" t="s">
        <v>37</v>
      </c>
    </row>
    <row r="469" spans="1:7" x14ac:dyDescent="0.3">
      <c r="A469" t="s">
        <v>31</v>
      </c>
      <c r="B469" t="s">
        <v>8</v>
      </c>
      <c r="C469" t="s">
        <v>17</v>
      </c>
      <c r="D469">
        <v>0</v>
      </c>
      <c r="E469" t="s">
        <v>10</v>
      </c>
      <c r="F469" t="s">
        <v>36</v>
      </c>
      <c r="G469" t="s">
        <v>37</v>
      </c>
    </row>
    <row r="470" spans="1:7" x14ac:dyDescent="0.3">
      <c r="A470" t="s">
        <v>31</v>
      </c>
      <c r="B470" t="s">
        <v>8</v>
      </c>
      <c r="C470" t="s">
        <v>18</v>
      </c>
      <c r="D470">
        <v>0</v>
      </c>
      <c r="E470" t="s">
        <v>10</v>
      </c>
      <c r="F470" t="s">
        <v>36</v>
      </c>
      <c r="G470" t="s">
        <v>37</v>
      </c>
    </row>
    <row r="471" spans="1:7" x14ac:dyDescent="0.3">
      <c r="A471" t="s">
        <v>31</v>
      </c>
      <c r="B471" t="s">
        <v>8</v>
      </c>
      <c r="C471" t="s">
        <v>19</v>
      </c>
      <c r="D471">
        <v>0</v>
      </c>
      <c r="E471" t="s">
        <v>10</v>
      </c>
      <c r="F471" t="s">
        <v>36</v>
      </c>
      <c r="G471" t="s">
        <v>37</v>
      </c>
    </row>
    <row r="472" spans="1:7" x14ac:dyDescent="0.3">
      <c r="A472" t="s">
        <v>31</v>
      </c>
      <c r="B472" t="s">
        <v>8</v>
      </c>
      <c r="C472" t="s">
        <v>20</v>
      </c>
      <c r="D472">
        <v>0</v>
      </c>
      <c r="E472" t="s">
        <v>10</v>
      </c>
      <c r="F472" t="s">
        <v>36</v>
      </c>
      <c r="G472" t="s">
        <v>37</v>
      </c>
    </row>
    <row r="473" spans="1:7" x14ac:dyDescent="0.3">
      <c r="A473" t="s">
        <v>31</v>
      </c>
      <c r="B473" t="s">
        <v>8</v>
      </c>
      <c r="C473" t="s">
        <v>21</v>
      </c>
      <c r="D473">
        <v>0</v>
      </c>
      <c r="E473" t="s">
        <v>10</v>
      </c>
      <c r="F473" t="s">
        <v>36</v>
      </c>
      <c r="G473" t="s">
        <v>37</v>
      </c>
    </row>
    <row r="474" spans="1:7" x14ac:dyDescent="0.3">
      <c r="A474" t="s">
        <v>31</v>
      </c>
      <c r="B474" t="s">
        <v>8</v>
      </c>
      <c r="C474" t="s">
        <v>22</v>
      </c>
      <c r="D474">
        <v>0</v>
      </c>
      <c r="E474" t="s">
        <v>10</v>
      </c>
      <c r="F474" t="s">
        <v>36</v>
      </c>
      <c r="G474" t="s">
        <v>37</v>
      </c>
    </row>
    <row r="475" spans="1:7" x14ac:dyDescent="0.3">
      <c r="A475" t="s">
        <v>31</v>
      </c>
      <c r="B475" t="s">
        <v>23</v>
      </c>
      <c r="C475" t="s">
        <v>9</v>
      </c>
      <c r="D475">
        <v>63</v>
      </c>
      <c r="E475" t="s">
        <v>10</v>
      </c>
      <c r="F475" t="s">
        <v>36</v>
      </c>
      <c r="G475" t="s">
        <v>37</v>
      </c>
    </row>
    <row r="476" spans="1:7" x14ac:dyDescent="0.3">
      <c r="A476" t="s">
        <v>31</v>
      </c>
      <c r="B476" t="s">
        <v>23</v>
      </c>
      <c r="C476" t="s">
        <v>13</v>
      </c>
      <c r="D476">
        <v>18</v>
      </c>
      <c r="E476" t="s">
        <v>10</v>
      </c>
      <c r="F476" t="s">
        <v>36</v>
      </c>
      <c r="G476" t="s">
        <v>37</v>
      </c>
    </row>
    <row r="477" spans="1:7" x14ac:dyDescent="0.3">
      <c r="A477" t="s">
        <v>31</v>
      </c>
      <c r="B477" t="s">
        <v>23</v>
      </c>
      <c r="C477" t="s">
        <v>14</v>
      </c>
      <c r="D477">
        <v>110</v>
      </c>
      <c r="E477" t="s">
        <v>10</v>
      </c>
      <c r="F477" t="s">
        <v>36</v>
      </c>
      <c r="G477" t="s">
        <v>37</v>
      </c>
    </row>
    <row r="478" spans="1:7" x14ac:dyDescent="0.3">
      <c r="A478" t="s">
        <v>31</v>
      </c>
      <c r="B478" t="s">
        <v>23</v>
      </c>
      <c r="C478" t="s">
        <v>15</v>
      </c>
      <c r="D478">
        <v>45</v>
      </c>
      <c r="E478" t="s">
        <v>10</v>
      </c>
      <c r="F478" t="s">
        <v>36</v>
      </c>
      <c r="G478" t="s">
        <v>37</v>
      </c>
    </row>
    <row r="479" spans="1:7" x14ac:dyDescent="0.3">
      <c r="A479" t="s">
        <v>31</v>
      </c>
      <c r="B479" t="s">
        <v>23</v>
      </c>
      <c r="C479" t="s">
        <v>16</v>
      </c>
      <c r="D479">
        <v>184</v>
      </c>
      <c r="E479" t="s">
        <v>10</v>
      </c>
      <c r="F479" t="s">
        <v>36</v>
      </c>
      <c r="G479" t="s">
        <v>37</v>
      </c>
    </row>
    <row r="480" spans="1:7" x14ac:dyDescent="0.3">
      <c r="A480" t="s">
        <v>31</v>
      </c>
      <c r="B480" t="s">
        <v>23</v>
      </c>
      <c r="C480" t="s">
        <v>17</v>
      </c>
      <c r="D480">
        <v>118891</v>
      </c>
      <c r="E480" t="s">
        <v>10</v>
      </c>
      <c r="F480" t="s">
        <v>36</v>
      </c>
      <c r="G480" t="s">
        <v>37</v>
      </c>
    </row>
    <row r="481" spans="1:7" x14ac:dyDescent="0.3">
      <c r="A481" t="s">
        <v>31</v>
      </c>
      <c r="B481" t="s">
        <v>23</v>
      </c>
      <c r="C481" t="s">
        <v>18</v>
      </c>
      <c r="D481">
        <v>0</v>
      </c>
      <c r="E481" t="s">
        <v>10</v>
      </c>
      <c r="F481" t="s">
        <v>36</v>
      </c>
      <c r="G481" t="s">
        <v>37</v>
      </c>
    </row>
    <row r="482" spans="1:7" x14ac:dyDescent="0.3">
      <c r="A482" t="s">
        <v>31</v>
      </c>
      <c r="B482" t="s">
        <v>23</v>
      </c>
      <c r="C482" t="s">
        <v>19</v>
      </c>
      <c r="D482">
        <v>5</v>
      </c>
      <c r="E482" t="s">
        <v>10</v>
      </c>
      <c r="F482" t="s">
        <v>36</v>
      </c>
      <c r="G482" t="s">
        <v>37</v>
      </c>
    </row>
    <row r="483" spans="1:7" x14ac:dyDescent="0.3">
      <c r="A483" t="s">
        <v>31</v>
      </c>
      <c r="B483" t="s">
        <v>23</v>
      </c>
      <c r="C483" t="s">
        <v>20</v>
      </c>
      <c r="D483">
        <v>266</v>
      </c>
      <c r="E483" t="s">
        <v>10</v>
      </c>
      <c r="F483" t="s">
        <v>36</v>
      </c>
      <c r="G483" t="s">
        <v>37</v>
      </c>
    </row>
    <row r="484" spans="1:7" x14ac:dyDescent="0.3">
      <c r="A484" t="s">
        <v>31</v>
      </c>
      <c r="B484" t="s">
        <v>23</v>
      </c>
      <c r="C484" t="s">
        <v>21</v>
      </c>
      <c r="D484">
        <v>5</v>
      </c>
      <c r="E484" t="s">
        <v>10</v>
      </c>
      <c r="F484" t="s">
        <v>36</v>
      </c>
      <c r="G484" t="s">
        <v>37</v>
      </c>
    </row>
    <row r="485" spans="1:7" x14ac:dyDescent="0.3">
      <c r="A485" t="s">
        <v>31</v>
      </c>
      <c r="B485" t="s">
        <v>23</v>
      </c>
      <c r="C485" t="s">
        <v>22</v>
      </c>
      <c r="D485">
        <v>14</v>
      </c>
      <c r="E485" t="s">
        <v>10</v>
      </c>
      <c r="F485" t="s">
        <v>36</v>
      </c>
      <c r="G485" t="s">
        <v>37</v>
      </c>
    </row>
    <row r="486" spans="1:7" x14ac:dyDescent="0.3">
      <c r="A486" t="s">
        <v>32</v>
      </c>
      <c r="B486" t="s">
        <v>8</v>
      </c>
      <c r="C486" t="s">
        <v>9</v>
      </c>
      <c r="D486">
        <v>0</v>
      </c>
      <c r="E486" t="s">
        <v>10</v>
      </c>
      <c r="F486" t="s">
        <v>36</v>
      </c>
      <c r="G486" t="s">
        <v>37</v>
      </c>
    </row>
    <row r="487" spans="1:7" x14ac:dyDescent="0.3">
      <c r="A487" t="s">
        <v>32</v>
      </c>
      <c r="B487" t="s">
        <v>8</v>
      </c>
      <c r="C487" t="s">
        <v>13</v>
      </c>
      <c r="D487">
        <v>0</v>
      </c>
      <c r="E487" t="s">
        <v>10</v>
      </c>
      <c r="F487" t="s">
        <v>36</v>
      </c>
      <c r="G487" t="s">
        <v>37</v>
      </c>
    </row>
    <row r="488" spans="1:7" x14ac:dyDescent="0.3">
      <c r="A488" t="s">
        <v>32</v>
      </c>
      <c r="B488" t="s">
        <v>8</v>
      </c>
      <c r="C488" t="s">
        <v>14</v>
      </c>
      <c r="D488">
        <v>0</v>
      </c>
      <c r="E488" t="s">
        <v>10</v>
      </c>
      <c r="F488" t="s">
        <v>36</v>
      </c>
      <c r="G488" t="s">
        <v>37</v>
      </c>
    </row>
    <row r="489" spans="1:7" x14ac:dyDescent="0.3">
      <c r="A489" t="s">
        <v>32</v>
      </c>
      <c r="B489" t="s">
        <v>8</v>
      </c>
      <c r="C489" t="s">
        <v>15</v>
      </c>
      <c r="D489">
        <v>0</v>
      </c>
      <c r="E489" t="s">
        <v>10</v>
      </c>
      <c r="F489" t="s">
        <v>36</v>
      </c>
      <c r="G489" t="s">
        <v>37</v>
      </c>
    </row>
    <row r="490" spans="1:7" x14ac:dyDescent="0.3">
      <c r="A490" t="s">
        <v>32</v>
      </c>
      <c r="B490" t="s">
        <v>8</v>
      </c>
      <c r="C490" t="s">
        <v>16</v>
      </c>
      <c r="D490">
        <v>0</v>
      </c>
      <c r="E490" t="s">
        <v>10</v>
      </c>
      <c r="F490" t="s">
        <v>36</v>
      </c>
      <c r="G490" t="s">
        <v>37</v>
      </c>
    </row>
    <row r="491" spans="1:7" x14ac:dyDescent="0.3">
      <c r="A491" t="s">
        <v>32</v>
      </c>
      <c r="B491" t="s">
        <v>8</v>
      </c>
      <c r="C491" t="s">
        <v>17</v>
      </c>
      <c r="D491">
        <v>0</v>
      </c>
      <c r="E491" t="s">
        <v>10</v>
      </c>
      <c r="F491" t="s">
        <v>36</v>
      </c>
      <c r="G491" t="s">
        <v>37</v>
      </c>
    </row>
    <row r="492" spans="1:7" x14ac:dyDescent="0.3">
      <c r="A492" t="s">
        <v>32</v>
      </c>
      <c r="B492" t="s">
        <v>8</v>
      </c>
      <c r="C492" t="s">
        <v>18</v>
      </c>
      <c r="D492">
        <v>0</v>
      </c>
      <c r="E492" t="s">
        <v>10</v>
      </c>
      <c r="F492" t="s">
        <v>36</v>
      </c>
      <c r="G492" t="s">
        <v>37</v>
      </c>
    </row>
    <row r="493" spans="1:7" x14ac:dyDescent="0.3">
      <c r="A493" t="s">
        <v>32</v>
      </c>
      <c r="B493" t="s">
        <v>8</v>
      </c>
      <c r="C493" t="s">
        <v>19</v>
      </c>
      <c r="D493">
        <v>0</v>
      </c>
      <c r="E493" t="s">
        <v>10</v>
      </c>
      <c r="F493" t="s">
        <v>36</v>
      </c>
      <c r="G493" t="s">
        <v>37</v>
      </c>
    </row>
    <row r="494" spans="1:7" x14ac:dyDescent="0.3">
      <c r="A494" t="s">
        <v>32</v>
      </c>
      <c r="B494" t="s">
        <v>8</v>
      </c>
      <c r="C494" t="s">
        <v>20</v>
      </c>
      <c r="D494">
        <v>0</v>
      </c>
      <c r="E494" t="s">
        <v>10</v>
      </c>
      <c r="F494" t="s">
        <v>36</v>
      </c>
      <c r="G494" t="s">
        <v>37</v>
      </c>
    </row>
    <row r="495" spans="1:7" x14ac:dyDescent="0.3">
      <c r="A495" t="s">
        <v>32</v>
      </c>
      <c r="B495" t="s">
        <v>8</v>
      </c>
      <c r="C495" t="s">
        <v>21</v>
      </c>
      <c r="D495">
        <v>0</v>
      </c>
      <c r="E495" t="s">
        <v>10</v>
      </c>
      <c r="F495" t="s">
        <v>36</v>
      </c>
      <c r="G495" t="s">
        <v>37</v>
      </c>
    </row>
    <row r="496" spans="1:7" x14ac:dyDescent="0.3">
      <c r="A496" t="s">
        <v>32</v>
      </c>
      <c r="B496" t="s">
        <v>8</v>
      </c>
      <c r="C496" t="s">
        <v>22</v>
      </c>
      <c r="D496">
        <v>0</v>
      </c>
      <c r="E496" t="s">
        <v>10</v>
      </c>
      <c r="F496" t="s">
        <v>36</v>
      </c>
      <c r="G496" t="s">
        <v>37</v>
      </c>
    </row>
    <row r="497" spans="1:7" x14ac:dyDescent="0.3">
      <c r="A497" t="s">
        <v>32</v>
      </c>
      <c r="B497" t="s">
        <v>23</v>
      </c>
      <c r="C497" t="s">
        <v>9</v>
      </c>
      <c r="D497">
        <v>148</v>
      </c>
      <c r="E497" t="s">
        <v>10</v>
      </c>
      <c r="F497" t="s">
        <v>36</v>
      </c>
      <c r="G497" t="s">
        <v>37</v>
      </c>
    </row>
    <row r="498" spans="1:7" x14ac:dyDescent="0.3">
      <c r="A498" t="s">
        <v>32</v>
      </c>
      <c r="B498" t="s">
        <v>23</v>
      </c>
      <c r="C498" t="s">
        <v>13</v>
      </c>
      <c r="D498">
        <v>1601</v>
      </c>
      <c r="E498" t="s">
        <v>10</v>
      </c>
      <c r="F498" t="s">
        <v>36</v>
      </c>
      <c r="G498" t="s">
        <v>37</v>
      </c>
    </row>
    <row r="499" spans="1:7" x14ac:dyDescent="0.3">
      <c r="A499" t="s">
        <v>32</v>
      </c>
      <c r="B499" t="s">
        <v>23</v>
      </c>
      <c r="C499" t="s">
        <v>14</v>
      </c>
      <c r="D499">
        <v>112</v>
      </c>
      <c r="E499" t="s">
        <v>10</v>
      </c>
      <c r="F499" t="s">
        <v>36</v>
      </c>
      <c r="G499" t="s">
        <v>37</v>
      </c>
    </row>
    <row r="500" spans="1:7" x14ac:dyDescent="0.3">
      <c r="A500" t="s">
        <v>32</v>
      </c>
      <c r="B500" t="s">
        <v>23</v>
      </c>
      <c r="C500" t="s">
        <v>15</v>
      </c>
      <c r="D500">
        <v>781</v>
      </c>
      <c r="E500" t="s">
        <v>10</v>
      </c>
      <c r="F500" t="s">
        <v>36</v>
      </c>
      <c r="G500" t="s">
        <v>37</v>
      </c>
    </row>
    <row r="501" spans="1:7" x14ac:dyDescent="0.3">
      <c r="A501" t="s">
        <v>32</v>
      </c>
      <c r="B501" t="s">
        <v>23</v>
      </c>
      <c r="C501" t="s">
        <v>16</v>
      </c>
      <c r="D501">
        <v>529</v>
      </c>
      <c r="E501" t="s">
        <v>10</v>
      </c>
      <c r="F501" t="s">
        <v>36</v>
      </c>
      <c r="G501" t="s">
        <v>37</v>
      </c>
    </row>
    <row r="502" spans="1:7" x14ac:dyDescent="0.3">
      <c r="A502" t="s">
        <v>32</v>
      </c>
      <c r="B502" t="s">
        <v>23</v>
      </c>
      <c r="C502" t="s">
        <v>17</v>
      </c>
      <c r="D502">
        <v>5</v>
      </c>
      <c r="E502" t="s">
        <v>10</v>
      </c>
      <c r="F502" t="s">
        <v>36</v>
      </c>
      <c r="G502" t="s">
        <v>37</v>
      </c>
    </row>
    <row r="503" spans="1:7" x14ac:dyDescent="0.3">
      <c r="A503" t="s">
        <v>32</v>
      </c>
      <c r="B503" t="s">
        <v>23</v>
      </c>
      <c r="C503" t="s">
        <v>18</v>
      </c>
      <c r="D503">
        <v>0</v>
      </c>
      <c r="E503" t="s">
        <v>10</v>
      </c>
      <c r="F503" t="s">
        <v>36</v>
      </c>
      <c r="G503" t="s">
        <v>37</v>
      </c>
    </row>
    <row r="504" spans="1:7" x14ac:dyDescent="0.3">
      <c r="A504" t="s">
        <v>32</v>
      </c>
      <c r="B504" t="s">
        <v>23</v>
      </c>
      <c r="C504" t="s">
        <v>19</v>
      </c>
      <c r="D504">
        <v>254</v>
      </c>
      <c r="E504" t="s">
        <v>10</v>
      </c>
      <c r="F504" t="s">
        <v>36</v>
      </c>
      <c r="G504" t="s">
        <v>37</v>
      </c>
    </row>
    <row r="505" spans="1:7" x14ac:dyDescent="0.3">
      <c r="A505" t="s">
        <v>32</v>
      </c>
      <c r="B505" t="s">
        <v>23</v>
      </c>
      <c r="C505" t="s">
        <v>20</v>
      </c>
      <c r="D505">
        <v>480</v>
      </c>
      <c r="E505" t="s">
        <v>10</v>
      </c>
      <c r="F505" t="s">
        <v>36</v>
      </c>
      <c r="G505" t="s">
        <v>37</v>
      </c>
    </row>
    <row r="506" spans="1:7" x14ac:dyDescent="0.3">
      <c r="A506" t="s">
        <v>32</v>
      </c>
      <c r="B506" t="s">
        <v>23</v>
      </c>
      <c r="C506" t="s">
        <v>21</v>
      </c>
      <c r="D506">
        <v>37</v>
      </c>
      <c r="E506" t="s">
        <v>10</v>
      </c>
      <c r="F506" t="s">
        <v>36</v>
      </c>
      <c r="G506" t="s">
        <v>37</v>
      </c>
    </row>
    <row r="507" spans="1:7" x14ac:dyDescent="0.3">
      <c r="A507" t="s">
        <v>32</v>
      </c>
      <c r="B507" t="s">
        <v>23</v>
      </c>
      <c r="C507" t="s">
        <v>22</v>
      </c>
      <c r="D507">
        <v>48222</v>
      </c>
      <c r="E507" t="s">
        <v>10</v>
      </c>
      <c r="F507" t="s">
        <v>36</v>
      </c>
      <c r="G507" t="s">
        <v>37</v>
      </c>
    </row>
    <row r="508" spans="1:7" x14ac:dyDescent="0.3">
      <c r="A508" t="s">
        <v>33</v>
      </c>
      <c r="B508" t="s">
        <v>8</v>
      </c>
      <c r="C508" t="s">
        <v>9</v>
      </c>
      <c r="D508">
        <v>0</v>
      </c>
      <c r="E508" t="s">
        <v>10</v>
      </c>
      <c r="F508" t="s">
        <v>36</v>
      </c>
      <c r="G508" t="s">
        <v>37</v>
      </c>
    </row>
    <row r="509" spans="1:7" x14ac:dyDescent="0.3">
      <c r="A509" t="s">
        <v>33</v>
      </c>
      <c r="B509" t="s">
        <v>8</v>
      </c>
      <c r="C509" t="s">
        <v>13</v>
      </c>
      <c r="D509">
        <v>0</v>
      </c>
      <c r="E509" t="s">
        <v>10</v>
      </c>
      <c r="F509" t="s">
        <v>36</v>
      </c>
      <c r="G509" t="s">
        <v>37</v>
      </c>
    </row>
    <row r="510" spans="1:7" x14ac:dyDescent="0.3">
      <c r="A510" t="s">
        <v>33</v>
      </c>
      <c r="B510" t="s">
        <v>8</v>
      </c>
      <c r="C510" t="s">
        <v>14</v>
      </c>
      <c r="D510">
        <v>0</v>
      </c>
      <c r="E510" t="s">
        <v>10</v>
      </c>
      <c r="F510" t="s">
        <v>36</v>
      </c>
      <c r="G510" t="s">
        <v>37</v>
      </c>
    </row>
    <row r="511" spans="1:7" x14ac:dyDescent="0.3">
      <c r="A511" t="s">
        <v>33</v>
      </c>
      <c r="B511" t="s">
        <v>8</v>
      </c>
      <c r="C511" t="s">
        <v>15</v>
      </c>
      <c r="D511">
        <v>0</v>
      </c>
      <c r="E511" t="s">
        <v>10</v>
      </c>
      <c r="F511" t="s">
        <v>36</v>
      </c>
      <c r="G511" t="s">
        <v>37</v>
      </c>
    </row>
    <row r="512" spans="1:7" x14ac:dyDescent="0.3">
      <c r="A512" t="s">
        <v>33</v>
      </c>
      <c r="B512" t="s">
        <v>8</v>
      </c>
      <c r="C512" t="s">
        <v>16</v>
      </c>
      <c r="D512">
        <v>0</v>
      </c>
      <c r="E512" t="s">
        <v>10</v>
      </c>
      <c r="F512" t="s">
        <v>36</v>
      </c>
      <c r="G512" t="s">
        <v>37</v>
      </c>
    </row>
    <row r="513" spans="1:7" x14ac:dyDescent="0.3">
      <c r="A513" t="s">
        <v>33</v>
      </c>
      <c r="B513" t="s">
        <v>8</v>
      </c>
      <c r="C513" t="s">
        <v>17</v>
      </c>
      <c r="D513">
        <v>0</v>
      </c>
      <c r="E513" t="s">
        <v>10</v>
      </c>
      <c r="F513" t="s">
        <v>36</v>
      </c>
      <c r="G513" t="s">
        <v>37</v>
      </c>
    </row>
    <row r="514" spans="1:7" x14ac:dyDescent="0.3">
      <c r="A514" t="s">
        <v>33</v>
      </c>
      <c r="B514" t="s">
        <v>8</v>
      </c>
      <c r="C514" t="s">
        <v>18</v>
      </c>
      <c r="D514">
        <v>0</v>
      </c>
      <c r="E514" t="s">
        <v>10</v>
      </c>
      <c r="F514" t="s">
        <v>36</v>
      </c>
      <c r="G514" t="s">
        <v>37</v>
      </c>
    </row>
    <row r="515" spans="1:7" x14ac:dyDescent="0.3">
      <c r="A515" t="s">
        <v>33</v>
      </c>
      <c r="B515" t="s">
        <v>8</v>
      </c>
      <c r="C515" t="s">
        <v>19</v>
      </c>
      <c r="D515">
        <v>0</v>
      </c>
      <c r="E515" t="s">
        <v>10</v>
      </c>
      <c r="F515" t="s">
        <v>36</v>
      </c>
      <c r="G515" t="s">
        <v>37</v>
      </c>
    </row>
    <row r="516" spans="1:7" x14ac:dyDescent="0.3">
      <c r="A516" t="s">
        <v>33</v>
      </c>
      <c r="B516" t="s">
        <v>8</v>
      </c>
      <c r="C516" t="s">
        <v>20</v>
      </c>
      <c r="D516">
        <v>0</v>
      </c>
      <c r="E516" t="s">
        <v>10</v>
      </c>
      <c r="F516" t="s">
        <v>36</v>
      </c>
      <c r="G516" t="s">
        <v>37</v>
      </c>
    </row>
    <row r="517" spans="1:7" x14ac:dyDescent="0.3">
      <c r="A517" t="s">
        <v>33</v>
      </c>
      <c r="B517" t="s">
        <v>8</v>
      </c>
      <c r="C517" t="s">
        <v>21</v>
      </c>
      <c r="D517">
        <v>0</v>
      </c>
      <c r="E517" t="s">
        <v>10</v>
      </c>
      <c r="F517" t="s">
        <v>36</v>
      </c>
      <c r="G517" t="s">
        <v>37</v>
      </c>
    </row>
    <row r="518" spans="1:7" x14ac:dyDescent="0.3">
      <c r="A518" t="s">
        <v>33</v>
      </c>
      <c r="B518" t="s">
        <v>8</v>
      </c>
      <c r="C518" t="s">
        <v>22</v>
      </c>
      <c r="D518">
        <v>0</v>
      </c>
      <c r="E518" t="s">
        <v>10</v>
      </c>
      <c r="F518" t="s">
        <v>36</v>
      </c>
      <c r="G518" t="s">
        <v>37</v>
      </c>
    </row>
    <row r="519" spans="1:7" x14ac:dyDescent="0.3">
      <c r="A519" t="s">
        <v>33</v>
      </c>
      <c r="B519" t="s">
        <v>23</v>
      </c>
      <c r="C519" t="s">
        <v>9</v>
      </c>
      <c r="D519">
        <v>830</v>
      </c>
      <c r="E519" t="s">
        <v>10</v>
      </c>
      <c r="F519" t="s">
        <v>36</v>
      </c>
      <c r="G519" t="s">
        <v>37</v>
      </c>
    </row>
    <row r="520" spans="1:7" x14ac:dyDescent="0.3">
      <c r="A520" t="s">
        <v>33</v>
      </c>
      <c r="B520" t="s">
        <v>23</v>
      </c>
      <c r="C520" t="s">
        <v>13</v>
      </c>
      <c r="D520">
        <v>128</v>
      </c>
      <c r="E520" t="s">
        <v>10</v>
      </c>
      <c r="F520" t="s">
        <v>36</v>
      </c>
      <c r="G520" t="s">
        <v>37</v>
      </c>
    </row>
    <row r="521" spans="1:7" x14ac:dyDescent="0.3">
      <c r="A521" t="s">
        <v>33</v>
      </c>
      <c r="B521" t="s">
        <v>23</v>
      </c>
      <c r="C521" t="s">
        <v>14</v>
      </c>
      <c r="D521">
        <v>33201</v>
      </c>
      <c r="E521" t="s">
        <v>10</v>
      </c>
      <c r="F521" t="s">
        <v>36</v>
      </c>
      <c r="G521" t="s">
        <v>37</v>
      </c>
    </row>
    <row r="522" spans="1:7" x14ac:dyDescent="0.3">
      <c r="A522" t="s">
        <v>33</v>
      </c>
      <c r="B522" t="s">
        <v>23</v>
      </c>
      <c r="C522" t="s">
        <v>15</v>
      </c>
      <c r="D522">
        <v>380</v>
      </c>
      <c r="E522" t="s">
        <v>10</v>
      </c>
      <c r="F522" t="s">
        <v>36</v>
      </c>
      <c r="G522" t="s">
        <v>37</v>
      </c>
    </row>
    <row r="523" spans="1:7" x14ac:dyDescent="0.3">
      <c r="A523" t="s">
        <v>33</v>
      </c>
      <c r="B523" t="s">
        <v>23</v>
      </c>
      <c r="C523" t="s">
        <v>16</v>
      </c>
      <c r="D523">
        <v>2305207</v>
      </c>
      <c r="E523" t="s">
        <v>10</v>
      </c>
      <c r="F523" t="s">
        <v>36</v>
      </c>
      <c r="G523" t="s">
        <v>37</v>
      </c>
    </row>
    <row r="524" spans="1:7" x14ac:dyDescent="0.3">
      <c r="A524" t="s">
        <v>33</v>
      </c>
      <c r="B524" t="s">
        <v>23</v>
      </c>
      <c r="C524" t="s">
        <v>17</v>
      </c>
      <c r="D524">
        <v>72301</v>
      </c>
      <c r="E524" t="s">
        <v>10</v>
      </c>
      <c r="F524" t="s">
        <v>36</v>
      </c>
      <c r="G524" t="s">
        <v>37</v>
      </c>
    </row>
    <row r="525" spans="1:7" x14ac:dyDescent="0.3">
      <c r="A525" t="s">
        <v>33</v>
      </c>
      <c r="B525" t="s">
        <v>23</v>
      </c>
      <c r="C525" t="s">
        <v>18</v>
      </c>
      <c r="D525">
        <v>0</v>
      </c>
      <c r="E525" t="s">
        <v>10</v>
      </c>
      <c r="F525" t="s">
        <v>36</v>
      </c>
      <c r="G525" t="s">
        <v>37</v>
      </c>
    </row>
    <row r="526" spans="1:7" x14ac:dyDescent="0.3">
      <c r="A526" t="s">
        <v>33</v>
      </c>
      <c r="B526" t="s">
        <v>23</v>
      </c>
      <c r="C526" t="s">
        <v>19</v>
      </c>
      <c r="D526">
        <v>52</v>
      </c>
      <c r="E526" t="s">
        <v>10</v>
      </c>
      <c r="F526" t="s">
        <v>36</v>
      </c>
      <c r="G526" t="s">
        <v>37</v>
      </c>
    </row>
    <row r="527" spans="1:7" x14ac:dyDescent="0.3">
      <c r="A527" t="s">
        <v>33</v>
      </c>
      <c r="B527" t="s">
        <v>23</v>
      </c>
      <c r="C527" t="s">
        <v>20</v>
      </c>
      <c r="D527">
        <v>2088</v>
      </c>
      <c r="E527" t="s">
        <v>10</v>
      </c>
      <c r="F527" t="s">
        <v>36</v>
      </c>
      <c r="G527" t="s">
        <v>37</v>
      </c>
    </row>
    <row r="528" spans="1:7" x14ac:dyDescent="0.3">
      <c r="A528" t="s">
        <v>33</v>
      </c>
      <c r="B528" t="s">
        <v>23</v>
      </c>
      <c r="C528" t="s">
        <v>21</v>
      </c>
      <c r="D528">
        <v>569</v>
      </c>
      <c r="E528" t="s">
        <v>10</v>
      </c>
      <c r="F528" t="s">
        <v>36</v>
      </c>
      <c r="G528" t="s">
        <v>37</v>
      </c>
    </row>
    <row r="529" spans="1:7" x14ac:dyDescent="0.3">
      <c r="A529" t="s">
        <v>33</v>
      </c>
      <c r="B529" t="s">
        <v>23</v>
      </c>
      <c r="C529" t="s">
        <v>22</v>
      </c>
      <c r="D529">
        <v>497</v>
      </c>
      <c r="E529" t="s">
        <v>10</v>
      </c>
      <c r="F529" t="s">
        <v>36</v>
      </c>
      <c r="G529" t="s">
        <v>37</v>
      </c>
    </row>
    <row r="530" spans="1:7" x14ac:dyDescent="0.3">
      <c r="A530" t="s">
        <v>34</v>
      </c>
      <c r="B530" t="s">
        <v>8</v>
      </c>
      <c r="C530" t="s">
        <v>9</v>
      </c>
      <c r="D530">
        <v>0</v>
      </c>
      <c r="E530" t="s">
        <v>10</v>
      </c>
      <c r="F530" t="s">
        <v>36</v>
      </c>
      <c r="G530" t="s">
        <v>37</v>
      </c>
    </row>
    <row r="531" spans="1:7" x14ac:dyDescent="0.3">
      <c r="A531" t="s">
        <v>34</v>
      </c>
      <c r="B531" t="s">
        <v>8</v>
      </c>
      <c r="C531" t="s">
        <v>13</v>
      </c>
      <c r="D531">
        <v>0</v>
      </c>
      <c r="E531" t="s">
        <v>10</v>
      </c>
      <c r="F531" t="s">
        <v>36</v>
      </c>
      <c r="G531" t="s">
        <v>37</v>
      </c>
    </row>
    <row r="532" spans="1:7" x14ac:dyDescent="0.3">
      <c r="A532" t="s">
        <v>34</v>
      </c>
      <c r="B532" t="s">
        <v>8</v>
      </c>
      <c r="C532" t="s">
        <v>14</v>
      </c>
      <c r="D532">
        <v>0</v>
      </c>
      <c r="E532" t="s">
        <v>10</v>
      </c>
      <c r="F532" t="s">
        <v>36</v>
      </c>
      <c r="G532" t="s">
        <v>37</v>
      </c>
    </row>
    <row r="533" spans="1:7" x14ac:dyDescent="0.3">
      <c r="A533" t="s">
        <v>34</v>
      </c>
      <c r="B533" t="s">
        <v>8</v>
      </c>
      <c r="C533" t="s">
        <v>15</v>
      </c>
      <c r="D533">
        <v>0</v>
      </c>
      <c r="E533" t="s">
        <v>10</v>
      </c>
      <c r="F533" t="s">
        <v>36</v>
      </c>
      <c r="G533" t="s">
        <v>37</v>
      </c>
    </row>
    <row r="534" spans="1:7" x14ac:dyDescent="0.3">
      <c r="A534" t="s">
        <v>34</v>
      </c>
      <c r="B534" t="s">
        <v>8</v>
      </c>
      <c r="C534" t="s">
        <v>16</v>
      </c>
      <c r="D534">
        <v>0</v>
      </c>
      <c r="E534" t="s">
        <v>10</v>
      </c>
      <c r="F534" t="s">
        <v>36</v>
      </c>
      <c r="G534" t="s">
        <v>37</v>
      </c>
    </row>
    <row r="535" spans="1:7" x14ac:dyDescent="0.3">
      <c r="A535" t="s">
        <v>34</v>
      </c>
      <c r="B535" t="s">
        <v>8</v>
      </c>
      <c r="C535" t="s">
        <v>17</v>
      </c>
      <c r="D535">
        <v>0</v>
      </c>
      <c r="E535" t="s">
        <v>10</v>
      </c>
      <c r="F535" t="s">
        <v>36</v>
      </c>
      <c r="G535" t="s">
        <v>37</v>
      </c>
    </row>
    <row r="536" spans="1:7" x14ac:dyDescent="0.3">
      <c r="A536" t="s">
        <v>34</v>
      </c>
      <c r="B536" t="s">
        <v>8</v>
      </c>
      <c r="C536" t="s">
        <v>18</v>
      </c>
      <c r="D536">
        <v>0</v>
      </c>
      <c r="E536" t="s">
        <v>10</v>
      </c>
      <c r="F536" t="s">
        <v>36</v>
      </c>
      <c r="G536" t="s">
        <v>37</v>
      </c>
    </row>
    <row r="537" spans="1:7" x14ac:dyDescent="0.3">
      <c r="A537" t="s">
        <v>34</v>
      </c>
      <c r="B537" t="s">
        <v>8</v>
      </c>
      <c r="C537" t="s">
        <v>19</v>
      </c>
      <c r="D537">
        <v>0</v>
      </c>
      <c r="E537" t="s">
        <v>10</v>
      </c>
      <c r="F537" t="s">
        <v>36</v>
      </c>
      <c r="G537" t="s">
        <v>37</v>
      </c>
    </row>
    <row r="538" spans="1:7" x14ac:dyDescent="0.3">
      <c r="A538" t="s">
        <v>34</v>
      </c>
      <c r="B538" t="s">
        <v>8</v>
      </c>
      <c r="C538" t="s">
        <v>20</v>
      </c>
      <c r="D538">
        <v>0</v>
      </c>
      <c r="E538" t="s">
        <v>10</v>
      </c>
      <c r="F538" t="s">
        <v>36</v>
      </c>
      <c r="G538" t="s">
        <v>37</v>
      </c>
    </row>
    <row r="539" spans="1:7" x14ac:dyDescent="0.3">
      <c r="A539" t="s">
        <v>34</v>
      </c>
      <c r="B539" t="s">
        <v>8</v>
      </c>
      <c r="C539" t="s">
        <v>21</v>
      </c>
      <c r="D539">
        <v>0</v>
      </c>
      <c r="E539" t="s">
        <v>10</v>
      </c>
      <c r="F539" t="s">
        <v>36</v>
      </c>
      <c r="G539" t="s">
        <v>37</v>
      </c>
    </row>
    <row r="540" spans="1:7" x14ac:dyDescent="0.3">
      <c r="A540" t="s">
        <v>34</v>
      </c>
      <c r="B540" t="s">
        <v>8</v>
      </c>
      <c r="C540" t="s">
        <v>22</v>
      </c>
      <c r="D540">
        <v>0</v>
      </c>
      <c r="E540" t="s">
        <v>10</v>
      </c>
      <c r="F540" t="s">
        <v>36</v>
      </c>
      <c r="G540" t="s">
        <v>37</v>
      </c>
    </row>
    <row r="541" spans="1:7" x14ac:dyDescent="0.3">
      <c r="A541" t="s">
        <v>34</v>
      </c>
      <c r="B541" t="s">
        <v>23</v>
      </c>
      <c r="C541" t="s">
        <v>9</v>
      </c>
      <c r="D541">
        <v>370</v>
      </c>
      <c r="E541" t="s">
        <v>10</v>
      </c>
      <c r="F541" t="s">
        <v>36</v>
      </c>
      <c r="G541" t="s">
        <v>37</v>
      </c>
    </row>
    <row r="542" spans="1:7" x14ac:dyDescent="0.3">
      <c r="A542" t="s">
        <v>34</v>
      </c>
      <c r="B542" t="s">
        <v>23</v>
      </c>
      <c r="C542" t="s">
        <v>13</v>
      </c>
      <c r="D542">
        <v>4001</v>
      </c>
      <c r="E542" t="s">
        <v>10</v>
      </c>
      <c r="F542" t="s">
        <v>36</v>
      </c>
      <c r="G542" t="s">
        <v>37</v>
      </c>
    </row>
    <row r="543" spans="1:7" x14ac:dyDescent="0.3">
      <c r="A543" t="s">
        <v>34</v>
      </c>
      <c r="B543" t="s">
        <v>23</v>
      </c>
      <c r="C543" t="s">
        <v>14</v>
      </c>
      <c r="D543">
        <v>280</v>
      </c>
      <c r="E543" t="s">
        <v>10</v>
      </c>
      <c r="F543" t="s">
        <v>36</v>
      </c>
      <c r="G543" t="s">
        <v>37</v>
      </c>
    </row>
    <row r="544" spans="1:7" x14ac:dyDescent="0.3">
      <c r="A544" t="s">
        <v>34</v>
      </c>
      <c r="B544" t="s">
        <v>23</v>
      </c>
      <c r="C544" t="s">
        <v>15</v>
      </c>
      <c r="D544">
        <v>1952</v>
      </c>
      <c r="E544" t="s">
        <v>10</v>
      </c>
      <c r="F544" t="s">
        <v>36</v>
      </c>
      <c r="G544" t="s">
        <v>37</v>
      </c>
    </row>
    <row r="545" spans="1:7" x14ac:dyDescent="0.3">
      <c r="A545" t="s">
        <v>34</v>
      </c>
      <c r="B545" t="s">
        <v>23</v>
      </c>
      <c r="C545" t="s">
        <v>16</v>
      </c>
      <c r="D545">
        <v>1322</v>
      </c>
      <c r="E545" t="s">
        <v>10</v>
      </c>
      <c r="F545" t="s">
        <v>36</v>
      </c>
      <c r="G545" t="s">
        <v>37</v>
      </c>
    </row>
    <row r="546" spans="1:7" x14ac:dyDescent="0.3">
      <c r="A546" t="s">
        <v>34</v>
      </c>
      <c r="B546" t="s">
        <v>23</v>
      </c>
      <c r="C546" t="s">
        <v>17</v>
      </c>
      <c r="D546">
        <v>13</v>
      </c>
      <c r="E546" t="s">
        <v>10</v>
      </c>
      <c r="F546" t="s">
        <v>36</v>
      </c>
      <c r="G546" t="s">
        <v>37</v>
      </c>
    </row>
    <row r="547" spans="1:7" x14ac:dyDescent="0.3">
      <c r="A547" t="s">
        <v>34</v>
      </c>
      <c r="B547" t="s">
        <v>23</v>
      </c>
      <c r="C547" t="s">
        <v>18</v>
      </c>
      <c r="D547">
        <v>0</v>
      </c>
      <c r="E547" t="s">
        <v>10</v>
      </c>
      <c r="F547" t="s">
        <v>36</v>
      </c>
      <c r="G547" t="s">
        <v>37</v>
      </c>
    </row>
    <row r="548" spans="1:7" x14ac:dyDescent="0.3">
      <c r="A548" t="s">
        <v>34</v>
      </c>
      <c r="B548" t="s">
        <v>23</v>
      </c>
      <c r="C548" t="s">
        <v>19</v>
      </c>
      <c r="D548">
        <v>636</v>
      </c>
      <c r="E548" t="s">
        <v>10</v>
      </c>
      <c r="F548" t="s">
        <v>36</v>
      </c>
      <c r="G548" t="s">
        <v>37</v>
      </c>
    </row>
    <row r="549" spans="1:7" x14ac:dyDescent="0.3">
      <c r="A549" t="s">
        <v>34</v>
      </c>
      <c r="B549" t="s">
        <v>23</v>
      </c>
      <c r="C549" t="s">
        <v>20</v>
      </c>
      <c r="D549">
        <v>1201</v>
      </c>
      <c r="E549" t="s">
        <v>10</v>
      </c>
      <c r="F549" t="s">
        <v>36</v>
      </c>
      <c r="G549" t="s">
        <v>37</v>
      </c>
    </row>
    <row r="550" spans="1:7" x14ac:dyDescent="0.3">
      <c r="A550" t="s">
        <v>34</v>
      </c>
      <c r="B550" t="s">
        <v>23</v>
      </c>
      <c r="C550" t="s">
        <v>21</v>
      </c>
      <c r="D550">
        <v>92</v>
      </c>
      <c r="E550" t="s">
        <v>10</v>
      </c>
      <c r="F550" t="s">
        <v>36</v>
      </c>
      <c r="G550" t="s">
        <v>37</v>
      </c>
    </row>
    <row r="551" spans="1:7" x14ac:dyDescent="0.3">
      <c r="A551" t="s">
        <v>34</v>
      </c>
      <c r="B551" t="s">
        <v>23</v>
      </c>
      <c r="C551" t="s">
        <v>22</v>
      </c>
      <c r="D551">
        <v>120556</v>
      </c>
      <c r="E551" t="s">
        <v>10</v>
      </c>
      <c r="F551" t="s">
        <v>36</v>
      </c>
      <c r="G551" t="s">
        <v>37</v>
      </c>
    </row>
    <row r="552" spans="1:7" x14ac:dyDescent="0.3">
      <c r="A552" t="s">
        <v>35</v>
      </c>
      <c r="B552" t="s">
        <v>8</v>
      </c>
      <c r="C552" t="s">
        <v>9</v>
      </c>
      <c r="D552">
        <v>0</v>
      </c>
      <c r="E552" t="s">
        <v>10</v>
      </c>
      <c r="F552" t="s">
        <v>36</v>
      </c>
      <c r="G552" t="s">
        <v>37</v>
      </c>
    </row>
    <row r="553" spans="1:7" x14ac:dyDescent="0.3">
      <c r="A553" t="s">
        <v>35</v>
      </c>
      <c r="B553" t="s">
        <v>8</v>
      </c>
      <c r="C553" t="s">
        <v>13</v>
      </c>
      <c r="D553">
        <v>0</v>
      </c>
      <c r="E553" t="s">
        <v>10</v>
      </c>
      <c r="F553" t="s">
        <v>36</v>
      </c>
      <c r="G553" t="s">
        <v>37</v>
      </c>
    </row>
    <row r="554" spans="1:7" x14ac:dyDescent="0.3">
      <c r="A554" t="s">
        <v>35</v>
      </c>
      <c r="B554" t="s">
        <v>8</v>
      </c>
      <c r="C554" t="s">
        <v>14</v>
      </c>
      <c r="D554">
        <v>0</v>
      </c>
      <c r="E554" t="s">
        <v>10</v>
      </c>
      <c r="F554" t="s">
        <v>36</v>
      </c>
      <c r="G554" t="s">
        <v>37</v>
      </c>
    </row>
    <row r="555" spans="1:7" x14ac:dyDescent="0.3">
      <c r="A555" t="s">
        <v>35</v>
      </c>
      <c r="B555" t="s">
        <v>8</v>
      </c>
      <c r="C555" t="s">
        <v>15</v>
      </c>
      <c r="D555">
        <v>0</v>
      </c>
      <c r="E555" t="s">
        <v>10</v>
      </c>
      <c r="F555" t="s">
        <v>36</v>
      </c>
      <c r="G555" t="s">
        <v>37</v>
      </c>
    </row>
    <row r="556" spans="1:7" x14ac:dyDescent="0.3">
      <c r="A556" t="s">
        <v>35</v>
      </c>
      <c r="B556" t="s">
        <v>8</v>
      </c>
      <c r="C556" t="s">
        <v>16</v>
      </c>
      <c r="D556">
        <v>0</v>
      </c>
      <c r="E556" t="s">
        <v>10</v>
      </c>
      <c r="F556" t="s">
        <v>36</v>
      </c>
      <c r="G556" t="s">
        <v>37</v>
      </c>
    </row>
    <row r="557" spans="1:7" x14ac:dyDescent="0.3">
      <c r="A557" t="s">
        <v>35</v>
      </c>
      <c r="B557" t="s">
        <v>8</v>
      </c>
      <c r="C557" t="s">
        <v>17</v>
      </c>
      <c r="D557">
        <v>0</v>
      </c>
      <c r="E557" t="s">
        <v>10</v>
      </c>
      <c r="F557" t="s">
        <v>36</v>
      </c>
      <c r="G557" t="s">
        <v>37</v>
      </c>
    </row>
    <row r="558" spans="1:7" x14ac:dyDescent="0.3">
      <c r="A558" t="s">
        <v>35</v>
      </c>
      <c r="B558" t="s">
        <v>8</v>
      </c>
      <c r="C558" t="s">
        <v>18</v>
      </c>
      <c r="D558">
        <v>0</v>
      </c>
      <c r="E558" t="s">
        <v>10</v>
      </c>
      <c r="F558" t="s">
        <v>36</v>
      </c>
      <c r="G558" t="s">
        <v>37</v>
      </c>
    </row>
    <row r="559" spans="1:7" x14ac:dyDescent="0.3">
      <c r="A559" t="s">
        <v>35</v>
      </c>
      <c r="B559" t="s">
        <v>8</v>
      </c>
      <c r="C559" t="s">
        <v>19</v>
      </c>
      <c r="D559">
        <v>0</v>
      </c>
      <c r="E559" t="s">
        <v>10</v>
      </c>
      <c r="F559" t="s">
        <v>36</v>
      </c>
      <c r="G559" t="s">
        <v>37</v>
      </c>
    </row>
    <row r="560" spans="1:7" x14ac:dyDescent="0.3">
      <c r="A560" t="s">
        <v>35</v>
      </c>
      <c r="B560" t="s">
        <v>8</v>
      </c>
      <c r="C560" t="s">
        <v>20</v>
      </c>
      <c r="D560">
        <v>0</v>
      </c>
      <c r="E560" t="s">
        <v>10</v>
      </c>
      <c r="F560" t="s">
        <v>36</v>
      </c>
      <c r="G560" t="s">
        <v>37</v>
      </c>
    </row>
    <row r="561" spans="1:7" x14ac:dyDescent="0.3">
      <c r="A561" t="s">
        <v>35</v>
      </c>
      <c r="B561" t="s">
        <v>8</v>
      </c>
      <c r="C561" t="s">
        <v>21</v>
      </c>
      <c r="D561">
        <v>0</v>
      </c>
      <c r="E561" t="s">
        <v>10</v>
      </c>
      <c r="F561" t="s">
        <v>36</v>
      </c>
      <c r="G561" t="s">
        <v>37</v>
      </c>
    </row>
    <row r="562" spans="1:7" x14ac:dyDescent="0.3">
      <c r="A562" t="s">
        <v>35</v>
      </c>
      <c r="B562" t="s">
        <v>8</v>
      </c>
      <c r="C562" t="s">
        <v>22</v>
      </c>
      <c r="D562">
        <v>0</v>
      </c>
      <c r="E562" t="s">
        <v>10</v>
      </c>
      <c r="F562" t="s">
        <v>36</v>
      </c>
      <c r="G562" t="s">
        <v>37</v>
      </c>
    </row>
    <row r="563" spans="1:7" x14ac:dyDescent="0.3">
      <c r="A563" t="s">
        <v>35</v>
      </c>
      <c r="B563" t="s">
        <v>23</v>
      </c>
      <c r="C563" t="s">
        <v>9</v>
      </c>
      <c r="D563">
        <v>155</v>
      </c>
      <c r="E563" t="s">
        <v>10</v>
      </c>
      <c r="F563" t="s">
        <v>36</v>
      </c>
      <c r="G563" t="s">
        <v>37</v>
      </c>
    </row>
    <row r="564" spans="1:7" x14ac:dyDescent="0.3">
      <c r="A564" t="s">
        <v>35</v>
      </c>
      <c r="B564" t="s">
        <v>23</v>
      </c>
      <c r="C564" t="s">
        <v>13</v>
      </c>
      <c r="D564">
        <v>1674</v>
      </c>
      <c r="E564" t="s">
        <v>10</v>
      </c>
      <c r="F564" t="s">
        <v>36</v>
      </c>
      <c r="G564" t="s">
        <v>37</v>
      </c>
    </row>
    <row r="565" spans="1:7" x14ac:dyDescent="0.3">
      <c r="A565" t="s">
        <v>35</v>
      </c>
      <c r="B565" t="s">
        <v>23</v>
      </c>
      <c r="C565" t="s">
        <v>14</v>
      </c>
      <c r="D565">
        <v>117</v>
      </c>
      <c r="E565" t="s">
        <v>10</v>
      </c>
      <c r="F565" t="s">
        <v>36</v>
      </c>
      <c r="G565" t="s">
        <v>37</v>
      </c>
    </row>
    <row r="566" spans="1:7" x14ac:dyDescent="0.3">
      <c r="A566" t="s">
        <v>35</v>
      </c>
      <c r="B566" t="s">
        <v>23</v>
      </c>
      <c r="C566" t="s">
        <v>15</v>
      </c>
      <c r="D566">
        <v>817</v>
      </c>
      <c r="E566" t="s">
        <v>10</v>
      </c>
      <c r="F566" t="s">
        <v>36</v>
      </c>
      <c r="G566" t="s">
        <v>37</v>
      </c>
    </row>
    <row r="567" spans="1:7" x14ac:dyDescent="0.3">
      <c r="A567" t="s">
        <v>35</v>
      </c>
      <c r="B567" t="s">
        <v>23</v>
      </c>
      <c r="C567" t="s">
        <v>16</v>
      </c>
      <c r="D567">
        <v>553</v>
      </c>
      <c r="E567" t="s">
        <v>10</v>
      </c>
      <c r="F567" t="s">
        <v>36</v>
      </c>
      <c r="G567" t="s">
        <v>37</v>
      </c>
    </row>
    <row r="568" spans="1:7" x14ac:dyDescent="0.3">
      <c r="A568" t="s">
        <v>35</v>
      </c>
      <c r="B568" t="s">
        <v>23</v>
      </c>
      <c r="C568" t="s">
        <v>17</v>
      </c>
      <c r="D568">
        <v>5</v>
      </c>
      <c r="E568" t="s">
        <v>10</v>
      </c>
      <c r="F568" t="s">
        <v>36</v>
      </c>
      <c r="G568" t="s">
        <v>37</v>
      </c>
    </row>
    <row r="569" spans="1:7" x14ac:dyDescent="0.3">
      <c r="A569" t="s">
        <v>35</v>
      </c>
      <c r="B569" t="s">
        <v>23</v>
      </c>
      <c r="C569" t="s">
        <v>18</v>
      </c>
      <c r="D569">
        <v>0</v>
      </c>
      <c r="E569" t="s">
        <v>10</v>
      </c>
      <c r="F569" t="s">
        <v>36</v>
      </c>
      <c r="G569" t="s">
        <v>37</v>
      </c>
    </row>
    <row r="570" spans="1:7" x14ac:dyDescent="0.3">
      <c r="A570" t="s">
        <v>35</v>
      </c>
      <c r="B570" t="s">
        <v>23</v>
      </c>
      <c r="C570" t="s">
        <v>19</v>
      </c>
      <c r="D570">
        <v>266</v>
      </c>
      <c r="E570" t="s">
        <v>10</v>
      </c>
      <c r="F570" t="s">
        <v>36</v>
      </c>
      <c r="G570" t="s">
        <v>37</v>
      </c>
    </row>
    <row r="571" spans="1:7" x14ac:dyDescent="0.3">
      <c r="A571" t="s">
        <v>35</v>
      </c>
      <c r="B571" t="s">
        <v>23</v>
      </c>
      <c r="C571" t="s">
        <v>20</v>
      </c>
      <c r="D571">
        <v>503</v>
      </c>
      <c r="E571" t="s">
        <v>10</v>
      </c>
      <c r="F571" t="s">
        <v>36</v>
      </c>
      <c r="G571" t="s">
        <v>37</v>
      </c>
    </row>
    <row r="572" spans="1:7" x14ac:dyDescent="0.3">
      <c r="A572" t="s">
        <v>35</v>
      </c>
      <c r="B572" t="s">
        <v>23</v>
      </c>
      <c r="C572" t="s">
        <v>21</v>
      </c>
      <c r="D572">
        <v>38</v>
      </c>
      <c r="E572" t="s">
        <v>10</v>
      </c>
      <c r="F572" t="s">
        <v>36</v>
      </c>
      <c r="G572" t="s">
        <v>37</v>
      </c>
    </row>
    <row r="573" spans="1:7" x14ac:dyDescent="0.3">
      <c r="A573" t="s">
        <v>35</v>
      </c>
      <c r="B573" t="s">
        <v>23</v>
      </c>
      <c r="C573" t="s">
        <v>22</v>
      </c>
      <c r="D573">
        <v>50448</v>
      </c>
      <c r="E573" t="s">
        <v>10</v>
      </c>
      <c r="F573" t="s">
        <v>36</v>
      </c>
      <c r="G573" t="s">
        <v>37</v>
      </c>
    </row>
    <row r="574" spans="1:7" x14ac:dyDescent="0.3">
      <c r="A574" t="s">
        <v>7</v>
      </c>
      <c r="B574" t="s">
        <v>8</v>
      </c>
      <c r="C574" t="s">
        <v>9</v>
      </c>
      <c r="D574">
        <v>101</v>
      </c>
      <c r="E574" t="s">
        <v>10</v>
      </c>
      <c r="F574" t="s">
        <v>38</v>
      </c>
      <c r="G574" t="s">
        <v>37</v>
      </c>
    </row>
    <row r="575" spans="1:7" x14ac:dyDescent="0.3">
      <c r="A575" t="s">
        <v>7</v>
      </c>
      <c r="B575" t="s">
        <v>8</v>
      </c>
      <c r="C575" t="s">
        <v>13</v>
      </c>
      <c r="D575">
        <v>14514</v>
      </c>
      <c r="E575" t="s">
        <v>10</v>
      </c>
      <c r="F575" t="s">
        <v>38</v>
      </c>
      <c r="G575" t="s">
        <v>37</v>
      </c>
    </row>
    <row r="576" spans="1:7" x14ac:dyDescent="0.3">
      <c r="A576" t="s">
        <v>7</v>
      </c>
      <c r="B576" t="s">
        <v>8</v>
      </c>
      <c r="C576" t="s">
        <v>14</v>
      </c>
      <c r="D576">
        <v>614</v>
      </c>
      <c r="E576" t="s">
        <v>10</v>
      </c>
      <c r="F576" t="s">
        <v>38</v>
      </c>
      <c r="G576" t="s">
        <v>37</v>
      </c>
    </row>
    <row r="577" spans="1:7" x14ac:dyDescent="0.3">
      <c r="A577" t="s">
        <v>7</v>
      </c>
      <c r="B577" t="s">
        <v>8</v>
      </c>
      <c r="C577" t="s">
        <v>15</v>
      </c>
      <c r="D577">
        <v>30</v>
      </c>
      <c r="E577" t="s">
        <v>10</v>
      </c>
      <c r="F577" t="s">
        <v>38</v>
      </c>
      <c r="G577" t="s">
        <v>37</v>
      </c>
    </row>
    <row r="578" spans="1:7" x14ac:dyDescent="0.3">
      <c r="A578" t="s">
        <v>7</v>
      </c>
      <c r="B578" t="s">
        <v>8</v>
      </c>
      <c r="C578" t="s">
        <v>16</v>
      </c>
      <c r="D578">
        <v>309</v>
      </c>
      <c r="E578" t="s">
        <v>10</v>
      </c>
      <c r="F578" t="s">
        <v>38</v>
      </c>
      <c r="G578" t="s">
        <v>37</v>
      </c>
    </row>
    <row r="579" spans="1:7" x14ac:dyDescent="0.3">
      <c r="A579" t="s">
        <v>7</v>
      </c>
      <c r="B579" t="s">
        <v>8</v>
      </c>
      <c r="C579" t="s">
        <v>17</v>
      </c>
      <c r="D579">
        <v>117</v>
      </c>
      <c r="E579" t="s">
        <v>10</v>
      </c>
      <c r="F579" t="s">
        <v>38</v>
      </c>
      <c r="G579" t="s">
        <v>37</v>
      </c>
    </row>
    <row r="580" spans="1:7" x14ac:dyDescent="0.3">
      <c r="A580" t="s">
        <v>7</v>
      </c>
      <c r="B580" t="s">
        <v>8</v>
      </c>
      <c r="C580" t="s">
        <v>18</v>
      </c>
      <c r="D580">
        <v>0</v>
      </c>
      <c r="E580" t="s">
        <v>10</v>
      </c>
      <c r="F580" t="s">
        <v>38</v>
      </c>
      <c r="G580" t="s">
        <v>37</v>
      </c>
    </row>
    <row r="581" spans="1:7" x14ac:dyDescent="0.3">
      <c r="A581" t="s">
        <v>7</v>
      </c>
      <c r="B581" t="s">
        <v>8</v>
      </c>
      <c r="C581" t="s">
        <v>19</v>
      </c>
      <c r="D581">
        <v>5</v>
      </c>
      <c r="E581" t="s">
        <v>10</v>
      </c>
      <c r="F581" t="s">
        <v>38</v>
      </c>
      <c r="G581" t="s">
        <v>37</v>
      </c>
    </row>
    <row r="582" spans="1:7" x14ac:dyDescent="0.3">
      <c r="A582" t="s">
        <v>7</v>
      </c>
      <c r="B582" t="s">
        <v>8</v>
      </c>
      <c r="C582" t="s">
        <v>20</v>
      </c>
      <c r="D582">
        <v>114</v>
      </c>
      <c r="E582" t="s">
        <v>10</v>
      </c>
      <c r="F582" t="s">
        <v>38</v>
      </c>
      <c r="G582" t="s">
        <v>37</v>
      </c>
    </row>
    <row r="583" spans="1:7" x14ac:dyDescent="0.3">
      <c r="A583" t="s">
        <v>7</v>
      </c>
      <c r="B583" t="s">
        <v>8</v>
      </c>
      <c r="C583" t="s">
        <v>21</v>
      </c>
      <c r="D583">
        <v>248</v>
      </c>
      <c r="E583" t="s">
        <v>10</v>
      </c>
      <c r="F583" t="s">
        <v>38</v>
      </c>
      <c r="G583" t="s">
        <v>37</v>
      </c>
    </row>
    <row r="584" spans="1:7" x14ac:dyDescent="0.3">
      <c r="A584" t="s">
        <v>7</v>
      </c>
      <c r="B584" t="s">
        <v>8</v>
      </c>
      <c r="C584" t="s">
        <v>22</v>
      </c>
      <c r="D584">
        <v>1530818</v>
      </c>
      <c r="E584" t="s">
        <v>10</v>
      </c>
      <c r="F584" t="s">
        <v>38</v>
      </c>
      <c r="G584" t="s">
        <v>37</v>
      </c>
    </row>
    <row r="585" spans="1:7" x14ac:dyDescent="0.3">
      <c r="A585" t="s">
        <v>7</v>
      </c>
      <c r="B585" t="s">
        <v>23</v>
      </c>
      <c r="C585" t="s">
        <v>9</v>
      </c>
      <c r="D585">
        <v>38101</v>
      </c>
      <c r="E585" t="s">
        <v>10</v>
      </c>
      <c r="F585" t="s">
        <v>38</v>
      </c>
      <c r="G585" t="s">
        <v>37</v>
      </c>
    </row>
    <row r="586" spans="1:7" x14ac:dyDescent="0.3">
      <c r="A586" t="s">
        <v>7</v>
      </c>
      <c r="B586" t="s">
        <v>23</v>
      </c>
      <c r="C586" t="s">
        <v>13</v>
      </c>
      <c r="D586">
        <v>273866</v>
      </c>
      <c r="E586" t="s">
        <v>10</v>
      </c>
      <c r="F586" t="s">
        <v>38</v>
      </c>
      <c r="G586" t="s">
        <v>37</v>
      </c>
    </row>
    <row r="587" spans="1:7" x14ac:dyDescent="0.3">
      <c r="A587" t="s">
        <v>7</v>
      </c>
      <c r="B587" t="s">
        <v>23</v>
      </c>
      <c r="C587" t="s">
        <v>14</v>
      </c>
      <c r="D587">
        <v>264753</v>
      </c>
      <c r="E587" t="s">
        <v>10</v>
      </c>
      <c r="F587" t="s">
        <v>38</v>
      </c>
      <c r="G587" t="s">
        <v>37</v>
      </c>
    </row>
    <row r="588" spans="1:7" x14ac:dyDescent="0.3">
      <c r="A588" t="s">
        <v>7</v>
      </c>
      <c r="B588" t="s">
        <v>23</v>
      </c>
      <c r="C588" t="s">
        <v>15</v>
      </c>
      <c r="D588">
        <v>9834</v>
      </c>
      <c r="E588" t="s">
        <v>10</v>
      </c>
      <c r="F588" t="s">
        <v>38</v>
      </c>
      <c r="G588" t="s">
        <v>37</v>
      </c>
    </row>
    <row r="589" spans="1:7" x14ac:dyDescent="0.3">
      <c r="A589" t="s">
        <v>7</v>
      </c>
      <c r="B589" t="s">
        <v>23</v>
      </c>
      <c r="C589" t="s">
        <v>16</v>
      </c>
      <c r="D589">
        <v>95918</v>
      </c>
      <c r="E589" t="s">
        <v>10</v>
      </c>
      <c r="F589" t="s">
        <v>38</v>
      </c>
      <c r="G589" t="s">
        <v>37</v>
      </c>
    </row>
    <row r="590" spans="1:7" x14ac:dyDescent="0.3">
      <c r="A590" t="s">
        <v>7</v>
      </c>
      <c r="B590" t="s">
        <v>23</v>
      </c>
      <c r="C590" t="s">
        <v>17</v>
      </c>
      <c r="D590">
        <v>7509</v>
      </c>
      <c r="E590" t="s">
        <v>10</v>
      </c>
      <c r="F590" t="s">
        <v>38</v>
      </c>
      <c r="G590" t="s">
        <v>37</v>
      </c>
    </row>
    <row r="591" spans="1:7" x14ac:dyDescent="0.3">
      <c r="A591" t="s">
        <v>7</v>
      </c>
      <c r="B591" t="s">
        <v>23</v>
      </c>
      <c r="C591" t="s">
        <v>18</v>
      </c>
      <c r="D591">
        <v>0</v>
      </c>
      <c r="E591" t="s">
        <v>10</v>
      </c>
      <c r="F591" t="s">
        <v>38</v>
      </c>
      <c r="G591" t="s">
        <v>37</v>
      </c>
    </row>
    <row r="592" spans="1:7" x14ac:dyDescent="0.3">
      <c r="A592" t="s">
        <v>7</v>
      </c>
      <c r="B592" t="s">
        <v>23</v>
      </c>
      <c r="C592" t="s">
        <v>19</v>
      </c>
      <c r="D592">
        <v>40029</v>
      </c>
      <c r="E592" t="s">
        <v>10</v>
      </c>
      <c r="F592" t="s">
        <v>38</v>
      </c>
      <c r="G592" t="s">
        <v>37</v>
      </c>
    </row>
    <row r="593" spans="1:7" x14ac:dyDescent="0.3">
      <c r="A593" t="s">
        <v>7</v>
      </c>
      <c r="B593" t="s">
        <v>23</v>
      </c>
      <c r="C593" t="s">
        <v>20</v>
      </c>
      <c r="D593">
        <v>14445</v>
      </c>
      <c r="E593" t="s">
        <v>10</v>
      </c>
      <c r="F593" t="s">
        <v>38</v>
      </c>
      <c r="G593" t="s">
        <v>37</v>
      </c>
    </row>
    <row r="594" spans="1:7" x14ac:dyDescent="0.3">
      <c r="A594" t="s">
        <v>7</v>
      </c>
      <c r="B594" t="s">
        <v>23</v>
      </c>
      <c r="C594" t="s">
        <v>21</v>
      </c>
      <c r="D594">
        <v>8002</v>
      </c>
      <c r="E594" t="s">
        <v>10</v>
      </c>
      <c r="F594" t="s">
        <v>38</v>
      </c>
      <c r="G594" t="s">
        <v>37</v>
      </c>
    </row>
    <row r="595" spans="1:7" x14ac:dyDescent="0.3">
      <c r="A595" t="s">
        <v>7</v>
      </c>
      <c r="B595" t="s">
        <v>23</v>
      </c>
      <c r="C595" t="s">
        <v>22</v>
      </c>
      <c r="D595">
        <v>2202015</v>
      </c>
      <c r="E595" t="s">
        <v>10</v>
      </c>
      <c r="F595" t="s">
        <v>38</v>
      </c>
      <c r="G595" t="s">
        <v>37</v>
      </c>
    </row>
    <row r="596" spans="1:7" x14ac:dyDescent="0.3">
      <c r="A596" t="s">
        <v>24</v>
      </c>
      <c r="B596" t="s">
        <v>8</v>
      </c>
      <c r="C596" t="s">
        <v>9</v>
      </c>
      <c r="D596">
        <v>3065</v>
      </c>
      <c r="E596" t="s">
        <v>10</v>
      </c>
      <c r="F596" t="s">
        <v>38</v>
      </c>
      <c r="G596" t="s">
        <v>37</v>
      </c>
    </row>
    <row r="597" spans="1:7" x14ac:dyDescent="0.3">
      <c r="A597" t="s">
        <v>24</v>
      </c>
      <c r="B597" t="s">
        <v>8</v>
      </c>
      <c r="C597" t="s">
        <v>13</v>
      </c>
      <c r="D597">
        <v>68</v>
      </c>
      <c r="E597" t="s">
        <v>10</v>
      </c>
      <c r="F597" t="s">
        <v>38</v>
      </c>
      <c r="G597" t="s">
        <v>37</v>
      </c>
    </row>
    <row r="598" spans="1:7" x14ac:dyDescent="0.3">
      <c r="A598" t="s">
        <v>24</v>
      </c>
      <c r="B598" t="s">
        <v>8</v>
      </c>
      <c r="C598" t="s">
        <v>14</v>
      </c>
      <c r="D598">
        <v>637041</v>
      </c>
      <c r="E598" t="s">
        <v>10</v>
      </c>
      <c r="F598" t="s">
        <v>38</v>
      </c>
      <c r="G598" t="s">
        <v>37</v>
      </c>
    </row>
    <row r="599" spans="1:7" x14ac:dyDescent="0.3">
      <c r="A599" t="s">
        <v>24</v>
      </c>
      <c r="B599" t="s">
        <v>8</v>
      </c>
      <c r="C599" t="s">
        <v>15</v>
      </c>
      <c r="D599">
        <v>72</v>
      </c>
      <c r="E599" t="s">
        <v>10</v>
      </c>
      <c r="F599" t="s">
        <v>38</v>
      </c>
      <c r="G599" t="s">
        <v>37</v>
      </c>
    </row>
    <row r="600" spans="1:7" x14ac:dyDescent="0.3">
      <c r="A600" t="s">
        <v>24</v>
      </c>
      <c r="B600" t="s">
        <v>8</v>
      </c>
      <c r="C600" t="s">
        <v>16</v>
      </c>
      <c r="D600">
        <v>23447986</v>
      </c>
      <c r="E600" t="s">
        <v>10</v>
      </c>
      <c r="F600" t="s">
        <v>38</v>
      </c>
      <c r="G600" t="s">
        <v>37</v>
      </c>
    </row>
    <row r="601" spans="1:7" x14ac:dyDescent="0.3">
      <c r="A601" t="s">
        <v>24</v>
      </c>
      <c r="B601" t="s">
        <v>8</v>
      </c>
      <c r="C601" t="s">
        <v>17</v>
      </c>
      <c r="D601">
        <v>2865165</v>
      </c>
      <c r="E601" t="s">
        <v>10</v>
      </c>
      <c r="F601" t="s">
        <v>38</v>
      </c>
      <c r="G601" t="s">
        <v>37</v>
      </c>
    </row>
    <row r="602" spans="1:7" x14ac:dyDescent="0.3">
      <c r="A602" t="s">
        <v>24</v>
      </c>
      <c r="B602" t="s">
        <v>8</v>
      </c>
      <c r="C602" t="s">
        <v>18</v>
      </c>
      <c r="D602">
        <v>0</v>
      </c>
      <c r="E602" t="s">
        <v>10</v>
      </c>
      <c r="F602" t="s">
        <v>38</v>
      </c>
      <c r="G602" t="s">
        <v>37</v>
      </c>
    </row>
    <row r="603" spans="1:7" x14ac:dyDescent="0.3">
      <c r="A603" t="s">
        <v>24</v>
      </c>
      <c r="B603" t="s">
        <v>8</v>
      </c>
      <c r="C603" t="s">
        <v>19</v>
      </c>
      <c r="D603">
        <v>12</v>
      </c>
      <c r="E603" t="s">
        <v>10</v>
      </c>
      <c r="F603" t="s">
        <v>38</v>
      </c>
      <c r="G603" t="s">
        <v>37</v>
      </c>
    </row>
    <row r="604" spans="1:7" x14ac:dyDescent="0.3">
      <c r="A604" t="s">
        <v>24</v>
      </c>
      <c r="B604" t="s">
        <v>8</v>
      </c>
      <c r="C604" t="s">
        <v>20</v>
      </c>
      <c r="D604">
        <v>438</v>
      </c>
      <c r="E604" t="s">
        <v>10</v>
      </c>
      <c r="F604" t="s">
        <v>38</v>
      </c>
      <c r="G604" t="s">
        <v>37</v>
      </c>
    </row>
    <row r="605" spans="1:7" x14ac:dyDescent="0.3">
      <c r="A605" t="s">
        <v>24</v>
      </c>
      <c r="B605" t="s">
        <v>8</v>
      </c>
      <c r="C605" t="s">
        <v>21</v>
      </c>
      <c r="D605">
        <v>790</v>
      </c>
      <c r="E605" t="s">
        <v>10</v>
      </c>
      <c r="F605" t="s">
        <v>38</v>
      </c>
      <c r="G605" t="s">
        <v>37</v>
      </c>
    </row>
    <row r="606" spans="1:7" x14ac:dyDescent="0.3">
      <c r="A606" t="s">
        <v>24</v>
      </c>
      <c r="B606" t="s">
        <v>8</v>
      </c>
      <c r="C606" t="s">
        <v>22</v>
      </c>
      <c r="D606">
        <v>892</v>
      </c>
      <c r="E606" t="s">
        <v>10</v>
      </c>
      <c r="F606" t="s">
        <v>38</v>
      </c>
      <c r="G606" t="s">
        <v>37</v>
      </c>
    </row>
    <row r="607" spans="1:7" x14ac:dyDescent="0.3">
      <c r="A607" t="s">
        <v>24</v>
      </c>
      <c r="B607" t="s">
        <v>23</v>
      </c>
      <c r="C607" t="s">
        <v>9</v>
      </c>
      <c r="D607">
        <v>54273</v>
      </c>
      <c r="E607" t="s">
        <v>10</v>
      </c>
      <c r="F607" t="s">
        <v>38</v>
      </c>
      <c r="G607" t="s">
        <v>37</v>
      </c>
    </row>
    <row r="608" spans="1:7" x14ac:dyDescent="0.3">
      <c r="A608" t="s">
        <v>24</v>
      </c>
      <c r="B608" t="s">
        <v>23</v>
      </c>
      <c r="C608" t="s">
        <v>13</v>
      </c>
      <c r="D608">
        <v>11560</v>
      </c>
      <c r="E608" t="s">
        <v>10</v>
      </c>
      <c r="F608" t="s">
        <v>38</v>
      </c>
      <c r="G608" t="s">
        <v>37</v>
      </c>
    </row>
    <row r="609" spans="1:7" x14ac:dyDescent="0.3">
      <c r="A609" t="s">
        <v>24</v>
      </c>
      <c r="B609" t="s">
        <v>23</v>
      </c>
      <c r="C609" t="s">
        <v>14</v>
      </c>
      <c r="D609">
        <v>223097</v>
      </c>
      <c r="E609" t="s">
        <v>10</v>
      </c>
      <c r="F609" t="s">
        <v>38</v>
      </c>
      <c r="G609" t="s">
        <v>37</v>
      </c>
    </row>
    <row r="610" spans="1:7" x14ac:dyDescent="0.3">
      <c r="A610" t="s">
        <v>24</v>
      </c>
      <c r="B610" t="s">
        <v>23</v>
      </c>
      <c r="C610" t="s">
        <v>15</v>
      </c>
      <c r="D610">
        <v>2006</v>
      </c>
      <c r="E610" t="s">
        <v>10</v>
      </c>
      <c r="F610" t="s">
        <v>38</v>
      </c>
      <c r="G610" t="s">
        <v>37</v>
      </c>
    </row>
    <row r="611" spans="1:7" x14ac:dyDescent="0.3">
      <c r="A611" t="s">
        <v>24</v>
      </c>
      <c r="B611" t="s">
        <v>23</v>
      </c>
      <c r="C611" t="s">
        <v>16</v>
      </c>
      <c r="D611">
        <v>15559194</v>
      </c>
      <c r="E611" t="s">
        <v>10</v>
      </c>
      <c r="F611" t="s">
        <v>38</v>
      </c>
      <c r="G611" t="s">
        <v>37</v>
      </c>
    </row>
    <row r="612" spans="1:7" x14ac:dyDescent="0.3">
      <c r="A612" t="s">
        <v>24</v>
      </c>
      <c r="B612" t="s">
        <v>23</v>
      </c>
      <c r="C612" t="s">
        <v>17</v>
      </c>
      <c r="D612">
        <v>365610</v>
      </c>
      <c r="E612" t="s">
        <v>10</v>
      </c>
      <c r="F612" t="s">
        <v>38</v>
      </c>
      <c r="G612" t="s">
        <v>37</v>
      </c>
    </row>
    <row r="613" spans="1:7" x14ac:dyDescent="0.3">
      <c r="A613" t="s">
        <v>24</v>
      </c>
      <c r="B613" t="s">
        <v>23</v>
      </c>
      <c r="C613" t="s">
        <v>18</v>
      </c>
      <c r="D613">
        <v>115</v>
      </c>
      <c r="E613" t="s">
        <v>10</v>
      </c>
      <c r="F613" t="s">
        <v>38</v>
      </c>
      <c r="G613" t="s">
        <v>37</v>
      </c>
    </row>
    <row r="614" spans="1:7" x14ac:dyDescent="0.3">
      <c r="A614" t="s">
        <v>24</v>
      </c>
      <c r="B614" t="s">
        <v>23</v>
      </c>
      <c r="C614" t="s">
        <v>19</v>
      </c>
      <c r="D614">
        <v>2769</v>
      </c>
      <c r="E614" t="s">
        <v>10</v>
      </c>
      <c r="F614" t="s">
        <v>38</v>
      </c>
      <c r="G614" t="s">
        <v>37</v>
      </c>
    </row>
    <row r="615" spans="1:7" x14ac:dyDescent="0.3">
      <c r="A615" t="s">
        <v>24</v>
      </c>
      <c r="B615" t="s">
        <v>23</v>
      </c>
      <c r="C615" t="s">
        <v>20</v>
      </c>
      <c r="D615">
        <v>31178</v>
      </c>
      <c r="E615" t="s">
        <v>10</v>
      </c>
      <c r="F615" t="s">
        <v>38</v>
      </c>
      <c r="G615" t="s">
        <v>37</v>
      </c>
    </row>
    <row r="616" spans="1:7" x14ac:dyDescent="0.3">
      <c r="A616" t="s">
        <v>24</v>
      </c>
      <c r="B616" t="s">
        <v>23</v>
      </c>
      <c r="C616" t="s">
        <v>21</v>
      </c>
      <c r="D616">
        <v>4370</v>
      </c>
      <c r="E616" t="s">
        <v>10</v>
      </c>
      <c r="F616" t="s">
        <v>38</v>
      </c>
      <c r="G616" t="s">
        <v>37</v>
      </c>
    </row>
    <row r="617" spans="1:7" x14ac:dyDescent="0.3">
      <c r="A617" t="s">
        <v>24</v>
      </c>
      <c r="B617" t="s">
        <v>23</v>
      </c>
      <c r="C617" t="s">
        <v>22</v>
      </c>
      <c r="D617">
        <v>10130</v>
      </c>
      <c r="E617" t="s">
        <v>10</v>
      </c>
      <c r="F617" t="s">
        <v>38</v>
      </c>
      <c r="G617" t="s">
        <v>37</v>
      </c>
    </row>
    <row r="618" spans="1:7" x14ac:dyDescent="0.3">
      <c r="A618" t="s">
        <v>25</v>
      </c>
      <c r="B618" t="s">
        <v>8</v>
      </c>
      <c r="C618" t="s">
        <v>9</v>
      </c>
      <c r="D618">
        <v>42</v>
      </c>
      <c r="E618" t="s">
        <v>10</v>
      </c>
      <c r="F618" t="s">
        <v>38</v>
      </c>
      <c r="G618" t="s">
        <v>37</v>
      </c>
    </row>
    <row r="619" spans="1:7" x14ac:dyDescent="0.3">
      <c r="A619" t="s">
        <v>25</v>
      </c>
      <c r="B619" t="s">
        <v>8</v>
      </c>
      <c r="C619" t="s">
        <v>13</v>
      </c>
      <c r="D619">
        <v>6013</v>
      </c>
      <c r="E619" t="s">
        <v>10</v>
      </c>
      <c r="F619" t="s">
        <v>38</v>
      </c>
      <c r="G619" t="s">
        <v>37</v>
      </c>
    </row>
    <row r="620" spans="1:7" x14ac:dyDescent="0.3">
      <c r="A620" t="s">
        <v>25</v>
      </c>
      <c r="B620" t="s">
        <v>8</v>
      </c>
      <c r="C620" t="s">
        <v>14</v>
      </c>
      <c r="D620">
        <v>255</v>
      </c>
      <c r="E620" t="s">
        <v>10</v>
      </c>
      <c r="F620" t="s">
        <v>38</v>
      </c>
      <c r="G620" t="s">
        <v>37</v>
      </c>
    </row>
    <row r="621" spans="1:7" x14ac:dyDescent="0.3">
      <c r="A621" t="s">
        <v>25</v>
      </c>
      <c r="B621" t="s">
        <v>8</v>
      </c>
      <c r="C621" t="s">
        <v>15</v>
      </c>
      <c r="D621">
        <v>12</v>
      </c>
      <c r="E621" t="s">
        <v>10</v>
      </c>
      <c r="F621" t="s">
        <v>38</v>
      </c>
      <c r="G621" t="s">
        <v>37</v>
      </c>
    </row>
    <row r="622" spans="1:7" x14ac:dyDescent="0.3">
      <c r="A622" t="s">
        <v>25</v>
      </c>
      <c r="B622" t="s">
        <v>8</v>
      </c>
      <c r="C622" t="s">
        <v>16</v>
      </c>
      <c r="D622">
        <v>128</v>
      </c>
      <c r="E622" t="s">
        <v>10</v>
      </c>
      <c r="F622" t="s">
        <v>38</v>
      </c>
      <c r="G622" t="s">
        <v>37</v>
      </c>
    </row>
    <row r="623" spans="1:7" x14ac:dyDescent="0.3">
      <c r="A623" t="s">
        <v>25</v>
      </c>
      <c r="B623" t="s">
        <v>8</v>
      </c>
      <c r="C623" t="s">
        <v>17</v>
      </c>
      <c r="D623">
        <v>49</v>
      </c>
      <c r="E623" t="s">
        <v>10</v>
      </c>
      <c r="F623" t="s">
        <v>38</v>
      </c>
      <c r="G623" t="s">
        <v>37</v>
      </c>
    </row>
    <row r="624" spans="1:7" x14ac:dyDescent="0.3">
      <c r="A624" t="s">
        <v>25</v>
      </c>
      <c r="B624" t="s">
        <v>8</v>
      </c>
      <c r="C624" t="s">
        <v>18</v>
      </c>
      <c r="D624">
        <v>0</v>
      </c>
      <c r="E624" t="s">
        <v>10</v>
      </c>
      <c r="F624" t="s">
        <v>38</v>
      </c>
      <c r="G624" t="s">
        <v>37</v>
      </c>
    </row>
    <row r="625" spans="1:7" x14ac:dyDescent="0.3">
      <c r="A625" t="s">
        <v>25</v>
      </c>
      <c r="B625" t="s">
        <v>8</v>
      </c>
      <c r="C625" t="s">
        <v>19</v>
      </c>
      <c r="D625">
        <v>2</v>
      </c>
      <c r="E625" t="s">
        <v>10</v>
      </c>
      <c r="F625" t="s">
        <v>38</v>
      </c>
      <c r="G625" t="s">
        <v>37</v>
      </c>
    </row>
    <row r="626" spans="1:7" x14ac:dyDescent="0.3">
      <c r="A626" t="s">
        <v>25</v>
      </c>
      <c r="B626" t="s">
        <v>8</v>
      </c>
      <c r="C626" t="s">
        <v>20</v>
      </c>
      <c r="D626">
        <v>47</v>
      </c>
      <c r="E626" t="s">
        <v>10</v>
      </c>
      <c r="F626" t="s">
        <v>38</v>
      </c>
      <c r="G626" t="s">
        <v>37</v>
      </c>
    </row>
    <row r="627" spans="1:7" x14ac:dyDescent="0.3">
      <c r="A627" t="s">
        <v>25</v>
      </c>
      <c r="B627" t="s">
        <v>8</v>
      </c>
      <c r="C627" t="s">
        <v>21</v>
      </c>
      <c r="D627">
        <v>103</v>
      </c>
      <c r="E627" t="s">
        <v>10</v>
      </c>
      <c r="F627" t="s">
        <v>38</v>
      </c>
      <c r="G627" t="s">
        <v>37</v>
      </c>
    </row>
    <row r="628" spans="1:7" x14ac:dyDescent="0.3">
      <c r="A628" t="s">
        <v>25</v>
      </c>
      <c r="B628" t="s">
        <v>8</v>
      </c>
      <c r="C628" t="s">
        <v>22</v>
      </c>
      <c r="D628">
        <v>634157</v>
      </c>
      <c r="E628" t="s">
        <v>10</v>
      </c>
      <c r="F628" t="s">
        <v>38</v>
      </c>
      <c r="G628" t="s">
        <v>37</v>
      </c>
    </row>
    <row r="629" spans="1:7" x14ac:dyDescent="0.3">
      <c r="A629" t="s">
        <v>25</v>
      </c>
      <c r="B629" t="s">
        <v>23</v>
      </c>
      <c r="C629" t="s">
        <v>9</v>
      </c>
      <c r="D629">
        <v>15784</v>
      </c>
      <c r="E629" t="s">
        <v>10</v>
      </c>
      <c r="F629" t="s">
        <v>38</v>
      </c>
      <c r="G629" t="s">
        <v>37</v>
      </c>
    </row>
    <row r="630" spans="1:7" x14ac:dyDescent="0.3">
      <c r="A630" t="s">
        <v>25</v>
      </c>
      <c r="B630" t="s">
        <v>23</v>
      </c>
      <c r="C630" t="s">
        <v>13</v>
      </c>
      <c r="D630">
        <v>113452</v>
      </c>
      <c r="E630" t="s">
        <v>10</v>
      </c>
      <c r="F630" t="s">
        <v>38</v>
      </c>
      <c r="G630" t="s">
        <v>37</v>
      </c>
    </row>
    <row r="631" spans="1:7" x14ac:dyDescent="0.3">
      <c r="A631" t="s">
        <v>25</v>
      </c>
      <c r="B631" t="s">
        <v>23</v>
      </c>
      <c r="C631" t="s">
        <v>14</v>
      </c>
      <c r="D631">
        <v>109677</v>
      </c>
      <c r="E631" t="s">
        <v>10</v>
      </c>
      <c r="F631" t="s">
        <v>38</v>
      </c>
      <c r="G631" t="s">
        <v>37</v>
      </c>
    </row>
    <row r="632" spans="1:7" x14ac:dyDescent="0.3">
      <c r="A632" t="s">
        <v>25</v>
      </c>
      <c r="B632" t="s">
        <v>23</v>
      </c>
      <c r="C632" t="s">
        <v>15</v>
      </c>
      <c r="D632">
        <v>4074</v>
      </c>
      <c r="E632" t="s">
        <v>10</v>
      </c>
      <c r="F632" t="s">
        <v>38</v>
      </c>
      <c r="G632" t="s">
        <v>37</v>
      </c>
    </row>
    <row r="633" spans="1:7" x14ac:dyDescent="0.3">
      <c r="A633" t="s">
        <v>25</v>
      </c>
      <c r="B633" t="s">
        <v>23</v>
      </c>
      <c r="C633" t="s">
        <v>16</v>
      </c>
      <c r="D633">
        <v>39735</v>
      </c>
      <c r="E633" t="s">
        <v>10</v>
      </c>
      <c r="F633" t="s">
        <v>38</v>
      </c>
      <c r="G633" t="s">
        <v>37</v>
      </c>
    </row>
    <row r="634" spans="1:7" x14ac:dyDescent="0.3">
      <c r="A634" t="s">
        <v>25</v>
      </c>
      <c r="B634" t="s">
        <v>23</v>
      </c>
      <c r="C634" t="s">
        <v>17</v>
      </c>
      <c r="D634">
        <v>3111</v>
      </c>
      <c r="E634" t="s">
        <v>10</v>
      </c>
      <c r="F634" t="s">
        <v>38</v>
      </c>
      <c r="G634" t="s">
        <v>37</v>
      </c>
    </row>
    <row r="635" spans="1:7" x14ac:dyDescent="0.3">
      <c r="A635" t="s">
        <v>25</v>
      </c>
      <c r="B635" t="s">
        <v>23</v>
      </c>
      <c r="C635" t="s">
        <v>18</v>
      </c>
      <c r="D635">
        <v>0</v>
      </c>
      <c r="E635" t="s">
        <v>10</v>
      </c>
      <c r="F635" t="s">
        <v>38</v>
      </c>
      <c r="G635" t="s">
        <v>37</v>
      </c>
    </row>
    <row r="636" spans="1:7" x14ac:dyDescent="0.3">
      <c r="A636" t="s">
        <v>25</v>
      </c>
      <c r="B636" t="s">
        <v>23</v>
      </c>
      <c r="C636" t="s">
        <v>19</v>
      </c>
      <c r="D636">
        <v>16583</v>
      </c>
      <c r="E636" t="s">
        <v>10</v>
      </c>
      <c r="F636" t="s">
        <v>38</v>
      </c>
      <c r="G636" t="s">
        <v>37</v>
      </c>
    </row>
    <row r="637" spans="1:7" x14ac:dyDescent="0.3">
      <c r="A637" t="s">
        <v>25</v>
      </c>
      <c r="B637" t="s">
        <v>23</v>
      </c>
      <c r="C637" t="s">
        <v>20</v>
      </c>
      <c r="D637">
        <v>5984</v>
      </c>
      <c r="E637" t="s">
        <v>10</v>
      </c>
      <c r="F637" t="s">
        <v>38</v>
      </c>
      <c r="G637" t="s">
        <v>37</v>
      </c>
    </row>
    <row r="638" spans="1:7" x14ac:dyDescent="0.3">
      <c r="A638" t="s">
        <v>25</v>
      </c>
      <c r="B638" t="s">
        <v>23</v>
      </c>
      <c r="C638" t="s">
        <v>21</v>
      </c>
      <c r="D638">
        <v>3315</v>
      </c>
      <c r="E638" t="s">
        <v>10</v>
      </c>
      <c r="F638" t="s">
        <v>38</v>
      </c>
      <c r="G638" t="s">
        <v>37</v>
      </c>
    </row>
    <row r="639" spans="1:7" x14ac:dyDescent="0.3">
      <c r="A639" t="s">
        <v>25</v>
      </c>
      <c r="B639" t="s">
        <v>23</v>
      </c>
      <c r="C639" t="s">
        <v>22</v>
      </c>
      <c r="D639">
        <v>912208</v>
      </c>
      <c r="E639" t="s">
        <v>10</v>
      </c>
      <c r="F639" t="s">
        <v>38</v>
      </c>
      <c r="G639" t="s">
        <v>37</v>
      </c>
    </row>
    <row r="640" spans="1:7" x14ac:dyDescent="0.3">
      <c r="A640" t="s">
        <v>26</v>
      </c>
      <c r="B640" t="s">
        <v>8</v>
      </c>
      <c r="C640" t="s">
        <v>9</v>
      </c>
      <c r="D640">
        <v>97</v>
      </c>
      <c r="E640" t="s">
        <v>10</v>
      </c>
      <c r="F640" t="s">
        <v>38</v>
      </c>
      <c r="G640" t="s">
        <v>37</v>
      </c>
    </row>
    <row r="641" spans="1:7" x14ac:dyDescent="0.3">
      <c r="A641" t="s">
        <v>26</v>
      </c>
      <c r="B641" t="s">
        <v>8</v>
      </c>
      <c r="C641" t="s">
        <v>13</v>
      </c>
      <c r="D641">
        <v>14010</v>
      </c>
      <c r="E641" t="s">
        <v>10</v>
      </c>
      <c r="F641" t="s">
        <v>38</v>
      </c>
      <c r="G641" t="s">
        <v>37</v>
      </c>
    </row>
    <row r="642" spans="1:7" x14ac:dyDescent="0.3">
      <c r="A642" t="s">
        <v>26</v>
      </c>
      <c r="B642" t="s">
        <v>8</v>
      </c>
      <c r="C642" t="s">
        <v>14</v>
      </c>
      <c r="D642">
        <v>593</v>
      </c>
      <c r="E642" t="s">
        <v>10</v>
      </c>
      <c r="F642" t="s">
        <v>38</v>
      </c>
      <c r="G642" t="s">
        <v>37</v>
      </c>
    </row>
    <row r="643" spans="1:7" x14ac:dyDescent="0.3">
      <c r="A643" t="s">
        <v>26</v>
      </c>
      <c r="B643" t="s">
        <v>8</v>
      </c>
      <c r="C643" t="s">
        <v>15</v>
      </c>
      <c r="D643">
        <v>29</v>
      </c>
      <c r="E643" t="s">
        <v>10</v>
      </c>
      <c r="F643" t="s">
        <v>38</v>
      </c>
      <c r="G643" t="s">
        <v>37</v>
      </c>
    </row>
    <row r="644" spans="1:7" x14ac:dyDescent="0.3">
      <c r="A644" t="s">
        <v>26</v>
      </c>
      <c r="B644" t="s">
        <v>8</v>
      </c>
      <c r="C644" t="s">
        <v>16</v>
      </c>
      <c r="D644">
        <v>298</v>
      </c>
      <c r="E644" t="s">
        <v>10</v>
      </c>
      <c r="F644" t="s">
        <v>38</v>
      </c>
      <c r="G644" t="s">
        <v>37</v>
      </c>
    </row>
    <row r="645" spans="1:7" x14ac:dyDescent="0.3">
      <c r="A645" t="s">
        <v>26</v>
      </c>
      <c r="B645" t="s">
        <v>8</v>
      </c>
      <c r="C645" t="s">
        <v>17</v>
      </c>
      <c r="D645">
        <v>113</v>
      </c>
      <c r="E645" t="s">
        <v>10</v>
      </c>
      <c r="F645" t="s">
        <v>38</v>
      </c>
      <c r="G645" t="s">
        <v>37</v>
      </c>
    </row>
    <row r="646" spans="1:7" x14ac:dyDescent="0.3">
      <c r="A646" t="s">
        <v>26</v>
      </c>
      <c r="B646" t="s">
        <v>8</v>
      </c>
      <c r="C646" t="s">
        <v>18</v>
      </c>
      <c r="D646">
        <v>0</v>
      </c>
      <c r="E646" t="s">
        <v>10</v>
      </c>
      <c r="F646" t="s">
        <v>38</v>
      </c>
      <c r="G646" t="s">
        <v>37</v>
      </c>
    </row>
    <row r="647" spans="1:7" x14ac:dyDescent="0.3">
      <c r="A647" t="s">
        <v>26</v>
      </c>
      <c r="B647" t="s">
        <v>8</v>
      </c>
      <c r="C647" t="s">
        <v>19</v>
      </c>
      <c r="D647">
        <v>5</v>
      </c>
      <c r="E647" t="s">
        <v>10</v>
      </c>
      <c r="F647" t="s">
        <v>38</v>
      </c>
      <c r="G647" t="s">
        <v>37</v>
      </c>
    </row>
    <row r="648" spans="1:7" x14ac:dyDescent="0.3">
      <c r="A648" t="s">
        <v>26</v>
      </c>
      <c r="B648" t="s">
        <v>8</v>
      </c>
      <c r="C648" t="s">
        <v>20</v>
      </c>
      <c r="D648">
        <v>110</v>
      </c>
      <c r="E648" t="s">
        <v>10</v>
      </c>
      <c r="F648" t="s">
        <v>38</v>
      </c>
      <c r="G648" t="s">
        <v>37</v>
      </c>
    </row>
    <row r="649" spans="1:7" x14ac:dyDescent="0.3">
      <c r="A649" t="s">
        <v>26</v>
      </c>
      <c r="B649" t="s">
        <v>8</v>
      </c>
      <c r="C649" t="s">
        <v>21</v>
      </c>
      <c r="D649">
        <v>240</v>
      </c>
      <c r="E649" t="s">
        <v>10</v>
      </c>
      <c r="F649" t="s">
        <v>38</v>
      </c>
      <c r="G649" t="s">
        <v>37</v>
      </c>
    </row>
    <row r="650" spans="1:7" x14ac:dyDescent="0.3">
      <c r="A650" t="s">
        <v>26</v>
      </c>
      <c r="B650" t="s">
        <v>8</v>
      </c>
      <c r="C650" t="s">
        <v>22</v>
      </c>
      <c r="D650">
        <v>1477701</v>
      </c>
      <c r="E650" t="s">
        <v>10</v>
      </c>
      <c r="F650" t="s">
        <v>38</v>
      </c>
      <c r="G650" t="s">
        <v>37</v>
      </c>
    </row>
    <row r="651" spans="1:7" x14ac:dyDescent="0.3">
      <c r="A651" t="s">
        <v>26</v>
      </c>
      <c r="B651" t="s">
        <v>23</v>
      </c>
      <c r="C651" t="s">
        <v>9</v>
      </c>
      <c r="D651">
        <v>36779</v>
      </c>
      <c r="E651" t="s">
        <v>10</v>
      </c>
      <c r="F651" t="s">
        <v>38</v>
      </c>
      <c r="G651" t="s">
        <v>37</v>
      </c>
    </row>
    <row r="652" spans="1:7" x14ac:dyDescent="0.3">
      <c r="A652" t="s">
        <v>26</v>
      </c>
      <c r="B652" t="s">
        <v>23</v>
      </c>
      <c r="C652" t="s">
        <v>13</v>
      </c>
      <c r="D652">
        <v>264364</v>
      </c>
      <c r="E652" t="s">
        <v>10</v>
      </c>
      <c r="F652" t="s">
        <v>38</v>
      </c>
      <c r="G652" t="s">
        <v>37</v>
      </c>
    </row>
    <row r="653" spans="1:7" x14ac:dyDescent="0.3">
      <c r="A653" t="s">
        <v>26</v>
      </c>
      <c r="B653" t="s">
        <v>23</v>
      </c>
      <c r="C653" t="s">
        <v>14</v>
      </c>
      <c r="D653">
        <v>255567</v>
      </c>
      <c r="E653" t="s">
        <v>10</v>
      </c>
      <c r="F653" t="s">
        <v>38</v>
      </c>
      <c r="G653" t="s">
        <v>37</v>
      </c>
    </row>
    <row r="654" spans="1:7" x14ac:dyDescent="0.3">
      <c r="A654" t="s">
        <v>26</v>
      </c>
      <c r="B654" t="s">
        <v>23</v>
      </c>
      <c r="C654" t="s">
        <v>15</v>
      </c>
      <c r="D654">
        <v>9493</v>
      </c>
      <c r="E654" t="s">
        <v>10</v>
      </c>
      <c r="F654" t="s">
        <v>38</v>
      </c>
      <c r="G654" t="s">
        <v>37</v>
      </c>
    </row>
    <row r="655" spans="1:7" x14ac:dyDescent="0.3">
      <c r="A655" t="s">
        <v>26</v>
      </c>
      <c r="B655" t="s">
        <v>23</v>
      </c>
      <c r="C655" t="s">
        <v>16</v>
      </c>
      <c r="D655">
        <v>92590</v>
      </c>
      <c r="E655" t="s">
        <v>10</v>
      </c>
      <c r="F655" t="s">
        <v>38</v>
      </c>
      <c r="G655" t="s">
        <v>37</v>
      </c>
    </row>
    <row r="656" spans="1:7" x14ac:dyDescent="0.3">
      <c r="A656" t="s">
        <v>26</v>
      </c>
      <c r="B656" t="s">
        <v>23</v>
      </c>
      <c r="C656" t="s">
        <v>17</v>
      </c>
      <c r="D656">
        <v>7249</v>
      </c>
      <c r="E656" t="s">
        <v>10</v>
      </c>
      <c r="F656" t="s">
        <v>38</v>
      </c>
      <c r="G656" t="s">
        <v>37</v>
      </c>
    </row>
    <row r="657" spans="1:7" x14ac:dyDescent="0.3">
      <c r="A657" t="s">
        <v>26</v>
      </c>
      <c r="B657" t="s">
        <v>23</v>
      </c>
      <c r="C657" t="s">
        <v>18</v>
      </c>
      <c r="D657">
        <v>0</v>
      </c>
      <c r="E657" t="s">
        <v>10</v>
      </c>
      <c r="F657" t="s">
        <v>38</v>
      </c>
      <c r="G657" t="s">
        <v>37</v>
      </c>
    </row>
    <row r="658" spans="1:7" x14ac:dyDescent="0.3">
      <c r="A658" t="s">
        <v>26</v>
      </c>
      <c r="B658" t="s">
        <v>23</v>
      </c>
      <c r="C658" t="s">
        <v>19</v>
      </c>
      <c r="D658">
        <v>38640</v>
      </c>
      <c r="E658" t="s">
        <v>10</v>
      </c>
      <c r="F658" t="s">
        <v>38</v>
      </c>
      <c r="G658" t="s">
        <v>37</v>
      </c>
    </row>
    <row r="659" spans="1:7" x14ac:dyDescent="0.3">
      <c r="A659" t="s">
        <v>26</v>
      </c>
      <c r="B659" t="s">
        <v>23</v>
      </c>
      <c r="C659" t="s">
        <v>20</v>
      </c>
      <c r="D659">
        <v>13944</v>
      </c>
      <c r="E659" t="s">
        <v>10</v>
      </c>
      <c r="F659" t="s">
        <v>38</v>
      </c>
      <c r="G659" t="s">
        <v>37</v>
      </c>
    </row>
    <row r="660" spans="1:7" x14ac:dyDescent="0.3">
      <c r="A660" t="s">
        <v>26</v>
      </c>
      <c r="B660" t="s">
        <v>23</v>
      </c>
      <c r="C660" t="s">
        <v>21</v>
      </c>
      <c r="D660">
        <v>7724</v>
      </c>
      <c r="E660" t="s">
        <v>10</v>
      </c>
      <c r="F660" t="s">
        <v>38</v>
      </c>
      <c r="G660" t="s">
        <v>37</v>
      </c>
    </row>
    <row r="661" spans="1:7" x14ac:dyDescent="0.3">
      <c r="A661" t="s">
        <v>26</v>
      </c>
      <c r="B661" t="s">
        <v>23</v>
      </c>
      <c r="C661" t="s">
        <v>22</v>
      </c>
      <c r="D661">
        <v>2125610</v>
      </c>
      <c r="E661" t="s">
        <v>10</v>
      </c>
      <c r="F661" t="s">
        <v>38</v>
      </c>
      <c r="G661" t="s">
        <v>37</v>
      </c>
    </row>
    <row r="662" spans="1:7" x14ac:dyDescent="0.3">
      <c r="A662" t="s">
        <v>27</v>
      </c>
      <c r="B662" t="s">
        <v>8</v>
      </c>
      <c r="C662" t="s">
        <v>9</v>
      </c>
      <c r="D662">
        <v>4135</v>
      </c>
      <c r="E662" t="s">
        <v>10</v>
      </c>
      <c r="F662" t="s">
        <v>38</v>
      </c>
      <c r="G662" t="s">
        <v>37</v>
      </c>
    </row>
    <row r="663" spans="1:7" x14ac:dyDescent="0.3">
      <c r="A663" t="s">
        <v>27</v>
      </c>
      <c r="B663" t="s">
        <v>8</v>
      </c>
      <c r="C663" t="s">
        <v>13</v>
      </c>
      <c r="D663">
        <v>200</v>
      </c>
      <c r="E663" t="s">
        <v>10</v>
      </c>
      <c r="F663" t="s">
        <v>38</v>
      </c>
      <c r="G663" t="s">
        <v>37</v>
      </c>
    </row>
    <row r="664" spans="1:7" x14ac:dyDescent="0.3">
      <c r="A664" t="s">
        <v>27</v>
      </c>
      <c r="B664" t="s">
        <v>8</v>
      </c>
      <c r="C664" t="s">
        <v>14</v>
      </c>
      <c r="D664">
        <v>75583784</v>
      </c>
      <c r="E664" t="s">
        <v>10</v>
      </c>
      <c r="F664" t="s">
        <v>38</v>
      </c>
      <c r="G664" t="s">
        <v>37</v>
      </c>
    </row>
    <row r="665" spans="1:7" x14ac:dyDescent="0.3">
      <c r="A665" t="s">
        <v>27</v>
      </c>
      <c r="B665" t="s">
        <v>8</v>
      </c>
      <c r="C665" t="s">
        <v>15</v>
      </c>
      <c r="D665">
        <v>191</v>
      </c>
      <c r="E665" t="s">
        <v>10</v>
      </c>
      <c r="F665" t="s">
        <v>38</v>
      </c>
      <c r="G665" t="s">
        <v>37</v>
      </c>
    </row>
    <row r="666" spans="1:7" x14ac:dyDescent="0.3">
      <c r="A666" t="s">
        <v>27</v>
      </c>
      <c r="B666" t="s">
        <v>8</v>
      </c>
      <c r="C666" t="s">
        <v>16</v>
      </c>
      <c r="D666">
        <v>30021160</v>
      </c>
      <c r="E666" t="s">
        <v>10</v>
      </c>
      <c r="F666" t="s">
        <v>38</v>
      </c>
      <c r="G666" t="s">
        <v>37</v>
      </c>
    </row>
    <row r="667" spans="1:7" x14ac:dyDescent="0.3">
      <c r="A667" t="s">
        <v>27</v>
      </c>
      <c r="B667" t="s">
        <v>8</v>
      </c>
      <c r="C667" t="s">
        <v>17</v>
      </c>
      <c r="D667">
        <v>10065152</v>
      </c>
      <c r="E667" t="s">
        <v>10</v>
      </c>
      <c r="F667" t="s">
        <v>38</v>
      </c>
      <c r="G667" t="s">
        <v>37</v>
      </c>
    </row>
    <row r="668" spans="1:7" x14ac:dyDescent="0.3">
      <c r="A668" t="s">
        <v>27</v>
      </c>
      <c r="B668" t="s">
        <v>8</v>
      </c>
      <c r="C668" t="s">
        <v>18</v>
      </c>
      <c r="D668">
        <v>0</v>
      </c>
      <c r="E668" t="s">
        <v>10</v>
      </c>
      <c r="F668" t="s">
        <v>38</v>
      </c>
      <c r="G668" t="s">
        <v>37</v>
      </c>
    </row>
    <row r="669" spans="1:7" x14ac:dyDescent="0.3">
      <c r="A669" t="s">
        <v>27</v>
      </c>
      <c r="B669" t="s">
        <v>8</v>
      </c>
      <c r="C669" t="s">
        <v>19</v>
      </c>
      <c r="D669">
        <v>26</v>
      </c>
      <c r="E669" t="s">
        <v>10</v>
      </c>
      <c r="F669" t="s">
        <v>38</v>
      </c>
      <c r="G669" t="s">
        <v>37</v>
      </c>
    </row>
    <row r="670" spans="1:7" x14ac:dyDescent="0.3">
      <c r="A670" t="s">
        <v>27</v>
      </c>
      <c r="B670" t="s">
        <v>8</v>
      </c>
      <c r="C670" t="s">
        <v>20</v>
      </c>
      <c r="D670">
        <v>1037</v>
      </c>
      <c r="E670" t="s">
        <v>10</v>
      </c>
      <c r="F670" t="s">
        <v>38</v>
      </c>
      <c r="G670" t="s">
        <v>37</v>
      </c>
    </row>
    <row r="671" spans="1:7" x14ac:dyDescent="0.3">
      <c r="A671" t="s">
        <v>27</v>
      </c>
      <c r="B671" t="s">
        <v>8</v>
      </c>
      <c r="C671" t="s">
        <v>21</v>
      </c>
      <c r="D671">
        <v>1158</v>
      </c>
      <c r="E671" t="s">
        <v>10</v>
      </c>
      <c r="F671" t="s">
        <v>38</v>
      </c>
      <c r="G671" t="s">
        <v>37</v>
      </c>
    </row>
    <row r="672" spans="1:7" x14ac:dyDescent="0.3">
      <c r="A672" t="s">
        <v>27</v>
      </c>
      <c r="B672" t="s">
        <v>8</v>
      </c>
      <c r="C672" t="s">
        <v>22</v>
      </c>
      <c r="D672">
        <v>1906</v>
      </c>
      <c r="E672" t="s">
        <v>10</v>
      </c>
      <c r="F672" t="s">
        <v>38</v>
      </c>
      <c r="G672" t="s">
        <v>37</v>
      </c>
    </row>
    <row r="673" spans="1:7" x14ac:dyDescent="0.3">
      <c r="A673" t="s">
        <v>27</v>
      </c>
      <c r="B673" t="s">
        <v>23</v>
      </c>
      <c r="C673" t="s">
        <v>9</v>
      </c>
      <c r="D673">
        <v>174349</v>
      </c>
      <c r="E673" t="s">
        <v>10</v>
      </c>
      <c r="F673" t="s">
        <v>38</v>
      </c>
      <c r="G673" t="s">
        <v>37</v>
      </c>
    </row>
    <row r="674" spans="1:7" x14ac:dyDescent="0.3">
      <c r="A674" t="s">
        <v>27</v>
      </c>
      <c r="B674" t="s">
        <v>23</v>
      </c>
      <c r="C674" t="s">
        <v>13</v>
      </c>
      <c r="D674">
        <v>21553</v>
      </c>
      <c r="E674" t="s">
        <v>10</v>
      </c>
      <c r="F674" t="s">
        <v>38</v>
      </c>
      <c r="G674" t="s">
        <v>37</v>
      </c>
    </row>
    <row r="675" spans="1:7" x14ac:dyDescent="0.3">
      <c r="A675" t="s">
        <v>27</v>
      </c>
      <c r="B675" t="s">
        <v>23</v>
      </c>
      <c r="C675" t="s">
        <v>14</v>
      </c>
      <c r="D675">
        <v>16270589</v>
      </c>
      <c r="E675" t="s">
        <v>10</v>
      </c>
      <c r="F675" t="s">
        <v>38</v>
      </c>
      <c r="G675" t="s">
        <v>37</v>
      </c>
    </row>
    <row r="676" spans="1:7" x14ac:dyDescent="0.3">
      <c r="A676" t="s">
        <v>27</v>
      </c>
      <c r="B676" t="s">
        <v>23</v>
      </c>
      <c r="C676" t="s">
        <v>15</v>
      </c>
      <c r="D676">
        <v>10541</v>
      </c>
      <c r="E676" t="s">
        <v>10</v>
      </c>
      <c r="F676" t="s">
        <v>38</v>
      </c>
      <c r="G676" t="s">
        <v>37</v>
      </c>
    </row>
    <row r="677" spans="1:7" x14ac:dyDescent="0.3">
      <c r="A677" t="s">
        <v>27</v>
      </c>
      <c r="B677" t="s">
        <v>23</v>
      </c>
      <c r="C677" t="s">
        <v>16</v>
      </c>
      <c r="D677">
        <v>20463009</v>
      </c>
      <c r="E677" t="s">
        <v>10</v>
      </c>
      <c r="F677" t="s">
        <v>38</v>
      </c>
      <c r="G677" t="s">
        <v>37</v>
      </c>
    </row>
    <row r="678" spans="1:7" x14ac:dyDescent="0.3">
      <c r="A678" t="s">
        <v>27</v>
      </c>
      <c r="B678" t="s">
        <v>23</v>
      </c>
      <c r="C678" t="s">
        <v>17</v>
      </c>
      <c r="D678">
        <v>1281643</v>
      </c>
      <c r="E678" t="s">
        <v>10</v>
      </c>
      <c r="F678" t="s">
        <v>38</v>
      </c>
      <c r="G678" t="s">
        <v>37</v>
      </c>
    </row>
    <row r="679" spans="1:7" x14ac:dyDescent="0.3">
      <c r="A679" t="s">
        <v>27</v>
      </c>
      <c r="B679" t="s">
        <v>23</v>
      </c>
      <c r="C679" t="s">
        <v>18</v>
      </c>
      <c r="D679">
        <v>149</v>
      </c>
      <c r="E679" t="s">
        <v>10</v>
      </c>
      <c r="F679" t="s">
        <v>38</v>
      </c>
      <c r="G679" t="s">
        <v>37</v>
      </c>
    </row>
    <row r="680" spans="1:7" x14ac:dyDescent="0.3">
      <c r="A680" t="s">
        <v>27</v>
      </c>
      <c r="B680" t="s">
        <v>23</v>
      </c>
      <c r="C680" t="s">
        <v>19</v>
      </c>
      <c r="D680">
        <v>13997</v>
      </c>
      <c r="E680" t="s">
        <v>10</v>
      </c>
      <c r="F680" t="s">
        <v>38</v>
      </c>
      <c r="G680" t="s">
        <v>37</v>
      </c>
    </row>
    <row r="681" spans="1:7" x14ac:dyDescent="0.3">
      <c r="A681" t="s">
        <v>27</v>
      </c>
      <c r="B681" t="s">
        <v>23</v>
      </c>
      <c r="C681" t="s">
        <v>20</v>
      </c>
      <c r="D681">
        <v>53821</v>
      </c>
      <c r="E681" t="s">
        <v>10</v>
      </c>
      <c r="F681" t="s">
        <v>38</v>
      </c>
      <c r="G681" t="s">
        <v>37</v>
      </c>
    </row>
    <row r="682" spans="1:7" x14ac:dyDescent="0.3">
      <c r="A682" t="s">
        <v>27</v>
      </c>
      <c r="B682" t="s">
        <v>23</v>
      </c>
      <c r="C682" t="s">
        <v>21</v>
      </c>
      <c r="D682">
        <v>34316</v>
      </c>
      <c r="E682" t="s">
        <v>10</v>
      </c>
      <c r="F682" t="s">
        <v>38</v>
      </c>
      <c r="G682" t="s">
        <v>37</v>
      </c>
    </row>
    <row r="683" spans="1:7" x14ac:dyDescent="0.3">
      <c r="A683" t="s">
        <v>27</v>
      </c>
      <c r="B683" t="s">
        <v>23</v>
      </c>
      <c r="C683" t="s">
        <v>22</v>
      </c>
      <c r="D683">
        <v>19178</v>
      </c>
      <c r="E683" t="s">
        <v>10</v>
      </c>
      <c r="F683" t="s">
        <v>38</v>
      </c>
      <c r="G683" t="s">
        <v>37</v>
      </c>
    </row>
    <row r="684" spans="1:7" x14ac:dyDescent="0.3">
      <c r="A684" t="s">
        <v>28</v>
      </c>
      <c r="B684" t="s">
        <v>8</v>
      </c>
      <c r="C684" t="s">
        <v>9</v>
      </c>
      <c r="D684">
        <v>1655</v>
      </c>
      <c r="E684" t="s">
        <v>10</v>
      </c>
      <c r="F684" t="s">
        <v>38</v>
      </c>
      <c r="G684" t="s">
        <v>37</v>
      </c>
    </row>
    <row r="685" spans="1:7" x14ac:dyDescent="0.3">
      <c r="A685" t="s">
        <v>28</v>
      </c>
      <c r="B685" t="s">
        <v>8</v>
      </c>
      <c r="C685" t="s">
        <v>13</v>
      </c>
      <c r="D685">
        <v>87</v>
      </c>
      <c r="E685" t="s">
        <v>10</v>
      </c>
      <c r="F685" t="s">
        <v>38</v>
      </c>
      <c r="G685" t="s">
        <v>37</v>
      </c>
    </row>
    <row r="686" spans="1:7" x14ac:dyDescent="0.3">
      <c r="A686" t="s">
        <v>28</v>
      </c>
      <c r="B686" t="s">
        <v>8</v>
      </c>
      <c r="C686" t="s">
        <v>14</v>
      </c>
      <c r="D686">
        <v>37996043</v>
      </c>
      <c r="E686" t="s">
        <v>10</v>
      </c>
      <c r="F686" t="s">
        <v>38</v>
      </c>
      <c r="G686" t="s">
        <v>37</v>
      </c>
    </row>
    <row r="687" spans="1:7" x14ac:dyDescent="0.3">
      <c r="A687" t="s">
        <v>28</v>
      </c>
      <c r="B687" t="s">
        <v>8</v>
      </c>
      <c r="C687" t="s">
        <v>15</v>
      </c>
      <c r="D687">
        <v>79</v>
      </c>
      <c r="E687" t="s">
        <v>10</v>
      </c>
      <c r="F687" t="s">
        <v>38</v>
      </c>
      <c r="G687" t="s">
        <v>37</v>
      </c>
    </row>
    <row r="688" spans="1:7" x14ac:dyDescent="0.3">
      <c r="A688" t="s">
        <v>28</v>
      </c>
      <c r="B688" t="s">
        <v>8</v>
      </c>
      <c r="C688" t="s">
        <v>16</v>
      </c>
      <c r="D688">
        <v>12065694</v>
      </c>
      <c r="E688" t="s">
        <v>10</v>
      </c>
      <c r="F688" t="s">
        <v>38</v>
      </c>
      <c r="G688" t="s">
        <v>37</v>
      </c>
    </row>
    <row r="689" spans="1:7" x14ac:dyDescent="0.3">
      <c r="A689" t="s">
        <v>28</v>
      </c>
      <c r="B689" t="s">
        <v>8</v>
      </c>
      <c r="C689" t="s">
        <v>17</v>
      </c>
      <c r="D689">
        <v>2990</v>
      </c>
      <c r="E689" t="s">
        <v>10</v>
      </c>
      <c r="F689" t="s">
        <v>38</v>
      </c>
      <c r="G689" t="s">
        <v>37</v>
      </c>
    </row>
    <row r="690" spans="1:7" x14ac:dyDescent="0.3">
      <c r="A690" t="s">
        <v>28</v>
      </c>
      <c r="B690" t="s">
        <v>8</v>
      </c>
      <c r="C690" t="s">
        <v>18</v>
      </c>
      <c r="D690">
        <v>0</v>
      </c>
      <c r="E690" t="s">
        <v>10</v>
      </c>
      <c r="F690" t="s">
        <v>38</v>
      </c>
      <c r="G690" t="s">
        <v>37</v>
      </c>
    </row>
    <row r="691" spans="1:7" x14ac:dyDescent="0.3">
      <c r="A691" t="s">
        <v>28</v>
      </c>
      <c r="B691" t="s">
        <v>8</v>
      </c>
      <c r="C691" t="s">
        <v>19</v>
      </c>
      <c r="D691">
        <v>11</v>
      </c>
      <c r="E691" t="s">
        <v>10</v>
      </c>
      <c r="F691" t="s">
        <v>38</v>
      </c>
      <c r="G691" t="s">
        <v>37</v>
      </c>
    </row>
    <row r="692" spans="1:7" x14ac:dyDescent="0.3">
      <c r="A692" t="s">
        <v>28</v>
      </c>
      <c r="B692" t="s">
        <v>8</v>
      </c>
      <c r="C692" t="s">
        <v>20</v>
      </c>
      <c r="D692">
        <v>406</v>
      </c>
      <c r="E692" t="s">
        <v>10</v>
      </c>
      <c r="F692" t="s">
        <v>38</v>
      </c>
      <c r="G692" t="s">
        <v>37</v>
      </c>
    </row>
    <row r="693" spans="1:7" x14ac:dyDescent="0.3">
      <c r="A693" t="s">
        <v>28</v>
      </c>
      <c r="B693" t="s">
        <v>8</v>
      </c>
      <c r="C693" t="s">
        <v>21</v>
      </c>
      <c r="D693">
        <v>480</v>
      </c>
      <c r="E693" t="s">
        <v>10</v>
      </c>
      <c r="F693" t="s">
        <v>38</v>
      </c>
      <c r="G693" t="s">
        <v>37</v>
      </c>
    </row>
    <row r="694" spans="1:7" x14ac:dyDescent="0.3">
      <c r="A694" t="s">
        <v>28</v>
      </c>
      <c r="B694" t="s">
        <v>8</v>
      </c>
      <c r="C694" t="s">
        <v>22</v>
      </c>
      <c r="D694">
        <v>744</v>
      </c>
      <c r="E694" t="s">
        <v>10</v>
      </c>
      <c r="F694" t="s">
        <v>38</v>
      </c>
      <c r="G694" t="s">
        <v>37</v>
      </c>
    </row>
    <row r="695" spans="1:7" x14ac:dyDescent="0.3">
      <c r="A695" t="s">
        <v>28</v>
      </c>
      <c r="B695" t="s">
        <v>23</v>
      </c>
      <c r="C695" t="s">
        <v>9</v>
      </c>
      <c r="D695">
        <v>7427</v>
      </c>
      <c r="E695" t="s">
        <v>10</v>
      </c>
      <c r="F695" t="s">
        <v>38</v>
      </c>
      <c r="G695" t="s">
        <v>37</v>
      </c>
    </row>
    <row r="696" spans="1:7" x14ac:dyDescent="0.3">
      <c r="A696" t="s">
        <v>28</v>
      </c>
      <c r="B696" t="s">
        <v>23</v>
      </c>
      <c r="C696" t="s">
        <v>13</v>
      </c>
      <c r="D696">
        <v>7497</v>
      </c>
      <c r="E696" t="s">
        <v>10</v>
      </c>
      <c r="F696" t="s">
        <v>38</v>
      </c>
      <c r="G696" t="s">
        <v>37</v>
      </c>
    </row>
    <row r="697" spans="1:7" x14ac:dyDescent="0.3">
      <c r="A697" t="s">
        <v>28</v>
      </c>
      <c r="B697" t="s">
        <v>23</v>
      </c>
      <c r="C697" t="s">
        <v>14</v>
      </c>
      <c r="D697">
        <v>8086445</v>
      </c>
      <c r="E697" t="s">
        <v>10</v>
      </c>
      <c r="F697" t="s">
        <v>38</v>
      </c>
      <c r="G697" t="s">
        <v>37</v>
      </c>
    </row>
    <row r="698" spans="1:7" x14ac:dyDescent="0.3">
      <c r="A698" t="s">
        <v>28</v>
      </c>
      <c r="B698" t="s">
        <v>23</v>
      </c>
      <c r="C698" t="s">
        <v>15</v>
      </c>
      <c r="D698">
        <v>4769</v>
      </c>
      <c r="E698" t="s">
        <v>10</v>
      </c>
      <c r="F698" t="s">
        <v>38</v>
      </c>
      <c r="G698" t="s">
        <v>37</v>
      </c>
    </row>
    <row r="699" spans="1:7" x14ac:dyDescent="0.3">
      <c r="A699" t="s">
        <v>28</v>
      </c>
      <c r="B699" t="s">
        <v>23</v>
      </c>
      <c r="C699" t="s">
        <v>16</v>
      </c>
      <c r="D699">
        <v>8270833</v>
      </c>
      <c r="E699" t="s">
        <v>10</v>
      </c>
      <c r="F699" t="s">
        <v>38</v>
      </c>
      <c r="G699" t="s">
        <v>37</v>
      </c>
    </row>
    <row r="700" spans="1:7" x14ac:dyDescent="0.3">
      <c r="A700" t="s">
        <v>28</v>
      </c>
      <c r="B700" t="s">
        <v>23</v>
      </c>
      <c r="C700" t="s">
        <v>17</v>
      </c>
      <c r="D700">
        <v>1474</v>
      </c>
      <c r="E700" t="s">
        <v>10</v>
      </c>
      <c r="F700" t="s">
        <v>38</v>
      </c>
      <c r="G700" t="s">
        <v>37</v>
      </c>
    </row>
    <row r="701" spans="1:7" x14ac:dyDescent="0.3">
      <c r="A701" t="s">
        <v>28</v>
      </c>
      <c r="B701" t="s">
        <v>23</v>
      </c>
      <c r="C701" t="s">
        <v>18</v>
      </c>
      <c r="D701">
        <v>59</v>
      </c>
      <c r="E701" t="s">
        <v>10</v>
      </c>
      <c r="F701" t="s">
        <v>38</v>
      </c>
      <c r="G701" t="s">
        <v>37</v>
      </c>
    </row>
    <row r="702" spans="1:7" x14ac:dyDescent="0.3">
      <c r="A702" t="s">
        <v>28</v>
      </c>
      <c r="B702" t="s">
        <v>23</v>
      </c>
      <c r="C702" t="s">
        <v>19</v>
      </c>
      <c r="D702">
        <v>6278</v>
      </c>
      <c r="E702" t="s">
        <v>10</v>
      </c>
      <c r="F702" t="s">
        <v>38</v>
      </c>
      <c r="G702" t="s">
        <v>37</v>
      </c>
    </row>
    <row r="703" spans="1:7" x14ac:dyDescent="0.3">
      <c r="A703" t="s">
        <v>28</v>
      </c>
      <c r="B703" t="s">
        <v>23</v>
      </c>
      <c r="C703" t="s">
        <v>20</v>
      </c>
      <c r="D703">
        <v>20049</v>
      </c>
      <c r="E703" t="s">
        <v>10</v>
      </c>
      <c r="F703" t="s">
        <v>38</v>
      </c>
      <c r="G703" t="s">
        <v>37</v>
      </c>
    </row>
    <row r="704" spans="1:7" x14ac:dyDescent="0.3">
      <c r="A704" t="s">
        <v>28</v>
      </c>
      <c r="B704" t="s">
        <v>23</v>
      </c>
      <c r="C704" t="s">
        <v>21</v>
      </c>
      <c r="D704">
        <v>16331</v>
      </c>
      <c r="E704" t="s">
        <v>10</v>
      </c>
      <c r="F704" t="s">
        <v>38</v>
      </c>
      <c r="G704" t="s">
        <v>37</v>
      </c>
    </row>
    <row r="705" spans="1:7" x14ac:dyDescent="0.3">
      <c r="A705" t="s">
        <v>28</v>
      </c>
      <c r="B705" t="s">
        <v>23</v>
      </c>
      <c r="C705" t="s">
        <v>22</v>
      </c>
      <c r="D705">
        <v>6997</v>
      </c>
      <c r="E705" t="s">
        <v>10</v>
      </c>
      <c r="F705" t="s">
        <v>38</v>
      </c>
      <c r="G705" t="s">
        <v>37</v>
      </c>
    </row>
    <row r="706" spans="1:7" x14ac:dyDescent="0.3">
      <c r="A706" t="s">
        <v>29</v>
      </c>
      <c r="B706" t="s">
        <v>8</v>
      </c>
      <c r="C706" t="s">
        <v>9</v>
      </c>
      <c r="D706">
        <v>73</v>
      </c>
      <c r="E706" t="s">
        <v>10</v>
      </c>
      <c r="F706" t="s">
        <v>38</v>
      </c>
      <c r="G706" t="s">
        <v>37</v>
      </c>
    </row>
    <row r="707" spans="1:7" x14ac:dyDescent="0.3">
      <c r="A707" t="s">
        <v>29</v>
      </c>
      <c r="B707" t="s">
        <v>8</v>
      </c>
      <c r="C707" t="s">
        <v>13</v>
      </c>
      <c r="D707">
        <v>44</v>
      </c>
      <c r="E707" t="s">
        <v>10</v>
      </c>
      <c r="F707" t="s">
        <v>38</v>
      </c>
      <c r="G707" t="s">
        <v>37</v>
      </c>
    </row>
    <row r="708" spans="1:7" x14ac:dyDescent="0.3">
      <c r="A708" t="s">
        <v>29</v>
      </c>
      <c r="B708" t="s">
        <v>8</v>
      </c>
      <c r="C708" t="s">
        <v>14</v>
      </c>
      <c r="D708">
        <v>31418072</v>
      </c>
      <c r="E708" t="s">
        <v>10</v>
      </c>
      <c r="F708" t="s">
        <v>38</v>
      </c>
      <c r="G708" t="s">
        <v>37</v>
      </c>
    </row>
    <row r="709" spans="1:7" x14ac:dyDescent="0.3">
      <c r="A709" t="s">
        <v>29</v>
      </c>
      <c r="B709" t="s">
        <v>8</v>
      </c>
      <c r="C709" t="s">
        <v>15</v>
      </c>
      <c r="D709">
        <v>37</v>
      </c>
      <c r="E709" t="s">
        <v>10</v>
      </c>
      <c r="F709" t="s">
        <v>38</v>
      </c>
      <c r="G709" t="s">
        <v>37</v>
      </c>
    </row>
    <row r="710" spans="1:7" x14ac:dyDescent="0.3">
      <c r="A710" t="s">
        <v>29</v>
      </c>
      <c r="B710" t="s">
        <v>8</v>
      </c>
      <c r="C710" t="s">
        <v>16</v>
      </c>
      <c r="D710">
        <v>5226</v>
      </c>
      <c r="E710" t="s">
        <v>10</v>
      </c>
      <c r="F710" t="s">
        <v>38</v>
      </c>
      <c r="G710" t="s">
        <v>37</v>
      </c>
    </row>
    <row r="711" spans="1:7" x14ac:dyDescent="0.3">
      <c r="A711" t="s">
        <v>29</v>
      </c>
      <c r="B711" t="s">
        <v>8</v>
      </c>
      <c r="C711" t="s">
        <v>17</v>
      </c>
      <c r="D711">
        <v>195</v>
      </c>
      <c r="E711" t="s">
        <v>10</v>
      </c>
      <c r="F711" t="s">
        <v>38</v>
      </c>
      <c r="G711" t="s">
        <v>37</v>
      </c>
    </row>
    <row r="712" spans="1:7" x14ac:dyDescent="0.3">
      <c r="A712" t="s">
        <v>29</v>
      </c>
      <c r="B712" t="s">
        <v>8</v>
      </c>
      <c r="C712" t="s">
        <v>18</v>
      </c>
      <c r="D712">
        <v>0</v>
      </c>
      <c r="E712" t="s">
        <v>10</v>
      </c>
      <c r="F712" t="s">
        <v>38</v>
      </c>
      <c r="G712" t="s">
        <v>37</v>
      </c>
    </row>
    <row r="713" spans="1:7" x14ac:dyDescent="0.3">
      <c r="A713" t="s">
        <v>29</v>
      </c>
      <c r="B713" t="s">
        <v>8</v>
      </c>
      <c r="C713" t="s">
        <v>19</v>
      </c>
      <c r="D713">
        <v>4</v>
      </c>
      <c r="E713" t="s">
        <v>10</v>
      </c>
      <c r="F713" t="s">
        <v>38</v>
      </c>
      <c r="G713" t="s">
        <v>37</v>
      </c>
    </row>
    <row r="714" spans="1:7" x14ac:dyDescent="0.3">
      <c r="A714" t="s">
        <v>29</v>
      </c>
      <c r="B714" t="s">
        <v>8</v>
      </c>
      <c r="C714" t="s">
        <v>20</v>
      </c>
      <c r="D714">
        <v>166</v>
      </c>
      <c r="E714" t="s">
        <v>10</v>
      </c>
      <c r="F714" t="s">
        <v>38</v>
      </c>
      <c r="G714" t="s">
        <v>37</v>
      </c>
    </row>
    <row r="715" spans="1:7" x14ac:dyDescent="0.3">
      <c r="A715" t="s">
        <v>29</v>
      </c>
      <c r="B715" t="s">
        <v>8</v>
      </c>
      <c r="C715" t="s">
        <v>21</v>
      </c>
      <c r="D715">
        <v>62</v>
      </c>
      <c r="E715" t="s">
        <v>10</v>
      </c>
      <c r="F715" t="s">
        <v>38</v>
      </c>
      <c r="G715" t="s">
        <v>37</v>
      </c>
    </row>
    <row r="716" spans="1:7" x14ac:dyDescent="0.3">
      <c r="A716" t="s">
        <v>29</v>
      </c>
      <c r="B716" t="s">
        <v>8</v>
      </c>
      <c r="C716" t="s">
        <v>22</v>
      </c>
      <c r="D716">
        <v>264</v>
      </c>
      <c r="E716" t="s">
        <v>10</v>
      </c>
      <c r="F716" t="s">
        <v>38</v>
      </c>
      <c r="G716" t="s">
        <v>37</v>
      </c>
    </row>
    <row r="717" spans="1:7" x14ac:dyDescent="0.3">
      <c r="A717" t="s">
        <v>29</v>
      </c>
      <c r="B717" t="s">
        <v>23</v>
      </c>
      <c r="C717" t="s">
        <v>9</v>
      </c>
      <c r="D717">
        <v>2077</v>
      </c>
      <c r="E717" t="s">
        <v>10</v>
      </c>
      <c r="F717" t="s">
        <v>38</v>
      </c>
      <c r="G717" t="s">
        <v>37</v>
      </c>
    </row>
    <row r="718" spans="1:7" x14ac:dyDescent="0.3">
      <c r="A718" t="s">
        <v>29</v>
      </c>
      <c r="B718" t="s">
        <v>23</v>
      </c>
      <c r="C718" t="s">
        <v>13</v>
      </c>
      <c r="D718">
        <v>1778</v>
      </c>
      <c r="E718" t="s">
        <v>10</v>
      </c>
      <c r="F718" t="s">
        <v>38</v>
      </c>
      <c r="G718" t="s">
        <v>37</v>
      </c>
    </row>
    <row r="719" spans="1:7" x14ac:dyDescent="0.3">
      <c r="A719" t="s">
        <v>29</v>
      </c>
      <c r="B719" t="s">
        <v>23</v>
      </c>
      <c r="C719" t="s">
        <v>14</v>
      </c>
      <c r="D719">
        <v>6670277</v>
      </c>
      <c r="E719" t="s">
        <v>10</v>
      </c>
      <c r="F719" t="s">
        <v>38</v>
      </c>
      <c r="G719" t="s">
        <v>37</v>
      </c>
    </row>
    <row r="720" spans="1:7" x14ac:dyDescent="0.3">
      <c r="A720" t="s">
        <v>29</v>
      </c>
      <c r="B720" t="s">
        <v>23</v>
      </c>
      <c r="C720" t="s">
        <v>15</v>
      </c>
      <c r="D720">
        <v>3190</v>
      </c>
      <c r="E720" t="s">
        <v>10</v>
      </c>
      <c r="F720" t="s">
        <v>38</v>
      </c>
      <c r="G720" t="s">
        <v>37</v>
      </c>
    </row>
    <row r="721" spans="1:7" x14ac:dyDescent="0.3">
      <c r="A721" t="s">
        <v>29</v>
      </c>
      <c r="B721" t="s">
        <v>23</v>
      </c>
      <c r="C721" t="s">
        <v>16</v>
      </c>
      <c r="D721">
        <v>226328</v>
      </c>
      <c r="E721" t="s">
        <v>10</v>
      </c>
      <c r="F721" t="s">
        <v>38</v>
      </c>
      <c r="G721" t="s">
        <v>37</v>
      </c>
    </row>
    <row r="722" spans="1:7" x14ac:dyDescent="0.3">
      <c r="A722" t="s">
        <v>29</v>
      </c>
      <c r="B722" t="s">
        <v>23</v>
      </c>
      <c r="C722" t="s">
        <v>17</v>
      </c>
      <c r="D722">
        <v>292</v>
      </c>
      <c r="E722" t="s">
        <v>10</v>
      </c>
      <c r="F722" t="s">
        <v>38</v>
      </c>
      <c r="G722" t="s">
        <v>37</v>
      </c>
    </row>
    <row r="723" spans="1:7" x14ac:dyDescent="0.3">
      <c r="A723" t="s">
        <v>29</v>
      </c>
      <c r="B723" t="s">
        <v>23</v>
      </c>
      <c r="C723" t="s">
        <v>18</v>
      </c>
      <c r="D723">
        <v>0</v>
      </c>
      <c r="E723" t="s">
        <v>10</v>
      </c>
      <c r="F723" t="s">
        <v>38</v>
      </c>
      <c r="G723" t="s">
        <v>37</v>
      </c>
    </row>
    <row r="724" spans="1:7" x14ac:dyDescent="0.3">
      <c r="A724" t="s">
        <v>29</v>
      </c>
      <c r="B724" t="s">
        <v>23</v>
      </c>
      <c r="C724" t="s">
        <v>19</v>
      </c>
      <c r="D724">
        <v>4157</v>
      </c>
      <c r="E724" t="s">
        <v>10</v>
      </c>
      <c r="F724" t="s">
        <v>38</v>
      </c>
      <c r="G724" t="s">
        <v>37</v>
      </c>
    </row>
    <row r="725" spans="1:7" x14ac:dyDescent="0.3">
      <c r="A725" t="s">
        <v>29</v>
      </c>
      <c r="B725" t="s">
        <v>23</v>
      </c>
      <c r="C725" t="s">
        <v>20</v>
      </c>
      <c r="D725">
        <v>4132</v>
      </c>
      <c r="E725" t="s">
        <v>10</v>
      </c>
      <c r="F725" t="s">
        <v>38</v>
      </c>
      <c r="G725" t="s">
        <v>37</v>
      </c>
    </row>
    <row r="726" spans="1:7" x14ac:dyDescent="0.3">
      <c r="A726" t="s">
        <v>29</v>
      </c>
      <c r="B726" t="s">
        <v>23</v>
      </c>
      <c r="C726" t="s">
        <v>21</v>
      </c>
      <c r="D726">
        <v>11848</v>
      </c>
      <c r="E726" t="s">
        <v>10</v>
      </c>
      <c r="F726" t="s">
        <v>38</v>
      </c>
      <c r="G726" t="s">
        <v>37</v>
      </c>
    </row>
    <row r="727" spans="1:7" x14ac:dyDescent="0.3">
      <c r="A727" t="s">
        <v>29</v>
      </c>
      <c r="B727" t="s">
        <v>23</v>
      </c>
      <c r="C727" t="s">
        <v>22</v>
      </c>
      <c r="D727">
        <v>1842</v>
      </c>
      <c r="E727" t="s">
        <v>10</v>
      </c>
      <c r="F727" t="s">
        <v>38</v>
      </c>
      <c r="G727" t="s">
        <v>37</v>
      </c>
    </row>
    <row r="728" spans="1:7" x14ac:dyDescent="0.3">
      <c r="A728" t="s">
        <v>30</v>
      </c>
      <c r="B728" t="s">
        <v>8</v>
      </c>
      <c r="C728" t="s">
        <v>9</v>
      </c>
      <c r="D728">
        <v>8</v>
      </c>
      <c r="E728" t="s">
        <v>10</v>
      </c>
      <c r="F728" t="s">
        <v>38</v>
      </c>
      <c r="G728" t="s">
        <v>37</v>
      </c>
    </row>
    <row r="729" spans="1:7" x14ac:dyDescent="0.3">
      <c r="A729" t="s">
        <v>30</v>
      </c>
      <c r="B729" t="s">
        <v>8</v>
      </c>
      <c r="C729" t="s">
        <v>13</v>
      </c>
      <c r="D729">
        <v>1</v>
      </c>
      <c r="E729" t="s">
        <v>10</v>
      </c>
      <c r="F729" t="s">
        <v>38</v>
      </c>
      <c r="G729" t="s">
        <v>37</v>
      </c>
    </row>
    <row r="730" spans="1:7" x14ac:dyDescent="0.3">
      <c r="A730" t="s">
        <v>30</v>
      </c>
      <c r="B730" t="s">
        <v>8</v>
      </c>
      <c r="C730" t="s">
        <v>14</v>
      </c>
      <c r="D730">
        <v>7</v>
      </c>
      <c r="E730" t="s">
        <v>10</v>
      </c>
      <c r="F730" t="s">
        <v>38</v>
      </c>
      <c r="G730" t="s">
        <v>37</v>
      </c>
    </row>
    <row r="731" spans="1:7" x14ac:dyDescent="0.3">
      <c r="A731" t="s">
        <v>30</v>
      </c>
      <c r="B731" t="s">
        <v>8</v>
      </c>
      <c r="C731" t="s">
        <v>15</v>
      </c>
      <c r="D731">
        <v>2</v>
      </c>
      <c r="E731" t="s">
        <v>10</v>
      </c>
      <c r="F731" t="s">
        <v>38</v>
      </c>
      <c r="G731" t="s">
        <v>37</v>
      </c>
    </row>
    <row r="732" spans="1:7" x14ac:dyDescent="0.3">
      <c r="A732" t="s">
        <v>30</v>
      </c>
      <c r="B732" t="s">
        <v>8</v>
      </c>
      <c r="C732" t="s">
        <v>16</v>
      </c>
      <c r="D732">
        <v>10</v>
      </c>
      <c r="E732" t="s">
        <v>10</v>
      </c>
      <c r="F732" t="s">
        <v>38</v>
      </c>
      <c r="G732" t="s">
        <v>37</v>
      </c>
    </row>
    <row r="733" spans="1:7" x14ac:dyDescent="0.3">
      <c r="A733" t="s">
        <v>30</v>
      </c>
      <c r="B733" t="s">
        <v>8</v>
      </c>
      <c r="C733" t="s">
        <v>17</v>
      </c>
      <c r="D733">
        <v>1284468</v>
      </c>
      <c r="E733" t="s">
        <v>10</v>
      </c>
      <c r="F733" t="s">
        <v>38</v>
      </c>
      <c r="G733" t="s">
        <v>37</v>
      </c>
    </row>
    <row r="734" spans="1:7" x14ac:dyDescent="0.3">
      <c r="A734" t="s">
        <v>30</v>
      </c>
      <c r="B734" t="s">
        <v>8</v>
      </c>
      <c r="C734" t="s">
        <v>18</v>
      </c>
      <c r="D734">
        <v>0</v>
      </c>
      <c r="E734" t="s">
        <v>10</v>
      </c>
      <c r="F734" t="s">
        <v>38</v>
      </c>
      <c r="G734" t="s">
        <v>37</v>
      </c>
    </row>
    <row r="735" spans="1:7" x14ac:dyDescent="0.3">
      <c r="A735" t="s">
        <v>30</v>
      </c>
      <c r="B735" t="s">
        <v>8</v>
      </c>
      <c r="C735" t="s">
        <v>19</v>
      </c>
      <c r="D735">
        <v>0</v>
      </c>
      <c r="E735" t="s">
        <v>10</v>
      </c>
      <c r="F735" t="s">
        <v>38</v>
      </c>
      <c r="G735" t="s">
        <v>37</v>
      </c>
    </row>
    <row r="736" spans="1:7" x14ac:dyDescent="0.3">
      <c r="A736" t="s">
        <v>30</v>
      </c>
      <c r="B736" t="s">
        <v>8</v>
      </c>
      <c r="C736" t="s">
        <v>20</v>
      </c>
      <c r="D736">
        <v>16</v>
      </c>
      <c r="E736" t="s">
        <v>10</v>
      </c>
      <c r="F736" t="s">
        <v>38</v>
      </c>
      <c r="G736" t="s">
        <v>37</v>
      </c>
    </row>
    <row r="737" spans="1:7" x14ac:dyDescent="0.3">
      <c r="A737" t="s">
        <v>30</v>
      </c>
      <c r="B737" t="s">
        <v>8</v>
      </c>
      <c r="C737" t="s">
        <v>21</v>
      </c>
      <c r="D737">
        <v>0</v>
      </c>
      <c r="E737" t="s">
        <v>10</v>
      </c>
      <c r="F737" t="s">
        <v>38</v>
      </c>
      <c r="G737" t="s">
        <v>37</v>
      </c>
    </row>
    <row r="738" spans="1:7" x14ac:dyDescent="0.3">
      <c r="A738" t="s">
        <v>30</v>
      </c>
      <c r="B738" t="s">
        <v>8</v>
      </c>
      <c r="C738" t="s">
        <v>22</v>
      </c>
      <c r="D738">
        <v>27</v>
      </c>
      <c r="E738" t="s">
        <v>10</v>
      </c>
      <c r="F738" t="s">
        <v>38</v>
      </c>
      <c r="G738" t="s">
        <v>37</v>
      </c>
    </row>
    <row r="739" spans="1:7" x14ac:dyDescent="0.3">
      <c r="A739" t="s">
        <v>30</v>
      </c>
      <c r="B739" t="s">
        <v>23</v>
      </c>
      <c r="C739" t="s">
        <v>9</v>
      </c>
      <c r="D739">
        <v>20066</v>
      </c>
      <c r="E739" t="s">
        <v>10</v>
      </c>
      <c r="F739" t="s">
        <v>38</v>
      </c>
      <c r="G739" t="s">
        <v>37</v>
      </c>
    </row>
    <row r="740" spans="1:7" x14ac:dyDescent="0.3">
      <c r="A740" t="s">
        <v>30</v>
      </c>
      <c r="B740" t="s">
        <v>23</v>
      </c>
      <c r="C740" t="s">
        <v>13</v>
      </c>
      <c r="D740">
        <v>507</v>
      </c>
      <c r="E740" t="s">
        <v>10</v>
      </c>
      <c r="F740" t="s">
        <v>38</v>
      </c>
      <c r="G740" t="s">
        <v>37</v>
      </c>
    </row>
    <row r="741" spans="1:7" x14ac:dyDescent="0.3">
      <c r="A741" t="s">
        <v>30</v>
      </c>
      <c r="B741" t="s">
        <v>23</v>
      </c>
      <c r="C741" t="s">
        <v>14</v>
      </c>
      <c r="D741">
        <v>22325</v>
      </c>
      <c r="E741" t="s">
        <v>10</v>
      </c>
      <c r="F741" t="s">
        <v>38</v>
      </c>
      <c r="G741" t="s">
        <v>37</v>
      </c>
    </row>
    <row r="742" spans="1:7" x14ac:dyDescent="0.3">
      <c r="A742" t="s">
        <v>30</v>
      </c>
      <c r="B742" t="s">
        <v>23</v>
      </c>
      <c r="C742" t="s">
        <v>15</v>
      </c>
      <c r="D742">
        <v>77</v>
      </c>
      <c r="E742" t="s">
        <v>10</v>
      </c>
      <c r="F742" t="s">
        <v>38</v>
      </c>
      <c r="G742" t="s">
        <v>37</v>
      </c>
    </row>
    <row r="743" spans="1:7" x14ac:dyDescent="0.3">
      <c r="A743" t="s">
        <v>30</v>
      </c>
      <c r="B743" t="s">
        <v>23</v>
      </c>
      <c r="C743" t="s">
        <v>16</v>
      </c>
      <c r="D743">
        <v>2365</v>
      </c>
      <c r="E743" t="s">
        <v>10</v>
      </c>
      <c r="F743" t="s">
        <v>38</v>
      </c>
      <c r="G743" t="s">
        <v>37</v>
      </c>
    </row>
    <row r="744" spans="1:7" x14ac:dyDescent="0.3">
      <c r="A744" t="s">
        <v>30</v>
      </c>
      <c r="B744" t="s">
        <v>23</v>
      </c>
      <c r="C744" t="s">
        <v>17</v>
      </c>
      <c r="D744">
        <v>163230</v>
      </c>
      <c r="E744" t="s">
        <v>10</v>
      </c>
      <c r="F744" t="s">
        <v>38</v>
      </c>
      <c r="G744" t="s">
        <v>37</v>
      </c>
    </row>
    <row r="745" spans="1:7" x14ac:dyDescent="0.3">
      <c r="A745" t="s">
        <v>30</v>
      </c>
      <c r="B745" t="s">
        <v>23</v>
      </c>
      <c r="C745" t="s">
        <v>18</v>
      </c>
      <c r="D745">
        <v>0</v>
      </c>
      <c r="E745" t="s">
        <v>10</v>
      </c>
      <c r="F745" t="s">
        <v>38</v>
      </c>
      <c r="G745" t="s">
        <v>37</v>
      </c>
    </row>
    <row r="746" spans="1:7" x14ac:dyDescent="0.3">
      <c r="A746" t="s">
        <v>30</v>
      </c>
      <c r="B746" t="s">
        <v>23</v>
      </c>
      <c r="C746" t="s">
        <v>19</v>
      </c>
      <c r="D746">
        <v>113</v>
      </c>
      <c r="E746" t="s">
        <v>10</v>
      </c>
      <c r="F746" t="s">
        <v>38</v>
      </c>
      <c r="G746" t="s">
        <v>37</v>
      </c>
    </row>
    <row r="747" spans="1:7" x14ac:dyDescent="0.3">
      <c r="A747" t="s">
        <v>30</v>
      </c>
      <c r="B747" t="s">
        <v>23</v>
      </c>
      <c r="C747" t="s">
        <v>20</v>
      </c>
      <c r="D747">
        <v>820</v>
      </c>
      <c r="E747" t="s">
        <v>10</v>
      </c>
      <c r="F747" t="s">
        <v>38</v>
      </c>
      <c r="G747" t="s">
        <v>37</v>
      </c>
    </row>
    <row r="748" spans="1:7" x14ac:dyDescent="0.3">
      <c r="A748" t="s">
        <v>30</v>
      </c>
      <c r="B748" t="s">
        <v>23</v>
      </c>
      <c r="C748" t="s">
        <v>21</v>
      </c>
      <c r="D748">
        <v>106</v>
      </c>
      <c r="E748" t="s">
        <v>10</v>
      </c>
      <c r="F748" t="s">
        <v>38</v>
      </c>
      <c r="G748" t="s">
        <v>37</v>
      </c>
    </row>
    <row r="749" spans="1:7" x14ac:dyDescent="0.3">
      <c r="A749" t="s">
        <v>30</v>
      </c>
      <c r="B749" t="s">
        <v>23</v>
      </c>
      <c r="C749" t="s">
        <v>22</v>
      </c>
      <c r="D749">
        <v>368</v>
      </c>
      <c r="E749" t="s">
        <v>10</v>
      </c>
      <c r="F749" t="s">
        <v>38</v>
      </c>
      <c r="G749" t="s">
        <v>37</v>
      </c>
    </row>
    <row r="750" spans="1:7" x14ac:dyDescent="0.3">
      <c r="A750" t="s">
        <v>31</v>
      </c>
      <c r="B750" t="s">
        <v>8</v>
      </c>
      <c r="C750" t="s">
        <v>9</v>
      </c>
      <c r="D750">
        <v>17</v>
      </c>
      <c r="E750" t="s">
        <v>10</v>
      </c>
      <c r="F750" t="s">
        <v>38</v>
      </c>
      <c r="G750" t="s">
        <v>37</v>
      </c>
    </row>
    <row r="751" spans="1:7" x14ac:dyDescent="0.3">
      <c r="A751" t="s">
        <v>31</v>
      </c>
      <c r="B751" t="s">
        <v>8</v>
      </c>
      <c r="C751" t="s">
        <v>13</v>
      </c>
      <c r="D751">
        <v>3</v>
      </c>
      <c r="E751" t="s">
        <v>10</v>
      </c>
      <c r="F751" t="s">
        <v>38</v>
      </c>
      <c r="G751" t="s">
        <v>37</v>
      </c>
    </row>
    <row r="752" spans="1:7" x14ac:dyDescent="0.3">
      <c r="A752" t="s">
        <v>31</v>
      </c>
      <c r="B752" t="s">
        <v>8</v>
      </c>
      <c r="C752" t="s">
        <v>14</v>
      </c>
      <c r="D752">
        <v>16</v>
      </c>
      <c r="E752" t="s">
        <v>10</v>
      </c>
      <c r="F752" t="s">
        <v>38</v>
      </c>
      <c r="G752" t="s">
        <v>37</v>
      </c>
    </row>
    <row r="753" spans="1:7" x14ac:dyDescent="0.3">
      <c r="A753" t="s">
        <v>31</v>
      </c>
      <c r="B753" t="s">
        <v>8</v>
      </c>
      <c r="C753" t="s">
        <v>15</v>
      </c>
      <c r="D753">
        <v>5</v>
      </c>
      <c r="E753" t="s">
        <v>10</v>
      </c>
      <c r="F753" t="s">
        <v>38</v>
      </c>
      <c r="G753" t="s">
        <v>37</v>
      </c>
    </row>
    <row r="754" spans="1:7" x14ac:dyDescent="0.3">
      <c r="A754" t="s">
        <v>31</v>
      </c>
      <c r="B754" t="s">
        <v>8</v>
      </c>
      <c r="C754" t="s">
        <v>16</v>
      </c>
      <c r="D754">
        <v>22</v>
      </c>
      <c r="E754" t="s">
        <v>10</v>
      </c>
      <c r="F754" t="s">
        <v>38</v>
      </c>
      <c r="G754" t="s">
        <v>37</v>
      </c>
    </row>
    <row r="755" spans="1:7" x14ac:dyDescent="0.3">
      <c r="A755" t="s">
        <v>31</v>
      </c>
      <c r="B755" t="s">
        <v>8</v>
      </c>
      <c r="C755" t="s">
        <v>17</v>
      </c>
      <c r="D755">
        <v>2859805</v>
      </c>
      <c r="E755" t="s">
        <v>10</v>
      </c>
      <c r="F755" t="s">
        <v>38</v>
      </c>
      <c r="G755" t="s">
        <v>37</v>
      </c>
    </row>
    <row r="756" spans="1:7" x14ac:dyDescent="0.3">
      <c r="A756" t="s">
        <v>31</v>
      </c>
      <c r="B756" t="s">
        <v>8</v>
      </c>
      <c r="C756" t="s">
        <v>18</v>
      </c>
      <c r="D756">
        <v>0</v>
      </c>
      <c r="E756" t="s">
        <v>10</v>
      </c>
      <c r="F756" t="s">
        <v>38</v>
      </c>
      <c r="G756" t="s">
        <v>37</v>
      </c>
    </row>
    <row r="757" spans="1:7" x14ac:dyDescent="0.3">
      <c r="A757" t="s">
        <v>31</v>
      </c>
      <c r="B757" t="s">
        <v>8</v>
      </c>
      <c r="C757" t="s">
        <v>19</v>
      </c>
      <c r="D757">
        <v>0</v>
      </c>
      <c r="E757" t="s">
        <v>10</v>
      </c>
      <c r="F757" t="s">
        <v>38</v>
      </c>
      <c r="G757" t="s">
        <v>37</v>
      </c>
    </row>
    <row r="758" spans="1:7" x14ac:dyDescent="0.3">
      <c r="A758" t="s">
        <v>31</v>
      </c>
      <c r="B758" t="s">
        <v>8</v>
      </c>
      <c r="C758" t="s">
        <v>20</v>
      </c>
      <c r="D758">
        <v>36</v>
      </c>
      <c r="E758" t="s">
        <v>10</v>
      </c>
      <c r="F758" t="s">
        <v>38</v>
      </c>
      <c r="G758" t="s">
        <v>37</v>
      </c>
    </row>
    <row r="759" spans="1:7" x14ac:dyDescent="0.3">
      <c r="A759" t="s">
        <v>31</v>
      </c>
      <c r="B759" t="s">
        <v>8</v>
      </c>
      <c r="C759" t="s">
        <v>21</v>
      </c>
      <c r="D759">
        <v>0</v>
      </c>
      <c r="E759" t="s">
        <v>10</v>
      </c>
      <c r="F759" t="s">
        <v>38</v>
      </c>
      <c r="G759" t="s">
        <v>37</v>
      </c>
    </row>
    <row r="760" spans="1:7" x14ac:dyDescent="0.3">
      <c r="A760" t="s">
        <v>31</v>
      </c>
      <c r="B760" t="s">
        <v>8</v>
      </c>
      <c r="C760" t="s">
        <v>22</v>
      </c>
      <c r="D760">
        <v>61</v>
      </c>
      <c r="E760" t="s">
        <v>10</v>
      </c>
      <c r="F760" t="s">
        <v>38</v>
      </c>
      <c r="G760" t="s">
        <v>37</v>
      </c>
    </row>
    <row r="761" spans="1:7" x14ac:dyDescent="0.3">
      <c r="A761" t="s">
        <v>31</v>
      </c>
      <c r="B761" t="s">
        <v>23</v>
      </c>
      <c r="C761" t="s">
        <v>9</v>
      </c>
      <c r="D761">
        <v>44675</v>
      </c>
      <c r="E761" t="s">
        <v>10</v>
      </c>
      <c r="F761" t="s">
        <v>38</v>
      </c>
      <c r="G761" t="s">
        <v>37</v>
      </c>
    </row>
    <row r="762" spans="1:7" x14ac:dyDescent="0.3">
      <c r="A762" t="s">
        <v>31</v>
      </c>
      <c r="B762" t="s">
        <v>23</v>
      </c>
      <c r="C762" t="s">
        <v>13</v>
      </c>
      <c r="D762">
        <v>1129</v>
      </c>
      <c r="E762" t="s">
        <v>10</v>
      </c>
      <c r="F762" t="s">
        <v>38</v>
      </c>
      <c r="G762" t="s">
        <v>37</v>
      </c>
    </row>
    <row r="763" spans="1:7" x14ac:dyDescent="0.3">
      <c r="A763" t="s">
        <v>31</v>
      </c>
      <c r="B763" t="s">
        <v>23</v>
      </c>
      <c r="C763" t="s">
        <v>14</v>
      </c>
      <c r="D763">
        <v>49706</v>
      </c>
      <c r="E763" t="s">
        <v>10</v>
      </c>
      <c r="F763" t="s">
        <v>38</v>
      </c>
      <c r="G763" t="s">
        <v>37</v>
      </c>
    </row>
    <row r="764" spans="1:7" x14ac:dyDescent="0.3">
      <c r="A764" t="s">
        <v>31</v>
      </c>
      <c r="B764" t="s">
        <v>23</v>
      </c>
      <c r="C764" t="s">
        <v>15</v>
      </c>
      <c r="D764">
        <v>171</v>
      </c>
      <c r="E764" t="s">
        <v>10</v>
      </c>
      <c r="F764" t="s">
        <v>38</v>
      </c>
      <c r="G764" t="s">
        <v>37</v>
      </c>
    </row>
    <row r="765" spans="1:7" x14ac:dyDescent="0.3">
      <c r="A765" t="s">
        <v>31</v>
      </c>
      <c r="B765" t="s">
        <v>23</v>
      </c>
      <c r="C765" t="s">
        <v>16</v>
      </c>
      <c r="D765">
        <v>5265</v>
      </c>
      <c r="E765" t="s">
        <v>10</v>
      </c>
      <c r="F765" t="s">
        <v>38</v>
      </c>
      <c r="G765" t="s">
        <v>37</v>
      </c>
    </row>
    <row r="766" spans="1:7" x14ac:dyDescent="0.3">
      <c r="A766" t="s">
        <v>31</v>
      </c>
      <c r="B766" t="s">
        <v>23</v>
      </c>
      <c r="C766" t="s">
        <v>17</v>
      </c>
      <c r="D766">
        <v>363424</v>
      </c>
      <c r="E766" t="s">
        <v>10</v>
      </c>
      <c r="F766" t="s">
        <v>38</v>
      </c>
      <c r="G766" t="s">
        <v>37</v>
      </c>
    </row>
    <row r="767" spans="1:7" x14ac:dyDescent="0.3">
      <c r="A767" t="s">
        <v>31</v>
      </c>
      <c r="B767" t="s">
        <v>23</v>
      </c>
      <c r="C767" t="s">
        <v>18</v>
      </c>
      <c r="D767">
        <v>0</v>
      </c>
      <c r="E767" t="s">
        <v>10</v>
      </c>
      <c r="F767" t="s">
        <v>38</v>
      </c>
      <c r="G767" t="s">
        <v>37</v>
      </c>
    </row>
    <row r="768" spans="1:7" x14ac:dyDescent="0.3">
      <c r="A768" t="s">
        <v>31</v>
      </c>
      <c r="B768" t="s">
        <v>23</v>
      </c>
      <c r="C768" t="s">
        <v>19</v>
      </c>
      <c r="D768">
        <v>251</v>
      </c>
      <c r="E768" t="s">
        <v>10</v>
      </c>
      <c r="F768" t="s">
        <v>38</v>
      </c>
      <c r="G768" t="s">
        <v>37</v>
      </c>
    </row>
    <row r="769" spans="1:7" x14ac:dyDescent="0.3">
      <c r="A769" t="s">
        <v>31</v>
      </c>
      <c r="B769" t="s">
        <v>23</v>
      </c>
      <c r="C769" t="s">
        <v>20</v>
      </c>
      <c r="D769">
        <v>1827</v>
      </c>
      <c r="E769" t="s">
        <v>10</v>
      </c>
      <c r="F769" t="s">
        <v>38</v>
      </c>
      <c r="G769" t="s">
        <v>37</v>
      </c>
    </row>
    <row r="770" spans="1:7" x14ac:dyDescent="0.3">
      <c r="A770" t="s">
        <v>31</v>
      </c>
      <c r="B770" t="s">
        <v>23</v>
      </c>
      <c r="C770" t="s">
        <v>21</v>
      </c>
      <c r="D770">
        <v>236</v>
      </c>
      <c r="E770" t="s">
        <v>10</v>
      </c>
      <c r="F770" t="s">
        <v>38</v>
      </c>
      <c r="G770" t="s">
        <v>37</v>
      </c>
    </row>
    <row r="771" spans="1:7" x14ac:dyDescent="0.3">
      <c r="A771" t="s">
        <v>31</v>
      </c>
      <c r="B771" t="s">
        <v>23</v>
      </c>
      <c r="C771" t="s">
        <v>22</v>
      </c>
      <c r="D771">
        <v>818</v>
      </c>
      <c r="E771" t="s">
        <v>10</v>
      </c>
      <c r="F771" t="s">
        <v>38</v>
      </c>
      <c r="G771" t="s">
        <v>37</v>
      </c>
    </row>
    <row r="772" spans="1:7" x14ac:dyDescent="0.3">
      <c r="A772" t="s">
        <v>32</v>
      </c>
      <c r="B772" t="s">
        <v>8</v>
      </c>
      <c r="C772" t="s">
        <v>9</v>
      </c>
      <c r="D772">
        <v>19</v>
      </c>
      <c r="E772" t="s">
        <v>10</v>
      </c>
      <c r="F772" t="s">
        <v>38</v>
      </c>
      <c r="G772" t="s">
        <v>37</v>
      </c>
    </row>
    <row r="773" spans="1:7" x14ac:dyDescent="0.3">
      <c r="A773" t="s">
        <v>32</v>
      </c>
      <c r="B773" t="s">
        <v>8</v>
      </c>
      <c r="C773" t="s">
        <v>13</v>
      </c>
      <c r="D773">
        <v>2736</v>
      </c>
      <c r="E773" t="s">
        <v>10</v>
      </c>
      <c r="F773" t="s">
        <v>38</v>
      </c>
      <c r="G773" t="s">
        <v>37</v>
      </c>
    </row>
    <row r="774" spans="1:7" x14ac:dyDescent="0.3">
      <c r="A774" t="s">
        <v>32</v>
      </c>
      <c r="B774" t="s">
        <v>8</v>
      </c>
      <c r="C774" t="s">
        <v>14</v>
      </c>
      <c r="D774">
        <v>116</v>
      </c>
      <c r="E774" t="s">
        <v>10</v>
      </c>
      <c r="F774" t="s">
        <v>38</v>
      </c>
      <c r="G774" t="s">
        <v>37</v>
      </c>
    </row>
    <row r="775" spans="1:7" x14ac:dyDescent="0.3">
      <c r="A775" t="s">
        <v>32</v>
      </c>
      <c r="B775" t="s">
        <v>8</v>
      </c>
      <c r="C775" t="s">
        <v>15</v>
      </c>
      <c r="D775">
        <v>6</v>
      </c>
      <c r="E775" t="s">
        <v>10</v>
      </c>
      <c r="F775" t="s">
        <v>38</v>
      </c>
      <c r="G775" t="s">
        <v>37</v>
      </c>
    </row>
    <row r="776" spans="1:7" x14ac:dyDescent="0.3">
      <c r="A776" t="s">
        <v>32</v>
      </c>
      <c r="B776" t="s">
        <v>8</v>
      </c>
      <c r="C776" t="s">
        <v>16</v>
      </c>
      <c r="D776">
        <v>58</v>
      </c>
      <c r="E776" t="s">
        <v>10</v>
      </c>
      <c r="F776" t="s">
        <v>38</v>
      </c>
      <c r="G776" t="s">
        <v>37</v>
      </c>
    </row>
    <row r="777" spans="1:7" x14ac:dyDescent="0.3">
      <c r="A777" t="s">
        <v>32</v>
      </c>
      <c r="B777" t="s">
        <v>8</v>
      </c>
      <c r="C777" t="s">
        <v>17</v>
      </c>
      <c r="D777">
        <v>22</v>
      </c>
      <c r="E777" t="s">
        <v>10</v>
      </c>
      <c r="F777" t="s">
        <v>38</v>
      </c>
      <c r="G777" t="s">
        <v>37</v>
      </c>
    </row>
    <row r="778" spans="1:7" x14ac:dyDescent="0.3">
      <c r="A778" t="s">
        <v>32</v>
      </c>
      <c r="B778" t="s">
        <v>8</v>
      </c>
      <c r="C778" t="s">
        <v>18</v>
      </c>
      <c r="D778">
        <v>0</v>
      </c>
      <c r="E778" t="s">
        <v>10</v>
      </c>
      <c r="F778" t="s">
        <v>38</v>
      </c>
      <c r="G778" t="s">
        <v>37</v>
      </c>
    </row>
    <row r="779" spans="1:7" x14ac:dyDescent="0.3">
      <c r="A779" t="s">
        <v>32</v>
      </c>
      <c r="B779" t="s">
        <v>8</v>
      </c>
      <c r="C779" t="s">
        <v>19</v>
      </c>
      <c r="D779">
        <v>0</v>
      </c>
      <c r="E779" t="s">
        <v>10</v>
      </c>
      <c r="F779" t="s">
        <v>38</v>
      </c>
      <c r="G779" t="s">
        <v>37</v>
      </c>
    </row>
    <row r="780" spans="1:7" x14ac:dyDescent="0.3">
      <c r="A780" t="s">
        <v>32</v>
      </c>
      <c r="B780" t="s">
        <v>8</v>
      </c>
      <c r="C780" t="s">
        <v>20</v>
      </c>
      <c r="D780">
        <v>21</v>
      </c>
      <c r="E780" t="s">
        <v>10</v>
      </c>
      <c r="F780" t="s">
        <v>38</v>
      </c>
      <c r="G780" t="s">
        <v>37</v>
      </c>
    </row>
    <row r="781" spans="1:7" x14ac:dyDescent="0.3">
      <c r="A781" t="s">
        <v>32</v>
      </c>
      <c r="B781" t="s">
        <v>8</v>
      </c>
      <c r="C781" t="s">
        <v>21</v>
      </c>
      <c r="D781">
        <v>47</v>
      </c>
      <c r="E781" t="s">
        <v>10</v>
      </c>
      <c r="F781" t="s">
        <v>38</v>
      </c>
      <c r="G781" t="s">
        <v>37</v>
      </c>
    </row>
    <row r="782" spans="1:7" x14ac:dyDescent="0.3">
      <c r="A782" t="s">
        <v>32</v>
      </c>
      <c r="B782" t="s">
        <v>8</v>
      </c>
      <c r="C782" t="s">
        <v>22</v>
      </c>
      <c r="D782">
        <v>288541</v>
      </c>
      <c r="E782" t="s">
        <v>10</v>
      </c>
      <c r="F782" t="s">
        <v>38</v>
      </c>
      <c r="G782" t="s">
        <v>37</v>
      </c>
    </row>
    <row r="783" spans="1:7" x14ac:dyDescent="0.3">
      <c r="A783" t="s">
        <v>32</v>
      </c>
      <c r="B783" t="s">
        <v>23</v>
      </c>
      <c r="C783" t="s">
        <v>9</v>
      </c>
      <c r="D783">
        <v>7182</v>
      </c>
      <c r="E783" t="s">
        <v>10</v>
      </c>
      <c r="F783" t="s">
        <v>38</v>
      </c>
      <c r="G783" t="s">
        <v>37</v>
      </c>
    </row>
    <row r="784" spans="1:7" x14ac:dyDescent="0.3">
      <c r="A784" t="s">
        <v>32</v>
      </c>
      <c r="B784" t="s">
        <v>23</v>
      </c>
      <c r="C784" t="s">
        <v>13</v>
      </c>
      <c r="D784">
        <v>51621</v>
      </c>
      <c r="E784" t="s">
        <v>10</v>
      </c>
      <c r="F784" t="s">
        <v>38</v>
      </c>
      <c r="G784" t="s">
        <v>37</v>
      </c>
    </row>
    <row r="785" spans="1:7" x14ac:dyDescent="0.3">
      <c r="A785" t="s">
        <v>32</v>
      </c>
      <c r="B785" t="s">
        <v>23</v>
      </c>
      <c r="C785" t="s">
        <v>14</v>
      </c>
      <c r="D785">
        <v>49903</v>
      </c>
      <c r="E785" t="s">
        <v>10</v>
      </c>
      <c r="F785" t="s">
        <v>38</v>
      </c>
      <c r="G785" t="s">
        <v>37</v>
      </c>
    </row>
    <row r="786" spans="1:7" x14ac:dyDescent="0.3">
      <c r="A786" t="s">
        <v>32</v>
      </c>
      <c r="B786" t="s">
        <v>23</v>
      </c>
      <c r="C786" t="s">
        <v>15</v>
      </c>
      <c r="D786">
        <v>1854</v>
      </c>
      <c r="E786" t="s">
        <v>10</v>
      </c>
      <c r="F786" t="s">
        <v>38</v>
      </c>
      <c r="G786" t="s">
        <v>37</v>
      </c>
    </row>
    <row r="787" spans="1:7" x14ac:dyDescent="0.3">
      <c r="A787" t="s">
        <v>32</v>
      </c>
      <c r="B787" t="s">
        <v>23</v>
      </c>
      <c r="C787" t="s">
        <v>16</v>
      </c>
      <c r="D787">
        <v>18079</v>
      </c>
      <c r="E787" t="s">
        <v>10</v>
      </c>
      <c r="F787" t="s">
        <v>38</v>
      </c>
      <c r="G787" t="s">
        <v>37</v>
      </c>
    </row>
    <row r="788" spans="1:7" x14ac:dyDescent="0.3">
      <c r="A788" t="s">
        <v>32</v>
      </c>
      <c r="B788" t="s">
        <v>23</v>
      </c>
      <c r="C788" t="s">
        <v>17</v>
      </c>
      <c r="D788">
        <v>1415</v>
      </c>
      <c r="E788" t="s">
        <v>10</v>
      </c>
      <c r="F788" t="s">
        <v>38</v>
      </c>
      <c r="G788" t="s">
        <v>37</v>
      </c>
    </row>
    <row r="789" spans="1:7" x14ac:dyDescent="0.3">
      <c r="A789" t="s">
        <v>32</v>
      </c>
      <c r="B789" t="s">
        <v>23</v>
      </c>
      <c r="C789" t="s">
        <v>18</v>
      </c>
      <c r="D789">
        <v>0</v>
      </c>
      <c r="E789" t="s">
        <v>10</v>
      </c>
      <c r="F789" t="s">
        <v>38</v>
      </c>
      <c r="G789" t="s">
        <v>37</v>
      </c>
    </row>
    <row r="790" spans="1:7" x14ac:dyDescent="0.3">
      <c r="A790" t="s">
        <v>32</v>
      </c>
      <c r="B790" t="s">
        <v>23</v>
      </c>
      <c r="C790" t="s">
        <v>19</v>
      </c>
      <c r="D790">
        <v>7545</v>
      </c>
      <c r="E790" t="s">
        <v>10</v>
      </c>
      <c r="F790" t="s">
        <v>38</v>
      </c>
      <c r="G790" t="s">
        <v>37</v>
      </c>
    </row>
    <row r="791" spans="1:7" x14ac:dyDescent="0.3">
      <c r="A791" t="s">
        <v>32</v>
      </c>
      <c r="B791" t="s">
        <v>23</v>
      </c>
      <c r="C791" t="s">
        <v>20</v>
      </c>
      <c r="D791">
        <v>2723</v>
      </c>
      <c r="E791" t="s">
        <v>10</v>
      </c>
      <c r="F791" t="s">
        <v>38</v>
      </c>
      <c r="G791" t="s">
        <v>37</v>
      </c>
    </row>
    <row r="792" spans="1:7" x14ac:dyDescent="0.3">
      <c r="A792" t="s">
        <v>32</v>
      </c>
      <c r="B792" t="s">
        <v>23</v>
      </c>
      <c r="C792" t="s">
        <v>21</v>
      </c>
      <c r="D792">
        <v>1508</v>
      </c>
      <c r="E792" t="s">
        <v>10</v>
      </c>
      <c r="F792" t="s">
        <v>38</v>
      </c>
      <c r="G792" t="s">
        <v>37</v>
      </c>
    </row>
    <row r="793" spans="1:7" x14ac:dyDescent="0.3">
      <c r="A793" t="s">
        <v>32</v>
      </c>
      <c r="B793" t="s">
        <v>23</v>
      </c>
      <c r="C793" t="s">
        <v>22</v>
      </c>
      <c r="D793">
        <v>415054</v>
      </c>
      <c r="E793" t="s">
        <v>10</v>
      </c>
      <c r="F793" t="s">
        <v>38</v>
      </c>
      <c r="G793" t="s">
        <v>37</v>
      </c>
    </row>
    <row r="794" spans="1:7" x14ac:dyDescent="0.3">
      <c r="A794" t="s">
        <v>33</v>
      </c>
      <c r="B794" t="s">
        <v>8</v>
      </c>
      <c r="C794" t="s">
        <v>9</v>
      </c>
      <c r="D794">
        <v>2585</v>
      </c>
      <c r="E794" t="s">
        <v>10</v>
      </c>
      <c r="F794" t="s">
        <v>38</v>
      </c>
      <c r="G794" t="s">
        <v>37</v>
      </c>
    </row>
    <row r="795" spans="1:7" x14ac:dyDescent="0.3">
      <c r="A795" t="s">
        <v>33</v>
      </c>
      <c r="B795" t="s">
        <v>8</v>
      </c>
      <c r="C795" t="s">
        <v>13</v>
      </c>
      <c r="D795">
        <v>57</v>
      </c>
      <c r="E795" t="s">
        <v>10</v>
      </c>
      <c r="F795" t="s">
        <v>38</v>
      </c>
      <c r="G795" t="s">
        <v>37</v>
      </c>
    </row>
    <row r="796" spans="1:7" x14ac:dyDescent="0.3">
      <c r="A796" t="s">
        <v>33</v>
      </c>
      <c r="B796" t="s">
        <v>8</v>
      </c>
      <c r="C796" t="s">
        <v>14</v>
      </c>
      <c r="D796">
        <v>538076</v>
      </c>
      <c r="E796" t="s">
        <v>10</v>
      </c>
      <c r="F796" t="s">
        <v>38</v>
      </c>
      <c r="G796" t="s">
        <v>37</v>
      </c>
    </row>
    <row r="797" spans="1:7" x14ac:dyDescent="0.3">
      <c r="A797" t="s">
        <v>33</v>
      </c>
      <c r="B797" t="s">
        <v>8</v>
      </c>
      <c r="C797" t="s">
        <v>15</v>
      </c>
      <c r="D797">
        <v>59</v>
      </c>
      <c r="E797" t="s">
        <v>10</v>
      </c>
      <c r="F797" t="s">
        <v>38</v>
      </c>
      <c r="G797" t="s">
        <v>37</v>
      </c>
    </row>
    <row r="798" spans="1:7" x14ac:dyDescent="0.3">
      <c r="A798" t="s">
        <v>33</v>
      </c>
      <c r="B798" t="s">
        <v>8</v>
      </c>
      <c r="C798" t="s">
        <v>16</v>
      </c>
      <c r="D798">
        <v>19805456</v>
      </c>
      <c r="E798" t="s">
        <v>10</v>
      </c>
      <c r="F798" t="s">
        <v>38</v>
      </c>
      <c r="G798" t="s">
        <v>37</v>
      </c>
    </row>
    <row r="799" spans="1:7" x14ac:dyDescent="0.3">
      <c r="A799" t="s">
        <v>33</v>
      </c>
      <c r="B799" t="s">
        <v>8</v>
      </c>
      <c r="C799" t="s">
        <v>17</v>
      </c>
      <c r="D799">
        <v>1738767</v>
      </c>
      <c r="E799" t="s">
        <v>10</v>
      </c>
      <c r="F799" t="s">
        <v>38</v>
      </c>
      <c r="G799" t="s">
        <v>37</v>
      </c>
    </row>
    <row r="800" spans="1:7" x14ac:dyDescent="0.3">
      <c r="A800" t="s">
        <v>33</v>
      </c>
      <c r="B800" t="s">
        <v>8</v>
      </c>
      <c r="C800" t="s">
        <v>18</v>
      </c>
      <c r="D800">
        <v>0</v>
      </c>
      <c r="E800" t="s">
        <v>10</v>
      </c>
      <c r="F800" t="s">
        <v>38</v>
      </c>
      <c r="G800" t="s">
        <v>37</v>
      </c>
    </row>
    <row r="801" spans="1:7" x14ac:dyDescent="0.3">
      <c r="A801" t="s">
        <v>33</v>
      </c>
      <c r="B801" t="s">
        <v>8</v>
      </c>
      <c r="C801" t="s">
        <v>19</v>
      </c>
      <c r="D801">
        <v>10</v>
      </c>
      <c r="E801" t="s">
        <v>10</v>
      </c>
      <c r="F801" t="s">
        <v>38</v>
      </c>
      <c r="G801" t="s">
        <v>37</v>
      </c>
    </row>
    <row r="802" spans="1:7" x14ac:dyDescent="0.3">
      <c r="A802" t="s">
        <v>33</v>
      </c>
      <c r="B802" t="s">
        <v>8</v>
      </c>
      <c r="C802" t="s">
        <v>20</v>
      </c>
      <c r="D802">
        <v>361</v>
      </c>
      <c r="E802" t="s">
        <v>10</v>
      </c>
      <c r="F802" t="s">
        <v>38</v>
      </c>
      <c r="G802" t="s">
        <v>37</v>
      </c>
    </row>
    <row r="803" spans="1:7" x14ac:dyDescent="0.3">
      <c r="A803" t="s">
        <v>33</v>
      </c>
      <c r="B803" t="s">
        <v>8</v>
      </c>
      <c r="C803" t="s">
        <v>21</v>
      </c>
      <c r="D803">
        <v>667</v>
      </c>
      <c r="E803" t="s">
        <v>10</v>
      </c>
      <c r="F803" t="s">
        <v>38</v>
      </c>
      <c r="G803" t="s">
        <v>37</v>
      </c>
    </row>
    <row r="804" spans="1:7" x14ac:dyDescent="0.3">
      <c r="A804" t="s">
        <v>33</v>
      </c>
      <c r="B804" t="s">
        <v>8</v>
      </c>
      <c r="C804" t="s">
        <v>22</v>
      </c>
      <c r="D804">
        <v>739</v>
      </c>
      <c r="E804" t="s">
        <v>10</v>
      </c>
      <c r="F804" t="s">
        <v>38</v>
      </c>
      <c r="G804" t="s">
        <v>37</v>
      </c>
    </row>
    <row r="805" spans="1:7" x14ac:dyDescent="0.3">
      <c r="A805" t="s">
        <v>33</v>
      </c>
      <c r="B805" t="s">
        <v>23</v>
      </c>
      <c r="C805" t="s">
        <v>9</v>
      </c>
      <c r="D805">
        <v>35199</v>
      </c>
      <c r="E805" t="s">
        <v>10</v>
      </c>
      <c r="F805" t="s">
        <v>38</v>
      </c>
      <c r="G805" t="s">
        <v>37</v>
      </c>
    </row>
    <row r="806" spans="1:7" x14ac:dyDescent="0.3">
      <c r="A806" t="s">
        <v>33</v>
      </c>
      <c r="B806" t="s">
        <v>23</v>
      </c>
      <c r="C806" t="s">
        <v>13</v>
      </c>
      <c r="D806">
        <v>9496</v>
      </c>
      <c r="E806" t="s">
        <v>10</v>
      </c>
      <c r="F806" t="s">
        <v>38</v>
      </c>
      <c r="G806" t="s">
        <v>37</v>
      </c>
    </row>
    <row r="807" spans="1:7" x14ac:dyDescent="0.3">
      <c r="A807" t="s">
        <v>33</v>
      </c>
      <c r="B807" t="s">
        <v>23</v>
      </c>
      <c r="C807" t="s">
        <v>14</v>
      </c>
      <c r="D807">
        <v>176598</v>
      </c>
      <c r="E807" t="s">
        <v>10</v>
      </c>
      <c r="F807" t="s">
        <v>38</v>
      </c>
      <c r="G807" t="s">
        <v>37</v>
      </c>
    </row>
    <row r="808" spans="1:7" x14ac:dyDescent="0.3">
      <c r="A808" t="s">
        <v>33</v>
      </c>
      <c r="B808" t="s">
        <v>23</v>
      </c>
      <c r="C808" t="s">
        <v>15</v>
      </c>
      <c r="D808">
        <v>1654</v>
      </c>
      <c r="E808" t="s">
        <v>10</v>
      </c>
      <c r="F808" t="s">
        <v>38</v>
      </c>
      <c r="G808" t="s">
        <v>37</v>
      </c>
    </row>
    <row r="809" spans="1:7" x14ac:dyDescent="0.3">
      <c r="A809" t="s">
        <v>33</v>
      </c>
      <c r="B809" t="s">
        <v>23</v>
      </c>
      <c r="C809" t="s">
        <v>16</v>
      </c>
      <c r="D809">
        <v>13140899</v>
      </c>
      <c r="E809" t="s">
        <v>10</v>
      </c>
      <c r="F809" t="s">
        <v>38</v>
      </c>
      <c r="G809" t="s">
        <v>37</v>
      </c>
    </row>
    <row r="810" spans="1:7" x14ac:dyDescent="0.3">
      <c r="A810" t="s">
        <v>33</v>
      </c>
      <c r="B810" t="s">
        <v>23</v>
      </c>
      <c r="C810" t="s">
        <v>17</v>
      </c>
      <c r="D810">
        <v>222234</v>
      </c>
      <c r="E810" t="s">
        <v>10</v>
      </c>
      <c r="F810" t="s">
        <v>38</v>
      </c>
      <c r="G810" t="s">
        <v>37</v>
      </c>
    </row>
    <row r="811" spans="1:7" x14ac:dyDescent="0.3">
      <c r="A811" t="s">
        <v>33</v>
      </c>
      <c r="B811" t="s">
        <v>23</v>
      </c>
      <c r="C811" t="s">
        <v>18</v>
      </c>
      <c r="D811">
        <v>97</v>
      </c>
      <c r="E811" t="s">
        <v>10</v>
      </c>
      <c r="F811" t="s">
        <v>38</v>
      </c>
      <c r="G811" t="s">
        <v>37</v>
      </c>
    </row>
    <row r="812" spans="1:7" x14ac:dyDescent="0.3">
      <c r="A812" t="s">
        <v>33</v>
      </c>
      <c r="B812" t="s">
        <v>23</v>
      </c>
      <c r="C812" t="s">
        <v>19</v>
      </c>
      <c r="D812">
        <v>2279</v>
      </c>
      <c r="E812" t="s">
        <v>10</v>
      </c>
      <c r="F812" t="s">
        <v>38</v>
      </c>
      <c r="G812" t="s">
        <v>37</v>
      </c>
    </row>
    <row r="813" spans="1:7" x14ac:dyDescent="0.3">
      <c r="A813" t="s">
        <v>33</v>
      </c>
      <c r="B813" t="s">
        <v>23</v>
      </c>
      <c r="C813" t="s">
        <v>20</v>
      </c>
      <c r="D813">
        <v>25900</v>
      </c>
      <c r="E813" t="s">
        <v>10</v>
      </c>
      <c r="F813" t="s">
        <v>38</v>
      </c>
      <c r="G813" t="s">
        <v>37</v>
      </c>
    </row>
    <row r="814" spans="1:7" x14ac:dyDescent="0.3">
      <c r="A814" t="s">
        <v>33</v>
      </c>
      <c r="B814" t="s">
        <v>23</v>
      </c>
      <c r="C814" t="s">
        <v>21</v>
      </c>
      <c r="D814">
        <v>3635</v>
      </c>
      <c r="E814" t="s">
        <v>10</v>
      </c>
      <c r="F814" t="s">
        <v>38</v>
      </c>
      <c r="G814" t="s">
        <v>37</v>
      </c>
    </row>
    <row r="815" spans="1:7" x14ac:dyDescent="0.3">
      <c r="A815" t="s">
        <v>33</v>
      </c>
      <c r="B815" t="s">
        <v>23</v>
      </c>
      <c r="C815" t="s">
        <v>22</v>
      </c>
      <c r="D815">
        <v>8361</v>
      </c>
      <c r="E815" t="s">
        <v>10</v>
      </c>
      <c r="F815" t="s">
        <v>38</v>
      </c>
      <c r="G815" t="s">
        <v>37</v>
      </c>
    </row>
    <row r="816" spans="1:7" x14ac:dyDescent="0.3">
      <c r="A816" t="s">
        <v>34</v>
      </c>
      <c r="B816" t="s">
        <v>8</v>
      </c>
      <c r="C816" t="s">
        <v>9</v>
      </c>
      <c r="D816">
        <v>48</v>
      </c>
      <c r="E816" t="s">
        <v>10</v>
      </c>
      <c r="F816" t="s">
        <v>38</v>
      </c>
      <c r="G816" t="s">
        <v>37</v>
      </c>
    </row>
    <row r="817" spans="1:7" x14ac:dyDescent="0.3">
      <c r="A817" t="s">
        <v>34</v>
      </c>
      <c r="B817" t="s">
        <v>8</v>
      </c>
      <c r="C817" t="s">
        <v>13</v>
      </c>
      <c r="D817">
        <v>6839</v>
      </c>
      <c r="E817" t="s">
        <v>10</v>
      </c>
      <c r="F817" t="s">
        <v>38</v>
      </c>
      <c r="G817" t="s">
        <v>37</v>
      </c>
    </row>
    <row r="818" spans="1:7" x14ac:dyDescent="0.3">
      <c r="A818" t="s">
        <v>34</v>
      </c>
      <c r="B818" t="s">
        <v>8</v>
      </c>
      <c r="C818" t="s">
        <v>14</v>
      </c>
      <c r="D818">
        <v>290</v>
      </c>
      <c r="E818" t="s">
        <v>10</v>
      </c>
      <c r="F818" t="s">
        <v>38</v>
      </c>
      <c r="G818" t="s">
        <v>37</v>
      </c>
    </row>
    <row r="819" spans="1:7" x14ac:dyDescent="0.3">
      <c r="A819" t="s">
        <v>34</v>
      </c>
      <c r="B819" t="s">
        <v>8</v>
      </c>
      <c r="C819" t="s">
        <v>15</v>
      </c>
      <c r="D819">
        <v>14</v>
      </c>
      <c r="E819" t="s">
        <v>10</v>
      </c>
      <c r="F819" t="s">
        <v>38</v>
      </c>
      <c r="G819" t="s">
        <v>37</v>
      </c>
    </row>
    <row r="820" spans="1:7" x14ac:dyDescent="0.3">
      <c r="A820" t="s">
        <v>34</v>
      </c>
      <c r="B820" t="s">
        <v>8</v>
      </c>
      <c r="C820" t="s">
        <v>16</v>
      </c>
      <c r="D820">
        <v>145</v>
      </c>
      <c r="E820" t="s">
        <v>10</v>
      </c>
      <c r="F820" t="s">
        <v>38</v>
      </c>
      <c r="G820" t="s">
        <v>37</v>
      </c>
    </row>
    <row r="821" spans="1:7" x14ac:dyDescent="0.3">
      <c r="A821" t="s">
        <v>34</v>
      </c>
      <c r="B821" t="s">
        <v>8</v>
      </c>
      <c r="C821" t="s">
        <v>17</v>
      </c>
      <c r="D821">
        <v>55</v>
      </c>
      <c r="E821" t="s">
        <v>10</v>
      </c>
      <c r="F821" t="s">
        <v>38</v>
      </c>
      <c r="G821" t="s">
        <v>37</v>
      </c>
    </row>
    <row r="822" spans="1:7" x14ac:dyDescent="0.3">
      <c r="A822" t="s">
        <v>34</v>
      </c>
      <c r="B822" t="s">
        <v>8</v>
      </c>
      <c r="C822" t="s">
        <v>18</v>
      </c>
      <c r="D822">
        <v>0</v>
      </c>
      <c r="E822" t="s">
        <v>10</v>
      </c>
      <c r="F822" t="s">
        <v>38</v>
      </c>
      <c r="G822" t="s">
        <v>37</v>
      </c>
    </row>
    <row r="823" spans="1:7" x14ac:dyDescent="0.3">
      <c r="A823" t="s">
        <v>34</v>
      </c>
      <c r="B823" t="s">
        <v>8</v>
      </c>
      <c r="C823" t="s">
        <v>19</v>
      </c>
      <c r="D823">
        <v>2</v>
      </c>
      <c r="E823" t="s">
        <v>10</v>
      </c>
      <c r="F823" t="s">
        <v>38</v>
      </c>
      <c r="G823" t="s">
        <v>37</v>
      </c>
    </row>
    <row r="824" spans="1:7" x14ac:dyDescent="0.3">
      <c r="A824" t="s">
        <v>34</v>
      </c>
      <c r="B824" t="s">
        <v>8</v>
      </c>
      <c r="C824" t="s">
        <v>20</v>
      </c>
      <c r="D824">
        <v>54</v>
      </c>
      <c r="E824" t="s">
        <v>10</v>
      </c>
      <c r="F824" t="s">
        <v>38</v>
      </c>
      <c r="G824" t="s">
        <v>37</v>
      </c>
    </row>
    <row r="825" spans="1:7" x14ac:dyDescent="0.3">
      <c r="A825" t="s">
        <v>34</v>
      </c>
      <c r="B825" t="s">
        <v>8</v>
      </c>
      <c r="C825" t="s">
        <v>21</v>
      </c>
      <c r="D825">
        <v>117</v>
      </c>
      <c r="E825" t="s">
        <v>10</v>
      </c>
      <c r="F825" t="s">
        <v>38</v>
      </c>
      <c r="G825" t="s">
        <v>37</v>
      </c>
    </row>
    <row r="826" spans="1:7" x14ac:dyDescent="0.3">
      <c r="A826" t="s">
        <v>34</v>
      </c>
      <c r="B826" t="s">
        <v>8</v>
      </c>
      <c r="C826" t="s">
        <v>22</v>
      </c>
      <c r="D826">
        <v>721354</v>
      </c>
      <c r="E826" t="s">
        <v>10</v>
      </c>
      <c r="F826" t="s">
        <v>38</v>
      </c>
      <c r="G826" t="s">
        <v>37</v>
      </c>
    </row>
    <row r="827" spans="1:7" x14ac:dyDescent="0.3">
      <c r="A827" t="s">
        <v>34</v>
      </c>
      <c r="B827" t="s">
        <v>23</v>
      </c>
      <c r="C827" t="s">
        <v>9</v>
      </c>
      <c r="D827">
        <v>17954</v>
      </c>
      <c r="E827" t="s">
        <v>10</v>
      </c>
      <c r="F827" t="s">
        <v>38</v>
      </c>
      <c r="G827" t="s">
        <v>37</v>
      </c>
    </row>
    <row r="828" spans="1:7" x14ac:dyDescent="0.3">
      <c r="A828" t="s">
        <v>34</v>
      </c>
      <c r="B828" t="s">
        <v>23</v>
      </c>
      <c r="C828" t="s">
        <v>13</v>
      </c>
      <c r="D828">
        <v>129052</v>
      </c>
      <c r="E828" t="s">
        <v>10</v>
      </c>
      <c r="F828" t="s">
        <v>38</v>
      </c>
      <c r="G828" t="s">
        <v>37</v>
      </c>
    </row>
    <row r="829" spans="1:7" x14ac:dyDescent="0.3">
      <c r="A829" t="s">
        <v>34</v>
      </c>
      <c r="B829" t="s">
        <v>23</v>
      </c>
      <c r="C829" t="s">
        <v>14</v>
      </c>
      <c r="D829">
        <v>124757</v>
      </c>
      <c r="E829" t="s">
        <v>10</v>
      </c>
      <c r="F829" t="s">
        <v>38</v>
      </c>
      <c r="G829" t="s">
        <v>37</v>
      </c>
    </row>
    <row r="830" spans="1:7" x14ac:dyDescent="0.3">
      <c r="A830" t="s">
        <v>34</v>
      </c>
      <c r="B830" t="s">
        <v>23</v>
      </c>
      <c r="C830" t="s">
        <v>15</v>
      </c>
      <c r="D830">
        <v>4634</v>
      </c>
      <c r="E830" t="s">
        <v>10</v>
      </c>
      <c r="F830" t="s">
        <v>38</v>
      </c>
      <c r="G830" t="s">
        <v>37</v>
      </c>
    </row>
    <row r="831" spans="1:7" x14ac:dyDescent="0.3">
      <c r="A831" t="s">
        <v>34</v>
      </c>
      <c r="B831" t="s">
        <v>23</v>
      </c>
      <c r="C831" t="s">
        <v>16</v>
      </c>
      <c r="D831">
        <v>45199</v>
      </c>
      <c r="E831" t="s">
        <v>10</v>
      </c>
      <c r="F831" t="s">
        <v>38</v>
      </c>
      <c r="G831" t="s">
        <v>37</v>
      </c>
    </row>
    <row r="832" spans="1:7" x14ac:dyDescent="0.3">
      <c r="A832" t="s">
        <v>34</v>
      </c>
      <c r="B832" t="s">
        <v>23</v>
      </c>
      <c r="C832" t="s">
        <v>17</v>
      </c>
      <c r="D832">
        <v>3538</v>
      </c>
      <c r="E832" t="s">
        <v>10</v>
      </c>
      <c r="F832" t="s">
        <v>38</v>
      </c>
      <c r="G832" t="s">
        <v>37</v>
      </c>
    </row>
    <row r="833" spans="1:7" x14ac:dyDescent="0.3">
      <c r="A833" t="s">
        <v>34</v>
      </c>
      <c r="B833" t="s">
        <v>23</v>
      </c>
      <c r="C833" t="s">
        <v>18</v>
      </c>
      <c r="D833">
        <v>0</v>
      </c>
      <c r="E833" t="s">
        <v>10</v>
      </c>
      <c r="F833" t="s">
        <v>38</v>
      </c>
      <c r="G833" t="s">
        <v>37</v>
      </c>
    </row>
    <row r="834" spans="1:7" x14ac:dyDescent="0.3">
      <c r="A834" t="s">
        <v>34</v>
      </c>
      <c r="B834" t="s">
        <v>23</v>
      </c>
      <c r="C834" t="s">
        <v>19</v>
      </c>
      <c r="D834">
        <v>18863</v>
      </c>
      <c r="E834" t="s">
        <v>10</v>
      </c>
      <c r="F834" t="s">
        <v>38</v>
      </c>
      <c r="G834" t="s">
        <v>37</v>
      </c>
    </row>
    <row r="835" spans="1:7" x14ac:dyDescent="0.3">
      <c r="A835" t="s">
        <v>34</v>
      </c>
      <c r="B835" t="s">
        <v>23</v>
      </c>
      <c r="C835" t="s">
        <v>20</v>
      </c>
      <c r="D835">
        <v>6807</v>
      </c>
      <c r="E835" t="s">
        <v>10</v>
      </c>
      <c r="F835" t="s">
        <v>38</v>
      </c>
      <c r="G835" t="s">
        <v>37</v>
      </c>
    </row>
    <row r="836" spans="1:7" x14ac:dyDescent="0.3">
      <c r="A836" t="s">
        <v>34</v>
      </c>
      <c r="B836" t="s">
        <v>23</v>
      </c>
      <c r="C836" t="s">
        <v>21</v>
      </c>
      <c r="D836">
        <v>3770</v>
      </c>
      <c r="E836" t="s">
        <v>10</v>
      </c>
      <c r="F836" t="s">
        <v>38</v>
      </c>
      <c r="G836" t="s">
        <v>37</v>
      </c>
    </row>
    <row r="837" spans="1:7" x14ac:dyDescent="0.3">
      <c r="A837" t="s">
        <v>34</v>
      </c>
      <c r="B837" t="s">
        <v>23</v>
      </c>
      <c r="C837" t="s">
        <v>22</v>
      </c>
      <c r="D837">
        <v>1037636</v>
      </c>
      <c r="E837" t="s">
        <v>10</v>
      </c>
      <c r="F837" t="s">
        <v>38</v>
      </c>
      <c r="G837" t="s">
        <v>37</v>
      </c>
    </row>
    <row r="838" spans="1:7" x14ac:dyDescent="0.3">
      <c r="A838" t="s">
        <v>35</v>
      </c>
      <c r="B838" t="s">
        <v>8</v>
      </c>
      <c r="C838" t="s">
        <v>9</v>
      </c>
      <c r="D838">
        <v>20</v>
      </c>
      <c r="E838" t="s">
        <v>10</v>
      </c>
      <c r="F838" t="s">
        <v>38</v>
      </c>
      <c r="G838" t="s">
        <v>37</v>
      </c>
    </row>
    <row r="839" spans="1:7" x14ac:dyDescent="0.3">
      <c r="A839" t="s">
        <v>35</v>
      </c>
      <c r="B839" t="s">
        <v>8</v>
      </c>
      <c r="C839" t="s">
        <v>13</v>
      </c>
      <c r="D839">
        <v>2862</v>
      </c>
      <c r="E839" t="s">
        <v>10</v>
      </c>
      <c r="F839" t="s">
        <v>38</v>
      </c>
      <c r="G839" t="s">
        <v>37</v>
      </c>
    </row>
    <row r="840" spans="1:7" x14ac:dyDescent="0.3">
      <c r="A840" t="s">
        <v>35</v>
      </c>
      <c r="B840" t="s">
        <v>8</v>
      </c>
      <c r="C840" t="s">
        <v>14</v>
      </c>
      <c r="D840">
        <v>121</v>
      </c>
      <c r="E840" t="s">
        <v>10</v>
      </c>
      <c r="F840" t="s">
        <v>38</v>
      </c>
      <c r="G840" t="s">
        <v>37</v>
      </c>
    </row>
    <row r="841" spans="1:7" x14ac:dyDescent="0.3">
      <c r="A841" t="s">
        <v>35</v>
      </c>
      <c r="B841" t="s">
        <v>8</v>
      </c>
      <c r="C841" t="s">
        <v>15</v>
      </c>
      <c r="D841">
        <v>6</v>
      </c>
      <c r="E841" t="s">
        <v>10</v>
      </c>
      <c r="F841" t="s">
        <v>38</v>
      </c>
      <c r="G841" t="s">
        <v>37</v>
      </c>
    </row>
    <row r="842" spans="1:7" x14ac:dyDescent="0.3">
      <c r="A842" t="s">
        <v>35</v>
      </c>
      <c r="B842" t="s">
        <v>8</v>
      </c>
      <c r="C842" t="s">
        <v>16</v>
      </c>
      <c r="D842">
        <v>61</v>
      </c>
      <c r="E842" t="s">
        <v>10</v>
      </c>
      <c r="F842" t="s">
        <v>38</v>
      </c>
      <c r="G842" t="s">
        <v>37</v>
      </c>
    </row>
    <row r="843" spans="1:7" x14ac:dyDescent="0.3">
      <c r="A843" t="s">
        <v>35</v>
      </c>
      <c r="B843" t="s">
        <v>8</v>
      </c>
      <c r="C843" t="s">
        <v>17</v>
      </c>
      <c r="D843">
        <v>23</v>
      </c>
      <c r="E843" t="s">
        <v>10</v>
      </c>
      <c r="F843" t="s">
        <v>38</v>
      </c>
      <c r="G843" t="s">
        <v>37</v>
      </c>
    </row>
    <row r="844" spans="1:7" x14ac:dyDescent="0.3">
      <c r="A844" t="s">
        <v>35</v>
      </c>
      <c r="B844" t="s">
        <v>8</v>
      </c>
      <c r="C844" t="s">
        <v>18</v>
      </c>
      <c r="D844">
        <v>0</v>
      </c>
      <c r="E844" t="s">
        <v>10</v>
      </c>
      <c r="F844" t="s">
        <v>38</v>
      </c>
      <c r="G844" t="s">
        <v>37</v>
      </c>
    </row>
    <row r="845" spans="1:7" x14ac:dyDescent="0.3">
      <c r="A845" t="s">
        <v>35</v>
      </c>
      <c r="B845" t="s">
        <v>8</v>
      </c>
      <c r="C845" t="s">
        <v>19</v>
      </c>
      <c r="D845">
        <v>0</v>
      </c>
      <c r="E845" t="s">
        <v>10</v>
      </c>
      <c r="F845" t="s">
        <v>38</v>
      </c>
      <c r="G845" t="s">
        <v>37</v>
      </c>
    </row>
    <row r="846" spans="1:7" x14ac:dyDescent="0.3">
      <c r="A846" t="s">
        <v>35</v>
      </c>
      <c r="B846" t="s">
        <v>8</v>
      </c>
      <c r="C846" t="s">
        <v>20</v>
      </c>
      <c r="D846">
        <v>22</v>
      </c>
      <c r="E846" t="s">
        <v>10</v>
      </c>
      <c r="F846" t="s">
        <v>38</v>
      </c>
      <c r="G846" t="s">
        <v>37</v>
      </c>
    </row>
    <row r="847" spans="1:7" x14ac:dyDescent="0.3">
      <c r="A847" t="s">
        <v>35</v>
      </c>
      <c r="B847" t="s">
        <v>8</v>
      </c>
      <c r="C847" t="s">
        <v>21</v>
      </c>
      <c r="D847">
        <v>49</v>
      </c>
      <c r="E847" t="s">
        <v>10</v>
      </c>
      <c r="F847" t="s">
        <v>38</v>
      </c>
      <c r="G847" t="s">
        <v>37</v>
      </c>
    </row>
    <row r="848" spans="1:7" x14ac:dyDescent="0.3">
      <c r="A848" t="s">
        <v>35</v>
      </c>
      <c r="B848" t="s">
        <v>8</v>
      </c>
      <c r="C848" t="s">
        <v>22</v>
      </c>
      <c r="D848">
        <v>301859</v>
      </c>
      <c r="E848" t="s">
        <v>10</v>
      </c>
      <c r="F848" t="s">
        <v>38</v>
      </c>
      <c r="G848" t="s">
        <v>37</v>
      </c>
    </row>
    <row r="849" spans="1:7" x14ac:dyDescent="0.3">
      <c r="A849" t="s">
        <v>35</v>
      </c>
      <c r="B849" t="s">
        <v>23</v>
      </c>
      <c r="C849" t="s">
        <v>9</v>
      </c>
      <c r="D849">
        <v>7513</v>
      </c>
      <c r="E849" t="s">
        <v>10</v>
      </c>
      <c r="F849" t="s">
        <v>38</v>
      </c>
      <c r="G849" t="s">
        <v>37</v>
      </c>
    </row>
    <row r="850" spans="1:7" x14ac:dyDescent="0.3">
      <c r="A850" t="s">
        <v>35</v>
      </c>
      <c r="B850" t="s">
        <v>23</v>
      </c>
      <c r="C850" t="s">
        <v>13</v>
      </c>
      <c r="D850">
        <v>54003</v>
      </c>
      <c r="E850" t="s">
        <v>10</v>
      </c>
      <c r="F850" t="s">
        <v>38</v>
      </c>
      <c r="G850" t="s">
        <v>37</v>
      </c>
    </row>
    <row r="851" spans="1:7" x14ac:dyDescent="0.3">
      <c r="A851" t="s">
        <v>35</v>
      </c>
      <c r="B851" t="s">
        <v>23</v>
      </c>
      <c r="C851" t="s">
        <v>14</v>
      </c>
      <c r="D851">
        <v>52206</v>
      </c>
      <c r="E851" t="s">
        <v>10</v>
      </c>
      <c r="F851" t="s">
        <v>38</v>
      </c>
      <c r="G851" t="s">
        <v>37</v>
      </c>
    </row>
    <row r="852" spans="1:7" x14ac:dyDescent="0.3">
      <c r="A852" t="s">
        <v>35</v>
      </c>
      <c r="B852" t="s">
        <v>23</v>
      </c>
      <c r="C852" t="s">
        <v>15</v>
      </c>
      <c r="D852">
        <v>1939</v>
      </c>
      <c r="E852" t="s">
        <v>10</v>
      </c>
      <c r="F852" t="s">
        <v>38</v>
      </c>
      <c r="G852" t="s">
        <v>37</v>
      </c>
    </row>
    <row r="853" spans="1:7" x14ac:dyDescent="0.3">
      <c r="A853" t="s">
        <v>35</v>
      </c>
      <c r="B853" t="s">
        <v>23</v>
      </c>
      <c r="C853" t="s">
        <v>16</v>
      </c>
      <c r="D853">
        <v>18914</v>
      </c>
      <c r="E853" t="s">
        <v>10</v>
      </c>
      <c r="F853" t="s">
        <v>38</v>
      </c>
      <c r="G853" t="s">
        <v>37</v>
      </c>
    </row>
    <row r="854" spans="1:7" x14ac:dyDescent="0.3">
      <c r="A854" t="s">
        <v>35</v>
      </c>
      <c r="B854" t="s">
        <v>23</v>
      </c>
      <c r="C854" t="s">
        <v>17</v>
      </c>
      <c r="D854">
        <v>1481</v>
      </c>
      <c r="E854" t="s">
        <v>10</v>
      </c>
      <c r="F854" t="s">
        <v>38</v>
      </c>
      <c r="G854" t="s">
        <v>37</v>
      </c>
    </row>
    <row r="855" spans="1:7" x14ac:dyDescent="0.3">
      <c r="A855" t="s">
        <v>35</v>
      </c>
      <c r="B855" t="s">
        <v>23</v>
      </c>
      <c r="C855" t="s">
        <v>18</v>
      </c>
      <c r="D855">
        <v>0</v>
      </c>
      <c r="E855" t="s">
        <v>10</v>
      </c>
      <c r="F855" t="s">
        <v>38</v>
      </c>
      <c r="G855" t="s">
        <v>37</v>
      </c>
    </row>
    <row r="856" spans="1:7" x14ac:dyDescent="0.3">
      <c r="A856" t="s">
        <v>35</v>
      </c>
      <c r="B856" t="s">
        <v>23</v>
      </c>
      <c r="C856" t="s">
        <v>19</v>
      </c>
      <c r="D856">
        <v>7893</v>
      </c>
      <c r="E856" t="s">
        <v>10</v>
      </c>
      <c r="F856" t="s">
        <v>38</v>
      </c>
      <c r="G856" t="s">
        <v>37</v>
      </c>
    </row>
    <row r="857" spans="1:7" x14ac:dyDescent="0.3">
      <c r="A857" t="s">
        <v>35</v>
      </c>
      <c r="B857" t="s">
        <v>23</v>
      </c>
      <c r="C857" t="s">
        <v>20</v>
      </c>
      <c r="D857">
        <v>2848</v>
      </c>
      <c r="E857" t="s">
        <v>10</v>
      </c>
      <c r="F857" t="s">
        <v>38</v>
      </c>
      <c r="G857" t="s">
        <v>37</v>
      </c>
    </row>
    <row r="858" spans="1:7" x14ac:dyDescent="0.3">
      <c r="A858" t="s">
        <v>35</v>
      </c>
      <c r="B858" t="s">
        <v>23</v>
      </c>
      <c r="C858" t="s">
        <v>21</v>
      </c>
      <c r="D858">
        <v>1578</v>
      </c>
      <c r="E858" t="s">
        <v>10</v>
      </c>
      <c r="F858" t="s">
        <v>38</v>
      </c>
      <c r="G858" t="s">
        <v>37</v>
      </c>
    </row>
    <row r="859" spans="1:7" x14ac:dyDescent="0.3">
      <c r="A859" t="s">
        <v>35</v>
      </c>
      <c r="B859" t="s">
        <v>23</v>
      </c>
      <c r="C859" t="s">
        <v>22</v>
      </c>
      <c r="D859">
        <v>434211</v>
      </c>
      <c r="E859" t="s">
        <v>10</v>
      </c>
      <c r="F859" t="s">
        <v>38</v>
      </c>
      <c r="G859" t="s">
        <v>37</v>
      </c>
    </row>
    <row r="860" spans="1:7" x14ac:dyDescent="0.3">
      <c r="A860" t="s">
        <v>7</v>
      </c>
      <c r="B860" t="s">
        <v>8</v>
      </c>
      <c r="C860" t="s">
        <v>9</v>
      </c>
      <c r="D860">
        <v>0</v>
      </c>
      <c r="E860" t="s">
        <v>10</v>
      </c>
      <c r="F860" t="s">
        <v>39</v>
      </c>
      <c r="G860" t="s">
        <v>40</v>
      </c>
    </row>
    <row r="861" spans="1:7" x14ac:dyDescent="0.3">
      <c r="A861" t="s">
        <v>7</v>
      </c>
      <c r="B861" t="s">
        <v>8</v>
      </c>
      <c r="C861" t="s">
        <v>13</v>
      </c>
      <c r="D861">
        <v>47</v>
      </c>
      <c r="E861" t="s">
        <v>10</v>
      </c>
      <c r="F861" t="s">
        <v>39</v>
      </c>
      <c r="G861" t="s">
        <v>40</v>
      </c>
    </row>
    <row r="862" spans="1:7" x14ac:dyDescent="0.3">
      <c r="A862" t="s">
        <v>7</v>
      </c>
      <c r="B862" t="s">
        <v>8</v>
      </c>
      <c r="C862" t="s">
        <v>14</v>
      </c>
      <c r="D862">
        <v>0</v>
      </c>
      <c r="E862" t="s">
        <v>10</v>
      </c>
      <c r="F862" t="s">
        <v>39</v>
      </c>
      <c r="G862" t="s">
        <v>40</v>
      </c>
    </row>
    <row r="863" spans="1:7" x14ac:dyDescent="0.3">
      <c r="A863" t="s">
        <v>7</v>
      </c>
      <c r="B863" t="s">
        <v>8</v>
      </c>
      <c r="C863" t="s">
        <v>15</v>
      </c>
      <c r="D863">
        <v>0</v>
      </c>
      <c r="E863" t="s">
        <v>10</v>
      </c>
      <c r="F863" t="s">
        <v>39</v>
      </c>
      <c r="G863" t="s">
        <v>40</v>
      </c>
    </row>
    <row r="864" spans="1:7" x14ac:dyDescent="0.3">
      <c r="A864" t="s">
        <v>7</v>
      </c>
      <c r="B864" t="s">
        <v>8</v>
      </c>
      <c r="C864" t="s">
        <v>16</v>
      </c>
      <c r="D864">
        <v>1</v>
      </c>
      <c r="E864" t="s">
        <v>10</v>
      </c>
      <c r="F864" t="s">
        <v>39</v>
      </c>
      <c r="G864" t="s">
        <v>40</v>
      </c>
    </row>
    <row r="865" spans="1:7" x14ac:dyDescent="0.3">
      <c r="A865" t="s">
        <v>7</v>
      </c>
      <c r="B865" t="s">
        <v>8</v>
      </c>
      <c r="C865" t="s">
        <v>17</v>
      </c>
      <c r="D865">
        <v>0</v>
      </c>
      <c r="E865" t="s">
        <v>10</v>
      </c>
      <c r="F865" t="s">
        <v>39</v>
      </c>
      <c r="G865" t="s">
        <v>40</v>
      </c>
    </row>
    <row r="866" spans="1:7" x14ac:dyDescent="0.3">
      <c r="A866" t="s">
        <v>7</v>
      </c>
      <c r="B866" t="s">
        <v>8</v>
      </c>
      <c r="C866" t="s">
        <v>18</v>
      </c>
      <c r="D866">
        <v>0</v>
      </c>
      <c r="E866" t="s">
        <v>10</v>
      </c>
      <c r="F866" t="s">
        <v>39</v>
      </c>
      <c r="G866" t="s">
        <v>40</v>
      </c>
    </row>
    <row r="867" spans="1:7" x14ac:dyDescent="0.3">
      <c r="A867" t="s">
        <v>7</v>
      </c>
      <c r="B867" t="s">
        <v>8</v>
      </c>
      <c r="C867" t="s">
        <v>19</v>
      </c>
      <c r="D867">
        <v>0</v>
      </c>
      <c r="E867" t="s">
        <v>10</v>
      </c>
      <c r="F867" t="s">
        <v>39</v>
      </c>
      <c r="G867" t="s">
        <v>40</v>
      </c>
    </row>
    <row r="868" spans="1:7" x14ac:dyDescent="0.3">
      <c r="A868" t="s">
        <v>7</v>
      </c>
      <c r="B868" t="s">
        <v>8</v>
      </c>
      <c r="C868" t="s">
        <v>20</v>
      </c>
      <c r="D868">
        <v>0</v>
      </c>
      <c r="E868" t="s">
        <v>10</v>
      </c>
      <c r="F868" t="s">
        <v>39</v>
      </c>
      <c r="G868" t="s">
        <v>40</v>
      </c>
    </row>
    <row r="869" spans="1:7" x14ac:dyDescent="0.3">
      <c r="A869" t="s">
        <v>7</v>
      </c>
      <c r="B869" t="s">
        <v>8</v>
      </c>
      <c r="C869" t="s">
        <v>21</v>
      </c>
      <c r="D869">
        <v>0</v>
      </c>
      <c r="E869" t="s">
        <v>10</v>
      </c>
      <c r="F869" t="s">
        <v>39</v>
      </c>
      <c r="G869" t="s">
        <v>40</v>
      </c>
    </row>
    <row r="870" spans="1:7" x14ac:dyDescent="0.3">
      <c r="A870" t="s">
        <v>7</v>
      </c>
      <c r="B870" t="s">
        <v>8</v>
      </c>
      <c r="C870" t="s">
        <v>22</v>
      </c>
      <c r="D870">
        <v>62605</v>
      </c>
      <c r="E870" t="s">
        <v>10</v>
      </c>
      <c r="F870" t="s">
        <v>39</v>
      </c>
      <c r="G870" t="s">
        <v>40</v>
      </c>
    </row>
    <row r="871" spans="1:7" x14ac:dyDescent="0.3">
      <c r="A871" t="s">
        <v>7</v>
      </c>
      <c r="B871" t="s">
        <v>23</v>
      </c>
      <c r="C871" t="s">
        <v>9</v>
      </c>
      <c r="D871">
        <v>217</v>
      </c>
      <c r="E871" t="s">
        <v>10</v>
      </c>
      <c r="F871" t="s">
        <v>39</v>
      </c>
      <c r="G871" t="s">
        <v>40</v>
      </c>
    </row>
    <row r="872" spans="1:7" x14ac:dyDescent="0.3">
      <c r="A872" t="s">
        <v>7</v>
      </c>
      <c r="B872" t="s">
        <v>23</v>
      </c>
      <c r="C872" t="s">
        <v>13</v>
      </c>
      <c r="D872">
        <v>2559</v>
      </c>
      <c r="E872" t="s">
        <v>10</v>
      </c>
      <c r="F872" t="s">
        <v>39</v>
      </c>
      <c r="G872" t="s">
        <v>40</v>
      </c>
    </row>
    <row r="873" spans="1:7" x14ac:dyDescent="0.3">
      <c r="A873" t="s">
        <v>7</v>
      </c>
      <c r="B873" t="s">
        <v>23</v>
      </c>
      <c r="C873" t="s">
        <v>14</v>
      </c>
      <c r="D873">
        <v>470</v>
      </c>
      <c r="E873" t="s">
        <v>10</v>
      </c>
      <c r="F873" t="s">
        <v>39</v>
      </c>
      <c r="G873" t="s">
        <v>40</v>
      </c>
    </row>
    <row r="874" spans="1:7" x14ac:dyDescent="0.3">
      <c r="A874" t="s">
        <v>7</v>
      </c>
      <c r="B874" t="s">
        <v>23</v>
      </c>
      <c r="C874" t="s">
        <v>15</v>
      </c>
      <c r="D874">
        <v>47</v>
      </c>
      <c r="E874" t="s">
        <v>10</v>
      </c>
      <c r="F874" t="s">
        <v>39</v>
      </c>
      <c r="G874" t="s">
        <v>40</v>
      </c>
    </row>
    <row r="875" spans="1:7" x14ac:dyDescent="0.3">
      <c r="A875" t="s">
        <v>7</v>
      </c>
      <c r="B875" t="s">
        <v>23</v>
      </c>
      <c r="C875" t="s">
        <v>16</v>
      </c>
      <c r="D875">
        <v>922</v>
      </c>
      <c r="E875" t="s">
        <v>10</v>
      </c>
      <c r="F875" t="s">
        <v>39</v>
      </c>
      <c r="G875" t="s">
        <v>40</v>
      </c>
    </row>
    <row r="876" spans="1:7" x14ac:dyDescent="0.3">
      <c r="A876" t="s">
        <v>7</v>
      </c>
      <c r="B876" t="s">
        <v>23</v>
      </c>
      <c r="C876" t="s">
        <v>17</v>
      </c>
      <c r="D876">
        <v>43</v>
      </c>
      <c r="E876" t="s">
        <v>10</v>
      </c>
      <c r="F876" t="s">
        <v>39</v>
      </c>
      <c r="G876" t="s">
        <v>40</v>
      </c>
    </row>
    <row r="877" spans="1:7" x14ac:dyDescent="0.3">
      <c r="A877" t="s">
        <v>7</v>
      </c>
      <c r="B877" t="s">
        <v>23</v>
      </c>
      <c r="C877" t="s">
        <v>18</v>
      </c>
      <c r="D877">
        <v>0</v>
      </c>
      <c r="E877" t="s">
        <v>10</v>
      </c>
      <c r="F877" t="s">
        <v>39</v>
      </c>
      <c r="G877" t="s">
        <v>40</v>
      </c>
    </row>
    <row r="878" spans="1:7" x14ac:dyDescent="0.3">
      <c r="A878" t="s">
        <v>7</v>
      </c>
      <c r="B878" t="s">
        <v>23</v>
      </c>
      <c r="C878" t="s">
        <v>19</v>
      </c>
      <c r="D878">
        <v>52</v>
      </c>
      <c r="E878" t="s">
        <v>10</v>
      </c>
      <c r="F878" t="s">
        <v>39</v>
      </c>
      <c r="G878" t="s">
        <v>40</v>
      </c>
    </row>
    <row r="879" spans="1:7" x14ac:dyDescent="0.3">
      <c r="A879" t="s">
        <v>7</v>
      </c>
      <c r="B879" t="s">
        <v>23</v>
      </c>
      <c r="C879" t="s">
        <v>20</v>
      </c>
      <c r="D879">
        <v>149</v>
      </c>
      <c r="E879" t="s">
        <v>10</v>
      </c>
      <c r="F879" t="s">
        <v>39</v>
      </c>
      <c r="G879" t="s">
        <v>40</v>
      </c>
    </row>
    <row r="880" spans="1:7" x14ac:dyDescent="0.3">
      <c r="A880" t="s">
        <v>7</v>
      </c>
      <c r="B880" t="s">
        <v>23</v>
      </c>
      <c r="C880" t="s">
        <v>21</v>
      </c>
      <c r="D880">
        <v>16</v>
      </c>
      <c r="E880" t="s">
        <v>10</v>
      </c>
      <c r="F880" t="s">
        <v>39</v>
      </c>
      <c r="G880" t="s">
        <v>40</v>
      </c>
    </row>
    <row r="881" spans="1:7" x14ac:dyDescent="0.3">
      <c r="A881" t="s">
        <v>7</v>
      </c>
      <c r="B881" t="s">
        <v>23</v>
      </c>
      <c r="C881" t="s">
        <v>22</v>
      </c>
      <c r="D881">
        <v>29455</v>
      </c>
      <c r="E881" t="s">
        <v>10</v>
      </c>
      <c r="F881" t="s">
        <v>39</v>
      </c>
      <c r="G881" t="s">
        <v>40</v>
      </c>
    </row>
    <row r="882" spans="1:7" x14ac:dyDescent="0.3">
      <c r="A882" t="s">
        <v>24</v>
      </c>
      <c r="B882" t="s">
        <v>8</v>
      </c>
      <c r="C882" t="s">
        <v>9</v>
      </c>
      <c r="D882">
        <v>2</v>
      </c>
      <c r="E882" t="s">
        <v>10</v>
      </c>
      <c r="F882" t="s">
        <v>39</v>
      </c>
      <c r="G882" t="s">
        <v>40</v>
      </c>
    </row>
    <row r="883" spans="1:7" x14ac:dyDescent="0.3">
      <c r="A883" t="s">
        <v>24</v>
      </c>
      <c r="B883" t="s">
        <v>8</v>
      </c>
      <c r="C883" t="s">
        <v>13</v>
      </c>
      <c r="D883">
        <v>0</v>
      </c>
      <c r="E883" t="s">
        <v>10</v>
      </c>
      <c r="F883" t="s">
        <v>39</v>
      </c>
      <c r="G883" t="s">
        <v>40</v>
      </c>
    </row>
    <row r="884" spans="1:7" x14ac:dyDescent="0.3">
      <c r="A884" t="s">
        <v>24</v>
      </c>
      <c r="B884" t="s">
        <v>8</v>
      </c>
      <c r="C884" t="s">
        <v>14</v>
      </c>
      <c r="D884">
        <v>17</v>
      </c>
      <c r="E884" t="s">
        <v>10</v>
      </c>
      <c r="F884" t="s">
        <v>39</v>
      </c>
      <c r="G884" t="s">
        <v>40</v>
      </c>
    </row>
    <row r="885" spans="1:7" x14ac:dyDescent="0.3">
      <c r="A885" t="s">
        <v>24</v>
      </c>
      <c r="B885" t="s">
        <v>8</v>
      </c>
      <c r="C885" t="s">
        <v>15</v>
      </c>
      <c r="D885">
        <v>1</v>
      </c>
      <c r="E885" t="s">
        <v>10</v>
      </c>
      <c r="F885" t="s">
        <v>39</v>
      </c>
      <c r="G885" t="s">
        <v>40</v>
      </c>
    </row>
    <row r="886" spans="1:7" x14ac:dyDescent="0.3">
      <c r="A886" t="s">
        <v>24</v>
      </c>
      <c r="B886" t="s">
        <v>8</v>
      </c>
      <c r="C886" t="s">
        <v>16</v>
      </c>
      <c r="D886">
        <v>94529</v>
      </c>
      <c r="E886" t="s">
        <v>10</v>
      </c>
      <c r="F886" t="s">
        <v>39</v>
      </c>
      <c r="G886" t="s">
        <v>40</v>
      </c>
    </row>
    <row r="887" spans="1:7" x14ac:dyDescent="0.3">
      <c r="A887" t="s">
        <v>24</v>
      </c>
      <c r="B887" t="s">
        <v>8</v>
      </c>
      <c r="C887" t="s">
        <v>17</v>
      </c>
      <c r="D887">
        <v>2637</v>
      </c>
      <c r="E887" t="s">
        <v>10</v>
      </c>
      <c r="F887" t="s">
        <v>39</v>
      </c>
      <c r="G887" t="s">
        <v>40</v>
      </c>
    </row>
    <row r="888" spans="1:7" x14ac:dyDescent="0.3">
      <c r="A888" t="s">
        <v>24</v>
      </c>
      <c r="B888" t="s">
        <v>8</v>
      </c>
      <c r="C888" t="s">
        <v>18</v>
      </c>
      <c r="D888">
        <v>0</v>
      </c>
      <c r="E888" t="s">
        <v>10</v>
      </c>
      <c r="F888" t="s">
        <v>39</v>
      </c>
      <c r="G888" t="s">
        <v>40</v>
      </c>
    </row>
    <row r="889" spans="1:7" x14ac:dyDescent="0.3">
      <c r="A889" t="s">
        <v>24</v>
      </c>
      <c r="B889" t="s">
        <v>8</v>
      </c>
      <c r="C889" t="s">
        <v>19</v>
      </c>
      <c r="D889">
        <v>0</v>
      </c>
      <c r="E889" t="s">
        <v>10</v>
      </c>
      <c r="F889" t="s">
        <v>39</v>
      </c>
      <c r="G889" t="s">
        <v>40</v>
      </c>
    </row>
    <row r="890" spans="1:7" x14ac:dyDescent="0.3">
      <c r="A890" t="s">
        <v>24</v>
      </c>
      <c r="B890" t="s">
        <v>8</v>
      </c>
      <c r="C890" t="s">
        <v>20</v>
      </c>
      <c r="D890">
        <v>0</v>
      </c>
      <c r="E890" t="s">
        <v>10</v>
      </c>
      <c r="F890" t="s">
        <v>39</v>
      </c>
      <c r="G890" t="s">
        <v>40</v>
      </c>
    </row>
    <row r="891" spans="1:7" x14ac:dyDescent="0.3">
      <c r="A891" t="s">
        <v>24</v>
      </c>
      <c r="B891" t="s">
        <v>8</v>
      </c>
      <c r="C891" t="s">
        <v>21</v>
      </c>
      <c r="D891">
        <v>0</v>
      </c>
      <c r="E891" t="s">
        <v>10</v>
      </c>
      <c r="F891" t="s">
        <v>39</v>
      </c>
      <c r="G891" t="s">
        <v>40</v>
      </c>
    </row>
    <row r="892" spans="1:7" x14ac:dyDescent="0.3">
      <c r="A892" t="s">
        <v>24</v>
      </c>
      <c r="B892" t="s">
        <v>8</v>
      </c>
      <c r="C892" t="s">
        <v>22</v>
      </c>
      <c r="D892">
        <v>36</v>
      </c>
      <c r="E892" t="s">
        <v>10</v>
      </c>
      <c r="F892" t="s">
        <v>39</v>
      </c>
      <c r="G892" t="s">
        <v>40</v>
      </c>
    </row>
    <row r="893" spans="1:7" x14ac:dyDescent="0.3">
      <c r="A893" t="s">
        <v>24</v>
      </c>
      <c r="B893" t="s">
        <v>23</v>
      </c>
      <c r="C893" t="s">
        <v>9</v>
      </c>
      <c r="D893">
        <v>318</v>
      </c>
      <c r="E893" t="s">
        <v>10</v>
      </c>
      <c r="F893" t="s">
        <v>39</v>
      </c>
      <c r="G893" t="s">
        <v>40</v>
      </c>
    </row>
    <row r="894" spans="1:7" x14ac:dyDescent="0.3">
      <c r="A894" t="s">
        <v>24</v>
      </c>
      <c r="B894" t="s">
        <v>23</v>
      </c>
      <c r="C894" t="s">
        <v>13</v>
      </c>
      <c r="D894">
        <v>108</v>
      </c>
      <c r="E894" t="s">
        <v>10</v>
      </c>
      <c r="F894" t="s">
        <v>39</v>
      </c>
      <c r="G894" t="s">
        <v>40</v>
      </c>
    </row>
    <row r="895" spans="1:7" x14ac:dyDescent="0.3">
      <c r="A895" t="s">
        <v>24</v>
      </c>
      <c r="B895" t="s">
        <v>23</v>
      </c>
      <c r="C895" t="s">
        <v>14</v>
      </c>
      <c r="D895">
        <v>1593</v>
      </c>
      <c r="E895" t="s">
        <v>10</v>
      </c>
      <c r="F895" t="s">
        <v>39</v>
      </c>
      <c r="G895" t="s">
        <v>40</v>
      </c>
    </row>
    <row r="896" spans="1:7" x14ac:dyDescent="0.3">
      <c r="A896" t="s">
        <v>24</v>
      </c>
      <c r="B896" t="s">
        <v>23</v>
      </c>
      <c r="C896" t="s">
        <v>15</v>
      </c>
      <c r="D896">
        <v>27</v>
      </c>
      <c r="E896" t="s">
        <v>10</v>
      </c>
      <c r="F896" t="s">
        <v>39</v>
      </c>
      <c r="G896" t="s">
        <v>40</v>
      </c>
    </row>
    <row r="897" spans="1:7" x14ac:dyDescent="0.3">
      <c r="A897" t="s">
        <v>24</v>
      </c>
      <c r="B897" t="s">
        <v>23</v>
      </c>
      <c r="C897" t="s">
        <v>16</v>
      </c>
      <c r="D897">
        <v>244619</v>
      </c>
      <c r="E897" t="s">
        <v>10</v>
      </c>
      <c r="F897" t="s">
        <v>39</v>
      </c>
      <c r="G897" t="s">
        <v>40</v>
      </c>
    </row>
    <row r="898" spans="1:7" x14ac:dyDescent="0.3">
      <c r="A898" t="s">
        <v>24</v>
      </c>
      <c r="B898" t="s">
        <v>23</v>
      </c>
      <c r="C898" t="s">
        <v>17</v>
      </c>
      <c r="D898">
        <v>5825</v>
      </c>
      <c r="E898" t="s">
        <v>10</v>
      </c>
      <c r="F898" t="s">
        <v>39</v>
      </c>
      <c r="G898" t="s">
        <v>40</v>
      </c>
    </row>
    <row r="899" spans="1:7" x14ac:dyDescent="0.3">
      <c r="A899" t="s">
        <v>24</v>
      </c>
      <c r="B899" t="s">
        <v>23</v>
      </c>
      <c r="C899" t="s">
        <v>18</v>
      </c>
      <c r="D899">
        <v>0</v>
      </c>
      <c r="E899" t="s">
        <v>10</v>
      </c>
      <c r="F899" t="s">
        <v>39</v>
      </c>
      <c r="G899" t="s">
        <v>40</v>
      </c>
    </row>
    <row r="900" spans="1:7" x14ac:dyDescent="0.3">
      <c r="A900" t="s">
        <v>24</v>
      </c>
      <c r="B900" t="s">
        <v>23</v>
      </c>
      <c r="C900" t="s">
        <v>19</v>
      </c>
      <c r="D900">
        <v>6</v>
      </c>
      <c r="E900" t="s">
        <v>10</v>
      </c>
      <c r="F900" t="s">
        <v>39</v>
      </c>
      <c r="G900" t="s">
        <v>40</v>
      </c>
    </row>
    <row r="901" spans="1:7" x14ac:dyDescent="0.3">
      <c r="A901" t="s">
        <v>24</v>
      </c>
      <c r="B901" t="s">
        <v>23</v>
      </c>
      <c r="C901" t="s">
        <v>20</v>
      </c>
      <c r="D901">
        <v>323</v>
      </c>
      <c r="E901" t="s">
        <v>10</v>
      </c>
      <c r="F901" t="s">
        <v>39</v>
      </c>
      <c r="G901" t="s">
        <v>40</v>
      </c>
    </row>
    <row r="902" spans="1:7" x14ac:dyDescent="0.3">
      <c r="A902" t="s">
        <v>24</v>
      </c>
      <c r="B902" t="s">
        <v>23</v>
      </c>
      <c r="C902" t="s">
        <v>21</v>
      </c>
      <c r="D902">
        <v>8</v>
      </c>
      <c r="E902" t="s">
        <v>10</v>
      </c>
      <c r="F902" t="s">
        <v>39</v>
      </c>
      <c r="G902" t="s">
        <v>40</v>
      </c>
    </row>
    <row r="903" spans="1:7" x14ac:dyDescent="0.3">
      <c r="A903" t="s">
        <v>24</v>
      </c>
      <c r="B903" t="s">
        <v>23</v>
      </c>
      <c r="C903" t="s">
        <v>22</v>
      </c>
      <c r="D903">
        <v>271</v>
      </c>
      <c r="E903" t="s">
        <v>10</v>
      </c>
      <c r="F903" t="s">
        <v>39</v>
      </c>
      <c r="G903" t="s">
        <v>40</v>
      </c>
    </row>
    <row r="904" spans="1:7" x14ac:dyDescent="0.3">
      <c r="A904" t="s">
        <v>25</v>
      </c>
      <c r="B904" t="s">
        <v>8</v>
      </c>
      <c r="C904" t="s">
        <v>9</v>
      </c>
      <c r="D904">
        <v>0</v>
      </c>
      <c r="E904" t="s">
        <v>10</v>
      </c>
      <c r="F904" t="s">
        <v>39</v>
      </c>
      <c r="G904" t="s">
        <v>40</v>
      </c>
    </row>
    <row r="905" spans="1:7" x14ac:dyDescent="0.3">
      <c r="A905" t="s">
        <v>25</v>
      </c>
      <c r="B905" t="s">
        <v>8</v>
      </c>
      <c r="C905" t="s">
        <v>13</v>
      </c>
      <c r="D905">
        <v>19</v>
      </c>
      <c r="E905" t="s">
        <v>10</v>
      </c>
      <c r="F905" t="s">
        <v>39</v>
      </c>
      <c r="G905" t="s">
        <v>40</v>
      </c>
    </row>
    <row r="906" spans="1:7" x14ac:dyDescent="0.3">
      <c r="A906" t="s">
        <v>25</v>
      </c>
      <c r="B906" t="s">
        <v>8</v>
      </c>
      <c r="C906" t="s">
        <v>14</v>
      </c>
      <c r="D906">
        <v>0</v>
      </c>
      <c r="E906" t="s">
        <v>10</v>
      </c>
      <c r="F906" t="s">
        <v>39</v>
      </c>
      <c r="G906" t="s">
        <v>40</v>
      </c>
    </row>
    <row r="907" spans="1:7" x14ac:dyDescent="0.3">
      <c r="A907" t="s">
        <v>25</v>
      </c>
      <c r="B907" t="s">
        <v>8</v>
      </c>
      <c r="C907" t="s">
        <v>15</v>
      </c>
      <c r="D907">
        <v>0</v>
      </c>
      <c r="E907" t="s">
        <v>10</v>
      </c>
      <c r="F907" t="s">
        <v>39</v>
      </c>
      <c r="G907" t="s">
        <v>40</v>
      </c>
    </row>
    <row r="908" spans="1:7" x14ac:dyDescent="0.3">
      <c r="A908" t="s">
        <v>25</v>
      </c>
      <c r="B908" t="s">
        <v>8</v>
      </c>
      <c r="C908" t="s">
        <v>16</v>
      </c>
      <c r="D908">
        <v>0</v>
      </c>
      <c r="E908" t="s">
        <v>10</v>
      </c>
      <c r="F908" t="s">
        <v>39</v>
      </c>
      <c r="G908" t="s">
        <v>40</v>
      </c>
    </row>
    <row r="909" spans="1:7" x14ac:dyDescent="0.3">
      <c r="A909" t="s">
        <v>25</v>
      </c>
      <c r="B909" t="s">
        <v>8</v>
      </c>
      <c r="C909" t="s">
        <v>17</v>
      </c>
      <c r="D909">
        <v>0</v>
      </c>
      <c r="E909" t="s">
        <v>10</v>
      </c>
      <c r="F909" t="s">
        <v>39</v>
      </c>
      <c r="G909" t="s">
        <v>40</v>
      </c>
    </row>
    <row r="910" spans="1:7" x14ac:dyDescent="0.3">
      <c r="A910" t="s">
        <v>25</v>
      </c>
      <c r="B910" t="s">
        <v>8</v>
      </c>
      <c r="C910" t="s">
        <v>18</v>
      </c>
      <c r="D910">
        <v>0</v>
      </c>
      <c r="E910" t="s">
        <v>10</v>
      </c>
      <c r="F910" t="s">
        <v>39</v>
      </c>
      <c r="G910" t="s">
        <v>40</v>
      </c>
    </row>
    <row r="911" spans="1:7" x14ac:dyDescent="0.3">
      <c r="A911" t="s">
        <v>25</v>
      </c>
      <c r="B911" t="s">
        <v>8</v>
      </c>
      <c r="C911" t="s">
        <v>19</v>
      </c>
      <c r="D911">
        <v>0</v>
      </c>
      <c r="E911" t="s">
        <v>10</v>
      </c>
      <c r="F911" t="s">
        <v>39</v>
      </c>
      <c r="G911" t="s">
        <v>40</v>
      </c>
    </row>
    <row r="912" spans="1:7" x14ac:dyDescent="0.3">
      <c r="A912" t="s">
        <v>25</v>
      </c>
      <c r="B912" t="s">
        <v>8</v>
      </c>
      <c r="C912" t="s">
        <v>20</v>
      </c>
      <c r="D912">
        <v>0</v>
      </c>
      <c r="E912" t="s">
        <v>10</v>
      </c>
      <c r="F912" t="s">
        <v>39</v>
      </c>
      <c r="G912" t="s">
        <v>40</v>
      </c>
    </row>
    <row r="913" spans="1:7" x14ac:dyDescent="0.3">
      <c r="A913" t="s">
        <v>25</v>
      </c>
      <c r="B913" t="s">
        <v>8</v>
      </c>
      <c r="C913" t="s">
        <v>21</v>
      </c>
      <c r="D913">
        <v>0</v>
      </c>
      <c r="E913" t="s">
        <v>10</v>
      </c>
      <c r="F913" t="s">
        <v>39</v>
      </c>
      <c r="G913" t="s">
        <v>40</v>
      </c>
    </row>
    <row r="914" spans="1:7" x14ac:dyDescent="0.3">
      <c r="A914" t="s">
        <v>25</v>
      </c>
      <c r="B914" t="s">
        <v>8</v>
      </c>
      <c r="C914" t="s">
        <v>22</v>
      </c>
      <c r="D914">
        <v>25935</v>
      </c>
      <c r="E914" t="s">
        <v>10</v>
      </c>
      <c r="F914" t="s">
        <v>39</v>
      </c>
      <c r="G914" t="s">
        <v>40</v>
      </c>
    </row>
    <row r="915" spans="1:7" x14ac:dyDescent="0.3">
      <c r="A915" t="s">
        <v>25</v>
      </c>
      <c r="B915" t="s">
        <v>23</v>
      </c>
      <c r="C915" t="s">
        <v>9</v>
      </c>
      <c r="D915">
        <v>90</v>
      </c>
      <c r="E915" t="s">
        <v>10</v>
      </c>
      <c r="F915" t="s">
        <v>39</v>
      </c>
      <c r="G915" t="s">
        <v>40</v>
      </c>
    </row>
    <row r="916" spans="1:7" x14ac:dyDescent="0.3">
      <c r="A916" t="s">
        <v>25</v>
      </c>
      <c r="B916" t="s">
        <v>23</v>
      </c>
      <c r="C916" t="s">
        <v>13</v>
      </c>
      <c r="D916">
        <v>1060</v>
      </c>
      <c r="E916" t="s">
        <v>10</v>
      </c>
      <c r="F916" t="s">
        <v>39</v>
      </c>
      <c r="G916" t="s">
        <v>40</v>
      </c>
    </row>
    <row r="917" spans="1:7" x14ac:dyDescent="0.3">
      <c r="A917" t="s">
        <v>25</v>
      </c>
      <c r="B917" t="s">
        <v>23</v>
      </c>
      <c r="C917" t="s">
        <v>14</v>
      </c>
      <c r="D917">
        <v>195</v>
      </c>
      <c r="E917" t="s">
        <v>10</v>
      </c>
      <c r="F917" t="s">
        <v>39</v>
      </c>
      <c r="G917" t="s">
        <v>40</v>
      </c>
    </row>
    <row r="918" spans="1:7" x14ac:dyDescent="0.3">
      <c r="A918" t="s">
        <v>25</v>
      </c>
      <c r="B918" t="s">
        <v>23</v>
      </c>
      <c r="C918" t="s">
        <v>15</v>
      </c>
      <c r="D918">
        <v>20</v>
      </c>
      <c r="E918" t="s">
        <v>10</v>
      </c>
      <c r="F918" t="s">
        <v>39</v>
      </c>
      <c r="G918" t="s">
        <v>40</v>
      </c>
    </row>
    <row r="919" spans="1:7" x14ac:dyDescent="0.3">
      <c r="A919" t="s">
        <v>25</v>
      </c>
      <c r="B919" t="s">
        <v>23</v>
      </c>
      <c r="C919" t="s">
        <v>16</v>
      </c>
      <c r="D919">
        <v>382</v>
      </c>
      <c r="E919" t="s">
        <v>10</v>
      </c>
      <c r="F919" t="s">
        <v>39</v>
      </c>
      <c r="G919" t="s">
        <v>40</v>
      </c>
    </row>
    <row r="920" spans="1:7" x14ac:dyDescent="0.3">
      <c r="A920" t="s">
        <v>25</v>
      </c>
      <c r="B920" t="s">
        <v>23</v>
      </c>
      <c r="C920" t="s">
        <v>17</v>
      </c>
      <c r="D920">
        <v>18</v>
      </c>
      <c r="E920" t="s">
        <v>10</v>
      </c>
      <c r="F920" t="s">
        <v>39</v>
      </c>
      <c r="G920" t="s">
        <v>40</v>
      </c>
    </row>
    <row r="921" spans="1:7" x14ac:dyDescent="0.3">
      <c r="A921" t="s">
        <v>25</v>
      </c>
      <c r="B921" t="s">
        <v>23</v>
      </c>
      <c r="C921" t="s">
        <v>18</v>
      </c>
      <c r="D921">
        <v>0</v>
      </c>
      <c r="E921" t="s">
        <v>10</v>
      </c>
      <c r="F921" t="s">
        <v>39</v>
      </c>
      <c r="G921" t="s">
        <v>40</v>
      </c>
    </row>
    <row r="922" spans="1:7" x14ac:dyDescent="0.3">
      <c r="A922" t="s">
        <v>25</v>
      </c>
      <c r="B922" t="s">
        <v>23</v>
      </c>
      <c r="C922" t="s">
        <v>19</v>
      </c>
      <c r="D922">
        <v>21</v>
      </c>
      <c r="E922" t="s">
        <v>10</v>
      </c>
      <c r="F922" t="s">
        <v>39</v>
      </c>
      <c r="G922" t="s">
        <v>40</v>
      </c>
    </row>
    <row r="923" spans="1:7" x14ac:dyDescent="0.3">
      <c r="A923" t="s">
        <v>25</v>
      </c>
      <c r="B923" t="s">
        <v>23</v>
      </c>
      <c r="C923" t="s">
        <v>20</v>
      </c>
      <c r="D923">
        <v>62</v>
      </c>
      <c r="E923" t="s">
        <v>10</v>
      </c>
      <c r="F923" t="s">
        <v>39</v>
      </c>
      <c r="G923" t="s">
        <v>40</v>
      </c>
    </row>
    <row r="924" spans="1:7" x14ac:dyDescent="0.3">
      <c r="A924" t="s">
        <v>25</v>
      </c>
      <c r="B924" t="s">
        <v>23</v>
      </c>
      <c r="C924" t="s">
        <v>21</v>
      </c>
      <c r="D924">
        <v>7</v>
      </c>
      <c r="E924" t="s">
        <v>10</v>
      </c>
      <c r="F924" t="s">
        <v>39</v>
      </c>
      <c r="G924" t="s">
        <v>40</v>
      </c>
    </row>
    <row r="925" spans="1:7" x14ac:dyDescent="0.3">
      <c r="A925" t="s">
        <v>25</v>
      </c>
      <c r="B925" t="s">
        <v>23</v>
      </c>
      <c r="C925" t="s">
        <v>22</v>
      </c>
      <c r="D925">
        <v>12202</v>
      </c>
      <c r="E925" t="s">
        <v>10</v>
      </c>
      <c r="F925" t="s">
        <v>39</v>
      </c>
      <c r="G925" t="s">
        <v>40</v>
      </c>
    </row>
    <row r="926" spans="1:7" x14ac:dyDescent="0.3">
      <c r="A926" t="s">
        <v>26</v>
      </c>
      <c r="B926" t="s">
        <v>8</v>
      </c>
      <c r="C926" t="s">
        <v>9</v>
      </c>
      <c r="D926">
        <v>0</v>
      </c>
      <c r="E926" t="s">
        <v>10</v>
      </c>
      <c r="F926" t="s">
        <v>39</v>
      </c>
      <c r="G926" t="s">
        <v>40</v>
      </c>
    </row>
    <row r="927" spans="1:7" x14ac:dyDescent="0.3">
      <c r="A927" t="s">
        <v>26</v>
      </c>
      <c r="B927" t="s">
        <v>8</v>
      </c>
      <c r="C927" t="s">
        <v>13</v>
      </c>
      <c r="D927">
        <v>45</v>
      </c>
      <c r="E927" t="s">
        <v>10</v>
      </c>
      <c r="F927" t="s">
        <v>39</v>
      </c>
      <c r="G927" t="s">
        <v>40</v>
      </c>
    </row>
    <row r="928" spans="1:7" x14ac:dyDescent="0.3">
      <c r="A928" t="s">
        <v>26</v>
      </c>
      <c r="B928" t="s">
        <v>8</v>
      </c>
      <c r="C928" t="s">
        <v>14</v>
      </c>
      <c r="D928">
        <v>0</v>
      </c>
      <c r="E928" t="s">
        <v>10</v>
      </c>
      <c r="F928" t="s">
        <v>39</v>
      </c>
      <c r="G928" t="s">
        <v>40</v>
      </c>
    </row>
    <row r="929" spans="1:7" x14ac:dyDescent="0.3">
      <c r="A929" t="s">
        <v>26</v>
      </c>
      <c r="B929" t="s">
        <v>8</v>
      </c>
      <c r="C929" t="s">
        <v>15</v>
      </c>
      <c r="D929">
        <v>0</v>
      </c>
      <c r="E929" t="s">
        <v>10</v>
      </c>
      <c r="F929" t="s">
        <v>39</v>
      </c>
      <c r="G929" t="s">
        <v>40</v>
      </c>
    </row>
    <row r="930" spans="1:7" x14ac:dyDescent="0.3">
      <c r="A930" t="s">
        <v>26</v>
      </c>
      <c r="B930" t="s">
        <v>8</v>
      </c>
      <c r="C930" t="s">
        <v>16</v>
      </c>
      <c r="D930">
        <v>1</v>
      </c>
      <c r="E930" t="s">
        <v>10</v>
      </c>
      <c r="F930" t="s">
        <v>39</v>
      </c>
      <c r="G930" t="s">
        <v>40</v>
      </c>
    </row>
    <row r="931" spans="1:7" x14ac:dyDescent="0.3">
      <c r="A931" t="s">
        <v>26</v>
      </c>
      <c r="B931" t="s">
        <v>8</v>
      </c>
      <c r="C931" t="s">
        <v>17</v>
      </c>
      <c r="D931">
        <v>0</v>
      </c>
      <c r="E931" t="s">
        <v>10</v>
      </c>
      <c r="F931" t="s">
        <v>39</v>
      </c>
      <c r="G931" t="s">
        <v>40</v>
      </c>
    </row>
    <row r="932" spans="1:7" x14ac:dyDescent="0.3">
      <c r="A932" t="s">
        <v>26</v>
      </c>
      <c r="B932" t="s">
        <v>8</v>
      </c>
      <c r="C932" t="s">
        <v>18</v>
      </c>
      <c r="D932">
        <v>0</v>
      </c>
      <c r="E932" t="s">
        <v>10</v>
      </c>
      <c r="F932" t="s">
        <v>39</v>
      </c>
      <c r="G932" t="s">
        <v>40</v>
      </c>
    </row>
    <row r="933" spans="1:7" x14ac:dyDescent="0.3">
      <c r="A933" t="s">
        <v>26</v>
      </c>
      <c r="B933" t="s">
        <v>8</v>
      </c>
      <c r="C933" t="s">
        <v>19</v>
      </c>
      <c r="D933">
        <v>0</v>
      </c>
      <c r="E933" t="s">
        <v>10</v>
      </c>
      <c r="F933" t="s">
        <v>39</v>
      </c>
      <c r="G933" t="s">
        <v>40</v>
      </c>
    </row>
    <row r="934" spans="1:7" x14ac:dyDescent="0.3">
      <c r="A934" t="s">
        <v>26</v>
      </c>
      <c r="B934" t="s">
        <v>8</v>
      </c>
      <c r="C934" t="s">
        <v>20</v>
      </c>
      <c r="D934">
        <v>0</v>
      </c>
      <c r="E934" t="s">
        <v>10</v>
      </c>
      <c r="F934" t="s">
        <v>39</v>
      </c>
      <c r="G934" t="s">
        <v>40</v>
      </c>
    </row>
    <row r="935" spans="1:7" x14ac:dyDescent="0.3">
      <c r="A935" t="s">
        <v>26</v>
      </c>
      <c r="B935" t="s">
        <v>8</v>
      </c>
      <c r="C935" t="s">
        <v>21</v>
      </c>
      <c r="D935">
        <v>0</v>
      </c>
      <c r="E935" t="s">
        <v>10</v>
      </c>
      <c r="F935" t="s">
        <v>39</v>
      </c>
      <c r="G935" t="s">
        <v>40</v>
      </c>
    </row>
    <row r="936" spans="1:7" x14ac:dyDescent="0.3">
      <c r="A936" t="s">
        <v>26</v>
      </c>
      <c r="B936" t="s">
        <v>8</v>
      </c>
      <c r="C936" t="s">
        <v>22</v>
      </c>
      <c r="D936">
        <v>60433</v>
      </c>
      <c r="E936" t="s">
        <v>10</v>
      </c>
      <c r="F936" t="s">
        <v>39</v>
      </c>
      <c r="G936" t="s">
        <v>40</v>
      </c>
    </row>
    <row r="937" spans="1:7" x14ac:dyDescent="0.3">
      <c r="A937" t="s">
        <v>26</v>
      </c>
      <c r="B937" t="s">
        <v>23</v>
      </c>
      <c r="C937" t="s">
        <v>9</v>
      </c>
      <c r="D937">
        <v>210</v>
      </c>
      <c r="E937" t="s">
        <v>10</v>
      </c>
      <c r="F937" t="s">
        <v>39</v>
      </c>
      <c r="G937" t="s">
        <v>40</v>
      </c>
    </row>
    <row r="938" spans="1:7" x14ac:dyDescent="0.3">
      <c r="A938" t="s">
        <v>26</v>
      </c>
      <c r="B938" t="s">
        <v>23</v>
      </c>
      <c r="C938" t="s">
        <v>13</v>
      </c>
      <c r="D938">
        <v>2471</v>
      </c>
      <c r="E938" t="s">
        <v>10</v>
      </c>
      <c r="F938" t="s">
        <v>39</v>
      </c>
      <c r="G938" t="s">
        <v>40</v>
      </c>
    </row>
    <row r="939" spans="1:7" x14ac:dyDescent="0.3">
      <c r="A939" t="s">
        <v>26</v>
      </c>
      <c r="B939" t="s">
        <v>23</v>
      </c>
      <c r="C939" t="s">
        <v>14</v>
      </c>
      <c r="D939">
        <v>453</v>
      </c>
      <c r="E939" t="s">
        <v>10</v>
      </c>
      <c r="F939" t="s">
        <v>39</v>
      </c>
      <c r="G939" t="s">
        <v>40</v>
      </c>
    </row>
    <row r="940" spans="1:7" x14ac:dyDescent="0.3">
      <c r="A940" t="s">
        <v>26</v>
      </c>
      <c r="B940" t="s">
        <v>23</v>
      </c>
      <c r="C940" t="s">
        <v>15</v>
      </c>
      <c r="D940">
        <v>46</v>
      </c>
      <c r="E940" t="s">
        <v>10</v>
      </c>
      <c r="F940" t="s">
        <v>39</v>
      </c>
      <c r="G940" t="s">
        <v>40</v>
      </c>
    </row>
    <row r="941" spans="1:7" x14ac:dyDescent="0.3">
      <c r="A941" t="s">
        <v>26</v>
      </c>
      <c r="B941" t="s">
        <v>23</v>
      </c>
      <c r="C941" t="s">
        <v>16</v>
      </c>
      <c r="D941">
        <v>890</v>
      </c>
      <c r="E941" t="s">
        <v>10</v>
      </c>
      <c r="F941" t="s">
        <v>39</v>
      </c>
      <c r="G941" t="s">
        <v>40</v>
      </c>
    </row>
    <row r="942" spans="1:7" x14ac:dyDescent="0.3">
      <c r="A942" t="s">
        <v>26</v>
      </c>
      <c r="B942" t="s">
        <v>23</v>
      </c>
      <c r="C942" t="s">
        <v>17</v>
      </c>
      <c r="D942">
        <v>42</v>
      </c>
      <c r="E942" t="s">
        <v>10</v>
      </c>
      <c r="F942" t="s">
        <v>39</v>
      </c>
      <c r="G942" t="s">
        <v>40</v>
      </c>
    </row>
    <row r="943" spans="1:7" x14ac:dyDescent="0.3">
      <c r="A943" t="s">
        <v>26</v>
      </c>
      <c r="B943" t="s">
        <v>23</v>
      </c>
      <c r="C943" t="s">
        <v>18</v>
      </c>
      <c r="D943">
        <v>0</v>
      </c>
      <c r="E943" t="s">
        <v>10</v>
      </c>
      <c r="F943" t="s">
        <v>39</v>
      </c>
      <c r="G943" t="s">
        <v>40</v>
      </c>
    </row>
    <row r="944" spans="1:7" x14ac:dyDescent="0.3">
      <c r="A944" t="s">
        <v>26</v>
      </c>
      <c r="B944" t="s">
        <v>23</v>
      </c>
      <c r="C944" t="s">
        <v>19</v>
      </c>
      <c r="D944">
        <v>50</v>
      </c>
      <c r="E944" t="s">
        <v>10</v>
      </c>
      <c r="F944" t="s">
        <v>39</v>
      </c>
      <c r="G944" t="s">
        <v>40</v>
      </c>
    </row>
    <row r="945" spans="1:7" x14ac:dyDescent="0.3">
      <c r="A945" t="s">
        <v>26</v>
      </c>
      <c r="B945" t="s">
        <v>23</v>
      </c>
      <c r="C945" t="s">
        <v>20</v>
      </c>
      <c r="D945">
        <v>144</v>
      </c>
      <c r="E945" t="s">
        <v>10</v>
      </c>
      <c r="F945" t="s">
        <v>39</v>
      </c>
      <c r="G945" t="s">
        <v>40</v>
      </c>
    </row>
    <row r="946" spans="1:7" x14ac:dyDescent="0.3">
      <c r="A946" t="s">
        <v>26</v>
      </c>
      <c r="B946" t="s">
        <v>23</v>
      </c>
      <c r="C946" t="s">
        <v>21</v>
      </c>
      <c r="D946">
        <v>16</v>
      </c>
      <c r="E946" t="s">
        <v>10</v>
      </c>
      <c r="F946" t="s">
        <v>39</v>
      </c>
      <c r="G946" t="s">
        <v>40</v>
      </c>
    </row>
    <row r="947" spans="1:7" x14ac:dyDescent="0.3">
      <c r="A947" t="s">
        <v>26</v>
      </c>
      <c r="B947" t="s">
        <v>23</v>
      </c>
      <c r="C947" t="s">
        <v>22</v>
      </c>
      <c r="D947">
        <v>28433</v>
      </c>
      <c r="E947" t="s">
        <v>10</v>
      </c>
      <c r="F947" t="s">
        <v>39</v>
      </c>
      <c r="G947" t="s">
        <v>40</v>
      </c>
    </row>
    <row r="948" spans="1:7" x14ac:dyDescent="0.3">
      <c r="A948" t="s">
        <v>27</v>
      </c>
      <c r="B948" t="s">
        <v>8</v>
      </c>
      <c r="C948" t="s">
        <v>9</v>
      </c>
      <c r="D948">
        <v>3</v>
      </c>
      <c r="E948" t="s">
        <v>10</v>
      </c>
      <c r="F948" t="s">
        <v>39</v>
      </c>
      <c r="G948" t="s">
        <v>40</v>
      </c>
    </row>
    <row r="949" spans="1:7" x14ac:dyDescent="0.3">
      <c r="A949" t="s">
        <v>27</v>
      </c>
      <c r="B949" t="s">
        <v>8</v>
      </c>
      <c r="C949" t="s">
        <v>13</v>
      </c>
      <c r="D949">
        <v>1</v>
      </c>
      <c r="E949" t="s">
        <v>10</v>
      </c>
      <c r="F949" t="s">
        <v>39</v>
      </c>
      <c r="G949" t="s">
        <v>40</v>
      </c>
    </row>
    <row r="950" spans="1:7" x14ac:dyDescent="0.3">
      <c r="A950" t="s">
        <v>27</v>
      </c>
      <c r="B950" t="s">
        <v>8</v>
      </c>
      <c r="C950" t="s">
        <v>14</v>
      </c>
      <c r="D950">
        <v>27718</v>
      </c>
      <c r="E950" t="s">
        <v>10</v>
      </c>
      <c r="F950" t="s">
        <v>39</v>
      </c>
      <c r="G950" t="s">
        <v>40</v>
      </c>
    </row>
    <row r="951" spans="1:7" x14ac:dyDescent="0.3">
      <c r="A951" t="s">
        <v>27</v>
      </c>
      <c r="B951" t="s">
        <v>8</v>
      </c>
      <c r="C951" t="s">
        <v>15</v>
      </c>
      <c r="D951">
        <v>3</v>
      </c>
      <c r="E951" t="s">
        <v>10</v>
      </c>
      <c r="F951" t="s">
        <v>39</v>
      </c>
      <c r="G951" t="s">
        <v>40</v>
      </c>
    </row>
    <row r="952" spans="1:7" x14ac:dyDescent="0.3">
      <c r="A952" t="s">
        <v>27</v>
      </c>
      <c r="B952" t="s">
        <v>8</v>
      </c>
      <c r="C952" t="s">
        <v>16</v>
      </c>
      <c r="D952">
        <v>121020</v>
      </c>
      <c r="E952" t="s">
        <v>10</v>
      </c>
      <c r="F952" t="s">
        <v>39</v>
      </c>
      <c r="G952" t="s">
        <v>40</v>
      </c>
    </row>
    <row r="953" spans="1:7" x14ac:dyDescent="0.3">
      <c r="A953" t="s">
        <v>27</v>
      </c>
      <c r="B953" t="s">
        <v>8</v>
      </c>
      <c r="C953" t="s">
        <v>17</v>
      </c>
      <c r="D953">
        <v>9262</v>
      </c>
      <c r="E953" t="s">
        <v>10</v>
      </c>
      <c r="F953" t="s">
        <v>39</v>
      </c>
      <c r="G953" t="s">
        <v>40</v>
      </c>
    </row>
    <row r="954" spans="1:7" x14ac:dyDescent="0.3">
      <c r="A954" t="s">
        <v>27</v>
      </c>
      <c r="B954" t="s">
        <v>8</v>
      </c>
      <c r="C954" t="s">
        <v>18</v>
      </c>
      <c r="D954">
        <v>0</v>
      </c>
      <c r="E954" t="s">
        <v>10</v>
      </c>
      <c r="F954" t="s">
        <v>39</v>
      </c>
      <c r="G954" t="s">
        <v>40</v>
      </c>
    </row>
    <row r="955" spans="1:7" x14ac:dyDescent="0.3">
      <c r="A955" t="s">
        <v>27</v>
      </c>
      <c r="B955" t="s">
        <v>8</v>
      </c>
      <c r="C955" t="s">
        <v>19</v>
      </c>
      <c r="D955">
        <v>0</v>
      </c>
      <c r="E955" t="s">
        <v>10</v>
      </c>
      <c r="F955" t="s">
        <v>39</v>
      </c>
      <c r="G955" t="s">
        <v>40</v>
      </c>
    </row>
    <row r="956" spans="1:7" x14ac:dyDescent="0.3">
      <c r="A956" t="s">
        <v>27</v>
      </c>
      <c r="B956" t="s">
        <v>8</v>
      </c>
      <c r="C956" t="s">
        <v>20</v>
      </c>
      <c r="D956">
        <v>0</v>
      </c>
      <c r="E956" t="s">
        <v>10</v>
      </c>
      <c r="F956" t="s">
        <v>39</v>
      </c>
      <c r="G956" t="s">
        <v>40</v>
      </c>
    </row>
    <row r="957" spans="1:7" x14ac:dyDescent="0.3">
      <c r="A957" t="s">
        <v>27</v>
      </c>
      <c r="B957" t="s">
        <v>8</v>
      </c>
      <c r="C957" t="s">
        <v>21</v>
      </c>
      <c r="D957">
        <v>0</v>
      </c>
      <c r="E957" t="s">
        <v>10</v>
      </c>
      <c r="F957" t="s">
        <v>39</v>
      </c>
      <c r="G957" t="s">
        <v>40</v>
      </c>
    </row>
    <row r="958" spans="1:7" x14ac:dyDescent="0.3">
      <c r="A958" t="s">
        <v>27</v>
      </c>
      <c r="B958" t="s">
        <v>8</v>
      </c>
      <c r="C958" t="s">
        <v>22</v>
      </c>
      <c r="D958">
        <v>94</v>
      </c>
      <c r="E958" t="s">
        <v>10</v>
      </c>
      <c r="F958" t="s">
        <v>39</v>
      </c>
      <c r="G958" t="s">
        <v>40</v>
      </c>
    </row>
    <row r="959" spans="1:7" x14ac:dyDescent="0.3">
      <c r="A959" t="s">
        <v>27</v>
      </c>
      <c r="B959" t="s">
        <v>23</v>
      </c>
      <c r="C959" t="s">
        <v>9</v>
      </c>
      <c r="D959">
        <v>978</v>
      </c>
      <c r="E959" t="s">
        <v>10</v>
      </c>
      <c r="F959" t="s">
        <v>39</v>
      </c>
      <c r="G959" t="s">
        <v>40</v>
      </c>
    </row>
    <row r="960" spans="1:7" x14ac:dyDescent="0.3">
      <c r="A960" t="s">
        <v>27</v>
      </c>
      <c r="B960" t="s">
        <v>23</v>
      </c>
      <c r="C960" t="s">
        <v>13</v>
      </c>
      <c r="D960">
        <v>226</v>
      </c>
      <c r="E960" t="s">
        <v>10</v>
      </c>
      <c r="F960" t="s">
        <v>39</v>
      </c>
      <c r="G960" t="s">
        <v>40</v>
      </c>
    </row>
    <row r="961" spans="1:7" x14ac:dyDescent="0.3">
      <c r="A961" t="s">
        <v>27</v>
      </c>
      <c r="B961" t="s">
        <v>23</v>
      </c>
      <c r="C961" t="s">
        <v>14</v>
      </c>
      <c r="D961">
        <v>50549</v>
      </c>
      <c r="E961" t="s">
        <v>10</v>
      </c>
      <c r="F961" t="s">
        <v>39</v>
      </c>
      <c r="G961" t="s">
        <v>40</v>
      </c>
    </row>
    <row r="962" spans="1:7" x14ac:dyDescent="0.3">
      <c r="A962" t="s">
        <v>27</v>
      </c>
      <c r="B962" t="s">
        <v>23</v>
      </c>
      <c r="C962" t="s">
        <v>15</v>
      </c>
      <c r="D962">
        <v>68</v>
      </c>
      <c r="E962" t="s">
        <v>10</v>
      </c>
      <c r="F962" t="s">
        <v>39</v>
      </c>
      <c r="G962" t="s">
        <v>40</v>
      </c>
    </row>
    <row r="963" spans="1:7" x14ac:dyDescent="0.3">
      <c r="A963" t="s">
        <v>27</v>
      </c>
      <c r="B963" t="s">
        <v>23</v>
      </c>
      <c r="C963" t="s">
        <v>16</v>
      </c>
      <c r="D963">
        <v>320417</v>
      </c>
      <c r="E963" t="s">
        <v>10</v>
      </c>
      <c r="F963" t="s">
        <v>39</v>
      </c>
      <c r="G963" t="s">
        <v>40</v>
      </c>
    </row>
    <row r="964" spans="1:7" x14ac:dyDescent="0.3">
      <c r="A964" t="s">
        <v>27</v>
      </c>
      <c r="B964" t="s">
        <v>23</v>
      </c>
      <c r="C964" t="s">
        <v>17</v>
      </c>
      <c r="D964">
        <v>20431</v>
      </c>
      <c r="E964" t="s">
        <v>10</v>
      </c>
      <c r="F964" t="s">
        <v>39</v>
      </c>
      <c r="G964" t="s">
        <v>40</v>
      </c>
    </row>
    <row r="965" spans="1:7" x14ac:dyDescent="0.3">
      <c r="A965" t="s">
        <v>27</v>
      </c>
      <c r="B965" t="s">
        <v>23</v>
      </c>
      <c r="C965" t="s">
        <v>18</v>
      </c>
      <c r="D965">
        <v>0</v>
      </c>
      <c r="E965" t="s">
        <v>10</v>
      </c>
      <c r="F965" t="s">
        <v>39</v>
      </c>
      <c r="G965" t="s">
        <v>40</v>
      </c>
    </row>
    <row r="966" spans="1:7" x14ac:dyDescent="0.3">
      <c r="A966" t="s">
        <v>27</v>
      </c>
      <c r="B966" t="s">
        <v>23</v>
      </c>
      <c r="C966" t="s">
        <v>19</v>
      </c>
      <c r="D966">
        <v>13</v>
      </c>
      <c r="E966" t="s">
        <v>10</v>
      </c>
      <c r="F966" t="s">
        <v>39</v>
      </c>
      <c r="G966" t="s">
        <v>40</v>
      </c>
    </row>
    <row r="967" spans="1:7" x14ac:dyDescent="0.3">
      <c r="A967" t="s">
        <v>27</v>
      </c>
      <c r="B967" t="s">
        <v>23</v>
      </c>
      <c r="C967" t="s">
        <v>20</v>
      </c>
      <c r="D967">
        <v>537</v>
      </c>
      <c r="E967" t="s">
        <v>10</v>
      </c>
      <c r="F967" t="s">
        <v>39</v>
      </c>
      <c r="G967" t="s">
        <v>40</v>
      </c>
    </row>
    <row r="968" spans="1:7" x14ac:dyDescent="0.3">
      <c r="A968" t="s">
        <v>27</v>
      </c>
      <c r="B968" t="s">
        <v>23</v>
      </c>
      <c r="C968" t="s">
        <v>21</v>
      </c>
      <c r="D968">
        <v>26</v>
      </c>
      <c r="E968" t="s">
        <v>10</v>
      </c>
      <c r="F968" t="s">
        <v>39</v>
      </c>
      <c r="G968" t="s">
        <v>40</v>
      </c>
    </row>
    <row r="969" spans="1:7" x14ac:dyDescent="0.3">
      <c r="A969" t="s">
        <v>27</v>
      </c>
      <c r="B969" t="s">
        <v>23</v>
      </c>
      <c r="C969" t="s">
        <v>22</v>
      </c>
      <c r="D969">
        <v>468</v>
      </c>
      <c r="E969" t="s">
        <v>10</v>
      </c>
      <c r="F969" t="s">
        <v>39</v>
      </c>
      <c r="G969" t="s">
        <v>40</v>
      </c>
    </row>
    <row r="970" spans="1:7" x14ac:dyDescent="0.3">
      <c r="A970" t="s">
        <v>28</v>
      </c>
      <c r="B970" t="s">
        <v>8</v>
      </c>
      <c r="C970" t="s">
        <v>9</v>
      </c>
      <c r="D970">
        <v>1</v>
      </c>
      <c r="E970" t="s">
        <v>10</v>
      </c>
      <c r="F970" t="s">
        <v>39</v>
      </c>
      <c r="G970" t="s">
        <v>40</v>
      </c>
    </row>
    <row r="971" spans="1:7" x14ac:dyDescent="0.3">
      <c r="A971" t="s">
        <v>28</v>
      </c>
      <c r="B971" t="s">
        <v>8</v>
      </c>
      <c r="C971" t="s">
        <v>13</v>
      </c>
      <c r="D971">
        <v>0</v>
      </c>
      <c r="E971" t="s">
        <v>10</v>
      </c>
      <c r="F971" t="s">
        <v>39</v>
      </c>
      <c r="G971" t="s">
        <v>40</v>
      </c>
    </row>
    <row r="972" spans="1:7" x14ac:dyDescent="0.3">
      <c r="A972" t="s">
        <v>28</v>
      </c>
      <c r="B972" t="s">
        <v>8</v>
      </c>
      <c r="C972" t="s">
        <v>14</v>
      </c>
      <c r="D972">
        <v>13962</v>
      </c>
      <c r="E972" t="s">
        <v>10</v>
      </c>
      <c r="F972" t="s">
        <v>39</v>
      </c>
      <c r="G972" t="s">
        <v>40</v>
      </c>
    </row>
    <row r="973" spans="1:7" x14ac:dyDescent="0.3">
      <c r="A973" t="s">
        <v>28</v>
      </c>
      <c r="B973" t="s">
        <v>8</v>
      </c>
      <c r="C973" t="s">
        <v>15</v>
      </c>
      <c r="D973">
        <v>1</v>
      </c>
      <c r="E973" t="s">
        <v>10</v>
      </c>
      <c r="F973" t="s">
        <v>39</v>
      </c>
      <c r="G973" t="s">
        <v>40</v>
      </c>
    </row>
    <row r="974" spans="1:7" x14ac:dyDescent="0.3">
      <c r="A974" t="s">
        <v>28</v>
      </c>
      <c r="B974" t="s">
        <v>8</v>
      </c>
      <c r="C974" t="s">
        <v>16</v>
      </c>
      <c r="D974">
        <v>48638</v>
      </c>
      <c r="E974" t="s">
        <v>10</v>
      </c>
      <c r="F974" t="s">
        <v>39</v>
      </c>
      <c r="G974" t="s">
        <v>40</v>
      </c>
    </row>
    <row r="975" spans="1:7" x14ac:dyDescent="0.3">
      <c r="A975" t="s">
        <v>28</v>
      </c>
      <c r="B975" t="s">
        <v>8</v>
      </c>
      <c r="C975" t="s">
        <v>17</v>
      </c>
      <c r="D975">
        <v>4</v>
      </c>
      <c r="E975" t="s">
        <v>10</v>
      </c>
      <c r="F975" t="s">
        <v>39</v>
      </c>
      <c r="G975" t="s">
        <v>40</v>
      </c>
    </row>
    <row r="976" spans="1:7" x14ac:dyDescent="0.3">
      <c r="A976" t="s">
        <v>28</v>
      </c>
      <c r="B976" t="s">
        <v>8</v>
      </c>
      <c r="C976" t="s">
        <v>18</v>
      </c>
      <c r="D976">
        <v>0</v>
      </c>
      <c r="E976" t="s">
        <v>10</v>
      </c>
      <c r="F976" t="s">
        <v>39</v>
      </c>
      <c r="G976" t="s">
        <v>40</v>
      </c>
    </row>
    <row r="977" spans="1:7" x14ac:dyDescent="0.3">
      <c r="A977" t="s">
        <v>28</v>
      </c>
      <c r="B977" t="s">
        <v>8</v>
      </c>
      <c r="C977" t="s">
        <v>19</v>
      </c>
      <c r="D977">
        <v>0</v>
      </c>
      <c r="E977" t="s">
        <v>10</v>
      </c>
      <c r="F977" t="s">
        <v>39</v>
      </c>
      <c r="G977" t="s">
        <v>40</v>
      </c>
    </row>
    <row r="978" spans="1:7" x14ac:dyDescent="0.3">
      <c r="A978" t="s">
        <v>28</v>
      </c>
      <c r="B978" t="s">
        <v>8</v>
      </c>
      <c r="C978" t="s">
        <v>20</v>
      </c>
      <c r="D978">
        <v>0</v>
      </c>
      <c r="E978" t="s">
        <v>10</v>
      </c>
      <c r="F978" t="s">
        <v>39</v>
      </c>
      <c r="G978" t="s">
        <v>40</v>
      </c>
    </row>
    <row r="979" spans="1:7" x14ac:dyDescent="0.3">
      <c r="A979" t="s">
        <v>28</v>
      </c>
      <c r="B979" t="s">
        <v>8</v>
      </c>
      <c r="C979" t="s">
        <v>21</v>
      </c>
      <c r="D979">
        <v>0</v>
      </c>
      <c r="E979" t="s">
        <v>10</v>
      </c>
      <c r="F979" t="s">
        <v>39</v>
      </c>
      <c r="G979" t="s">
        <v>40</v>
      </c>
    </row>
    <row r="980" spans="1:7" x14ac:dyDescent="0.3">
      <c r="A980" t="s">
        <v>28</v>
      </c>
      <c r="B980" t="s">
        <v>8</v>
      </c>
      <c r="C980" t="s">
        <v>22</v>
      </c>
      <c r="D980">
        <v>38</v>
      </c>
      <c r="E980" t="s">
        <v>10</v>
      </c>
      <c r="F980" t="s">
        <v>39</v>
      </c>
      <c r="G980" t="s">
        <v>40</v>
      </c>
    </row>
    <row r="981" spans="1:7" x14ac:dyDescent="0.3">
      <c r="A981" t="s">
        <v>28</v>
      </c>
      <c r="B981" t="s">
        <v>23</v>
      </c>
      <c r="C981" t="s">
        <v>9</v>
      </c>
      <c r="D981">
        <v>92</v>
      </c>
      <c r="E981" t="s">
        <v>10</v>
      </c>
      <c r="F981" t="s">
        <v>39</v>
      </c>
      <c r="G981" t="s">
        <v>40</v>
      </c>
    </row>
    <row r="982" spans="1:7" x14ac:dyDescent="0.3">
      <c r="A982" t="s">
        <v>28</v>
      </c>
      <c r="B982" t="s">
        <v>23</v>
      </c>
      <c r="C982" t="s">
        <v>13</v>
      </c>
      <c r="D982">
        <v>70</v>
      </c>
      <c r="E982" t="s">
        <v>10</v>
      </c>
      <c r="F982" t="s">
        <v>39</v>
      </c>
      <c r="G982" t="s">
        <v>40</v>
      </c>
    </row>
    <row r="983" spans="1:7" x14ac:dyDescent="0.3">
      <c r="A983" t="s">
        <v>28</v>
      </c>
      <c r="B983" t="s">
        <v>23</v>
      </c>
      <c r="C983" t="s">
        <v>14</v>
      </c>
      <c r="D983">
        <v>25191</v>
      </c>
      <c r="E983" t="s">
        <v>10</v>
      </c>
      <c r="F983" t="s">
        <v>39</v>
      </c>
      <c r="G983" t="s">
        <v>40</v>
      </c>
    </row>
    <row r="984" spans="1:7" x14ac:dyDescent="0.3">
      <c r="A984" t="s">
        <v>28</v>
      </c>
      <c r="B984" t="s">
        <v>23</v>
      </c>
      <c r="C984" t="s">
        <v>15</v>
      </c>
      <c r="D984">
        <v>29</v>
      </c>
      <c r="E984" t="s">
        <v>10</v>
      </c>
      <c r="F984" t="s">
        <v>39</v>
      </c>
      <c r="G984" t="s">
        <v>40</v>
      </c>
    </row>
    <row r="985" spans="1:7" x14ac:dyDescent="0.3">
      <c r="A985" t="s">
        <v>28</v>
      </c>
      <c r="B985" t="s">
        <v>23</v>
      </c>
      <c r="C985" t="s">
        <v>16</v>
      </c>
      <c r="D985">
        <v>129412</v>
      </c>
      <c r="E985" t="s">
        <v>10</v>
      </c>
      <c r="F985" t="s">
        <v>39</v>
      </c>
      <c r="G985" t="s">
        <v>40</v>
      </c>
    </row>
    <row r="986" spans="1:7" x14ac:dyDescent="0.3">
      <c r="A986" t="s">
        <v>28</v>
      </c>
      <c r="B986" t="s">
        <v>23</v>
      </c>
      <c r="C986" t="s">
        <v>17</v>
      </c>
      <c r="D986">
        <v>17</v>
      </c>
      <c r="E986" t="s">
        <v>10</v>
      </c>
      <c r="F986" t="s">
        <v>39</v>
      </c>
      <c r="G986" t="s">
        <v>40</v>
      </c>
    </row>
    <row r="987" spans="1:7" x14ac:dyDescent="0.3">
      <c r="A987" t="s">
        <v>28</v>
      </c>
      <c r="B987" t="s">
        <v>23</v>
      </c>
      <c r="C987" t="s">
        <v>18</v>
      </c>
      <c r="D987">
        <v>0</v>
      </c>
      <c r="E987" t="s">
        <v>10</v>
      </c>
      <c r="F987" t="s">
        <v>39</v>
      </c>
      <c r="G987" t="s">
        <v>40</v>
      </c>
    </row>
    <row r="988" spans="1:7" x14ac:dyDescent="0.3">
      <c r="A988" t="s">
        <v>28</v>
      </c>
      <c r="B988" t="s">
        <v>23</v>
      </c>
      <c r="C988" t="s">
        <v>19</v>
      </c>
      <c r="D988">
        <v>5</v>
      </c>
      <c r="E988" t="s">
        <v>10</v>
      </c>
      <c r="F988" t="s">
        <v>39</v>
      </c>
      <c r="G988" t="s">
        <v>40</v>
      </c>
    </row>
    <row r="989" spans="1:7" x14ac:dyDescent="0.3">
      <c r="A989" t="s">
        <v>28</v>
      </c>
      <c r="B989" t="s">
        <v>23</v>
      </c>
      <c r="C989" t="s">
        <v>20</v>
      </c>
      <c r="D989">
        <v>187</v>
      </c>
      <c r="E989" t="s">
        <v>10</v>
      </c>
      <c r="F989" t="s">
        <v>39</v>
      </c>
      <c r="G989" t="s">
        <v>40</v>
      </c>
    </row>
    <row r="990" spans="1:7" x14ac:dyDescent="0.3">
      <c r="A990" t="s">
        <v>28</v>
      </c>
      <c r="B990" t="s">
        <v>23</v>
      </c>
      <c r="C990" t="s">
        <v>21</v>
      </c>
      <c r="D990">
        <v>11</v>
      </c>
      <c r="E990" t="s">
        <v>10</v>
      </c>
      <c r="F990" t="s">
        <v>39</v>
      </c>
      <c r="G990" t="s">
        <v>40</v>
      </c>
    </row>
    <row r="991" spans="1:7" x14ac:dyDescent="0.3">
      <c r="A991" t="s">
        <v>28</v>
      </c>
      <c r="B991" t="s">
        <v>23</v>
      </c>
      <c r="C991" t="s">
        <v>22</v>
      </c>
      <c r="D991">
        <v>168</v>
      </c>
      <c r="E991" t="s">
        <v>10</v>
      </c>
      <c r="F991" t="s">
        <v>39</v>
      </c>
      <c r="G991" t="s">
        <v>40</v>
      </c>
    </row>
    <row r="992" spans="1:7" x14ac:dyDescent="0.3">
      <c r="A992" t="s">
        <v>29</v>
      </c>
      <c r="B992" t="s">
        <v>8</v>
      </c>
      <c r="C992" t="s">
        <v>9</v>
      </c>
      <c r="D992">
        <v>0</v>
      </c>
      <c r="E992" t="s">
        <v>10</v>
      </c>
      <c r="F992" t="s">
        <v>39</v>
      </c>
      <c r="G992" t="s">
        <v>40</v>
      </c>
    </row>
    <row r="993" spans="1:7" x14ac:dyDescent="0.3">
      <c r="A993" t="s">
        <v>29</v>
      </c>
      <c r="B993" t="s">
        <v>8</v>
      </c>
      <c r="C993" t="s">
        <v>13</v>
      </c>
      <c r="D993">
        <v>0</v>
      </c>
      <c r="E993" t="s">
        <v>10</v>
      </c>
      <c r="F993" t="s">
        <v>39</v>
      </c>
      <c r="G993" t="s">
        <v>40</v>
      </c>
    </row>
    <row r="994" spans="1:7" x14ac:dyDescent="0.3">
      <c r="A994" t="s">
        <v>29</v>
      </c>
      <c r="B994" t="s">
        <v>8</v>
      </c>
      <c r="C994" t="s">
        <v>14</v>
      </c>
      <c r="D994">
        <v>11638</v>
      </c>
      <c r="E994" t="s">
        <v>10</v>
      </c>
      <c r="F994" t="s">
        <v>39</v>
      </c>
      <c r="G994" t="s">
        <v>40</v>
      </c>
    </row>
    <row r="995" spans="1:7" x14ac:dyDescent="0.3">
      <c r="A995" t="s">
        <v>29</v>
      </c>
      <c r="B995" t="s">
        <v>8</v>
      </c>
      <c r="C995" t="s">
        <v>15</v>
      </c>
      <c r="D995">
        <v>0</v>
      </c>
      <c r="E995" t="s">
        <v>10</v>
      </c>
      <c r="F995" t="s">
        <v>39</v>
      </c>
      <c r="G995" t="s">
        <v>40</v>
      </c>
    </row>
    <row r="996" spans="1:7" x14ac:dyDescent="0.3">
      <c r="A996" t="s">
        <v>29</v>
      </c>
      <c r="B996" t="s">
        <v>8</v>
      </c>
      <c r="C996" t="s">
        <v>16</v>
      </c>
      <c r="D996">
        <v>17</v>
      </c>
      <c r="E996" t="s">
        <v>10</v>
      </c>
      <c r="F996" t="s">
        <v>39</v>
      </c>
      <c r="G996" t="s">
        <v>40</v>
      </c>
    </row>
    <row r="997" spans="1:7" x14ac:dyDescent="0.3">
      <c r="A997" t="s">
        <v>29</v>
      </c>
      <c r="B997" t="s">
        <v>8</v>
      </c>
      <c r="C997" t="s">
        <v>17</v>
      </c>
      <c r="D997">
        <v>0</v>
      </c>
      <c r="E997" t="s">
        <v>10</v>
      </c>
      <c r="F997" t="s">
        <v>39</v>
      </c>
      <c r="G997" t="s">
        <v>40</v>
      </c>
    </row>
    <row r="998" spans="1:7" x14ac:dyDescent="0.3">
      <c r="A998" t="s">
        <v>29</v>
      </c>
      <c r="B998" t="s">
        <v>8</v>
      </c>
      <c r="C998" t="s">
        <v>18</v>
      </c>
      <c r="D998">
        <v>0</v>
      </c>
      <c r="E998" t="s">
        <v>10</v>
      </c>
      <c r="F998" t="s">
        <v>39</v>
      </c>
      <c r="G998" t="s">
        <v>40</v>
      </c>
    </row>
    <row r="999" spans="1:7" x14ac:dyDescent="0.3">
      <c r="A999" t="s">
        <v>29</v>
      </c>
      <c r="B999" t="s">
        <v>8</v>
      </c>
      <c r="C999" t="s">
        <v>19</v>
      </c>
      <c r="D999">
        <v>0</v>
      </c>
      <c r="E999" t="s">
        <v>10</v>
      </c>
      <c r="F999" t="s">
        <v>39</v>
      </c>
      <c r="G999" t="s">
        <v>40</v>
      </c>
    </row>
    <row r="1000" spans="1:7" x14ac:dyDescent="0.3">
      <c r="A1000" t="s">
        <v>29</v>
      </c>
      <c r="B1000" t="s">
        <v>8</v>
      </c>
      <c r="C1000" t="s">
        <v>20</v>
      </c>
      <c r="D1000">
        <v>0</v>
      </c>
      <c r="E1000" t="s">
        <v>10</v>
      </c>
      <c r="F1000" t="s">
        <v>39</v>
      </c>
      <c r="G1000" t="s">
        <v>40</v>
      </c>
    </row>
    <row r="1001" spans="1:7" x14ac:dyDescent="0.3">
      <c r="A1001" t="s">
        <v>29</v>
      </c>
      <c r="B1001" t="s">
        <v>8</v>
      </c>
      <c r="C1001" t="s">
        <v>21</v>
      </c>
      <c r="D1001">
        <v>0</v>
      </c>
      <c r="E1001" t="s">
        <v>10</v>
      </c>
      <c r="F1001" t="s">
        <v>39</v>
      </c>
      <c r="G1001" t="s">
        <v>40</v>
      </c>
    </row>
    <row r="1002" spans="1:7" x14ac:dyDescent="0.3">
      <c r="A1002" t="s">
        <v>29</v>
      </c>
      <c r="B1002" t="s">
        <v>8</v>
      </c>
      <c r="C1002" t="s">
        <v>22</v>
      </c>
      <c r="D1002">
        <v>18</v>
      </c>
      <c r="E1002" t="s">
        <v>10</v>
      </c>
      <c r="F1002" t="s">
        <v>39</v>
      </c>
      <c r="G1002" t="s">
        <v>40</v>
      </c>
    </row>
    <row r="1003" spans="1:7" x14ac:dyDescent="0.3">
      <c r="A1003" t="s">
        <v>29</v>
      </c>
      <c r="B1003" t="s">
        <v>23</v>
      </c>
      <c r="C1003" t="s">
        <v>9</v>
      </c>
      <c r="D1003">
        <v>34</v>
      </c>
      <c r="E1003" t="s">
        <v>10</v>
      </c>
      <c r="F1003" t="s">
        <v>39</v>
      </c>
      <c r="G1003" t="s">
        <v>40</v>
      </c>
    </row>
    <row r="1004" spans="1:7" x14ac:dyDescent="0.3">
      <c r="A1004" t="s">
        <v>29</v>
      </c>
      <c r="B1004" t="s">
        <v>23</v>
      </c>
      <c r="C1004" t="s">
        <v>13</v>
      </c>
      <c r="D1004">
        <v>20</v>
      </c>
      <c r="E1004" t="s">
        <v>10</v>
      </c>
      <c r="F1004" t="s">
        <v>39</v>
      </c>
      <c r="G1004" t="s">
        <v>40</v>
      </c>
    </row>
    <row r="1005" spans="1:7" x14ac:dyDescent="0.3">
      <c r="A1005" t="s">
        <v>29</v>
      </c>
      <c r="B1005" t="s">
        <v>23</v>
      </c>
      <c r="C1005" t="s">
        <v>14</v>
      </c>
      <c r="D1005">
        <v>20346</v>
      </c>
      <c r="E1005" t="s">
        <v>10</v>
      </c>
      <c r="F1005" t="s">
        <v>39</v>
      </c>
      <c r="G1005" t="s">
        <v>40</v>
      </c>
    </row>
    <row r="1006" spans="1:7" x14ac:dyDescent="0.3">
      <c r="A1006" t="s">
        <v>29</v>
      </c>
      <c r="B1006" t="s">
        <v>23</v>
      </c>
      <c r="C1006" t="s">
        <v>15</v>
      </c>
      <c r="D1006">
        <v>13</v>
      </c>
      <c r="E1006" t="s">
        <v>10</v>
      </c>
      <c r="F1006" t="s">
        <v>39</v>
      </c>
      <c r="G1006" t="s">
        <v>40</v>
      </c>
    </row>
    <row r="1007" spans="1:7" x14ac:dyDescent="0.3">
      <c r="A1007" t="s">
        <v>29</v>
      </c>
      <c r="B1007" t="s">
        <v>23</v>
      </c>
      <c r="C1007" t="s">
        <v>16</v>
      </c>
      <c r="D1007">
        <v>3032</v>
      </c>
      <c r="E1007" t="s">
        <v>10</v>
      </c>
      <c r="F1007" t="s">
        <v>39</v>
      </c>
      <c r="G1007" t="s">
        <v>40</v>
      </c>
    </row>
    <row r="1008" spans="1:7" x14ac:dyDescent="0.3">
      <c r="A1008" t="s">
        <v>29</v>
      </c>
      <c r="B1008" t="s">
        <v>23</v>
      </c>
      <c r="C1008" t="s">
        <v>17</v>
      </c>
      <c r="D1008">
        <v>2</v>
      </c>
      <c r="E1008" t="s">
        <v>10</v>
      </c>
      <c r="F1008" t="s">
        <v>39</v>
      </c>
      <c r="G1008" t="s">
        <v>40</v>
      </c>
    </row>
    <row r="1009" spans="1:7" x14ac:dyDescent="0.3">
      <c r="A1009" t="s">
        <v>29</v>
      </c>
      <c r="B1009" t="s">
        <v>23</v>
      </c>
      <c r="C1009" t="s">
        <v>18</v>
      </c>
      <c r="D1009">
        <v>0</v>
      </c>
      <c r="E1009" t="s">
        <v>10</v>
      </c>
      <c r="F1009" t="s">
        <v>39</v>
      </c>
      <c r="G1009" t="s">
        <v>40</v>
      </c>
    </row>
    <row r="1010" spans="1:7" x14ac:dyDescent="0.3">
      <c r="A1010" t="s">
        <v>29</v>
      </c>
      <c r="B1010" t="s">
        <v>23</v>
      </c>
      <c r="C1010" t="s">
        <v>19</v>
      </c>
      <c r="D1010">
        <v>1</v>
      </c>
      <c r="E1010" t="s">
        <v>10</v>
      </c>
      <c r="F1010" t="s">
        <v>39</v>
      </c>
      <c r="G1010" t="s">
        <v>40</v>
      </c>
    </row>
    <row r="1011" spans="1:7" x14ac:dyDescent="0.3">
      <c r="A1011" t="s">
        <v>29</v>
      </c>
      <c r="B1011" t="s">
        <v>23</v>
      </c>
      <c r="C1011" t="s">
        <v>20</v>
      </c>
      <c r="D1011">
        <v>28</v>
      </c>
      <c r="E1011" t="s">
        <v>10</v>
      </c>
      <c r="F1011" t="s">
        <v>39</v>
      </c>
      <c r="G1011" t="s">
        <v>40</v>
      </c>
    </row>
    <row r="1012" spans="1:7" x14ac:dyDescent="0.3">
      <c r="A1012" t="s">
        <v>29</v>
      </c>
      <c r="B1012" t="s">
        <v>23</v>
      </c>
      <c r="C1012" t="s">
        <v>21</v>
      </c>
      <c r="D1012">
        <v>6</v>
      </c>
      <c r="E1012" t="s">
        <v>10</v>
      </c>
      <c r="F1012" t="s">
        <v>39</v>
      </c>
      <c r="G1012" t="s">
        <v>40</v>
      </c>
    </row>
    <row r="1013" spans="1:7" x14ac:dyDescent="0.3">
      <c r="A1013" t="s">
        <v>29</v>
      </c>
      <c r="B1013" t="s">
        <v>23</v>
      </c>
      <c r="C1013" t="s">
        <v>22</v>
      </c>
      <c r="D1013">
        <v>33</v>
      </c>
      <c r="E1013" t="s">
        <v>10</v>
      </c>
      <c r="F1013" t="s">
        <v>39</v>
      </c>
      <c r="G1013" t="s">
        <v>40</v>
      </c>
    </row>
    <row r="1014" spans="1:7" x14ac:dyDescent="0.3">
      <c r="A1014" t="s">
        <v>30</v>
      </c>
      <c r="B1014" t="s">
        <v>8</v>
      </c>
      <c r="C1014" t="s">
        <v>9</v>
      </c>
      <c r="D1014">
        <v>0</v>
      </c>
      <c r="E1014" t="s">
        <v>10</v>
      </c>
      <c r="F1014" t="s">
        <v>39</v>
      </c>
      <c r="G1014" t="s">
        <v>40</v>
      </c>
    </row>
    <row r="1015" spans="1:7" x14ac:dyDescent="0.3">
      <c r="A1015" t="s">
        <v>30</v>
      </c>
      <c r="B1015" t="s">
        <v>8</v>
      </c>
      <c r="C1015" t="s">
        <v>13</v>
      </c>
      <c r="D1015">
        <v>0</v>
      </c>
      <c r="E1015" t="s">
        <v>10</v>
      </c>
      <c r="F1015" t="s">
        <v>39</v>
      </c>
      <c r="G1015" t="s">
        <v>40</v>
      </c>
    </row>
    <row r="1016" spans="1:7" x14ac:dyDescent="0.3">
      <c r="A1016" t="s">
        <v>30</v>
      </c>
      <c r="B1016" t="s">
        <v>8</v>
      </c>
      <c r="C1016" t="s">
        <v>14</v>
      </c>
      <c r="D1016">
        <v>0</v>
      </c>
      <c r="E1016" t="s">
        <v>10</v>
      </c>
      <c r="F1016" t="s">
        <v>39</v>
      </c>
      <c r="G1016" t="s">
        <v>40</v>
      </c>
    </row>
    <row r="1017" spans="1:7" x14ac:dyDescent="0.3">
      <c r="A1017" t="s">
        <v>30</v>
      </c>
      <c r="B1017" t="s">
        <v>8</v>
      </c>
      <c r="C1017" t="s">
        <v>15</v>
      </c>
      <c r="D1017">
        <v>0</v>
      </c>
      <c r="E1017" t="s">
        <v>10</v>
      </c>
      <c r="F1017" t="s">
        <v>39</v>
      </c>
      <c r="G1017" t="s">
        <v>40</v>
      </c>
    </row>
    <row r="1018" spans="1:7" x14ac:dyDescent="0.3">
      <c r="A1018" t="s">
        <v>30</v>
      </c>
      <c r="B1018" t="s">
        <v>8</v>
      </c>
      <c r="C1018" t="s">
        <v>16</v>
      </c>
      <c r="D1018">
        <v>0</v>
      </c>
      <c r="E1018" t="s">
        <v>10</v>
      </c>
      <c r="F1018" t="s">
        <v>39</v>
      </c>
      <c r="G1018" t="s">
        <v>40</v>
      </c>
    </row>
    <row r="1019" spans="1:7" x14ac:dyDescent="0.3">
      <c r="A1019" t="s">
        <v>30</v>
      </c>
      <c r="B1019" t="s">
        <v>8</v>
      </c>
      <c r="C1019" t="s">
        <v>17</v>
      </c>
      <c r="D1019">
        <v>1182</v>
      </c>
      <c r="E1019" t="s">
        <v>10</v>
      </c>
      <c r="F1019" t="s">
        <v>39</v>
      </c>
      <c r="G1019" t="s">
        <v>40</v>
      </c>
    </row>
    <row r="1020" spans="1:7" x14ac:dyDescent="0.3">
      <c r="A1020" t="s">
        <v>30</v>
      </c>
      <c r="B1020" t="s">
        <v>8</v>
      </c>
      <c r="C1020" t="s">
        <v>18</v>
      </c>
      <c r="D1020">
        <v>0</v>
      </c>
      <c r="E1020" t="s">
        <v>10</v>
      </c>
      <c r="F1020" t="s">
        <v>39</v>
      </c>
      <c r="G1020" t="s">
        <v>40</v>
      </c>
    </row>
    <row r="1021" spans="1:7" x14ac:dyDescent="0.3">
      <c r="A1021" t="s">
        <v>30</v>
      </c>
      <c r="B1021" t="s">
        <v>8</v>
      </c>
      <c r="C1021" t="s">
        <v>19</v>
      </c>
      <c r="D1021">
        <v>0</v>
      </c>
      <c r="E1021" t="s">
        <v>10</v>
      </c>
      <c r="F1021" t="s">
        <v>39</v>
      </c>
      <c r="G1021" t="s">
        <v>40</v>
      </c>
    </row>
    <row r="1022" spans="1:7" x14ac:dyDescent="0.3">
      <c r="A1022" t="s">
        <v>30</v>
      </c>
      <c r="B1022" t="s">
        <v>8</v>
      </c>
      <c r="C1022" t="s">
        <v>20</v>
      </c>
      <c r="D1022">
        <v>0</v>
      </c>
      <c r="E1022" t="s">
        <v>10</v>
      </c>
      <c r="F1022" t="s">
        <v>39</v>
      </c>
      <c r="G1022" t="s">
        <v>40</v>
      </c>
    </row>
    <row r="1023" spans="1:7" x14ac:dyDescent="0.3">
      <c r="A1023" t="s">
        <v>30</v>
      </c>
      <c r="B1023" t="s">
        <v>8</v>
      </c>
      <c r="C1023" t="s">
        <v>21</v>
      </c>
      <c r="D1023">
        <v>0</v>
      </c>
      <c r="E1023" t="s">
        <v>10</v>
      </c>
      <c r="F1023" t="s">
        <v>39</v>
      </c>
      <c r="G1023" t="s">
        <v>40</v>
      </c>
    </row>
    <row r="1024" spans="1:7" x14ac:dyDescent="0.3">
      <c r="A1024" t="s">
        <v>30</v>
      </c>
      <c r="B1024" t="s">
        <v>8</v>
      </c>
      <c r="C1024" t="s">
        <v>22</v>
      </c>
      <c r="D1024">
        <v>1</v>
      </c>
      <c r="E1024" t="s">
        <v>10</v>
      </c>
      <c r="F1024" t="s">
        <v>39</v>
      </c>
      <c r="G1024" t="s">
        <v>40</v>
      </c>
    </row>
    <row r="1025" spans="1:7" x14ac:dyDescent="0.3">
      <c r="A1025" t="s">
        <v>30</v>
      </c>
      <c r="B1025" t="s">
        <v>23</v>
      </c>
      <c r="C1025" t="s">
        <v>9</v>
      </c>
      <c r="D1025">
        <v>98</v>
      </c>
      <c r="E1025" t="s">
        <v>10</v>
      </c>
      <c r="F1025" t="s">
        <v>39</v>
      </c>
      <c r="G1025" t="s">
        <v>40</v>
      </c>
    </row>
    <row r="1026" spans="1:7" x14ac:dyDescent="0.3">
      <c r="A1026" t="s">
        <v>30</v>
      </c>
      <c r="B1026" t="s">
        <v>23</v>
      </c>
      <c r="C1026" t="s">
        <v>13</v>
      </c>
      <c r="D1026">
        <v>8</v>
      </c>
      <c r="E1026" t="s">
        <v>10</v>
      </c>
      <c r="F1026" t="s">
        <v>39</v>
      </c>
      <c r="G1026" t="s">
        <v>40</v>
      </c>
    </row>
    <row r="1027" spans="1:7" x14ac:dyDescent="0.3">
      <c r="A1027" t="s">
        <v>30</v>
      </c>
      <c r="B1027" t="s">
        <v>23</v>
      </c>
      <c r="C1027" t="s">
        <v>14</v>
      </c>
      <c r="D1027">
        <v>19</v>
      </c>
      <c r="E1027" t="s">
        <v>10</v>
      </c>
      <c r="F1027" t="s">
        <v>39</v>
      </c>
      <c r="G1027" t="s">
        <v>40</v>
      </c>
    </row>
    <row r="1028" spans="1:7" x14ac:dyDescent="0.3">
      <c r="A1028" t="s">
        <v>30</v>
      </c>
      <c r="B1028" t="s">
        <v>23</v>
      </c>
      <c r="C1028" t="s">
        <v>15</v>
      </c>
      <c r="D1028">
        <v>0</v>
      </c>
      <c r="E1028" t="s">
        <v>10</v>
      </c>
      <c r="F1028" t="s">
        <v>39</v>
      </c>
      <c r="G1028" t="s">
        <v>40</v>
      </c>
    </row>
    <row r="1029" spans="1:7" x14ac:dyDescent="0.3">
      <c r="A1029" t="s">
        <v>30</v>
      </c>
      <c r="B1029" t="s">
        <v>23</v>
      </c>
      <c r="C1029" t="s">
        <v>16</v>
      </c>
      <c r="D1029">
        <v>28</v>
      </c>
      <c r="E1029" t="s">
        <v>10</v>
      </c>
      <c r="F1029" t="s">
        <v>39</v>
      </c>
      <c r="G1029" t="s">
        <v>40</v>
      </c>
    </row>
    <row r="1030" spans="1:7" x14ac:dyDescent="0.3">
      <c r="A1030" t="s">
        <v>30</v>
      </c>
      <c r="B1030" t="s">
        <v>23</v>
      </c>
      <c r="C1030" t="s">
        <v>17</v>
      </c>
      <c r="D1030">
        <v>2604</v>
      </c>
      <c r="E1030" t="s">
        <v>10</v>
      </c>
      <c r="F1030" t="s">
        <v>39</v>
      </c>
      <c r="G1030" t="s">
        <v>40</v>
      </c>
    </row>
    <row r="1031" spans="1:7" x14ac:dyDescent="0.3">
      <c r="A1031" t="s">
        <v>30</v>
      </c>
      <c r="B1031" t="s">
        <v>23</v>
      </c>
      <c r="C1031" t="s">
        <v>18</v>
      </c>
      <c r="D1031">
        <v>0</v>
      </c>
      <c r="E1031" t="s">
        <v>10</v>
      </c>
      <c r="F1031" t="s">
        <v>39</v>
      </c>
      <c r="G1031" t="s">
        <v>40</v>
      </c>
    </row>
    <row r="1032" spans="1:7" x14ac:dyDescent="0.3">
      <c r="A1032" t="s">
        <v>30</v>
      </c>
      <c r="B1032" t="s">
        <v>23</v>
      </c>
      <c r="C1032" t="s">
        <v>19</v>
      </c>
      <c r="D1032">
        <v>0</v>
      </c>
      <c r="E1032" t="s">
        <v>10</v>
      </c>
      <c r="F1032" t="s">
        <v>39</v>
      </c>
      <c r="G1032" t="s">
        <v>40</v>
      </c>
    </row>
    <row r="1033" spans="1:7" x14ac:dyDescent="0.3">
      <c r="A1033" t="s">
        <v>30</v>
      </c>
      <c r="B1033" t="s">
        <v>23</v>
      </c>
      <c r="C1033" t="s">
        <v>20</v>
      </c>
      <c r="D1033">
        <v>11</v>
      </c>
      <c r="E1033" t="s">
        <v>10</v>
      </c>
      <c r="F1033" t="s">
        <v>39</v>
      </c>
      <c r="G1033" t="s">
        <v>40</v>
      </c>
    </row>
    <row r="1034" spans="1:7" x14ac:dyDescent="0.3">
      <c r="A1034" t="s">
        <v>30</v>
      </c>
      <c r="B1034" t="s">
        <v>23</v>
      </c>
      <c r="C1034" t="s">
        <v>21</v>
      </c>
      <c r="D1034">
        <v>0</v>
      </c>
      <c r="E1034" t="s">
        <v>10</v>
      </c>
      <c r="F1034" t="s">
        <v>39</v>
      </c>
      <c r="G1034" t="s">
        <v>40</v>
      </c>
    </row>
    <row r="1035" spans="1:7" x14ac:dyDescent="0.3">
      <c r="A1035" t="s">
        <v>30</v>
      </c>
      <c r="B1035" t="s">
        <v>23</v>
      </c>
      <c r="C1035" t="s">
        <v>22</v>
      </c>
      <c r="D1035">
        <v>9</v>
      </c>
      <c r="E1035" t="s">
        <v>10</v>
      </c>
      <c r="F1035" t="s">
        <v>39</v>
      </c>
      <c r="G1035" t="s">
        <v>40</v>
      </c>
    </row>
    <row r="1036" spans="1:7" x14ac:dyDescent="0.3">
      <c r="A1036" t="s">
        <v>31</v>
      </c>
      <c r="B1036" t="s">
        <v>8</v>
      </c>
      <c r="C1036" t="s">
        <v>9</v>
      </c>
      <c r="D1036">
        <v>0</v>
      </c>
      <c r="E1036" t="s">
        <v>10</v>
      </c>
      <c r="F1036" t="s">
        <v>39</v>
      </c>
      <c r="G1036" t="s">
        <v>40</v>
      </c>
    </row>
    <row r="1037" spans="1:7" x14ac:dyDescent="0.3">
      <c r="A1037" t="s">
        <v>31</v>
      </c>
      <c r="B1037" t="s">
        <v>8</v>
      </c>
      <c r="C1037" t="s">
        <v>13</v>
      </c>
      <c r="D1037">
        <v>0</v>
      </c>
      <c r="E1037" t="s">
        <v>10</v>
      </c>
      <c r="F1037" t="s">
        <v>39</v>
      </c>
      <c r="G1037" t="s">
        <v>40</v>
      </c>
    </row>
    <row r="1038" spans="1:7" x14ac:dyDescent="0.3">
      <c r="A1038" t="s">
        <v>31</v>
      </c>
      <c r="B1038" t="s">
        <v>8</v>
      </c>
      <c r="C1038" t="s">
        <v>14</v>
      </c>
      <c r="D1038">
        <v>0</v>
      </c>
      <c r="E1038" t="s">
        <v>10</v>
      </c>
      <c r="F1038" t="s">
        <v>39</v>
      </c>
      <c r="G1038" t="s">
        <v>40</v>
      </c>
    </row>
    <row r="1039" spans="1:7" x14ac:dyDescent="0.3">
      <c r="A1039" t="s">
        <v>31</v>
      </c>
      <c r="B1039" t="s">
        <v>8</v>
      </c>
      <c r="C1039" t="s">
        <v>15</v>
      </c>
      <c r="D1039">
        <v>0</v>
      </c>
      <c r="E1039" t="s">
        <v>10</v>
      </c>
      <c r="F1039" t="s">
        <v>39</v>
      </c>
      <c r="G1039" t="s">
        <v>40</v>
      </c>
    </row>
    <row r="1040" spans="1:7" x14ac:dyDescent="0.3">
      <c r="A1040" t="s">
        <v>31</v>
      </c>
      <c r="B1040" t="s">
        <v>8</v>
      </c>
      <c r="C1040" t="s">
        <v>16</v>
      </c>
      <c r="D1040">
        <v>0</v>
      </c>
      <c r="E1040" t="s">
        <v>10</v>
      </c>
      <c r="F1040" t="s">
        <v>39</v>
      </c>
      <c r="G1040" t="s">
        <v>40</v>
      </c>
    </row>
    <row r="1041" spans="1:7" x14ac:dyDescent="0.3">
      <c r="A1041" t="s">
        <v>31</v>
      </c>
      <c r="B1041" t="s">
        <v>8</v>
      </c>
      <c r="C1041" t="s">
        <v>17</v>
      </c>
      <c r="D1041">
        <v>2631</v>
      </c>
      <c r="E1041" t="s">
        <v>10</v>
      </c>
      <c r="F1041" t="s">
        <v>39</v>
      </c>
      <c r="G1041" t="s">
        <v>40</v>
      </c>
    </row>
    <row r="1042" spans="1:7" x14ac:dyDescent="0.3">
      <c r="A1042" t="s">
        <v>31</v>
      </c>
      <c r="B1042" t="s">
        <v>8</v>
      </c>
      <c r="C1042" t="s">
        <v>18</v>
      </c>
      <c r="D1042">
        <v>0</v>
      </c>
      <c r="E1042" t="s">
        <v>10</v>
      </c>
      <c r="F1042" t="s">
        <v>39</v>
      </c>
      <c r="G1042" t="s">
        <v>40</v>
      </c>
    </row>
    <row r="1043" spans="1:7" x14ac:dyDescent="0.3">
      <c r="A1043" t="s">
        <v>31</v>
      </c>
      <c r="B1043" t="s">
        <v>8</v>
      </c>
      <c r="C1043" t="s">
        <v>19</v>
      </c>
      <c r="D1043">
        <v>0</v>
      </c>
      <c r="E1043" t="s">
        <v>10</v>
      </c>
      <c r="F1043" t="s">
        <v>39</v>
      </c>
      <c r="G1043" t="s">
        <v>40</v>
      </c>
    </row>
    <row r="1044" spans="1:7" x14ac:dyDescent="0.3">
      <c r="A1044" t="s">
        <v>31</v>
      </c>
      <c r="B1044" t="s">
        <v>8</v>
      </c>
      <c r="C1044" t="s">
        <v>20</v>
      </c>
      <c r="D1044">
        <v>0</v>
      </c>
      <c r="E1044" t="s">
        <v>10</v>
      </c>
      <c r="F1044" t="s">
        <v>39</v>
      </c>
      <c r="G1044" t="s">
        <v>40</v>
      </c>
    </row>
    <row r="1045" spans="1:7" x14ac:dyDescent="0.3">
      <c r="A1045" t="s">
        <v>31</v>
      </c>
      <c r="B1045" t="s">
        <v>8</v>
      </c>
      <c r="C1045" t="s">
        <v>21</v>
      </c>
      <c r="D1045">
        <v>0</v>
      </c>
      <c r="E1045" t="s">
        <v>10</v>
      </c>
      <c r="F1045" t="s">
        <v>39</v>
      </c>
      <c r="G1045" t="s">
        <v>40</v>
      </c>
    </row>
    <row r="1046" spans="1:7" x14ac:dyDescent="0.3">
      <c r="A1046" t="s">
        <v>31</v>
      </c>
      <c r="B1046" t="s">
        <v>8</v>
      </c>
      <c r="C1046" t="s">
        <v>22</v>
      </c>
      <c r="D1046">
        <v>3</v>
      </c>
      <c r="E1046" t="s">
        <v>10</v>
      </c>
      <c r="F1046" t="s">
        <v>39</v>
      </c>
      <c r="G1046" t="s">
        <v>40</v>
      </c>
    </row>
    <row r="1047" spans="1:7" x14ac:dyDescent="0.3">
      <c r="A1047" t="s">
        <v>31</v>
      </c>
      <c r="B1047" t="s">
        <v>23</v>
      </c>
      <c r="C1047" t="s">
        <v>9</v>
      </c>
      <c r="D1047">
        <v>219</v>
      </c>
      <c r="E1047" t="s">
        <v>10</v>
      </c>
      <c r="F1047" t="s">
        <v>39</v>
      </c>
      <c r="G1047" t="s">
        <v>40</v>
      </c>
    </row>
    <row r="1048" spans="1:7" x14ac:dyDescent="0.3">
      <c r="A1048" t="s">
        <v>31</v>
      </c>
      <c r="B1048" t="s">
        <v>23</v>
      </c>
      <c r="C1048" t="s">
        <v>13</v>
      </c>
      <c r="D1048">
        <v>18</v>
      </c>
      <c r="E1048" t="s">
        <v>10</v>
      </c>
      <c r="F1048" t="s">
        <v>39</v>
      </c>
      <c r="G1048" t="s">
        <v>40</v>
      </c>
    </row>
    <row r="1049" spans="1:7" x14ac:dyDescent="0.3">
      <c r="A1049" t="s">
        <v>31</v>
      </c>
      <c r="B1049" t="s">
        <v>23</v>
      </c>
      <c r="C1049" t="s">
        <v>14</v>
      </c>
      <c r="D1049">
        <v>41</v>
      </c>
      <c r="E1049" t="s">
        <v>10</v>
      </c>
      <c r="F1049" t="s">
        <v>39</v>
      </c>
      <c r="G1049" t="s">
        <v>40</v>
      </c>
    </row>
    <row r="1050" spans="1:7" x14ac:dyDescent="0.3">
      <c r="A1050" t="s">
        <v>31</v>
      </c>
      <c r="B1050" t="s">
        <v>23</v>
      </c>
      <c r="C1050" t="s">
        <v>15</v>
      </c>
      <c r="D1050">
        <v>1</v>
      </c>
      <c r="E1050" t="s">
        <v>10</v>
      </c>
      <c r="F1050" t="s">
        <v>39</v>
      </c>
      <c r="G1050" t="s">
        <v>40</v>
      </c>
    </row>
    <row r="1051" spans="1:7" x14ac:dyDescent="0.3">
      <c r="A1051" t="s">
        <v>31</v>
      </c>
      <c r="B1051" t="s">
        <v>23</v>
      </c>
      <c r="C1051" t="s">
        <v>16</v>
      </c>
      <c r="D1051">
        <v>62</v>
      </c>
      <c r="E1051" t="s">
        <v>10</v>
      </c>
      <c r="F1051" t="s">
        <v>39</v>
      </c>
      <c r="G1051" t="s">
        <v>40</v>
      </c>
    </row>
    <row r="1052" spans="1:7" x14ac:dyDescent="0.3">
      <c r="A1052" t="s">
        <v>31</v>
      </c>
      <c r="B1052" t="s">
        <v>23</v>
      </c>
      <c r="C1052" t="s">
        <v>17</v>
      </c>
      <c r="D1052">
        <v>5798</v>
      </c>
      <c r="E1052" t="s">
        <v>10</v>
      </c>
      <c r="F1052" t="s">
        <v>39</v>
      </c>
      <c r="G1052" t="s">
        <v>40</v>
      </c>
    </row>
    <row r="1053" spans="1:7" x14ac:dyDescent="0.3">
      <c r="A1053" t="s">
        <v>31</v>
      </c>
      <c r="B1053" t="s">
        <v>23</v>
      </c>
      <c r="C1053" t="s">
        <v>18</v>
      </c>
      <c r="D1053">
        <v>0</v>
      </c>
      <c r="E1053" t="s">
        <v>10</v>
      </c>
      <c r="F1053" t="s">
        <v>39</v>
      </c>
      <c r="G1053" t="s">
        <v>40</v>
      </c>
    </row>
    <row r="1054" spans="1:7" x14ac:dyDescent="0.3">
      <c r="A1054" t="s">
        <v>31</v>
      </c>
      <c r="B1054" t="s">
        <v>23</v>
      </c>
      <c r="C1054" t="s">
        <v>19</v>
      </c>
      <c r="D1054">
        <v>0</v>
      </c>
      <c r="E1054" t="s">
        <v>10</v>
      </c>
      <c r="F1054" t="s">
        <v>39</v>
      </c>
      <c r="G1054" t="s">
        <v>40</v>
      </c>
    </row>
    <row r="1055" spans="1:7" x14ac:dyDescent="0.3">
      <c r="A1055" t="s">
        <v>31</v>
      </c>
      <c r="B1055" t="s">
        <v>23</v>
      </c>
      <c r="C1055" t="s">
        <v>20</v>
      </c>
      <c r="D1055">
        <v>25</v>
      </c>
      <c r="E1055" t="s">
        <v>10</v>
      </c>
      <c r="F1055" t="s">
        <v>39</v>
      </c>
      <c r="G1055" t="s">
        <v>40</v>
      </c>
    </row>
    <row r="1056" spans="1:7" x14ac:dyDescent="0.3">
      <c r="A1056" t="s">
        <v>31</v>
      </c>
      <c r="B1056" t="s">
        <v>23</v>
      </c>
      <c r="C1056" t="s">
        <v>21</v>
      </c>
      <c r="D1056">
        <v>0</v>
      </c>
      <c r="E1056" t="s">
        <v>10</v>
      </c>
      <c r="F1056" t="s">
        <v>39</v>
      </c>
      <c r="G1056" t="s">
        <v>40</v>
      </c>
    </row>
    <row r="1057" spans="1:7" x14ac:dyDescent="0.3">
      <c r="A1057" t="s">
        <v>31</v>
      </c>
      <c r="B1057" t="s">
        <v>23</v>
      </c>
      <c r="C1057" t="s">
        <v>22</v>
      </c>
      <c r="D1057">
        <v>20</v>
      </c>
      <c r="E1057" t="s">
        <v>10</v>
      </c>
      <c r="F1057" t="s">
        <v>39</v>
      </c>
      <c r="G1057" t="s">
        <v>40</v>
      </c>
    </row>
    <row r="1058" spans="1:7" x14ac:dyDescent="0.3">
      <c r="A1058" t="s">
        <v>32</v>
      </c>
      <c r="B1058" t="s">
        <v>8</v>
      </c>
      <c r="C1058" t="s">
        <v>9</v>
      </c>
      <c r="D1058">
        <v>0</v>
      </c>
      <c r="E1058" t="s">
        <v>10</v>
      </c>
      <c r="F1058" t="s">
        <v>39</v>
      </c>
      <c r="G1058" t="s">
        <v>40</v>
      </c>
    </row>
    <row r="1059" spans="1:7" x14ac:dyDescent="0.3">
      <c r="A1059" t="s">
        <v>32</v>
      </c>
      <c r="B1059" t="s">
        <v>8</v>
      </c>
      <c r="C1059" t="s">
        <v>13</v>
      </c>
      <c r="D1059">
        <v>9</v>
      </c>
      <c r="E1059" t="s">
        <v>10</v>
      </c>
      <c r="F1059" t="s">
        <v>39</v>
      </c>
      <c r="G1059" t="s">
        <v>40</v>
      </c>
    </row>
    <row r="1060" spans="1:7" x14ac:dyDescent="0.3">
      <c r="A1060" t="s">
        <v>32</v>
      </c>
      <c r="B1060" t="s">
        <v>8</v>
      </c>
      <c r="C1060" t="s">
        <v>14</v>
      </c>
      <c r="D1060">
        <v>0</v>
      </c>
      <c r="E1060" t="s">
        <v>10</v>
      </c>
      <c r="F1060" t="s">
        <v>39</v>
      </c>
      <c r="G1060" t="s">
        <v>40</v>
      </c>
    </row>
    <row r="1061" spans="1:7" x14ac:dyDescent="0.3">
      <c r="A1061" t="s">
        <v>32</v>
      </c>
      <c r="B1061" t="s">
        <v>8</v>
      </c>
      <c r="C1061" t="s">
        <v>15</v>
      </c>
      <c r="D1061">
        <v>0</v>
      </c>
      <c r="E1061" t="s">
        <v>10</v>
      </c>
      <c r="F1061" t="s">
        <v>39</v>
      </c>
      <c r="G1061" t="s">
        <v>40</v>
      </c>
    </row>
    <row r="1062" spans="1:7" x14ac:dyDescent="0.3">
      <c r="A1062" t="s">
        <v>32</v>
      </c>
      <c r="B1062" t="s">
        <v>8</v>
      </c>
      <c r="C1062" t="s">
        <v>16</v>
      </c>
      <c r="D1062">
        <v>0</v>
      </c>
      <c r="E1062" t="s">
        <v>10</v>
      </c>
      <c r="F1062" t="s">
        <v>39</v>
      </c>
      <c r="G1062" t="s">
        <v>40</v>
      </c>
    </row>
    <row r="1063" spans="1:7" x14ac:dyDescent="0.3">
      <c r="A1063" t="s">
        <v>32</v>
      </c>
      <c r="B1063" t="s">
        <v>8</v>
      </c>
      <c r="C1063" t="s">
        <v>17</v>
      </c>
      <c r="D1063">
        <v>0</v>
      </c>
      <c r="E1063" t="s">
        <v>10</v>
      </c>
      <c r="F1063" t="s">
        <v>39</v>
      </c>
      <c r="G1063" t="s">
        <v>40</v>
      </c>
    </row>
    <row r="1064" spans="1:7" x14ac:dyDescent="0.3">
      <c r="A1064" t="s">
        <v>32</v>
      </c>
      <c r="B1064" t="s">
        <v>8</v>
      </c>
      <c r="C1064" t="s">
        <v>18</v>
      </c>
      <c r="D1064">
        <v>0</v>
      </c>
      <c r="E1064" t="s">
        <v>10</v>
      </c>
      <c r="F1064" t="s">
        <v>39</v>
      </c>
      <c r="G1064" t="s">
        <v>40</v>
      </c>
    </row>
    <row r="1065" spans="1:7" x14ac:dyDescent="0.3">
      <c r="A1065" t="s">
        <v>32</v>
      </c>
      <c r="B1065" t="s">
        <v>8</v>
      </c>
      <c r="C1065" t="s">
        <v>19</v>
      </c>
      <c r="D1065">
        <v>0</v>
      </c>
      <c r="E1065" t="s">
        <v>10</v>
      </c>
      <c r="F1065" t="s">
        <v>39</v>
      </c>
      <c r="G1065" t="s">
        <v>40</v>
      </c>
    </row>
    <row r="1066" spans="1:7" x14ac:dyDescent="0.3">
      <c r="A1066" t="s">
        <v>32</v>
      </c>
      <c r="B1066" t="s">
        <v>8</v>
      </c>
      <c r="C1066" t="s">
        <v>20</v>
      </c>
      <c r="D1066">
        <v>0</v>
      </c>
      <c r="E1066" t="s">
        <v>10</v>
      </c>
      <c r="F1066" t="s">
        <v>39</v>
      </c>
      <c r="G1066" t="s">
        <v>40</v>
      </c>
    </row>
    <row r="1067" spans="1:7" x14ac:dyDescent="0.3">
      <c r="A1067" t="s">
        <v>32</v>
      </c>
      <c r="B1067" t="s">
        <v>8</v>
      </c>
      <c r="C1067" t="s">
        <v>21</v>
      </c>
      <c r="D1067">
        <v>0</v>
      </c>
      <c r="E1067" t="s">
        <v>10</v>
      </c>
      <c r="F1067" t="s">
        <v>39</v>
      </c>
      <c r="G1067" t="s">
        <v>40</v>
      </c>
    </row>
    <row r="1068" spans="1:7" x14ac:dyDescent="0.3">
      <c r="A1068" t="s">
        <v>32</v>
      </c>
      <c r="B1068" t="s">
        <v>8</v>
      </c>
      <c r="C1068" t="s">
        <v>22</v>
      </c>
      <c r="D1068">
        <v>11800</v>
      </c>
      <c r="E1068" t="s">
        <v>10</v>
      </c>
      <c r="F1068" t="s">
        <v>39</v>
      </c>
      <c r="G1068" t="s">
        <v>40</v>
      </c>
    </row>
    <row r="1069" spans="1:7" x14ac:dyDescent="0.3">
      <c r="A1069" t="s">
        <v>32</v>
      </c>
      <c r="B1069" t="s">
        <v>23</v>
      </c>
      <c r="C1069" t="s">
        <v>9</v>
      </c>
      <c r="D1069">
        <v>41</v>
      </c>
      <c r="E1069" t="s">
        <v>10</v>
      </c>
      <c r="F1069" t="s">
        <v>39</v>
      </c>
      <c r="G1069" t="s">
        <v>40</v>
      </c>
    </row>
    <row r="1070" spans="1:7" x14ac:dyDescent="0.3">
      <c r="A1070" t="s">
        <v>32</v>
      </c>
      <c r="B1070" t="s">
        <v>23</v>
      </c>
      <c r="C1070" t="s">
        <v>13</v>
      </c>
      <c r="D1070">
        <v>482</v>
      </c>
      <c r="E1070" t="s">
        <v>10</v>
      </c>
      <c r="F1070" t="s">
        <v>39</v>
      </c>
      <c r="G1070" t="s">
        <v>40</v>
      </c>
    </row>
    <row r="1071" spans="1:7" x14ac:dyDescent="0.3">
      <c r="A1071" t="s">
        <v>32</v>
      </c>
      <c r="B1071" t="s">
        <v>23</v>
      </c>
      <c r="C1071" t="s">
        <v>14</v>
      </c>
      <c r="D1071">
        <v>89</v>
      </c>
      <c r="E1071" t="s">
        <v>10</v>
      </c>
      <c r="F1071" t="s">
        <v>39</v>
      </c>
      <c r="G1071" t="s">
        <v>40</v>
      </c>
    </row>
    <row r="1072" spans="1:7" x14ac:dyDescent="0.3">
      <c r="A1072" t="s">
        <v>32</v>
      </c>
      <c r="B1072" t="s">
        <v>23</v>
      </c>
      <c r="C1072" t="s">
        <v>15</v>
      </c>
      <c r="D1072">
        <v>9</v>
      </c>
      <c r="E1072" t="s">
        <v>10</v>
      </c>
      <c r="F1072" t="s">
        <v>39</v>
      </c>
      <c r="G1072" t="s">
        <v>40</v>
      </c>
    </row>
    <row r="1073" spans="1:7" x14ac:dyDescent="0.3">
      <c r="A1073" t="s">
        <v>32</v>
      </c>
      <c r="B1073" t="s">
        <v>23</v>
      </c>
      <c r="C1073" t="s">
        <v>16</v>
      </c>
      <c r="D1073">
        <v>174</v>
      </c>
      <c r="E1073" t="s">
        <v>10</v>
      </c>
      <c r="F1073" t="s">
        <v>39</v>
      </c>
      <c r="G1073" t="s">
        <v>40</v>
      </c>
    </row>
    <row r="1074" spans="1:7" x14ac:dyDescent="0.3">
      <c r="A1074" t="s">
        <v>32</v>
      </c>
      <c r="B1074" t="s">
        <v>23</v>
      </c>
      <c r="C1074" t="s">
        <v>17</v>
      </c>
      <c r="D1074">
        <v>8</v>
      </c>
      <c r="E1074" t="s">
        <v>10</v>
      </c>
      <c r="F1074" t="s">
        <v>39</v>
      </c>
      <c r="G1074" t="s">
        <v>40</v>
      </c>
    </row>
    <row r="1075" spans="1:7" x14ac:dyDescent="0.3">
      <c r="A1075" t="s">
        <v>32</v>
      </c>
      <c r="B1075" t="s">
        <v>23</v>
      </c>
      <c r="C1075" t="s">
        <v>18</v>
      </c>
      <c r="D1075">
        <v>0</v>
      </c>
      <c r="E1075" t="s">
        <v>10</v>
      </c>
      <c r="F1075" t="s">
        <v>39</v>
      </c>
      <c r="G1075" t="s">
        <v>40</v>
      </c>
    </row>
    <row r="1076" spans="1:7" x14ac:dyDescent="0.3">
      <c r="A1076" t="s">
        <v>32</v>
      </c>
      <c r="B1076" t="s">
        <v>23</v>
      </c>
      <c r="C1076" t="s">
        <v>19</v>
      </c>
      <c r="D1076">
        <v>10</v>
      </c>
      <c r="E1076" t="s">
        <v>10</v>
      </c>
      <c r="F1076" t="s">
        <v>39</v>
      </c>
      <c r="G1076" t="s">
        <v>40</v>
      </c>
    </row>
    <row r="1077" spans="1:7" x14ac:dyDescent="0.3">
      <c r="A1077" t="s">
        <v>32</v>
      </c>
      <c r="B1077" t="s">
        <v>23</v>
      </c>
      <c r="C1077" t="s">
        <v>20</v>
      </c>
      <c r="D1077">
        <v>28</v>
      </c>
      <c r="E1077" t="s">
        <v>10</v>
      </c>
      <c r="F1077" t="s">
        <v>39</v>
      </c>
      <c r="G1077" t="s">
        <v>40</v>
      </c>
    </row>
    <row r="1078" spans="1:7" x14ac:dyDescent="0.3">
      <c r="A1078" t="s">
        <v>32</v>
      </c>
      <c r="B1078" t="s">
        <v>23</v>
      </c>
      <c r="C1078" t="s">
        <v>21</v>
      </c>
      <c r="D1078">
        <v>3</v>
      </c>
      <c r="E1078" t="s">
        <v>10</v>
      </c>
      <c r="F1078" t="s">
        <v>39</v>
      </c>
      <c r="G1078" t="s">
        <v>40</v>
      </c>
    </row>
    <row r="1079" spans="1:7" x14ac:dyDescent="0.3">
      <c r="A1079" t="s">
        <v>32</v>
      </c>
      <c r="B1079" t="s">
        <v>23</v>
      </c>
      <c r="C1079" t="s">
        <v>22</v>
      </c>
      <c r="D1079">
        <v>5552</v>
      </c>
      <c r="E1079" t="s">
        <v>10</v>
      </c>
      <c r="F1079" t="s">
        <v>39</v>
      </c>
      <c r="G1079" t="s">
        <v>40</v>
      </c>
    </row>
    <row r="1080" spans="1:7" x14ac:dyDescent="0.3">
      <c r="A1080" t="s">
        <v>33</v>
      </c>
      <c r="B1080" t="s">
        <v>8</v>
      </c>
      <c r="C1080" t="s">
        <v>9</v>
      </c>
      <c r="D1080">
        <v>2</v>
      </c>
      <c r="E1080" t="s">
        <v>10</v>
      </c>
      <c r="F1080" t="s">
        <v>39</v>
      </c>
      <c r="G1080" t="s">
        <v>40</v>
      </c>
    </row>
    <row r="1081" spans="1:7" x14ac:dyDescent="0.3">
      <c r="A1081" t="s">
        <v>33</v>
      </c>
      <c r="B1081" t="s">
        <v>8</v>
      </c>
      <c r="C1081" t="s">
        <v>13</v>
      </c>
      <c r="D1081">
        <v>0</v>
      </c>
      <c r="E1081" t="s">
        <v>10</v>
      </c>
      <c r="F1081" t="s">
        <v>39</v>
      </c>
      <c r="G1081" t="s">
        <v>40</v>
      </c>
    </row>
    <row r="1082" spans="1:7" x14ac:dyDescent="0.3">
      <c r="A1082" t="s">
        <v>33</v>
      </c>
      <c r="B1082" t="s">
        <v>8</v>
      </c>
      <c r="C1082" t="s">
        <v>14</v>
      </c>
      <c r="D1082">
        <v>14</v>
      </c>
      <c r="E1082" t="s">
        <v>10</v>
      </c>
      <c r="F1082" t="s">
        <v>39</v>
      </c>
      <c r="G1082" t="s">
        <v>40</v>
      </c>
    </row>
    <row r="1083" spans="1:7" x14ac:dyDescent="0.3">
      <c r="A1083" t="s">
        <v>33</v>
      </c>
      <c r="B1083" t="s">
        <v>8</v>
      </c>
      <c r="C1083" t="s">
        <v>15</v>
      </c>
      <c r="D1083">
        <v>0</v>
      </c>
      <c r="E1083" t="s">
        <v>10</v>
      </c>
      <c r="F1083" t="s">
        <v>39</v>
      </c>
      <c r="G1083" t="s">
        <v>40</v>
      </c>
    </row>
    <row r="1084" spans="1:7" x14ac:dyDescent="0.3">
      <c r="A1084" t="s">
        <v>33</v>
      </c>
      <c r="B1084" t="s">
        <v>8</v>
      </c>
      <c r="C1084" t="s">
        <v>16</v>
      </c>
      <c r="D1084">
        <v>79845</v>
      </c>
      <c r="E1084" t="s">
        <v>10</v>
      </c>
      <c r="F1084" t="s">
        <v>39</v>
      </c>
      <c r="G1084" t="s">
        <v>40</v>
      </c>
    </row>
    <row r="1085" spans="1:7" x14ac:dyDescent="0.3">
      <c r="A1085" t="s">
        <v>33</v>
      </c>
      <c r="B1085" t="s">
        <v>8</v>
      </c>
      <c r="C1085" t="s">
        <v>17</v>
      </c>
      <c r="D1085">
        <v>1600</v>
      </c>
      <c r="E1085" t="s">
        <v>10</v>
      </c>
      <c r="F1085" t="s">
        <v>39</v>
      </c>
      <c r="G1085" t="s">
        <v>40</v>
      </c>
    </row>
    <row r="1086" spans="1:7" x14ac:dyDescent="0.3">
      <c r="A1086" t="s">
        <v>33</v>
      </c>
      <c r="B1086" t="s">
        <v>8</v>
      </c>
      <c r="C1086" t="s">
        <v>18</v>
      </c>
      <c r="D1086">
        <v>0</v>
      </c>
      <c r="E1086" t="s">
        <v>10</v>
      </c>
      <c r="F1086" t="s">
        <v>39</v>
      </c>
      <c r="G1086" t="s">
        <v>40</v>
      </c>
    </row>
    <row r="1087" spans="1:7" x14ac:dyDescent="0.3">
      <c r="A1087" t="s">
        <v>33</v>
      </c>
      <c r="B1087" t="s">
        <v>8</v>
      </c>
      <c r="C1087" t="s">
        <v>19</v>
      </c>
      <c r="D1087">
        <v>0</v>
      </c>
      <c r="E1087" t="s">
        <v>10</v>
      </c>
      <c r="F1087" t="s">
        <v>39</v>
      </c>
      <c r="G1087" t="s">
        <v>40</v>
      </c>
    </row>
    <row r="1088" spans="1:7" x14ac:dyDescent="0.3">
      <c r="A1088" t="s">
        <v>33</v>
      </c>
      <c r="B1088" t="s">
        <v>8</v>
      </c>
      <c r="C1088" t="s">
        <v>20</v>
      </c>
      <c r="D1088">
        <v>0</v>
      </c>
      <c r="E1088" t="s">
        <v>10</v>
      </c>
      <c r="F1088" t="s">
        <v>39</v>
      </c>
      <c r="G1088" t="s">
        <v>40</v>
      </c>
    </row>
    <row r="1089" spans="1:7" x14ac:dyDescent="0.3">
      <c r="A1089" t="s">
        <v>33</v>
      </c>
      <c r="B1089" t="s">
        <v>8</v>
      </c>
      <c r="C1089" t="s">
        <v>21</v>
      </c>
      <c r="D1089">
        <v>0</v>
      </c>
      <c r="E1089" t="s">
        <v>10</v>
      </c>
      <c r="F1089" t="s">
        <v>39</v>
      </c>
      <c r="G1089" t="s">
        <v>40</v>
      </c>
    </row>
    <row r="1090" spans="1:7" x14ac:dyDescent="0.3">
      <c r="A1090" t="s">
        <v>33</v>
      </c>
      <c r="B1090" t="s">
        <v>8</v>
      </c>
      <c r="C1090" t="s">
        <v>22</v>
      </c>
      <c r="D1090">
        <v>30</v>
      </c>
      <c r="E1090" t="s">
        <v>10</v>
      </c>
      <c r="F1090" t="s">
        <v>39</v>
      </c>
      <c r="G1090" t="s">
        <v>40</v>
      </c>
    </row>
    <row r="1091" spans="1:7" x14ac:dyDescent="0.3">
      <c r="A1091" t="s">
        <v>33</v>
      </c>
      <c r="B1091" t="s">
        <v>23</v>
      </c>
      <c r="C1091" t="s">
        <v>9</v>
      </c>
      <c r="D1091">
        <v>216</v>
      </c>
      <c r="E1091" t="s">
        <v>10</v>
      </c>
      <c r="F1091" t="s">
        <v>39</v>
      </c>
      <c r="G1091" t="s">
        <v>40</v>
      </c>
    </row>
    <row r="1092" spans="1:7" x14ac:dyDescent="0.3">
      <c r="A1092" t="s">
        <v>33</v>
      </c>
      <c r="B1092" t="s">
        <v>23</v>
      </c>
      <c r="C1092" t="s">
        <v>13</v>
      </c>
      <c r="D1092">
        <v>87</v>
      </c>
      <c r="E1092" t="s">
        <v>10</v>
      </c>
      <c r="F1092" t="s">
        <v>39</v>
      </c>
      <c r="G1092" t="s">
        <v>40</v>
      </c>
    </row>
    <row r="1093" spans="1:7" x14ac:dyDescent="0.3">
      <c r="A1093" t="s">
        <v>33</v>
      </c>
      <c r="B1093" t="s">
        <v>23</v>
      </c>
      <c r="C1093" t="s">
        <v>14</v>
      </c>
      <c r="D1093">
        <v>1336</v>
      </c>
      <c r="E1093" t="s">
        <v>10</v>
      </c>
      <c r="F1093" t="s">
        <v>39</v>
      </c>
      <c r="G1093" t="s">
        <v>40</v>
      </c>
    </row>
    <row r="1094" spans="1:7" x14ac:dyDescent="0.3">
      <c r="A1094" t="s">
        <v>33</v>
      </c>
      <c r="B1094" t="s">
        <v>23</v>
      </c>
      <c r="C1094" t="s">
        <v>15</v>
      </c>
      <c r="D1094">
        <v>22</v>
      </c>
      <c r="E1094" t="s">
        <v>10</v>
      </c>
      <c r="F1094" t="s">
        <v>39</v>
      </c>
      <c r="G1094" t="s">
        <v>40</v>
      </c>
    </row>
    <row r="1095" spans="1:7" x14ac:dyDescent="0.3">
      <c r="A1095" t="s">
        <v>33</v>
      </c>
      <c r="B1095" t="s">
        <v>23</v>
      </c>
      <c r="C1095" t="s">
        <v>16</v>
      </c>
      <c r="D1095">
        <v>206604</v>
      </c>
      <c r="E1095" t="s">
        <v>10</v>
      </c>
      <c r="F1095" t="s">
        <v>39</v>
      </c>
      <c r="G1095" t="s">
        <v>40</v>
      </c>
    </row>
    <row r="1096" spans="1:7" x14ac:dyDescent="0.3">
      <c r="A1096" t="s">
        <v>33</v>
      </c>
      <c r="B1096" t="s">
        <v>23</v>
      </c>
      <c r="C1096" t="s">
        <v>17</v>
      </c>
      <c r="D1096">
        <v>3539</v>
      </c>
      <c r="E1096" t="s">
        <v>10</v>
      </c>
      <c r="F1096" t="s">
        <v>39</v>
      </c>
      <c r="G1096" t="s">
        <v>40</v>
      </c>
    </row>
    <row r="1097" spans="1:7" x14ac:dyDescent="0.3">
      <c r="A1097" t="s">
        <v>33</v>
      </c>
      <c r="B1097" t="s">
        <v>23</v>
      </c>
      <c r="C1097" t="s">
        <v>18</v>
      </c>
      <c r="D1097">
        <v>0</v>
      </c>
      <c r="E1097" t="s">
        <v>10</v>
      </c>
      <c r="F1097" t="s">
        <v>39</v>
      </c>
      <c r="G1097" t="s">
        <v>40</v>
      </c>
    </row>
    <row r="1098" spans="1:7" x14ac:dyDescent="0.3">
      <c r="A1098" t="s">
        <v>33</v>
      </c>
      <c r="B1098" t="s">
        <v>23</v>
      </c>
      <c r="C1098" t="s">
        <v>19</v>
      </c>
      <c r="D1098">
        <v>5</v>
      </c>
      <c r="E1098" t="s">
        <v>10</v>
      </c>
      <c r="F1098" t="s">
        <v>39</v>
      </c>
      <c r="G1098" t="s">
        <v>40</v>
      </c>
    </row>
    <row r="1099" spans="1:7" x14ac:dyDescent="0.3">
      <c r="A1099" t="s">
        <v>33</v>
      </c>
      <c r="B1099" t="s">
        <v>23</v>
      </c>
      <c r="C1099" t="s">
        <v>20</v>
      </c>
      <c r="D1099">
        <v>267</v>
      </c>
      <c r="E1099" t="s">
        <v>10</v>
      </c>
      <c r="F1099" t="s">
        <v>39</v>
      </c>
      <c r="G1099" t="s">
        <v>40</v>
      </c>
    </row>
    <row r="1100" spans="1:7" x14ac:dyDescent="0.3">
      <c r="A1100" t="s">
        <v>33</v>
      </c>
      <c r="B1100" t="s">
        <v>23</v>
      </c>
      <c r="C1100" t="s">
        <v>21</v>
      </c>
      <c r="D1100">
        <v>7</v>
      </c>
      <c r="E1100" t="s">
        <v>10</v>
      </c>
      <c r="F1100" t="s">
        <v>39</v>
      </c>
      <c r="G1100" t="s">
        <v>40</v>
      </c>
    </row>
    <row r="1101" spans="1:7" x14ac:dyDescent="0.3">
      <c r="A1101" t="s">
        <v>33</v>
      </c>
      <c r="B1101" t="s">
        <v>23</v>
      </c>
      <c r="C1101" t="s">
        <v>22</v>
      </c>
      <c r="D1101">
        <v>224</v>
      </c>
      <c r="E1101" t="s">
        <v>10</v>
      </c>
      <c r="F1101" t="s">
        <v>39</v>
      </c>
      <c r="G1101" t="s">
        <v>40</v>
      </c>
    </row>
    <row r="1102" spans="1:7" x14ac:dyDescent="0.3">
      <c r="A1102" t="s">
        <v>34</v>
      </c>
      <c r="B1102" t="s">
        <v>8</v>
      </c>
      <c r="C1102" t="s">
        <v>9</v>
      </c>
      <c r="D1102">
        <v>0</v>
      </c>
      <c r="E1102" t="s">
        <v>10</v>
      </c>
      <c r="F1102" t="s">
        <v>39</v>
      </c>
      <c r="G1102" t="s">
        <v>40</v>
      </c>
    </row>
    <row r="1103" spans="1:7" x14ac:dyDescent="0.3">
      <c r="A1103" t="s">
        <v>34</v>
      </c>
      <c r="B1103" t="s">
        <v>8</v>
      </c>
      <c r="C1103" t="s">
        <v>13</v>
      </c>
      <c r="D1103">
        <v>22</v>
      </c>
      <c r="E1103" t="s">
        <v>10</v>
      </c>
      <c r="F1103" t="s">
        <v>39</v>
      </c>
      <c r="G1103" t="s">
        <v>40</v>
      </c>
    </row>
    <row r="1104" spans="1:7" x14ac:dyDescent="0.3">
      <c r="A1104" t="s">
        <v>34</v>
      </c>
      <c r="B1104" t="s">
        <v>8</v>
      </c>
      <c r="C1104" t="s">
        <v>14</v>
      </c>
      <c r="D1104">
        <v>0</v>
      </c>
      <c r="E1104" t="s">
        <v>10</v>
      </c>
      <c r="F1104" t="s">
        <v>39</v>
      </c>
      <c r="G1104" t="s">
        <v>40</v>
      </c>
    </row>
    <row r="1105" spans="1:7" x14ac:dyDescent="0.3">
      <c r="A1105" t="s">
        <v>34</v>
      </c>
      <c r="B1105" t="s">
        <v>8</v>
      </c>
      <c r="C1105" t="s">
        <v>15</v>
      </c>
      <c r="D1105">
        <v>0</v>
      </c>
      <c r="E1105" t="s">
        <v>10</v>
      </c>
      <c r="F1105" t="s">
        <v>39</v>
      </c>
      <c r="G1105" t="s">
        <v>40</v>
      </c>
    </row>
    <row r="1106" spans="1:7" x14ac:dyDescent="0.3">
      <c r="A1106" t="s">
        <v>34</v>
      </c>
      <c r="B1106" t="s">
        <v>8</v>
      </c>
      <c r="C1106" t="s">
        <v>16</v>
      </c>
      <c r="D1106">
        <v>0</v>
      </c>
      <c r="E1106" t="s">
        <v>10</v>
      </c>
      <c r="F1106" t="s">
        <v>39</v>
      </c>
      <c r="G1106" t="s">
        <v>40</v>
      </c>
    </row>
    <row r="1107" spans="1:7" x14ac:dyDescent="0.3">
      <c r="A1107" t="s">
        <v>34</v>
      </c>
      <c r="B1107" t="s">
        <v>8</v>
      </c>
      <c r="C1107" t="s">
        <v>17</v>
      </c>
      <c r="D1107">
        <v>0</v>
      </c>
      <c r="E1107" t="s">
        <v>10</v>
      </c>
      <c r="F1107" t="s">
        <v>39</v>
      </c>
      <c r="G1107" t="s">
        <v>40</v>
      </c>
    </row>
    <row r="1108" spans="1:7" x14ac:dyDescent="0.3">
      <c r="A1108" t="s">
        <v>34</v>
      </c>
      <c r="B1108" t="s">
        <v>8</v>
      </c>
      <c r="C1108" t="s">
        <v>18</v>
      </c>
      <c r="D1108">
        <v>0</v>
      </c>
      <c r="E1108" t="s">
        <v>10</v>
      </c>
      <c r="F1108" t="s">
        <v>39</v>
      </c>
      <c r="G1108" t="s">
        <v>40</v>
      </c>
    </row>
    <row r="1109" spans="1:7" x14ac:dyDescent="0.3">
      <c r="A1109" t="s">
        <v>34</v>
      </c>
      <c r="B1109" t="s">
        <v>8</v>
      </c>
      <c r="C1109" t="s">
        <v>19</v>
      </c>
      <c r="D1109">
        <v>0</v>
      </c>
      <c r="E1109" t="s">
        <v>10</v>
      </c>
      <c r="F1109" t="s">
        <v>39</v>
      </c>
      <c r="G1109" t="s">
        <v>40</v>
      </c>
    </row>
    <row r="1110" spans="1:7" x14ac:dyDescent="0.3">
      <c r="A1110" t="s">
        <v>34</v>
      </c>
      <c r="B1110" t="s">
        <v>8</v>
      </c>
      <c r="C1110" t="s">
        <v>20</v>
      </c>
      <c r="D1110">
        <v>0</v>
      </c>
      <c r="E1110" t="s">
        <v>10</v>
      </c>
      <c r="F1110" t="s">
        <v>39</v>
      </c>
      <c r="G1110" t="s">
        <v>40</v>
      </c>
    </row>
    <row r="1111" spans="1:7" x14ac:dyDescent="0.3">
      <c r="A1111" t="s">
        <v>34</v>
      </c>
      <c r="B1111" t="s">
        <v>8</v>
      </c>
      <c r="C1111" t="s">
        <v>21</v>
      </c>
      <c r="D1111">
        <v>0</v>
      </c>
      <c r="E1111" t="s">
        <v>10</v>
      </c>
      <c r="F1111" t="s">
        <v>39</v>
      </c>
      <c r="G1111" t="s">
        <v>40</v>
      </c>
    </row>
    <row r="1112" spans="1:7" x14ac:dyDescent="0.3">
      <c r="A1112" t="s">
        <v>34</v>
      </c>
      <c r="B1112" t="s">
        <v>8</v>
      </c>
      <c r="C1112" t="s">
        <v>22</v>
      </c>
      <c r="D1112">
        <v>29501</v>
      </c>
      <c r="E1112" t="s">
        <v>10</v>
      </c>
      <c r="F1112" t="s">
        <v>39</v>
      </c>
      <c r="G1112" t="s">
        <v>40</v>
      </c>
    </row>
    <row r="1113" spans="1:7" x14ac:dyDescent="0.3">
      <c r="A1113" t="s">
        <v>34</v>
      </c>
      <c r="B1113" t="s">
        <v>23</v>
      </c>
      <c r="C1113" t="s">
        <v>9</v>
      </c>
      <c r="D1113">
        <v>102</v>
      </c>
      <c r="E1113" t="s">
        <v>10</v>
      </c>
      <c r="F1113" t="s">
        <v>39</v>
      </c>
      <c r="G1113" t="s">
        <v>40</v>
      </c>
    </row>
    <row r="1114" spans="1:7" x14ac:dyDescent="0.3">
      <c r="A1114" t="s">
        <v>34</v>
      </c>
      <c r="B1114" t="s">
        <v>23</v>
      </c>
      <c r="C1114" t="s">
        <v>13</v>
      </c>
      <c r="D1114">
        <v>1206</v>
      </c>
      <c r="E1114" t="s">
        <v>10</v>
      </c>
      <c r="F1114" t="s">
        <v>39</v>
      </c>
      <c r="G1114" t="s">
        <v>40</v>
      </c>
    </row>
    <row r="1115" spans="1:7" x14ac:dyDescent="0.3">
      <c r="A1115" t="s">
        <v>34</v>
      </c>
      <c r="B1115" t="s">
        <v>23</v>
      </c>
      <c r="C1115" t="s">
        <v>14</v>
      </c>
      <c r="D1115">
        <v>221</v>
      </c>
      <c r="E1115" t="s">
        <v>10</v>
      </c>
      <c r="F1115" t="s">
        <v>39</v>
      </c>
      <c r="G1115" t="s">
        <v>40</v>
      </c>
    </row>
    <row r="1116" spans="1:7" x14ac:dyDescent="0.3">
      <c r="A1116" t="s">
        <v>34</v>
      </c>
      <c r="B1116" t="s">
        <v>23</v>
      </c>
      <c r="C1116" t="s">
        <v>15</v>
      </c>
      <c r="D1116">
        <v>22</v>
      </c>
      <c r="E1116" t="s">
        <v>10</v>
      </c>
      <c r="F1116" t="s">
        <v>39</v>
      </c>
      <c r="G1116" t="s">
        <v>40</v>
      </c>
    </row>
    <row r="1117" spans="1:7" x14ac:dyDescent="0.3">
      <c r="A1117" t="s">
        <v>34</v>
      </c>
      <c r="B1117" t="s">
        <v>23</v>
      </c>
      <c r="C1117" t="s">
        <v>16</v>
      </c>
      <c r="D1117">
        <v>434</v>
      </c>
      <c r="E1117" t="s">
        <v>10</v>
      </c>
      <c r="F1117" t="s">
        <v>39</v>
      </c>
      <c r="G1117" t="s">
        <v>40</v>
      </c>
    </row>
    <row r="1118" spans="1:7" x14ac:dyDescent="0.3">
      <c r="A1118" t="s">
        <v>34</v>
      </c>
      <c r="B1118" t="s">
        <v>23</v>
      </c>
      <c r="C1118" t="s">
        <v>17</v>
      </c>
      <c r="D1118">
        <v>20</v>
      </c>
      <c r="E1118" t="s">
        <v>10</v>
      </c>
      <c r="F1118" t="s">
        <v>39</v>
      </c>
      <c r="G1118" t="s">
        <v>40</v>
      </c>
    </row>
    <row r="1119" spans="1:7" x14ac:dyDescent="0.3">
      <c r="A1119" t="s">
        <v>34</v>
      </c>
      <c r="B1119" t="s">
        <v>23</v>
      </c>
      <c r="C1119" t="s">
        <v>18</v>
      </c>
      <c r="D1119">
        <v>0</v>
      </c>
      <c r="E1119" t="s">
        <v>10</v>
      </c>
      <c r="F1119" t="s">
        <v>39</v>
      </c>
      <c r="G1119" t="s">
        <v>40</v>
      </c>
    </row>
    <row r="1120" spans="1:7" x14ac:dyDescent="0.3">
      <c r="A1120" t="s">
        <v>34</v>
      </c>
      <c r="B1120" t="s">
        <v>23</v>
      </c>
      <c r="C1120" t="s">
        <v>19</v>
      </c>
      <c r="D1120">
        <v>24</v>
      </c>
      <c r="E1120" t="s">
        <v>10</v>
      </c>
      <c r="F1120" t="s">
        <v>39</v>
      </c>
      <c r="G1120" t="s">
        <v>40</v>
      </c>
    </row>
    <row r="1121" spans="1:7" x14ac:dyDescent="0.3">
      <c r="A1121" t="s">
        <v>34</v>
      </c>
      <c r="B1121" t="s">
        <v>23</v>
      </c>
      <c r="C1121" t="s">
        <v>20</v>
      </c>
      <c r="D1121">
        <v>70</v>
      </c>
      <c r="E1121" t="s">
        <v>10</v>
      </c>
      <c r="F1121" t="s">
        <v>39</v>
      </c>
      <c r="G1121" t="s">
        <v>40</v>
      </c>
    </row>
    <row r="1122" spans="1:7" x14ac:dyDescent="0.3">
      <c r="A1122" t="s">
        <v>34</v>
      </c>
      <c r="B1122" t="s">
        <v>23</v>
      </c>
      <c r="C1122" t="s">
        <v>21</v>
      </c>
      <c r="D1122">
        <v>8</v>
      </c>
      <c r="E1122" t="s">
        <v>10</v>
      </c>
      <c r="F1122" t="s">
        <v>39</v>
      </c>
      <c r="G1122" t="s">
        <v>40</v>
      </c>
    </row>
    <row r="1123" spans="1:7" x14ac:dyDescent="0.3">
      <c r="A1123" t="s">
        <v>34</v>
      </c>
      <c r="B1123" t="s">
        <v>23</v>
      </c>
      <c r="C1123" t="s">
        <v>22</v>
      </c>
      <c r="D1123">
        <v>13880</v>
      </c>
      <c r="E1123" t="s">
        <v>10</v>
      </c>
      <c r="F1123" t="s">
        <v>39</v>
      </c>
      <c r="G1123" t="s">
        <v>40</v>
      </c>
    </row>
    <row r="1124" spans="1:7" x14ac:dyDescent="0.3">
      <c r="A1124" t="s">
        <v>35</v>
      </c>
      <c r="B1124" t="s">
        <v>8</v>
      </c>
      <c r="C1124" t="s">
        <v>9</v>
      </c>
      <c r="D1124">
        <v>0</v>
      </c>
      <c r="E1124" t="s">
        <v>10</v>
      </c>
      <c r="F1124" t="s">
        <v>39</v>
      </c>
      <c r="G1124" t="s">
        <v>40</v>
      </c>
    </row>
    <row r="1125" spans="1:7" x14ac:dyDescent="0.3">
      <c r="A1125" t="s">
        <v>35</v>
      </c>
      <c r="B1125" t="s">
        <v>8</v>
      </c>
      <c r="C1125" t="s">
        <v>13</v>
      </c>
      <c r="D1125">
        <v>9</v>
      </c>
      <c r="E1125" t="s">
        <v>10</v>
      </c>
      <c r="F1125" t="s">
        <v>39</v>
      </c>
      <c r="G1125" t="s">
        <v>40</v>
      </c>
    </row>
    <row r="1126" spans="1:7" x14ac:dyDescent="0.3">
      <c r="A1126" t="s">
        <v>35</v>
      </c>
      <c r="B1126" t="s">
        <v>8</v>
      </c>
      <c r="C1126" t="s">
        <v>14</v>
      </c>
      <c r="D1126">
        <v>0</v>
      </c>
      <c r="E1126" t="s">
        <v>10</v>
      </c>
      <c r="F1126" t="s">
        <v>39</v>
      </c>
      <c r="G1126" t="s">
        <v>40</v>
      </c>
    </row>
    <row r="1127" spans="1:7" x14ac:dyDescent="0.3">
      <c r="A1127" t="s">
        <v>35</v>
      </c>
      <c r="B1127" t="s">
        <v>8</v>
      </c>
      <c r="C1127" t="s">
        <v>15</v>
      </c>
      <c r="D1127">
        <v>0</v>
      </c>
      <c r="E1127" t="s">
        <v>10</v>
      </c>
      <c r="F1127" t="s">
        <v>39</v>
      </c>
      <c r="G1127" t="s">
        <v>40</v>
      </c>
    </row>
    <row r="1128" spans="1:7" x14ac:dyDescent="0.3">
      <c r="A1128" t="s">
        <v>35</v>
      </c>
      <c r="B1128" t="s">
        <v>8</v>
      </c>
      <c r="C1128" t="s">
        <v>16</v>
      </c>
      <c r="D1128">
        <v>0</v>
      </c>
      <c r="E1128" t="s">
        <v>10</v>
      </c>
      <c r="F1128" t="s">
        <v>39</v>
      </c>
      <c r="G1128" t="s">
        <v>40</v>
      </c>
    </row>
    <row r="1129" spans="1:7" x14ac:dyDescent="0.3">
      <c r="A1129" t="s">
        <v>35</v>
      </c>
      <c r="B1129" t="s">
        <v>8</v>
      </c>
      <c r="C1129" t="s">
        <v>17</v>
      </c>
      <c r="D1129">
        <v>0</v>
      </c>
      <c r="E1129" t="s">
        <v>10</v>
      </c>
      <c r="F1129" t="s">
        <v>39</v>
      </c>
      <c r="G1129" t="s">
        <v>40</v>
      </c>
    </row>
    <row r="1130" spans="1:7" x14ac:dyDescent="0.3">
      <c r="A1130" t="s">
        <v>35</v>
      </c>
      <c r="B1130" t="s">
        <v>8</v>
      </c>
      <c r="C1130" t="s">
        <v>18</v>
      </c>
      <c r="D1130">
        <v>0</v>
      </c>
      <c r="E1130" t="s">
        <v>10</v>
      </c>
      <c r="F1130" t="s">
        <v>39</v>
      </c>
      <c r="G1130" t="s">
        <v>40</v>
      </c>
    </row>
    <row r="1131" spans="1:7" x14ac:dyDescent="0.3">
      <c r="A1131" t="s">
        <v>35</v>
      </c>
      <c r="B1131" t="s">
        <v>8</v>
      </c>
      <c r="C1131" t="s">
        <v>19</v>
      </c>
      <c r="D1131">
        <v>0</v>
      </c>
      <c r="E1131" t="s">
        <v>10</v>
      </c>
      <c r="F1131" t="s">
        <v>39</v>
      </c>
      <c r="G1131" t="s">
        <v>40</v>
      </c>
    </row>
    <row r="1132" spans="1:7" x14ac:dyDescent="0.3">
      <c r="A1132" t="s">
        <v>35</v>
      </c>
      <c r="B1132" t="s">
        <v>8</v>
      </c>
      <c r="C1132" t="s">
        <v>20</v>
      </c>
      <c r="D1132">
        <v>0</v>
      </c>
      <c r="E1132" t="s">
        <v>10</v>
      </c>
      <c r="F1132" t="s">
        <v>39</v>
      </c>
      <c r="G1132" t="s">
        <v>40</v>
      </c>
    </row>
    <row r="1133" spans="1:7" x14ac:dyDescent="0.3">
      <c r="A1133" t="s">
        <v>35</v>
      </c>
      <c r="B1133" t="s">
        <v>8</v>
      </c>
      <c r="C1133" t="s">
        <v>21</v>
      </c>
      <c r="D1133">
        <v>0</v>
      </c>
      <c r="E1133" t="s">
        <v>10</v>
      </c>
      <c r="F1133" t="s">
        <v>39</v>
      </c>
      <c r="G1133" t="s">
        <v>40</v>
      </c>
    </row>
    <row r="1134" spans="1:7" x14ac:dyDescent="0.3">
      <c r="A1134" t="s">
        <v>35</v>
      </c>
      <c r="B1134" t="s">
        <v>8</v>
      </c>
      <c r="C1134" t="s">
        <v>22</v>
      </c>
      <c r="D1134">
        <v>12345</v>
      </c>
      <c r="E1134" t="s">
        <v>10</v>
      </c>
      <c r="F1134" t="s">
        <v>39</v>
      </c>
      <c r="G1134" t="s">
        <v>40</v>
      </c>
    </row>
    <row r="1135" spans="1:7" x14ac:dyDescent="0.3">
      <c r="A1135" t="s">
        <v>35</v>
      </c>
      <c r="B1135" t="s">
        <v>23</v>
      </c>
      <c r="C1135" t="s">
        <v>9</v>
      </c>
      <c r="D1135">
        <v>43</v>
      </c>
      <c r="E1135" t="s">
        <v>10</v>
      </c>
      <c r="F1135" t="s">
        <v>39</v>
      </c>
      <c r="G1135" t="s">
        <v>40</v>
      </c>
    </row>
    <row r="1136" spans="1:7" x14ac:dyDescent="0.3">
      <c r="A1136" t="s">
        <v>35</v>
      </c>
      <c r="B1136" t="s">
        <v>23</v>
      </c>
      <c r="C1136" t="s">
        <v>13</v>
      </c>
      <c r="D1136">
        <v>505</v>
      </c>
      <c r="E1136" t="s">
        <v>10</v>
      </c>
      <c r="F1136" t="s">
        <v>39</v>
      </c>
      <c r="G1136" t="s">
        <v>40</v>
      </c>
    </row>
    <row r="1137" spans="1:7" x14ac:dyDescent="0.3">
      <c r="A1137" t="s">
        <v>35</v>
      </c>
      <c r="B1137" t="s">
        <v>23</v>
      </c>
      <c r="C1137" t="s">
        <v>14</v>
      </c>
      <c r="D1137">
        <v>93</v>
      </c>
      <c r="E1137" t="s">
        <v>10</v>
      </c>
      <c r="F1137" t="s">
        <v>39</v>
      </c>
      <c r="G1137" t="s">
        <v>40</v>
      </c>
    </row>
    <row r="1138" spans="1:7" x14ac:dyDescent="0.3">
      <c r="A1138" t="s">
        <v>35</v>
      </c>
      <c r="B1138" t="s">
        <v>23</v>
      </c>
      <c r="C1138" t="s">
        <v>15</v>
      </c>
      <c r="D1138">
        <v>9</v>
      </c>
      <c r="E1138" t="s">
        <v>10</v>
      </c>
      <c r="F1138" t="s">
        <v>39</v>
      </c>
      <c r="G1138" t="s">
        <v>40</v>
      </c>
    </row>
    <row r="1139" spans="1:7" x14ac:dyDescent="0.3">
      <c r="A1139" t="s">
        <v>35</v>
      </c>
      <c r="B1139" t="s">
        <v>23</v>
      </c>
      <c r="C1139" t="s">
        <v>16</v>
      </c>
      <c r="D1139">
        <v>182</v>
      </c>
      <c r="E1139" t="s">
        <v>10</v>
      </c>
      <c r="F1139" t="s">
        <v>39</v>
      </c>
      <c r="G1139" t="s">
        <v>40</v>
      </c>
    </row>
    <row r="1140" spans="1:7" x14ac:dyDescent="0.3">
      <c r="A1140" t="s">
        <v>35</v>
      </c>
      <c r="B1140" t="s">
        <v>23</v>
      </c>
      <c r="C1140" t="s">
        <v>17</v>
      </c>
      <c r="D1140">
        <v>9</v>
      </c>
      <c r="E1140" t="s">
        <v>10</v>
      </c>
      <c r="F1140" t="s">
        <v>39</v>
      </c>
      <c r="G1140" t="s">
        <v>40</v>
      </c>
    </row>
    <row r="1141" spans="1:7" x14ac:dyDescent="0.3">
      <c r="A1141" t="s">
        <v>35</v>
      </c>
      <c r="B1141" t="s">
        <v>23</v>
      </c>
      <c r="C1141" t="s">
        <v>18</v>
      </c>
      <c r="D1141">
        <v>0</v>
      </c>
      <c r="E1141" t="s">
        <v>10</v>
      </c>
      <c r="F1141" t="s">
        <v>39</v>
      </c>
      <c r="G1141" t="s">
        <v>40</v>
      </c>
    </row>
    <row r="1142" spans="1:7" x14ac:dyDescent="0.3">
      <c r="A1142" t="s">
        <v>35</v>
      </c>
      <c r="B1142" t="s">
        <v>23</v>
      </c>
      <c r="C1142" t="s">
        <v>19</v>
      </c>
      <c r="D1142">
        <v>10</v>
      </c>
      <c r="E1142" t="s">
        <v>10</v>
      </c>
      <c r="F1142" t="s">
        <v>39</v>
      </c>
      <c r="G1142" t="s">
        <v>40</v>
      </c>
    </row>
    <row r="1143" spans="1:7" x14ac:dyDescent="0.3">
      <c r="A1143" t="s">
        <v>35</v>
      </c>
      <c r="B1143" t="s">
        <v>23</v>
      </c>
      <c r="C1143" t="s">
        <v>20</v>
      </c>
      <c r="D1143">
        <v>29</v>
      </c>
      <c r="E1143" t="s">
        <v>10</v>
      </c>
      <c r="F1143" t="s">
        <v>39</v>
      </c>
      <c r="G1143" t="s">
        <v>40</v>
      </c>
    </row>
    <row r="1144" spans="1:7" x14ac:dyDescent="0.3">
      <c r="A1144" t="s">
        <v>35</v>
      </c>
      <c r="B1144" t="s">
        <v>23</v>
      </c>
      <c r="C1144" t="s">
        <v>21</v>
      </c>
      <c r="D1144">
        <v>3</v>
      </c>
      <c r="E1144" t="s">
        <v>10</v>
      </c>
      <c r="F1144" t="s">
        <v>39</v>
      </c>
      <c r="G1144" t="s">
        <v>40</v>
      </c>
    </row>
    <row r="1145" spans="1:7" x14ac:dyDescent="0.3">
      <c r="A1145" t="s">
        <v>35</v>
      </c>
      <c r="B1145" t="s">
        <v>23</v>
      </c>
      <c r="C1145" t="s">
        <v>22</v>
      </c>
      <c r="D1145">
        <v>5808</v>
      </c>
      <c r="E1145" t="s">
        <v>10</v>
      </c>
      <c r="F1145" t="s">
        <v>39</v>
      </c>
      <c r="G1145" t="s">
        <v>40</v>
      </c>
    </row>
    <row r="1146" spans="1:7" x14ac:dyDescent="0.3">
      <c r="A1146" t="s">
        <v>41</v>
      </c>
      <c r="B1146" t="s">
        <v>8</v>
      </c>
      <c r="C1146" t="s">
        <v>9</v>
      </c>
      <c r="D1146">
        <v>0</v>
      </c>
      <c r="E1146" t="s">
        <v>42</v>
      </c>
      <c r="F1146" t="s">
        <v>11</v>
      </c>
      <c r="G1146" t="s">
        <v>12</v>
      </c>
    </row>
    <row r="1147" spans="1:7" x14ac:dyDescent="0.3">
      <c r="A1147" t="s">
        <v>41</v>
      </c>
      <c r="B1147" t="s">
        <v>8</v>
      </c>
      <c r="C1147" t="s">
        <v>13</v>
      </c>
      <c r="D1147">
        <v>0</v>
      </c>
      <c r="E1147" t="s">
        <v>42</v>
      </c>
      <c r="F1147" t="s">
        <v>11</v>
      </c>
      <c r="G1147" t="s">
        <v>12</v>
      </c>
    </row>
    <row r="1148" spans="1:7" x14ac:dyDescent="0.3">
      <c r="A1148" t="s">
        <v>41</v>
      </c>
      <c r="B1148" t="s">
        <v>8</v>
      </c>
      <c r="C1148" t="s">
        <v>14</v>
      </c>
      <c r="D1148">
        <v>0</v>
      </c>
      <c r="E1148" t="s">
        <v>42</v>
      </c>
      <c r="F1148" t="s">
        <v>11</v>
      </c>
      <c r="G1148" t="s">
        <v>12</v>
      </c>
    </row>
    <row r="1149" spans="1:7" x14ac:dyDescent="0.3">
      <c r="A1149" t="s">
        <v>41</v>
      </c>
      <c r="B1149" t="s">
        <v>8</v>
      </c>
      <c r="C1149" t="s">
        <v>15</v>
      </c>
      <c r="D1149">
        <v>113</v>
      </c>
      <c r="E1149" t="s">
        <v>42</v>
      </c>
      <c r="F1149" t="s">
        <v>11</v>
      </c>
      <c r="G1149" t="s">
        <v>12</v>
      </c>
    </row>
    <row r="1150" spans="1:7" x14ac:dyDescent="0.3">
      <c r="A1150" t="s">
        <v>41</v>
      </c>
      <c r="B1150" t="s">
        <v>8</v>
      </c>
      <c r="C1150" t="s">
        <v>16</v>
      </c>
      <c r="D1150">
        <v>0</v>
      </c>
      <c r="E1150" t="s">
        <v>42</v>
      </c>
      <c r="F1150" t="s">
        <v>11</v>
      </c>
      <c r="G1150" t="s">
        <v>12</v>
      </c>
    </row>
    <row r="1151" spans="1:7" x14ac:dyDescent="0.3">
      <c r="A1151" t="s">
        <v>41</v>
      </c>
      <c r="B1151" t="s">
        <v>8</v>
      </c>
      <c r="C1151" t="s">
        <v>17</v>
      </c>
      <c r="D1151">
        <v>0</v>
      </c>
      <c r="E1151" t="s">
        <v>42</v>
      </c>
      <c r="F1151" t="s">
        <v>11</v>
      </c>
      <c r="G1151" t="s">
        <v>12</v>
      </c>
    </row>
    <row r="1152" spans="1:7" x14ac:dyDescent="0.3">
      <c r="A1152" t="s">
        <v>41</v>
      </c>
      <c r="B1152" t="s">
        <v>8</v>
      </c>
      <c r="C1152" t="s">
        <v>18</v>
      </c>
      <c r="D1152">
        <v>0</v>
      </c>
      <c r="E1152" t="s">
        <v>42</v>
      </c>
      <c r="F1152" t="s">
        <v>11</v>
      </c>
      <c r="G1152" t="s">
        <v>12</v>
      </c>
    </row>
    <row r="1153" spans="1:7" x14ac:dyDescent="0.3">
      <c r="A1153" t="s">
        <v>41</v>
      </c>
      <c r="B1153" t="s">
        <v>8</v>
      </c>
      <c r="C1153" t="s">
        <v>19</v>
      </c>
      <c r="D1153">
        <v>0</v>
      </c>
      <c r="E1153" t="s">
        <v>42</v>
      </c>
      <c r="F1153" t="s">
        <v>11</v>
      </c>
      <c r="G1153" t="s">
        <v>12</v>
      </c>
    </row>
    <row r="1154" spans="1:7" x14ac:dyDescent="0.3">
      <c r="A1154" t="s">
        <v>41</v>
      </c>
      <c r="B1154" t="s">
        <v>8</v>
      </c>
      <c r="C1154" t="s">
        <v>20</v>
      </c>
      <c r="D1154">
        <v>0</v>
      </c>
      <c r="E1154" t="s">
        <v>42</v>
      </c>
      <c r="F1154" t="s">
        <v>11</v>
      </c>
      <c r="G1154" t="s">
        <v>12</v>
      </c>
    </row>
    <row r="1155" spans="1:7" x14ac:dyDescent="0.3">
      <c r="A1155" t="s">
        <v>41</v>
      </c>
      <c r="B1155" t="s">
        <v>8</v>
      </c>
      <c r="C1155" t="s">
        <v>21</v>
      </c>
      <c r="D1155">
        <v>0</v>
      </c>
      <c r="E1155" t="s">
        <v>42</v>
      </c>
      <c r="F1155" t="s">
        <v>11</v>
      </c>
      <c r="G1155" t="s">
        <v>12</v>
      </c>
    </row>
    <row r="1156" spans="1:7" x14ac:dyDescent="0.3">
      <c r="A1156" t="s">
        <v>41</v>
      </c>
      <c r="B1156" t="s">
        <v>8</v>
      </c>
      <c r="C1156" t="s">
        <v>22</v>
      </c>
      <c r="D1156">
        <v>0</v>
      </c>
      <c r="E1156" t="s">
        <v>42</v>
      </c>
      <c r="F1156" t="s">
        <v>11</v>
      </c>
      <c r="G1156" t="s">
        <v>12</v>
      </c>
    </row>
    <row r="1157" spans="1:7" x14ac:dyDescent="0.3">
      <c r="A1157" t="s">
        <v>41</v>
      </c>
      <c r="B1157" t="s">
        <v>23</v>
      </c>
      <c r="C1157" t="s">
        <v>9</v>
      </c>
      <c r="D1157">
        <v>5</v>
      </c>
      <c r="E1157" t="s">
        <v>42</v>
      </c>
      <c r="F1157" t="s">
        <v>11</v>
      </c>
      <c r="G1157" t="s">
        <v>12</v>
      </c>
    </row>
    <row r="1158" spans="1:7" x14ac:dyDescent="0.3">
      <c r="A1158" t="s">
        <v>41</v>
      </c>
      <c r="B1158" t="s">
        <v>23</v>
      </c>
      <c r="C1158" t="s">
        <v>13</v>
      </c>
      <c r="D1158">
        <v>170</v>
      </c>
      <c r="E1158" t="s">
        <v>42</v>
      </c>
      <c r="F1158" t="s">
        <v>11</v>
      </c>
      <c r="G1158" t="s">
        <v>12</v>
      </c>
    </row>
    <row r="1159" spans="1:7" x14ac:dyDescent="0.3">
      <c r="A1159" t="s">
        <v>41</v>
      </c>
      <c r="B1159" t="s">
        <v>23</v>
      </c>
      <c r="C1159" t="s">
        <v>14</v>
      </c>
      <c r="D1159">
        <v>149</v>
      </c>
      <c r="E1159" t="s">
        <v>42</v>
      </c>
      <c r="F1159" t="s">
        <v>11</v>
      </c>
      <c r="G1159" t="s">
        <v>12</v>
      </c>
    </row>
    <row r="1160" spans="1:7" x14ac:dyDescent="0.3">
      <c r="A1160" t="s">
        <v>41</v>
      </c>
      <c r="B1160" t="s">
        <v>23</v>
      </c>
      <c r="C1160" t="s">
        <v>15</v>
      </c>
      <c r="D1160">
        <v>508</v>
      </c>
      <c r="E1160" t="s">
        <v>42</v>
      </c>
      <c r="F1160" t="s">
        <v>11</v>
      </c>
      <c r="G1160" t="s">
        <v>12</v>
      </c>
    </row>
    <row r="1161" spans="1:7" x14ac:dyDescent="0.3">
      <c r="A1161" t="s">
        <v>41</v>
      </c>
      <c r="B1161" t="s">
        <v>23</v>
      </c>
      <c r="C1161" t="s">
        <v>16</v>
      </c>
      <c r="D1161">
        <v>58</v>
      </c>
      <c r="E1161" t="s">
        <v>42</v>
      </c>
      <c r="F1161" t="s">
        <v>11</v>
      </c>
      <c r="G1161" t="s">
        <v>12</v>
      </c>
    </row>
    <row r="1162" spans="1:7" x14ac:dyDescent="0.3">
      <c r="A1162" t="s">
        <v>41</v>
      </c>
      <c r="B1162" t="s">
        <v>23</v>
      </c>
      <c r="C1162" t="s">
        <v>17</v>
      </c>
      <c r="D1162">
        <v>21</v>
      </c>
      <c r="E1162" t="s">
        <v>42</v>
      </c>
      <c r="F1162" t="s">
        <v>11</v>
      </c>
      <c r="G1162" t="s">
        <v>12</v>
      </c>
    </row>
    <row r="1163" spans="1:7" x14ac:dyDescent="0.3">
      <c r="A1163" t="s">
        <v>41</v>
      </c>
      <c r="B1163" t="s">
        <v>23</v>
      </c>
      <c r="C1163" t="s">
        <v>18</v>
      </c>
      <c r="D1163">
        <v>0</v>
      </c>
      <c r="E1163" t="s">
        <v>42</v>
      </c>
      <c r="F1163" t="s">
        <v>11</v>
      </c>
      <c r="G1163" t="s">
        <v>12</v>
      </c>
    </row>
    <row r="1164" spans="1:7" x14ac:dyDescent="0.3">
      <c r="A1164" t="s">
        <v>41</v>
      </c>
      <c r="B1164" t="s">
        <v>23</v>
      </c>
      <c r="C1164" t="s">
        <v>19</v>
      </c>
      <c r="D1164">
        <v>211</v>
      </c>
      <c r="E1164" t="s">
        <v>42</v>
      </c>
      <c r="F1164" t="s">
        <v>11</v>
      </c>
      <c r="G1164" t="s">
        <v>12</v>
      </c>
    </row>
    <row r="1165" spans="1:7" x14ac:dyDescent="0.3">
      <c r="A1165" t="s">
        <v>41</v>
      </c>
      <c r="B1165" t="s">
        <v>23</v>
      </c>
      <c r="C1165" t="s">
        <v>20</v>
      </c>
      <c r="D1165">
        <v>7</v>
      </c>
      <c r="E1165" t="s">
        <v>42</v>
      </c>
      <c r="F1165" t="s">
        <v>11</v>
      </c>
      <c r="G1165" t="s">
        <v>12</v>
      </c>
    </row>
    <row r="1166" spans="1:7" x14ac:dyDescent="0.3">
      <c r="A1166" t="s">
        <v>41</v>
      </c>
      <c r="B1166" t="s">
        <v>23</v>
      </c>
      <c r="C1166" t="s">
        <v>21</v>
      </c>
      <c r="D1166">
        <v>3</v>
      </c>
      <c r="E1166" t="s">
        <v>42</v>
      </c>
      <c r="F1166" t="s">
        <v>11</v>
      </c>
      <c r="G1166" t="s">
        <v>12</v>
      </c>
    </row>
    <row r="1167" spans="1:7" x14ac:dyDescent="0.3">
      <c r="A1167" t="s">
        <v>41</v>
      </c>
      <c r="B1167" t="s">
        <v>23</v>
      </c>
      <c r="C1167" t="s">
        <v>22</v>
      </c>
      <c r="D1167">
        <v>42</v>
      </c>
      <c r="E1167" t="s">
        <v>42</v>
      </c>
      <c r="F1167" t="s">
        <v>11</v>
      </c>
      <c r="G1167" t="s">
        <v>12</v>
      </c>
    </row>
    <row r="1168" spans="1:7" x14ac:dyDescent="0.3">
      <c r="A1168" t="s">
        <v>43</v>
      </c>
      <c r="B1168" t="s">
        <v>8</v>
      </c>
      <c r="C1168" t="s">
        <v>9</v>
      </c>
      <c r="D1168">
        <v>0</v>
      </c>
      <c r="E1168" t="s">
        <v>42</v>
      </c>
      <c r="F1168" t="s">
        <v>11</v>
      </c>
      <c r="G1168" t="s">
        <v>12</v>
      </c>
    </row>
    <row r="1169" spans="1:7" x14ac:dyDescent="0.3">
      <c r="A1169" t="s">
        <v>43</v>
      </c>
      <c r="B1169" t="s">
        <v>8</v>
      </c>
      <c r="C1169" t="s">
        <v>13</v>
      </c>
      <c r="D1169">
        <v>0</v>
      </c>
      <c r="E1169" t="s">
        <v>42</v>
      </c>
      <c r="F1169" t="s">
        <v>11</v>
      </c>
      <c r="G1169" t="s">
        <v>12</v>
      </c>
    </row>
    <row r="1170" spans="1:7" x14ac:dyDescent="0.3">
      <c r="A1170" t="s">
        <v>43</v>
      </c>
      <c r="B1170" t="s">
        <v>8</v>
      </c>
      <c r="C1170" t="s">
        <v>14</v>
      </c>
      <c r="D1170">
        <v>28</v>
      </c>
      <c r="E1170" t="s">
        <v>42</v>
      </c>
      <c r="F1170" t="s">
        <v>11</v>
      </c>
      <c r="G1170" t="s">
        <v>12</v>
      </c>
    </row>
    <row r="1171" spans="1:7" x14ac:dyDescent="0.3">
      <c r="A1171" t="s">
        <v>43</v>
      </c>
      <c r="B1171" t="s">
        <v>8</v>
      </c>
      <c r="C1171" t="s">
        <v>15</v>
      </c>
      <c r="D1171">
        <v>0</v>
      </c>
      <c r="E1171" t="s">
        <v>42</v>
      </c>
      <c r="F1171" t="s">
        <v>11</v>
      </c>
      <c r="G1171" t="s">
        <v>12</v>
      </c>
    </row>
    <row r="1172" spans="1:7" x14ac:dyDescent="0.3">
      <c r="A1172" t="s">
        <v>43</v>
      </c>
      <c r="B1172" t="s">
        <v>8</v>
      </c>
      <c r="C1172" t="s">
        <v>16</v>
      </c>
      <c r="D1172">
        <v>0</v>
      </c>
      <c r="E1172" t="s">
        <v>42</v>
      </c>
      <c r="F1172" t="s">
        <v>11</v>
      </c>
      <c r="G1172" t="s">
        <v>12</v>
      </c>
    </row>
    <row r="1173" spans="1:7" x14ac:dyDescent="0.3">
      <c r="A1173" t="s">
        <v>43</v>
      </c>
      <c r="B1173" t="s">
        <v>8</v>
      </c>
      <c r="C1173" t="s">
        <v>17</v>
      </c>
      <c r="D1173">
        <v>0</v>
      </c>
      <c r="E1173" t="s">
        <v>42</v>
      </c>
      <c r="F1173" t="s">
        <v>11</v>
      </c>
      <c r="G1173" t="s">
        <v>12</v>
      </c>
    </row>
    <row r="1174" spans="1:7" x14ac:dyDescent="0.3">
      <c r="A1174" t="s">
        <v>43</v>
      </c>
      <c r="B1174" t="s">
        <v>8</v>
      </c>
      <c r="C1174" t="s">
        <v>18</v>
      </c>
      <c r="D1174">
        <v>0</v>
      </c>
      <c r="E1174" t="s">
        <v>42</v>
      </c>
      <c r="F1174" t="s">
        <v>11</v>
      </c>
      <c r="G1174" t="s">
        <v>12</v>
      </c>
    </row>
    <row r="1175" spans="1:7" x14ac:dyDescent="0.3">
      <c r="A1175" t="s">
        <v>43</v>
      </c>
      <c r="B1175" t="s">
        <v>8</v>
      </c>
      <c r="C1175" t="s">
        <v>19</v>
      </c>
      <c r="D1175">
        <v>0</v>
      </c>
      <c r="E1175" t="s">
        <v>42</v>
      </c>
      <c r="F1175" t="s">
        <v>11</v>
      </c>
      <c r="G1175" t="s">
        <v>12</v>
      </c>
    </row>
    <row r="1176" spans="1:7" x14ac:dyDescent="0.3">
      <c r="A1176" t="s">
        <v>43</v>
      </c>
      <c r="B1176" t="s">
        <v>8</v>
      </c>
      <c r="C1176" t="s">
        <v>20</v>
      </c>
      <c r="D1176">
        <v>0</v>
      </c>
      <c r="E1176" t="s">
        <v>42</v>
      </c>
      <c r="F1176" t="s">
        <v>11</v>
      </c>
      <c r="G1176" t="s">
        <v>12</v>
      </c>
    </row>
    <row r="1177" spans="1:7" x14ac:dyDescent="0.3">
      <c r="A1177" t="s">
        <v>43</v>
      </c>
      <c r="B1177" t="s">
        <v>8</v>
      </c>
      <c r="C1177" t="s">
        <v>21</v>
      </c>
      <c r="D1177">
        <v>0</v>
      </c>
      <c r="E1177" t="s">
        <v>42</v>
      </c>
      <c r="F1177" t="s">
        <v>11</v>
      </c>
      <c r="G1177" t="s">
        <v>12</v>
      </c>
    </row>
    <row r="1178" spans="1:7" x14ac:dyDescent="0.3">
      <c r="A1178" t="s">
        <v>43</v>
      </c>
      <c r="B1178" t="s">
        <v>8</v>
      </c>
      <c r="C1178" t="s">
        <v>22</v>
      </c>
      <c r="D1178">
        <v>0</v>
      </c>
      <c r="E1178" t="s">
        <v>42</v>
      </c>
      <c r="F1178" t="s">
        <v>11</v>
      </c>
      <c r="G1178" t="s">
        <v>12</v>
      </c>
    </row>
    <row r="1179" spans="1:7" x14ac:dyDescent="0.3">
      <c r="A1179" t="s">
        <v>43</v>
      </c>
      <c r="B1179" t="s">
        <v>23</v>
      </c>
      <c r="C1179" t="s">
        <v>9</v>
      </c>
      <c r="D1179">
        <v>0</v>
      </c>
      <c r="E1179" t="s">
        <v>42</v>
      </c>
      <c r="F1179" t="s">
        <v>11</v>
      </c>
      <c r="G1179" t="s">
        <v>12</v>
      </c>
    </row>
    <row r="1180" spans="1:7" x14ac:dyDescent="0.3">
      <c r="A1180" t="s">
        <v>43</v>
      </c>
      <c r="B1180" t="s">
        <v>23</v>
      </c>
      <c r="C1180" t="s">
        <v>13</v>
      </c>
      <c r="D1180">
        <v>0</v>
      </c>
      <c r="E1180" t="s">
        <v>42</v>
      </c>
      <c r="F1180" t="s">
        <v>11</v>
      </c>
      <c r="G1180" t="s">
        <v>12</v>
      </c>
    </row>
    <row r="1181" spans="1:7" x14ac:dyDescent="0.3">
      <c r="A1181" t="s">
        <v>43</v>
      </c>
      <c r="B1181" t="s">
        <v>23</v>
      </c>
      <c r="C1181" t="s">
        <v>14</v>
      </c>
      <c r="D1181">
        <v>276</v>
      </c>
      <c r="E1181" t="s">
        <v>42</v>
      </c>
      <c r="F1181" t="s">
        <v>11</v>
      </c>
      <c r="G1181" t="s">
        <v>12</v>
      </c>
    </row>
    <row r="1182" spans="1:7" x14ac:dyDescent="0.3">
      <c r="A1182" t="s">
        <v>43</v>
      </c>
      <c r="B1182" t="s">
        <v>23</v>
      </c>
      <c r="C1182" t="s">
        <v>15</v>
      </c>
      <c r="D1182">
        <v>0</v>
      </c>
      <c r="E1182" t="s">
        <v>42</v>
      </c>
      <c r="F1182" t="s">
        <v>11</v>
      </c>
      <c r="G1182" t="s">
        <v>12</v>
      </c>
    </row>
    <row r="1183" spans="1:7" x14ac:dyDescent="0.3">
      <c r="A1183" t="s">
        <v>43</v>
      </c>
      <c r="B1183" t="s">
        <v>23</v>
      </c>
      <c r="C1183" t="s">
        <v>16</v>
      </c>
      <c r="D1183">
        <v>33</v>
      </c>
      <c r="E1183" t="s">
        <v>42</v>
      </c>
      <c r="F1183" t="s">
        <v>11</v>
      </c>
      <c r="G1183" t="s">
        <v>12</v>
      </c>
    </row>
    <row r="1184" spans="1:7" x14ac:dyDescent="0.3">
      <c r="A1184" t="s">
        <v>43</v>
      </c>
      <c r="B1184" t="s">
        <v>23</v>
      </c>
      <c r="C1184" t="s">
        <v>17</v>
      </c>
      <c r="D1184">
        <v>0</v>
      </c>
      <c r="E1184" t="s">
        <v>42</v>
      </c>
      <c r="F1184" t="s">
        <v>11</v>
      </c>
      <c r="G1184" t="s">
        <v>12</v>
      </c>
    </row>
    <row r="1185" spans="1:7" x14ac:dyDescent="0.3">
      <c r="A1185" t="s">
        <v>43</v>
      </c>
      <c r="B1185" t="s">
        <v>23</v>
      </c>
      <c r="C1185" t="s">
        <v>18</v>
      </c>
      <c r="D1185">
        <v>0</v>
      </c>
      <c r="E1185" t="s">
        <v>42</v>
      </c>
      <c r="F1185" t="s">
        <v>11</v>
      </c>
      <c r="G1185" t="s">
        <v>12</v>
      </c>
    </row>
    <row r="1186" spans="1:7" x14ac:dyDescent="0.3">
      <c r="A1186" t="s">
        <v>43</v>
      </c>
      <c r="B1186" t="s">
        <v>23</v>
      </c>
      <c r="C1186" t="s">
        <v>19</v>
      </c>
      <c r="D1186">
        <v>0</v>
      </c>
      <c r="E1186" t="s">
        <v>42</v>
      </c>
      <c r="F1186" t="s">
        <v>11</v>
      </c>
      <c r="G1186" t="s">
        <v>12</v>
      </c>
    </row>
    <row r="1187" spans="1:7" x14ac:dyDescent="0.3">
      <c r="A1187" t="s">
        <v>43</v>
      </c>
      <c r="B1187" t="s">
        <v>23</v>
      </c>
      <c r="C1187" t="s">
        <v>20</v>
      </c>
      <c r="D1187">
        <v>0</v>
      </c>
      <c r="E1187" t="s">
        <v>42</v>
      </c>
      <c r="F1187" t="s">
        <v>11</v>
      </c>
      <c r="G1187" t="s">
        <v>12</v>
      </c>
    </row>
    <row r="1188" spans="1:7" x14ac:dyDescent="0.3">
      <c r="A1188" t="s">
        <v>43</v>
      </c>
      <c r="B1188" t="s">
        <v>23</v>
      </c>
      <c r="C1188" t="s">
        <v>21</v>
      </c>
      <c r="D1188">
        <v>0</v>
      </c>
      <c r="E1188" t="s">
        <v>42</v>
      </c>
      <c r="F1188" t="s">
        <v>11</v>
      </c>
      <c r="G1188" t="s">
        <v>12</v>
      </c>
    </row>
    <row r="1189" spans="1:7" x14ac:dyDescent="0.3">
      <c r="A1189" t="s">
        <v>43</v>
      </c>
      <c r="B1189" t="s">
        <v>23</v>
      </c>
      <c r="C1189" t="s">
        <v>22</v>
      </c>
      <c r="D1189">
        <v>0</v>
      </c>
      <c r="E1189" t="s">
        <v>42</v>
      </c>
      <c r="F1189" t="s">
        <v>11</v>
      </c>
      <c r="G1189" t="s">
        <v>12</v>
      </c>
    </row>
    <row r="1190" spans="1:7" x14ac:dyDescent="0.3">
      <c r="A1190" t="s">
        <v>44</v>
      </c>
      <c r="B1190" t="s">
        <v>8</v>
      </c>
      <c r="C1190" t="s">
        <v>9</v>
      </c>
      <c r="D1190">
        <v>0</v>
      </c>
      <c r="E1190" t="s">
        <v>42</v>
      </c>
      <c r="F1190" t="s">
        <v>11</v>
      </c>
      <c r="G1190" t="s">
        <v>12</v>
      </c>
    </row>
    <row r="1191" spans="1:7" x14ac:dyDescent="0.3">
      <c r="A1191" t="s">
        <v>44</v>
      </c>
      <c r="B1191" t="s">
        <v>8</v>
      </c>
      <c r="C1191" t="s">
        <v>13</v>
      </c>
      <c r="D1191">
        <v>0</v>
      </c>
      <c r="E1191" t="s">
        <v>42</v>
      </c>
      <c r="F1191" t="s">
        <v>11</v>
      </c>
      <c r="G1191" t="s">
        <v>12</v>
      </c>
    </row>
    <row r="1192" spans="1:7" x14ac:dyDescent="0.3">
      <c r="A1192" t="s">
        <v>44</v>
      </c>
      <c r="B1192" t="s">
        <v>8</v>
      </c>
      <c r="C1192" t="s">
        <v>14</v>
      </c>
      <c r="D1192">
        <v>141</v>
      </c>
      <c r="E1192" t="s">
        <v>42</v>
      </c>
      <c r="F1192" t="s">
        <v>11</v>
      </c>
      <c r="G1192" t="s">
        <v>12</v>
      </c>
    </row>
    <row r="1193" spans="1:7" x14ac:dyDescent="0.3">
      <c r="A1193" t="s">
        <v>44</v>
      </c>
      <c r="B1193" t="s">
        <v>8</v>
      </c>
      <c r="C1193" t="s">
        <v>15</v>
      </c>
      <c r="D1193">
        <v>0</v>
      </c>
      <c r="E1193" t="s">
        <v>42</v>
      </c>
      <c r="F1193" t="s">
        <v>11</v>
      </c>
      <c r="G1193" t="s">
        <v>12</v>
      </c>
    </row>
    <row r="1194" spans="1:7" x14ac:dyDescent="0.3">
      <c r="A1194" t="s">
        <v>44</v>
      </c>
      <c r="B1194" t="s">
        <v>8</v>
      </c>
      <c r="C1194" t="s">
        <v>16</v>
      </c>
      <c r="D1194">
        <v>2</v>
      </c>
      <c r="E1194" t="s">
        <v>42</v>
      </c>
      <c r="F1194" t="s">
        <v>11</v>
      </c>
      <c r="G1194" t="s">
        <v>12</v>
      </c>
    </row>
    <row r="1195" spans="1:7" x14ac:dyDescent="0.3">
      <c r="A1195" t="s">
        <v>44</v>
      </c>
      <c r="B1195" t="s">
        <v>8</v>
      </c>
      <c r="C1195" t="s">
        <v>17</v>
      </c>
      <c r="D1195">
        <v>0</v>
      </c>
      <c r="E1195" t="s">
        <v>42</v>
      </c>
      <c r="F1195" t="s">
        <v>11</v>
      </c>
      <c r="G1195" t="s">
        <v>12</v>
      </c>
    </row>
    <row r="1196" spans="1:7" x14ac:dyDescent="0.3">
      <c r="A1196" t="s">
        <v>44</v>
      </c>
      <c r="B1196" t="s">
        <v>8</v>
      </c>
      <c r="C1196" t="s">
        <v>18</v>
      </c>
      <c r="D1196">
        <v>0</v>
      </c>
      <c r="E1196" t="s">
        <v>42</v>
      </c>
      <c r="F1196" t="s">
        <v>11</v>
      </c>
      <c r="G1196" t="s">
        <v>12</v>
      </c>
    </row>
    <row r="1197" spans="1:7" x14ac:dyDescent="0.3">
      <c r="A1197" t="s">
        <v>44</v>
      </c>
      <c r="B1197" t="s">
        <v>8</v>
      </c>
      <c r="C1197" t="s">
        <v>19</v>
      </c>
      <c r="D1197">
        <v>0</v>
      </c>
      <c r="E1197" t="s">
        <v>42</v>
      </c>
      <c r="F1197" t="s">
        <v>11</v>
      </c>
      <c r="G1197" t="s">
        <v>12</v>
      </c>
    </row>
    <row r="1198" spans="1:7" x14ac:dyDescent="0.3">
      <c r="A1198" t="s">
        <v>44</v>
      </c>
      <c r="B1198" t="s">
        <v>8</v>
      </c>
      <c r="C1198" t="s">
        <v>20</v>
      </c>
      <c r="D1198">
        <v>0</v>
      </c>
      <c r="E1198" t="s">
        <v>42</v>
      </c>
      <c r="F1198" t="s">
        <v>11</v>
      </c>
      <c r="G1198" t="s">
        <v>12</v>
      </c>
    </row>
    <row r="1199" spans="1:7" x14ac:dyDescent="0.3">
      <c r="A1199" t="s">
        <v>44</v>
      </c>
      <c r="B1199" t="s">
        <v>8</v>
      </c>
      <c r="C1199" t="s">
        <v>21</v>
      </c>
      <c r="D1199">
        <v>0</v>
      </c>
      <c r="E1199" t="s">
        <v>42</v>
      </c>
      <c r="F1199" t="s">
        <v>11</v>
      </c>
      <c r="G1199" t="s">
        <v>12</v>
      </c>
    </row>
    <row r="1200" spans="1:7" x14ac:dyDescent="0.3">
      <c r="A1200" t="s">
        <v>44</v>
      </c>
      <c r="B1200" t="s">
        <v>8</v>
      </c>
      <c r="C1200" t="s">
        <v>22</v>
      </c>
      <c r="D1200">
        <v>0</v>
      </c>
      <c r="E1200" t="s">
        <v>42</v>
      </c>
      <c r="F1200" t="s">
        <v>11</v>
      </c>
      <c r="G1200" t="s">
        <v>12</v>
      </c>
    </row>
    <row r="1201" spans="1:7" x14ac:dyDescent="0.3">
      <c r="A1201" t="s">
        <v>44</v>
      </c>
      <c r="B1201" t="s">
        <v>23</v>
      </c>
      <c r="C1201" t="s">
        <v>9</v>
      </c>
      <c r="D1201">
        <v>0</v>
      </c>
      <c r="E1201" t="s">
        <v>42</v>
      </c>
      <c r="F1201" t="s">
        <v>11</v>
      </c>
      <c r="G1201" t="s">
        <v>12</v>
      </c>
    </row>
    <row r="1202" spans="1:7" x14ac:dyDescent="0.3">
      <c r="A1202" t="s">
        <v>44</v>
      </c>
      <c r="B1202" t="s">
        <v>23</v>
      </c>
      <c r="C1202" t="s">
        <v>13</v>
      </c>
      <c r="D1202">
        <v>1</v>
      </c>
      <c r="E1202" t="s">
        <v>42</v>
      </c>
      <c r="F1202" t="s">
        <v>11</v>
      </c>
      <c r="G1202" t="s">
        <v>12</v>
      </c>
    </row>
    <row r="1203" spans="1:7" x14ac:dyDescent="0.3">
      <c r="A1203" t="s">
        <v>44</v>
      </c>
      <c r="B1203" t="s">
        <v>23</v>
      </c>
      <c r="C1203" t="s">
        <v>14</v>
      </c>
      <c r="D1203">
        <v>1385</v>
      </c>
      <c r="E1203" t="s">
        <v>42</v>
      </c>
      <c r="F1203" t="s">
        <v>11</v>
      </c>
      <c r="G1203" t="s">
        <v>12</v>
      </c>
    </row>
    <row r="1204" spans="1:7" x14ac:dyDescent="0.3">
      <c r="A1204" t="s">
        <v>44</v>
      </c>
      <c r="B1204" t="s">
        <v>23</v>
      </c>
      <c r="C1204" t="s">
        <v>15</v>
      </c>
      <c r="D1204">
        <v>4</v>
      </c>
      <c r="E1204" t="s">
        <v>42</v>
      </c>
      <c r="F1204" t="s">
        <v>11</v>
      </c>
      <c r="G1204" t="s">
        <v>12</v>
      </c>
    </row>
    <row r="1205" spans="1:7" x14ac:dyDescent="0.3">
      <c r="A1205" t="s">
        <v>44</v>
      </c>
      <c r="B1205" t="s">
        <v>23</v>
      </c>
      <c r="C1205" t="s">
        <v>16</v>
      </c>
      <c r="D1205">
        <v>167</v>
      </c>
      <c r="E1205" t="s">
        <v>42</v>
      </c>
      <c r="F1205" t="s">
        <v>11</v>
      </c>
      <c r="G1205" t="s">
        <v>12</v>
      </c>
    </row>
    <row r="1206" spans="1:7" x14ac:dyDescent="0.3">
      <c r="A1206" t="s">
        <v>44</v>
      </c>
      <c r="B1206" t="s">
        <v>23</v>
      </c>
      <c r="C1206" t="s">
        <v>17</v>
      </c>
      <c r="D1206">
        <v>0</v>
      </c>
      <c r="E1206" t="s">
        <v>42</v>
      </c>
      <c r="F1206" t="s">
        <v>11</v>
      </c>
      <c r="G1206" t="s">
        <v>12</v>
      </c>
    </row>
    <row r="1207" spans="1:7" x14ac:dyDescent="0.3">
      <c r="A1207" t="s">
        <v>44</v>
      </c>
      <c r="B1207" t="s">
        <v>23</v>
      </c>
      <c r="C1207" t="s">
        <v>18</v>
      </c>
      <c r="D1207">
        <v>0</v>
      </c>
      <c r="E1207" t="s">
        <v>42</v>
      </c>
      <c r="F1207" t="s">
        <v>11</v>
      </c>
      <c r="G1207" t="s">
        <v>12</v>
      </c>
    </row>
    <row r="1208" spans="1:7" x14ac:dyDescent="0.3">
      <c r="A1208" t="s">
        <v>44</v>
      </c>
      <c r="B1208" t="s">
        <v>23</v>
      </c>
      <c r="C1208" t="s">
        <v>19</v>
      </c>
      <c r="D1208">
        <v>4</v>
      </c>
      <c r="E1208" t="s">
        <v>42</v>
      </c>
      <c r="F1208" t="s">
        <v>11</v>
      </c>
      <c r="G1208" t="s">
        <v>12</v>
      </c>
    </row>
    <row r="1209" spans="1:7" x14ac:dyDescent="0.3">
      <c r="A1209" t="s">
        <v>44</v>
      </c>
      <c r="B1209" t="s">
        <v>23</v>
      </c>
      <c r="C1209" t="s">
        <v>20</v>
      </c>
      <c r="D1209">
        <v>3</v>
      </c>
      <c r="E1209" t="s">
        <v>42</v>
      </c>
      <c r="F1209" t="s">
        <v>11</v>
      </c>
      <c r="G1209" t="s">
        <v>12</v>
      </c>
    </row>
    <row r="1210" spans="1:7" x14ac:dyDescent="0.3">
      <c r="A1210" t="s">
        <v>44</v>
      </c>
      <c r="B1210" t="s">
        <v>23</v>
      </c>
      <c r="C1210" t="s">
        <v>21</v>
      </c>
      <c r="D1210">
        <v>3</v>
      </c>
      <c r="E1210" t="s">
        <v>42</v>
      </c>
      <c r="F1210" t="s">
        <v>11</v>
      </c>
      <c r="G1210" t="s">
        <v>12</v>
      </c>
    </row>
    <row r="1211" spans="1:7" x14ac:dyDescent="0.3">
      <c r="A1211" t="s">
        <v>44</v>
      </c>
      <c r="B1211" t="s">
        <v>23</v>
      </c>
      <c r="C1211" t="s">
        <v>22</v>
      </c>
      <c r="D1211">
        <v>1</v>
      </c>
      <c r="E1211" t="s">
        <v>42</v>
      </c>
      <c r="F1211" t="s">
        <v>11</v>
      </c>
      <c r="G1211" t="s">
        <v>12</v>
      </c>
    </row>
    <row r="1212" spans="1:7" x14ac:dyDescent="0.3">
      <c r="A1212" t="s">
        <v>24</v>
      </c>
      <c r="B1212" t="s">
        <v>8</v>
      </c>
      <c r="C1212" t="s">
        <v>9</v>
      </c>
      <c r="D1212">
        <v>4</v>
      </c>
      <c r="E1212" t="s">
        <v>42</v>
      </c>
      <c r="F1212" t="s">
        <v>11</v>
      </c>
      <c r="G1212" t="s">
        <v>12</v>
      </c>
    </row>
    <row r="1213" spans="1:7" x14ac:dyDescent="0.3">
      <c r="A1213" t="s">
        <v>24</v>
      </c>
      <c r="B1213" t="s">
        <v>8</v>
      </c>
      <c r="C1213" t="s">
        <v>13</v>
      </c>
      <c r="D1213">
        <v>0</v>
      </c>
      <c r="E1213" t="s">
        <v>42</v>
      </c>
      <c r="F1213" t="s">
        <v>11</v>
      </c>
      <c r="G1213" t="s">
        <v>12</v>
      </c>
    </row>
    <row r="1214" spans="1:7" x14ac:dyDescent="0.3">
      <c r="A1214" t="s">
        <v>24</v>
      </c>
      <c r="B1214" t="s">
        <v>8</v>
      </c>
      <c r="C1214" t="s">
        <v>14</v>
      </c>
      <c r="D1214">
        <v>28</v>
      </c>
      <c r="E1214" t="s">
        <v>42</v>
      </c>
      <c r="F1214" t="s">
        <v>11</v>
      </c>
      <c r="G1214" t="s">
        <v>12</v>
      </c>
    </row>
    <row r="1215" spans="1:7" x14ac:dyDescent="0.3">
      <c r="A1215" t="s">
        <v>24</v>
      </c>
      <c r="B1215" t="s">
        <v>8</v>
      </c>
      <c r="C1215" t="s">
        <v>15</v>
      </c>
      <c r="D1215">
        <v>0</v>
      </c>
      <c r="E1215" t="s">
        <v>42</v>
      </c>
      <c r="F1215" t="s">
        <v>11</v>
      </c>
      <c r="G1215" t="s">
        <v>12</v>
      </c>
    </row>
    <row r="1216" spans="1:7" x14ac:dyDescent="0.3">
      <c r="A1216" t="s">
        <v>24</v>
      </c>
      <c r="B1216" t="s">
        <v>8</v>
      </c>
      <c r="C1216" t="s">
        <v>16</v>
      </c>
      <c r="D1216">
        <v>144</v>
      </c>
      <c r="E1216" t="s">
        <v>42</v>
      </c>
      <c r="F1216" t="s">
        <v>11</v>
      </c>
      <c r="G1216" t="s">
        <v>12</v>
      </c>
    </row>
    <row r="1217" spans="1:7" x14ac:dyDescent="0.3">
      <c r="A1217" t="s">
        <v>24</v>
      </c>
      <c r="B1217" t="s">
        <v>8</v>
      </c>
      <c r="C1217" t="s">
        <v>17</v>
      </c>
      <c r="D1217">
        <v>7</v>
      </c>
      <c r="E1217" t="s">
        <v>42</v>
      </c>
      <c r="F1217" t="s">
        <v>11</v>
      </c>
      <c r="G1217" t="s">
        <v>12</v>
      </c>
    </row>
    <row r="1218" spans="1:7" x14ac:dyDescent="0.3">
      <c r="A1218" t="s">
        <v>24</v>
      </c>
      <c r="B1218" t="s">
        <v>8</v>
      </c>
      <c r="C1218" t="s">
        <v>18</v>
      </c>
      <c r="D1218">
        <v>0</v>
      </c>
      <c r="E1218" t="s">
        <v>42</v>
      </c>
      <c r="F1218" t="s">
        <v>11</v>
      </c>
      <c r="G1218" t="s">
        <v>12</v>
      </c>
    </row>
    <row r="1219" spans="1:7" x14ac:dyDescent="0.3">
      <c r="A1219" t="s">
        <v>24</v>
      </c>
      <c r="B1219" t="s">
        <v>8</v>
      </c>
      <c r="C1219" t="s">
        <v>19</v>
      </c>
      <c r="D1219">
        <v>0</v>
      </c>
      <c r="E1219" t="s">
        <v>42</v>
      </c>
      <c r="F1219" t="s">
        <v>11</v>
      </c>
      <c r="G1219" t="s">
        <v>12</v>
      </c>
    </row>
    <row r="1220" spans="1:7" x14ac:dyDescent="0.3">
      <c r="A1220" t="s">
        <v>24</v>
      </c>
      <c r="B1220" t="s">
        <v>8</v>
      </c>
      <c r="C1220" t="s">
        <v>20</v>
      </c>
      <c r="D1220">
        <v>0</v>
      </c>
      <c r="E1220" t="s">
        <v>42</v>
      </c>
      <c r="F1220" t="s">
        <v>11</v>
      </c>
      <c r="G1220" t="s">
        <v>12</v>
      </c>
    </row>
    <row r="1221" spans="1:7" x14ac:dyDescent="0.3">
      <c r="A1221" t="s">
        <v>24</v>
      </c>
      <c r="B1221" t="s">
        <v>8</v>
      </c>
      <c r="C1221" t="s">
        <v>21</v>
      </c>
      <c r="D1221">
        <v>0</v>
      </c>
      <c r="E1221" t="s">
        <v>42</v>
      </c>
      <c r="F1221" t="s">
        <v>11</v>
      </c>
      <c r="G1221" t="s">
        <v>12</v>
      </c>
    </row>
    <row r="1222" spans="1:7" x14ac:dyDescent="0.3">
      <c r="A1222" t="s">
        <v>24</v>
      </c>
      <c r="B1222" t="s">
        <v>8</v>
      </c>
      <c r="C1222" t="s">
        <v>22</v>
      </c>
      <c r="D1222">
        <v>8</v>
      </c>
      <c r="E1222" t="s">
        <v>42</v>
      </c>
      <c r="F1222" t="s">
        <v>11</v>
      </c>
      <c r="G1222" t="s">
        <v>12</v>
      </c>
    </row>
    <row r="1223" spans="1:7" x14ac:dyDescent="0.3">
      <c r="A1223" t="s">
        <v>24</v>
      </c>
      <c r="B1223" t="s">
        <v>23</v>
      </c>
      <c r="C1223" t="s">
        <v>9</v>
      </c>
      <c r="D1223">
        <v>58</v>
      </c>
      <c r="E1223" t="s">
        <v>42</v>
      </c>
      <c r="F1223" t="s">
        <v>11</v>
      </c>
      <c r="G1223" t="s">
        <v>12</v>
      </c>
    </row>
    <row r="1224" spans="1:7" x14ac:dyDescent="0.3">
      <c r="A1224" t="s">
        <v>24</v>
      </c>
      <c r="B1224" t="s">
        <v>23</v>
      </c>
      <c r="C1224" t="s">
        <v>13</v>
      </c>
      <c r="D1224">
        <v>24</v>
      </c>
      <c r="E1224" t="s">
        <v>42</v>
      </c>
      <c r="F1224" t="s">
        <v>11</v>
      </c>
      <c r="G1224" t="s">
        <v>12</v>
      </c>
    </row>
    <row r="1225" spans="1:7" x14ac:dyDescent="0.3">
      <c r="A1225" t="s">
        <v>24</v>
      </c>
      <c r="B1225" t="s">
        <v>23</v>
      </c>
      <c r="C1225" t="s">
        <v>14</v>
      </c>
      <c r="D1225">
        <v>276</v>
      </c>
      <c r="E1225" t="s">
        <v>42</v>
      </c>
      <c r="F1225" t="s">
        <v>11</v>
      </c>
      <c r="G1225" t="s">
        <v>12</v>
      </c>
    </row>
    <row r="1226" spans="1:7" x14ac:dyDescent="0.3">
      <c r="A1226" t="s">
        <v>24</v>
      </c>
      <c r="B1226" t="s">
        <v>23</v>
      </c>
      <c r="C1226" t="s">
        <v>15</v>
      </c>
      <c r="D1226">
        <v>2</v>
      </c>
      <c r="E1226" t="s">
        <v>42</v>
      </c>
      <c r="F1226" t="s">
        <v>11</v>
      </c>
      <c r="G1226" t="s">
        <v>12</v>
      </c>
    </row>
    <row r="1227" spans="1:7" x14ac:dyDescent="0.3">
      <c r="A1227" t="s">
        <v>24</v>
      </c>
      <c r="B1227" t="s">
        <v>23</v>
      </c>
      <c r="C1227" t="s">
        <v>16</v>
      </c>
      <c r="D1227">
        <v>430</v>
      </c>
      <c r="E1227" t="s">
        <v>42</v>
      </c>
      <c r="F1227" t="s">
        <v>11</v>
      </c>
      <c r="G1227" t="s">
        <v>12</v>
      </c>
    </row>
    <row r="1228" spans="1:7" x14ac:dyDescent="0.3">
      <c r="A1228" t="s">
        <v>24</v>
      </c>
      <c r="B1228" t="s">
        <v>23</v>
      </c>
      <c r="C1228" t="s">
        <v>17</v>
      </c>
      <c r="D1228">
        <v>4</v>
      </c>
      <c r="E1228" t="s">
        <v>42</v>
      </c>
      <c r="F1228" t="s">
        <v>11</v>
      </c>
      <c r="G1228" t="s">
        <v>12</v>
      </c>
    </row>
    <row r="1229" spans="1:7" x14ac:dyDescent="0.3">
      <c r="A1229" t="s">
        <v>24</v>
      </c>
      <c r="B1229" t="s">
        <v>23</v>
      </c>
      <c r="C1229" t="s">
        <v>18</v>
      </c>
      <c r="D1229">
        <v>0</v>
      </c>
      <c r="E1229" t="s">
        <v>42</v>
      </c>
      <c r="F1229" t="s">
        <v>11</v>
      </c>
      <c r="G1229" t="s">
        <v>12</v>
      </c>
    </row>
    <row r="1230" spans="1:7" x14ac:dyDescent="0.3">
      <c r="A1230" t="s">
        <v>24</v>
      </c>
      <c r="B1230" t="s">
        <v>23</v>
      </c>
      <c r="C1230" t="s">
        <v>19</v>
      </c>
      <c r="D1230">
        <v>5</v>
      </c>
      <c r="E1230" t="s">
        <v>42</v>
      </c>
      <c r="F1230" t="s">
        <v>11</v>
      </c>
      <c r="G1230" t="s">
        <v>12</v>
      </c>
    </row>
    <row r="1231" spans="1:7" x14ac:dyDescent="0.3">
      <c r="A1231" t="s">
        <v>24</v>
      </c>
      <c r="B1231" t="s">
        <v>23</v>
      </c>
      <c r="C1231" t="s">
        <v>20</v>
      </c>
      <c r="D1231">
        <v>7</v>
      </c>
      <c r="E1231" t="s">
        <v>42</v>
      </c>
      <c r="F1231" t="s">
        <v>11</v>
      </c>
      <c r="G1231" t="s">
        <v>12</v>
      </c>
    </row>
    <row r="1232" spans="1:7" x14ac:dyDescent="0.3">
      <c r="A1232" t="s">
        <v>24</v>
      </c>
      <c r="B1232" t="s">
        <v>23</v>
      </c>
      <c r="C1232" t="s">
        <v>21</v>
      </c>
      <c r="D1232">
        <v>2</v>
      </c>
      <c r="E1232" t="s">
        <v>42</v>
      </c>
      <c r="F1232" t="s">
        <v>11</v>
      </c>
      <c r="G1232" t="s">
        <v>12</v>
      </c>
    </row>
    <row r="1233" spans="1:7" x14ac:dyDescent="0.3">
      <c r="A1233" t="s">
        <v>24</v>
      </c>
      <c r="B1233" t="s">
        <v>23</v>
      </c>
      <c r="C1233" t="s">
        <v>22</v>
      </c>
      <c r="D1233">
        <v>85</v>
      </c>
      <c r="E1233" t="s">
        <v>42</v>
      </c>
      <c r="F1233" t="s">
        <v>11</v>
      </c>
      <c r="G1233" t="s">
        <v>12</v>
      </c>
    </row>
    <row r="1234" spans="1:7" x14ac:dyDescent="0.3">
      <c r="A1234" t="s">
        <v>45</v>
      </c>
      <c r="B1234" t="s">
        <v>8</v>
      </c>
      <c r="C1234" t="s">
        <v>9</v>
      </c>
      <c r="D1234">
        <v>13</v>
      </c>
      <c r="E1234" t="s">
        <v>42</v>
      </c>
      <c r="F1234" t="s">
        <v>11</v>
      </c>
      <c r="G1234" t="s">
        <v>12</v>
      </c>
    </row>
    <row r="1235" spans="1:7" x14ac:dyDescent="0.3">
      <c r="A1235" t="s">
        <v>45</v>
      </c>
      <c r="B1235" t="s">
        <v>8</v>
      </c>
      <c r="C1235" t="s">
        <v>13</v>
      </c>
      <c r="D1235">
        <v>2</v>
      </c>
      <c r="E1235" t="s">
        <v>42</v>
      </c>
      <c r="F1235" t="s">
        <v>11</v>
      </c>
      <c r="G1235" t="s">
        <v>12</v>
      </c>
    </row>
    <row r="1236" spans="1:7" x14ac:dyDescent="0.3">
      <c r="A1236" t="s">
        <v>45</v>
      </c>
      <c r="B1236" t="s">
        <v>8</v>
      </c>
      <c r="C1236" t="s">
        <v>14</v>
      </c>
      <c r="D1236">
        <v>2</v>
      </c>
      <c r="E1236" t="s">
        <v>42</v>
      </c>
      <c r="F1236" t="s">
        <v>11</v>
      </c>
      <c r="G1236" t="s">
        <v>12</v>
      </c>
    </row>
    <row r="1237" spans="1:7" x14ac:dyDescent="0.3">
      <c r="A1237" t="s">
        <v>45</v>
      </c>
      <c r="B1237" t="s">
        <v>8</v>
      </c>
      <c r="C1237" t="s">
        <v>15</v>
      </c>
      <c r="D1237">
        <v>0</v>
      </c>
      <c r="E1237" t="s">
        <v>42</v>
      </c>
      <c r="F1237" t="s">
        <v>11</v>
      </c>
      <c r="G1237" t="s">
        <v>12</v>
      </c>
    </row>
    <row r="1238" spans="1:7" x14ac:dyDescent="0.3">
      <c r="A1238" t="s">
        <v>45</v>
      </c>
      <c r="B1238" t="s">
        <v>8</v>
      </c>
      <c r="C1238" t="s">
        <v>16</v>
      </c>
      <c r="D1238">
        <v>3</v>
      </c>
      <c r="E1238" t="s">
        <v>42</v>
      </c>
      <c r="F1238" t="s">
        <v>11</v>
      </c>
      <c r="G1238" t="s">
        <v>12</v>
      </c>
    </row>
    <row r="1239" spans="1:7" x14ac:dyDescent="0.3">
      <c r="A1239" t="s">
        <v>45</v>
      </c>
      <c r="B1239" t="s">
        <v>8</v>
      </c>
      <c r="C1239" t="s">
        <v>17</v>
      </c>
      <c r="D1239">
        <v>13</v>
      </c>
      <c r="E1239" t="s">
        <v>42</v>
      </c>
      <c r="F1239" t="s">
        <v>11</v>
      </c>
      <c r="G1239" t="s">
        <v>12</v>
      </c>
    </row>
    <row r="1240" spans="1:7" x14ac:dyDescent="0.3">
      <c r="A1240" t="s">
        <v>45</v>
      </c>
      <c r="B1240" t="s">
        <v>8</v>
      </c>
      <c r="C1240" t="s">
        <v>18</v>
      </c>
      <c r="D1240">
        <v>0</v>
      </c>
      <c r="E1240" t="s">
        <v>42</v>
      </c>
      <c r="F1240" t="s">
        <v>11</v>
      </c>
      <c r="G1240" t="s">
        <v>12</v>
      </c>
    </row>
    <row r="1241" spans="1:7" x14ac:dyDescent="0.3">
      <c r="A1241" t="s">
        <v>45</v>
      </c>
      <c r="B1241" t="s">
        <v>8</v>
      </c>
      <c r="C1241" t="s">
        <v>19</v>
      </c>
      <c r="D1241">
        <v>37</v>
      </c>
      <c r="E1241" t="s">
        <v>42</v>
      </c>
      <c r="F1241" t="s">
        <v>11</v>
      </c>
      <c r="G1241" t="s">
        <v>12</v>
      </c>
    </row>
    <row r="1242" spans="1:7" x14ac:dyDescent="0.3">
      <c r="A1242" t="s">
        <v>45</v>
      </c>
      <c r="B1242" t="s">
        <v>8</v>
      </c>
      <c r="C1242" t="s">
        <v>20</v>
      </c>
      <c r="D1242">
        <v>0</v>
      </c>
      <c r="E1242" t="s">
        <v>42</v>
      </c>
      <c r="F1242" t="s">
        <v>11</v>
      </c>
      <c r="G1242" t="s">
        <v>12</v>
      </c>
    </row>
    <row r="1243" spans="1:7" x14ac:dyDescent="0.3">
      <c r="A1243" t="s">
        <v>45</v>
      </c>
      <c r="B1243" t="s">
        <v>8</v>
      </c>
      <c r="C1243" t="s">
        <v>21</v>
      </c>
      <c r="D1243">
        <v>2</v>
      </c>
      <c r="E1243" t="s">
        <v>42</v>
      </c>
      <c r="F1243" t="s">
        <v>11</v>
      </c>
      <c r="G1243" t="s">
        <v>12</v>
      </c>
    </row>
    <row r="1244" spans="1:7" x14ac:dyDescent="0.3">
      <c r="A1244" t="s">
        <v>45</v>
      </c>
      <c r="B1244" t="s">
        <v>8</v>
      </c>
      <c r="C1244" t="s">
        <v>22</v>
      </c>
      <c r="D1244">
        <v>4</v>
      </c>
      <c r="E1244" t="s">
        <v>42</v>
      </c>
      <c r="F1244" t="s">
        <v>11</v>
      </c>
      <c r="G1244" t="s">
        <v>12</v>
      </c>
    </row>
    <row r="1245" spans="1:7" x14ac:dyDescent="0.3">
      <c r="A1245" t="s">
        <v>45</v>
      </c>
      <c r="B1245" t="s">
        <v>23</v>
      </c>
      <c r="C1245" t="s">
        <v>9</v>
      </c>
      <c r="D1245">
        <v>214</v>
      </c>
      <c r="E1245" t="s">
        <v>42</v>
      </c>
      <c r="F1245" t="s">
        <v>11</v>
      </c>
      <c r="G1245" t="s">
        <v>12</v>
      </c>
    </row>
    <row r="1246" spans="1:7" x14ac:dyDescent="0.3">
      <c r="A1246" t="s">
        <v>45</v>
      </c>
      <c r="B1246" t="s">
        <v>23</v>
      </c>
      <c r="C1246" t="s">
        <v>13</v>
      </c>
      <c r="D1246">
        <v>11</v>
      </c>
      <c r="E1246" t="s">
        <v>42</v>
      </c>
      <c r="F1246" t="s">
        <v>11</v>
      </c>
      <c r="G1246" t="s">
        <v>12</v>
      </c>
    </row>
    <row r="1247" spans="1:7" x14ac:dyDescent="0.3">
      <c r="A1247" t="s">
        <v>45</v>
      </c>
      <c r="B1247" t="s">
        <v>23</v>
      </c>
      <c r="C1247" t="s">
        <v>14</v>
      </c>
      <c r="D1247">
        <v>118</v>
      </c>
      <c r="E1247" t="s">
        <v>42</v>
      </c>
      <c r="F1247" t="s">
        <v>11</v>
      </c>
      <c r="G1247" t="s">
        <v>12</v>
      </c>
    </row>
    <row r="1248" spans="1:7" x14ac:dyDescent="0.3">
      <c r="A1248" t="s">
        <v>45</v>
      </c>
      <c r="B1248" t="s">
        <v>23</v>
      </c>
      <c r="C1248" t="s">
        <v>15</v>
      </c>
      <c r="D1248">
        <v>3</v>
      </c>
      <c r="E1248" t="s">
        <v>42</v>
      </c>
      <c r="F1248" t="s">
        <v>11</v>
      </c>
      <c r="G1248" t="s">
        <v>12</v>
      </c>
    </row>
    <row r="1249" spans="1:7" x14ac:dyDescent="0.3">
      <c r="A1249" t="s">
        <v>45</v>
      </c>
      <c r="B1249" t="s">
        <v>23</v>
      </c>
      <c r="C1249" t="s">
        <v>16</v>
      </c>
      <c r="D1249">
        <v>60</v>
      </c>
      <c r="E1249" t="s">
        <v>42</v>
      </c>
      <c r="F1249" t="s">
        <v>11</v>
      </c>
      <c r="G1249" t="s">
        <v>12</v>
      </c>
    </row>
    <row r="1250" spans="1:7" x14ac:dyDescent="0.3">
      <c r="A1250" t="s">
        <v>45</v>
      </c>
      <c r="B1250" t="s">
        <v>23</v>
      </c>
      <c r="C1250" t="s">
        <v>17</v>
      </c>
      <c r="D1250">
        <v>11</v>
      </c>
      <c r="E1250" t="s">
        <v>42</v>
      </c>
      <c r="F1250" t="s">
        <v>11</v>
      </c>
      <c r="G1250" t="s">
        <v>12</v>
      </c>
    </row>
    <row r="1251" spans="1:7" x14ac:dyDescent="0.3">
      <c r="A1251" t="s">
        <v>45</v>
      </c>
      <c r="B1251" t="s">
        <v>23</v>
      </c>
      <c r="C1251" t="s">
        <v>18</v>
      </c>
      <c r="D1251">
        <v>0</v>
      </c>
      <c r="E1251" t="s">
        <v>42</v>
      </c>
      <c r="F1251" t="s">
        <v>11</v>
      </c>
      <c r="G1251" t="s">
        <v>12</v>
      </c>
    </row>
    <row r="1252" spans="1:7" x14ac:dyDescent="0.3">
      <c r="A1252" t="s">
        <v>45</v>
      </c>
      <c r="B1252" t="s">
        <v>23</v>
      </c>
      <c r="C1252" t="s">
        <v>19</v>
      </c>
      <c r="D1252">
        <v>108</v>
      </c>
      <c r="E1252" t="s">
        <v>42</v>
      </c>
      <c r="F1252" t="s">
        <v>11</v>
      </c>
      <c r="G1252" t="s">
        <v>12</v>
      </c>
    </row>
    <row r="1253" spans="1:7" x14ac:dyDescent="0.3">
      <c r="A1253" t="s">
        <v>45</v>
      </c>
      <c r="B1253" t="s">
        <v>23</v>
      </c>
      <c r="C1253" t="s">
        <v>20</v>
      </c>
      <c r="D1253">
        <v>7</v>
      </c>
      <c r="E1253" t="s">
        <v>42</v>
      </c>
      <c r="F1253" t="s">
        <v>11</v>
      </c>
      <c r="G1253" t="s">
        <v>12</v>
      </c>
    </row>
    <row r="1254" spans="1:7" x14ac:dyDescent="0.3">
      <c r="A1254" t="s">
        <v>45</v>
      </c>
      <c r="B1254" t="s">
        <v>23</v>
      </c>
      <c r="C1254" t="s">
        <v>21</v>
      </c>
      <c r="D1254">
        <v>2</v>
      </c>
      <c r="E1254" t="s">
        <v>42</v>
      </c>
      <c r="F1254" t="s">
        <v>11</v>
      </c>
      <c r="G1254" t="s">
        <v>12</v>
      </c>
    </row>
    <row r="1255" spans="1:7" x14ac:dyDescent="0.3">
      <c r="A1255" t="s">
        <v>45</v>
      </c>
      <c r="B1255" t="s">
        <v>23</v>
      </c>
      <c r="C1255" t="s">
        <v>22</v>
      </c>
      <c r="D1255">
        <v>3</v>
      </c>
      <c r="E1255" t="s">
        <v>42</v>
      </c>
      <c r="F1255" t="s">
        <v>11</v>
      </c>
      <c r="G1255" t="s">
        <v>12</v>
      </c>
    </row>
    <row r="1256" spans="1:7" x14ac:dyDescent="0.3">
      <c r="A1256" t="s">
        <v>46</v>
      </c>
      <c r="B1256" t="s">
        <v>8</v>
      </c>
      <c r="C1256" t="s">
        <v>9</v>
      </c>
      <c r="D1256">
        <v>0</v>
      </c>
      <c r="E1256" t="s">
        <v>42</v>
      </c>
      <c r="F1256" t="s">
        <v>11</v>
      </c>
      <c r="G1256" t="s">
        <v>12</v>
      </c>
    </row>
    <row r="1257" spans="1:7" x14ac:dyDescent="0.3">
      <c r="A1257" t="s">
        <v>46</v>
      </c>
      <c r="B1257" t="s">
        <v>8</v>
      </c>
      <c r="C1257" t="s">
        <v>13</v>
      </c>
      <c r="D1257">
        <v>0</v>
      </c>
      <c r="E1257" t="s">
        <v>42</v>
      </c>
      <c r="F1257" t="s">
        <v>11</v>
      </c>
      <c r="G1257" t="s">
        <v>12</v>
      </c>
    </row>
    <row r="1258" spans="1:7" x14ac:dyDescent="0.3">
      <c r="A1258" t="s">
        <v>46</v>
      </c>
      <c r="B1258" t="s">
        <v>8</v>
      </c>
      <c r="C1258" t="s">
        <v>14</v>
      </c>
      <c r="D1258">
        <v>5</v>
      </c>
      <c r="E1258" t="s">
        <v>42</v>
      </c>
      <c r="F1258" t="s">
        <v>11</v>
      </c>
      <c r="G1258" t="s">
        <v>12</v>
      </c>
    </row>
    <row r="1259" spans="1:7" x14ac:dyDescent="0.3">
      <c r="A1259" t="s">
        <v>46</v>
      </c>
      <c r="B1259" t="s">
        <v>8</v>
      </c>
      <c r="C1259" t="s">
        <v>15</v>
      </c>
      <c r="D1259">
        <v>0</v>
      </c>
      <c r="E1259" t="s">
        <v>42</v>
      </c>
      <c r="F1259" t="s">
        <v>11</v>
      </c>
      <c r="G1259" t="s">
        <v>12</v>
      </c>
    </row>
    <row r="1260" spans="1:7" x14ac:dyDescent="0.3">
      <c r="A1260" t="s">
        <v>46</v>
      </c>
      <c r="B1260" t="s">
        <v>8</v>
      </c>
      <c r="C1260" t="s">
        <v>16</v>
      </c>
      <c r="D1260">
        <v>142</v>
      </c>
      <c r="E1260" t="s">
        <v>42</v>
      </c>
      <c r="F1260" t="s">
        <v>11</v>
      </c>
      <c r="G1260" t="s">
        <v>12</v>
      </c>
    </row>
    <row r="1261" spans="1:7" x14ac:dyDescent="0.3">
      <c r="A1261" t="s">
        <v>46</v>
      </c>
      <c r="B1261" t="s">
        <v>8</v>
      </c>
      <c r="C1261" t="s">
        <v>17</v>
      </c>
      <c r="D1261">
        <v>3</v>
      </c>
      <c r="E1261" t="s">
        <v>42</v>
      </c>
      <c r="F1261" t="s">
        <v>11</v>
      </c>
      <c r="G1261" t="s">
        <v>12</v>
      </c>
    </row>
    <row r="1262" spans="1:7" x14ac:dyDescent="0.3">
      <c r="A1262" t="s">
        <v>46</v>
      </c>
      <c r="B1262" t="s">
        <v>8</v>
      </c>
      <c r="C1262" t="s">
        <v>18</v>
      </c>
      <c r="D1262">
        <v>0</v>
      </c>
      <c r="E1262" t="s">
        <v>42</v>
      </c>
      <c r="F1262" t="s">
        <v>11</v>
      </c>
      <c r="G1262" t="s">
        <v>12</v>
      </c>
    </row>
    <row r="1263" spans="1:7" x14ac:dyDescent="0.3">
      <c r="A1263" t="s">
        <v>46</v>
      </c>
      <c r="B1263" t="s">
        <v>8</v>
      </c>
      <c r="C1263" t="s">
        <v>19</v>
      </c>
      <c r="D1263">
        <v>0</v>
      </c>
      <c r="E1263" t="s">
        <v>42</v>
      </c>
      <c r="F1263" t="s">
        <v>11</v>
      </c>
      <c r="G1263" t="s">
        <v>12</v>
      </c>
    </row>
    <row r="1264" spans="1:7" x14ac:dyDescent="0.3">
      <c r="A1264" t="s">
        <v>46</v>
      </c>
      <c r="B1264" t="s">
        <v>8</v>
      </c>
      <c r="C1264" t="s">
        <v>20</v>
      </c>
      <c r="D1264">
        <v>0</v>
      </c>
      <c r="E1264" t="s">
        <v>42</v>
      </c>
      <c r="F1264" t="s">
        <v>11</v>
      </c>
      <c r="G1264" t="s">
        <v>12</v>
      </c>
    </row>
    <row r="1265" spans="1:7" x14ac:dyDescent="0.3">
      <c r="A1265" t="s">
        <v>46</v>
      </c>
      <c r="B1265" t="s">
        <v>8</v>
      </c>
      <c r="C1265" t="s">
        <v>21</v>
      </c>
      <c r="D1265">
        <v>0</v>
      </c>
      <c r="E1265" t="s">
        <v>42</v>
      </c>
      <c r="F1265" t="s">
        <v>11</v>
      </c>
      <c r="G1265" t="s">
        <v>12</v>
      </c>
    </row>
    <row r="1266" spans="1:7" x14ac:dyDescent="0.3">
      <c r="A1266" t="s">
        <v>46</v>
      </c>
      <c r="B1266" t="s">
        <v>8</v>
      </c>
      <c r="C1266" t="s">
        <v>22</v>
      </c>
      <c r="D1266">
        <v>0</v>
      </c>
      <c r="E1266" t="s">
        <v>42</v>
      </c>
      <c r="F1266" t="s">
        <v>11</v>
      </c>
      <c r="G1266" t="s">
        <v>12</v>
      </c>
    </row>
    <row r="1267" spans="1:7" x14ac:dyDescent="0.3">
      <c r="A1267" t="s">
        <v>46</v>
      </c>
      <c r="B1267" t="s">
        <v>23</v>
      </c>
      <c r="C1267" t="s">
        <v>9</v>
      </c>
      <c r="D1267">
        <v>0</v>
      </c>
      <c r="E1267" t="s">
        <v>42</v>
      </c>
      <c r="F1267" t="s">
        <v>11</v>
      </c>
      <c r="G1267" t="s">
        <v>12</v>
      </c>
    </row>
    <row r="1268" spans="1:7" x14ac:dyDescent="0.3">
      <c r="A1268" t="s">
        <v>46</v>
      </c>
      <c r="B1268" t="s">
        <v>23</v>
      </c>
      <c r="C1268" t="s">
        <v>13</v>
      </c>
      <c r="D1268">
        <v>0</v>
      </c>
      <c r="E1268" t="s">
        <v>42</v>
      </c>
      <c r="F1268" t="s">
        <v>11</v>
      </c>
      <c r="G1268" t="s">
        <v>12</v>
      </c>
    </row>
    <row r="1269" spans="1:7" x14ac:dyDescent="0.3">
      <c r="A1269" t="s">
        <v>46</v>
      </c>
      <c r="B1269" t="s">
        <v>23</v>
      </c>
      <c r="C1269" t="s">
        <v>14</v>
      </c>
      <c r="D1269">
        <v>2</v>
      </c>
      <c r="E1269" t="s">
        <v>42</v>
      </c>
      <c r="F1269" t="s">
        <v>11</v>
      </c>
      <c r="G1269" t="s">
        <v>12</v>
      </c>
    </row>
    <row r="1270" spans="1:7" x14ac:dyDescent="0.3">
      <c r="A1270" t="s">
        <v>46</v>
      </c>
      <c r="B1270" t="s">
        <v>23</v>
      </c>
      <c r="C1270" t="s">
        <v>15</v>
      </c>
      <c r="D1270">
        <v>0</v>
      </c>
      <c r="E1270" t="s">
        <v>42</v>
      </c>
      <c r="F1270" t="s">
        <v>11</v>
      </c>
      <c r="G1270" t="s">
        <v>12</v>
      </c>
    </row>
    <row r="1271" spans="1:7" x14ac:dyDescent="0.3">
      <c r="A1271" t="s">
        <v>46</v>
      </c>
      <c r="B1271" t="s">
        <v>23</v>
      </c>
      <c r="C1271" t="s">
        <v>16</v>
      </c>
      <c r="D1271">
        <v>380</v>
      </c>
      <c r="E1271" t="s">
        <v>42</v>
      </c>
      <c r="F1271" t="s">
        <v>11</v>
      </c>
      <c r="G1271" t="s">
        <v>12</v>
      </c>
    </row>
    <row r="1272" spans="1:7" x14ac:dyDescent="0.3">
      <c r="A1272" t="s">
        <v>46</v>
      </c>
      <c r="B1272" t="s">
        <v>23</v>
      </c>
      <c r="C1272" t="s">
        <v>17</v>
      </c>
      <c r="D1272">
        <v>0</v>
      </c>
      <c r="E1272" t="s">
        <v>42</v>
      </c>
      <c r="F1272" t="s">
        <v>11</v>
      </c>
      <c r="G1272" t="s">
        <v>12</v>
      </c>
    </row>
    <row r="1273" spans="1:7" x14ac:dyDescent="0.3">
      <c r="A1273" t="s">
        <v>46</v>
      </c>
      <c r="B1273" t="s">
        <v>23</v>
      </c>
      <c r="C1273" t="s">
        <v>18</v>
      </c>
      <c r="D1273">
        <v>0</v>
      </c>
      <c r="E1273" t="s">
        <v>42</v>
      </c>
      <c r="F1273" t="s">
        <v>11</v>
      </c>
      <c r="G1273" t="s">
        <v>12</v>
      </c>
    </row>
    <row r="1274" spans="1:7" x14ac:dyDescent="0.3">
      <c r="A1274" t="s">
        <v>46</v>
      </c>
      <c r="B1274" t="s">
        <v>23</v>
      </c>
      <c r="C1274" t="s">
        <v>19</v>
      </c>
      <c r="D1274">
        <v>0</v>
      </c>
      <c r="E1274" t="s">
        <v>42</v>
      </c>
      <c r="F1274" t="s">
        <v>11</v>
      </c>
      <c r="G1274" t="s">
        <v>12</v>
      </c>
    </row>
    <row r="1275" spans="1:7" x14ac:dyDescent="0.3">
      <c r="A1275" t="s">
        <v>46</v>
      </c>
      <c r="B1275" t="s">
        <v>23</v>
      </c>
      <c r="C1275" t="s">
        <v>20</v>
      </c>
      <c r="D1275">
        <v>4</v>
      </c>
      <c r="E1275" t="s">
        <v>42</v>
      </c>
      <c r="F1275" t="s">
        <v>11</v>
      </c>
      <c r="G1275" t="s">
        <v>12</v>
      </c>
    </row>
    <row r="1276" spans="1:7" x14ac:dyDescent="0.3">
      <c r="A1276" t="s">
        <v>46</v>
      </c>
      <c r="B1276" t="s">
        <v>23</v>
      </c>
      <c r="C1276" t="s">
        <v>21</v>
      </c>
      <c r="D1276">
        <v>0</v>
      </c>
      <c r="E1276" t="s">
        <v>42</v>
      </c>
      <c r="F1276" t="s">
        <v>11</v>
      </c>
      <c r="G1276" t="s">
        <v>12</v>
      </c>
    </row>
    <row r="1277" spans="1:7" x14ac:dyDescent="0.3">
      <c r="A1277" t="s">
        <v>46</v>
      </c>
      <c r="B1277" t="s">
        <v>23</v>
      </c>
      <c r="C1277" t="s">
        <v>22</v>
      </c>
      <c r="D1277">
        <v>0</v>
      </c>
      <c r="E1277" t="s">
        <v>42</v>
      </c>
      <c r="F1277" t="s">
        <v>11</v>
      </c>
      <c r="G1277" t="s">
        <v>12</v>
      </c>
    </row>
    <row r="1278" spans="1:7" x14ac:dyDescent="0.3">
      <c r="A1278" t="s">
        <v>47</v>
      </c>
      <c r="B1278" t="s">
        <v>8</v>
      </c>
      <c r="C1278" t="s">
        <v>9</v>
      </c>
      <c r="D1278">
        <v>13</v>
      </c>
      <c r="E1278" t="s">
        <v>42</v>
      </c>
      <c r="F1278" t="s">
        <v>11</v>
      </c>
      <c r="G1278" t="s">
        <v>12</v>
      </c>
    </row>
    <row r="1279" spans="1:7" x14ac:dyDescent="0.3">
      <c r="A1279" t="s">
        <v>47</v>
      </c>
      <c r="B1279" t="s">
        <v>8</v>
      </c>
      <c r="C1279" t="s">
        <v>13</v>
      </c>
      <c r="D1279">
        <v>1</v>
      </c>
      <c r="E1279" t="s">
        <v>42</v>
      </c>
      <c r="F1279" t="s">
        <v>11</v>
      </c>
      <c r="G1279" t="s">
        <v>12</v>
      </c>
    </row>
    <row r="1280" spans="1:7" x14ac:dyDescent="0.3">
      <c r="A1280" t="s">
        <v>47</v>
      </c>
      <c r="B1280" t="s">
        <v>8</v>
      </c>
      <c r="C1280" t="s">
        <v>14</v>
      </c>
      <c r="D1280">
        <v>1</v>
      </c>
      <c r="E1280" t="s">
        <v>42</v>
      </c>
      <c r="F1280" t="s">
        <v>11</v>
      </c>
      <c r="G1280" t="s">
        <v>12</v>
      </c>
    </row>
    <row r="1281" spans="1:7" x14ac:dyDescent="0.3">
      <c r="A1281" t="s">
        <v>47</v>
      </c>
      <c r="B1281" t="s">
        <v>8</v>
      </c>
      <c r="C1281" t="s">
        <v>15</v>
      </c>
      <c r="D1281">
        <v>0</v>
      </c>
      <c r="E1281" t="s">
        <v>42</v>
      </c>
      <c r="F1281" t="s">
        <v>11</v>
      </c>
      <c r="G1281" t="s">
        <v>12</v>
      </c>
    </row>
    <row r="1282" spans="1:7" x14ac:dyDescent="0.3">
      <c r="A1282" t="s">
        <v>47</v>
      </c>
      <c r="B1282" t="s">
        <v>8</v>
      </c>
      <c r="C1282" t="s">
        <v>16</v>
      </c>
      <c r="D1282">
        <v>3</v>
      </c>
      <c r="E1282" t="s">
        <v>42</v>
      </c>
      <c r="F1282" t="s">
        <v>11</v>
      </c>
      <c r="G1282" t="s">
        <v>12</v>
      </c>
    </row>
    <row r="1283" spans="1:7" x14ac:dyDescent="0.3">
      <c r="A1283" t="s">
        <v>47</v>
      </c>
      <c r="B1283" t="s">
        <v>8</v>
      </c>
      <c r="C1283" t="s">
        <v>17</v>
      </c>
      <c r="D1283">
        <v>13</v>
      </c>
      <c r="E1283" t="s">
        <v>42</v>
      </c>
      <c r="F1283" t="s">
        <v>11</v>
      </c>
      <c r="G1283" t="s">
        <v>12</v>
      </c>
    </row>
    <row r="1284" spans="1:7" x14ac:dyDescent="0.3">
      <c r="A1284" t="s">
        <v>47</v>
      </c>
      <c r="B1284" t="s">
        <v>8</v>
      </c>
      <c r="C1284" t="s">
        <v>18</v>
      </c>
      <c r="D1284">
        <v>0</v>
      </c>
      <c r="E1284" t="s">
        <v>42</v>
      </c>
      <c r="F1284" t="s">
        <v>11</v>
      </c>
      <c r="G1284" t="s">
        <v>12</v>
      </c>
    </row>
    <row r="1285" spans="1:7" x14ac:dyDescent="0.3">
      <c r="A1285" t="s">
        <v>47</v>
      </c>
      <c r="B1285" t="s">
        <v>8</v>
      </c>
      <c r="C1285" t="s">
        <v>19</v>
      </c>
      <c r="D1285">
        <v>1</v>
      </c>
      <c r="E1285" t="s">
        <v>42</v>
      </c>
      <c r="F1285" t="s">
        <v>11</v>
      </c>
      <c r="G1285" t="s">
        <v>12</v>
      </c>
    </row>
    <row r="1286" spans="1:7" x14ac:dyDescent="0.3">
      <c r="A1286" t="s">
        <v>47</v>
      </c>
      <c r="B1286" t="s">
        <v>8</v>
      </c>
      <c r="C1286" t="s">
        <v>20</v>
      </c>
      <c r="D1286">
        <v>0</v>
      </c>
      <c r="E1286" t="s">
        <v>42</v>
      </c>
      <c r="F1286" t="s">
        <v>11</v>
      </c>
      <c r="G1286" t="s">
        <v>12</v>
      </c>
    </row>
    <row r="1287" spans="1:7" x14ac:dyDescent="0.3">
      <c r="A1287" t="s">
        <v>47</v>
      </c>
      <c r="B1287" t="s">
        <v>8</v>
      </c>
      <c r="C1287" t="s">
        <v>21</v>
      </c>
      <c r="D1287">
        <v>2</v>
      </c>
      <c r="E1287" t="s">
        <v>42</v>
      </c>
      <c r="F1287" t="s">
        <v>11</v>
      </c>
      <c r="G1287" t="s">
        <v>12</v>
      </c>
    </row>
    <row r="1288" spans="1:7" x14ac:dyDescent="0.3">
      <c r="A1288" t="s">
        <v>47</v>
      </c>
      <c r="B1288" t="s">
        <v>8</v>
      </c>
      <c r="C1288" t="s">
        <v>22</v>
      </c>
      <c r="D1288">
        <v>4</v>
      </c>
      <c r="E1288" t="s">
        <v>42</v>
      </c>
      <c r="F1288" t="s">
        <v>11</v>
      </c>
      <c r="G1288" t="s">
        <v>12</v>
      </c>
    </row>
    <row r="1289" spans="1:7" x14ac:dyDescent="0.3">
      <c r="A1289" t="s">
        <v>47</v>
      </c>
      <c r="B1289" t="s">
        <v>23</v>
      </c>
      <c r="C1289" t="s">
        <v>9</v>
      </c>
      <c r="D1289">
        <v>213</v>
      </c>
      <c r="E1289" t="s">
        <v>42</v>
      </c>
      <c r="F1289" t="s">
        <v>11</v>
      </c>
      <c r="G1289" t="s">
        <v>12</v>
      </c>
    </row>
    <row r="1290" spans="1:7" x14ac:dyDescent="0.3">
      <c r="A1290" t="s">
        <v>47</v>
      </c>
      <c r="B1290" t="s">
        <v>23</v>
      </c>
      <c r="C1290" t="s">
        <v>13</v>
      </c>
      <c r="D1290">
        <v>10</v>
      </c>
      <c r="E1290" t="s">
        <v>42</v>
      </c>
      <c r="F1290" t="s">
        <v>11</v>
      </c>
      <c r="G1290" t="s">
        <v>12</v>
      </c>
    </row>
    <row r="1291" spans="1:7" x14ac:dyDescent="0.3">
      <c r="A1291" t="s">
        <v>47</v>
      </c>
      <c r="B1291" t="s">
        <v>23</v>
      </c>
      <c r="C1291" t="s">
        <v>14</v>
      </c>
      <c r="D1291">
        <v>115</v>
      </c>
      <c r="E1291" t="s">
        <v>42</v>
      </c>
      <c r="F1291" t="s">
        <v>11</v>
      </c>
      <c r="G1291" t="s">
        <v>12</v>
      </c>
    </row>
    <row r="1292" spans="1:7" x14ac:dyDescent="0.3">
      <c r="A1292" t="s">
        <v>47</v>
      </c>
      <c r="B1292" t="s">
        <v>23</v>
      </c>
      <c r="C1292" t="s">
        <v>15</v>
      </c>
      <c r="D1292">
        <v>2</v>
      </c>
      <c r="E1292" t="s">
        <v>42</v>
      </c>
      <c r="F1292" t="s">
        <v>11</v>
      </c>
      <c r="G1292" t="s">
        <v>12</v>
      </c>
    </row>
    <row r="1293" spans="1:7" x14ac:dyDescent="0.3">
      <c r="A1293" t="s">
        <v>47</v>
      </c>
      <c r="B1293" t="s">
        <v>23</v>
      </c>
      <c r="C1293" t="s">
        <v>16</v>
      </c>
      <c r="D1293">
        <v>60</v>
      </c>
      <c r="E1293" t="s">
        <v>42</v>
      </c>
      <c r="F1293" t="s">
        <v>11</v>
      </c>
      <c r="G1293" t="s">
        <v>12</v>
      </c>
    </row>
    <row r="1294" spans="1:7" x14ac:dyDescent="0.3">
      <c r="A1294" t="s">
        <v>47</v>
      </c>
      <c r="B1294" t="s">
        <v>23</v>
      </c>
      <c r="C1294" t="s">
        <v>17</v>
      </c>
      <c r="D1294">
        <v>11</v>
      </c>
      <c r="E1294" t="s">
        <v>42</v>
      </c>
      <c r="F1294" t="s">
        <v>11</v>
      </c>
      <c r="G1294" t="s">
        <v>12</v>
      </c>
    </row>
    <row r="1295" spans="1:7" x14ac:dyDescent="0.3">
      <c r="A1295" t="s">
        <v>47</v>
      </c>
      <c r="B1295" t="s">
        <v>23</v>
      </c>
      <c r="C1295" t="s">
        <v>18</v>
      </c>
      <c r="D1295">
        <v>0</v>
      </c>
      <c r="E1295" t="s">
        <v>42</v>
      </c>
      <c r="F1295" t="s">
        <v>11</v>
      </c>
      <c r="G1295" t="s">
        <v>12</v>
      </c>
    </row>
    <row r="1296" spans="1:7" x14ac:dyDescent="0.3">
      <c r="A1296" t="s">
        <v>47</v>
      </c>
      <c r="B1296" t="s">
        <v>23</v>
      </c>
      <c r="C1296" t="s">
        <v>19</v>
      </c>
      <c r="D1296">
        <v>4</v>
      </c>
      <c r="E1296" t="s">
        <v>42</v>
      </c>
      <c r="F1296" t="s">
        <v>11</v>
      </c>
      <c r="G1296" t="s">
        <v>12</v>
      </c>
    </row>
    <row r="1297" spans="1:7" x14ac:dyDescent="0.3">
      <c r="A1297" t="s">
        <v>47</v>
      </c>
      <c r="B1297" t="s">
        <v>23</v>
      </c>
      <c r="C1297" t="s">
        <v>20</v>
      </c>
      <c r="D1297">
        <v>7</v>
      </c>
      <c r="E1297" t="s">
        <v>42</v>
      </c>
      <c r="F1297" t="s">
        <v>11</v>
      </c>
      <c r="G1297" t="s">
        <v>12</v>
      </c>
    </row>
    <row r="1298" spans="1:7" x14ac:dyDescent="0.3">
      <c r="A1298" t="s">
        <v>47</v>
      </c>
      <c r="B1298" t="s">
        <v>23</v>
      </c>
      <c r="C1298" t="s">
        <v>21</v>
      </c>
      <c r="D1298">
        <v>2</v>
      </c>
      <c r="E1298" t="s">
        <v>42</v>
      </c>
      <c r="F1298" t="s">
        <v>11</v>
      </c>
      <c r="G1298" t="s">
        <v>12</v>
      </c>
    </row>
    <row r="1299" spans="1:7" x14ac:dyDescent="0.3">
      <c r="A1299" t="s">
        <v>47</v>
      </c>
      <c r="B1299" t="s">
        <v>23</v>
      </c>
      <c r="C1299" t="s">
        <v>22</v>
      </c>
      <c r="D1299">
        <v>3</v>
      </c>
      <c r="E1299" t="s">
        <v>42</v>
      </c>
      <c r="F1299" t="s">
        <v>11</v>
      </c>
      <c r="G1299" t="s">
        <v>12</v>
      </c>
    </row>
    <row r="1300" spans="1:7" x14ac:dyDescent="0.3">
      <c r="A1300" t="s">
        <v>48</v>
      </c>
      <c r="B1300" t="s">
        <v>8</v>
      </c>
      <c r="C1300" t="s">
        <v>9</v>
      </c>
      <c r="D1300">
        <v>0</v>
      </c>
      <c r="E1300" t="s">
        <v>42</v>
      </c>
      <c r="F1300" t="s">
        <v>11</v>
      </c>
      <c r="G1300" t="s">
        <v>12</v>
      </c>
    </row>
    <row r="1301" spans="1:7" x14ac:dyDescent="0.3">
      <c r="A1301" t="s">
        <v>48</v>
      </c>
      <c r="B1301" t="s">
        <v>8</v>
      </c>
      <c r="C1301" t="s">
        <v>13</v>
      </c>
      <c r="D1301">
        <v>0</v>
      </c>
      <c r="E1301" t="s">
        <v>42</v>
      </c>
      <c r="F1301" t="s">
        <v>11</v>
      </c>
      <c r="G1301" t="s">
        <v>12</v>
      </c>
    </row>
    <row r="1302" spans="1:7" x14ac:dyDescent="0.3">
      <c r="A1302" t="s">
        <v>48</v>
      </c>
      <c r="B1302" t="s">
        <v>8</v>
      </c>
      <c r="C1302" t="s">
        <v>14</v>
      </c>
      <c r="D1302">
        <v>45</v>
      </c>
      <c r="E1302" t="s">
        <v>42</v>
      </c>
      <c r="F1302" t="s">
        <v>11</v>
      </c>
      <c r="G1302" t="s">
        <v>12</v>
      </c>
    </row>
    <row r="1303" spans="1:7" x14ac:dyDescent="0.3">
      <c r="A1303" t="s">
        <v>48</v>
      </c>
      <c r="B1303" t="s">
        <v>8</v>
      </c>
      <c r="C1303" t="s">
        <v>15</v>
      </c>
      <c r="D1303">
        <v>0</v>
      </c>
      <c r="E1303" t="s">
        <v>42</v>
      </c>
      <c r="F1303" t="s">
        <v>11</v>
      </c>
      <c r="G1303" t="s">
        <v>12</v>
      </c>
    </row>
    <row r="1304" spans="1:7" x14ac:dyDescent="0.3">
      <c r="A1304" t="s">
        <v>48</v>
      </c>
      <c r="B1304" t="s">
        <v>8</v>
      </c>
      <c r="C1304" t="s">
        <v>16</v>
      </c>
      <c r="D1304">
        <v>36</v>
      </c>
      <c r="E1304" t="s">
        <v>42</v>
      </c>
      <c r="F1304" t="s">
        <v>11</v>
      </c>
      <c r="G1304" t="s">
        <v>12</v>
      </c>
    </row>
    <row r="1305" spans="1:7" x14ac:dyDescent="0.3">
      <c r="A1305" t="s">
        <v>48</v>
      </c>
      <c r="B1305" t="s">
        <v>8</v>
      </c>
      <c r="C1305" t="s">
        <v>17</v>
      </c>
      <c r="D1305">
        <v>1</v>
      </c>
      <c r="E1305" t="s">
        <v>42</v>
      </c>
      <c r="F1305" t="s">
        <v>11</v>
      </c>
      <c r="G1305" t="s">
        <v>12</v>
      </c>
    </row>
    <row r="1306" spans="1:7" x14ac:dyDescent="0.3">
      <c r="A1306" t="s">
        <v>48</v>
      </c>
      <c r="B1306" t="s">
        <v>8</v>
      </c>
      <c r="C1306" t="s">
        <v>18</v>
      </c>
      <c r="D1306">
        <v>0</v>
      </c>
      <c r="E1306" t="s">
        <v>42</v>
      </c>
      <c r="F1306" t="s">
        <v>11</v>
      </c>
      <c r="G1306" t="s">
        <v>12</v>
      </c>
    </row>
    <row r="1307" spans="1:7" x14ac:dyDescent="0.3">
      <c r="A1307" t="s">
        <v>48</v>
      </c>
      <c r="B1307" t="s">
        <v>8</v>
      </c>
      <c r="C1307" t="s">
        <v>19</v>
      </c>
      <c r="D1307">
        <v>0</v>
      </c>
      <c r="E1307" t="s">
        <v>42</v>
      </c>
      <c r="F1307" t="s">
        <v>11</v>
      </c>
      <c r="G1307" t="s">
        <v>12</v>
      </c>
    </row>
    <row r="1308" spans="1:7" x14ac:dyDescent="0.3">
      <c r="A1308" t="s">
        <v>48</v>
      </c>
      <c r="B1308" t="s">
        <v>8</v>
      </c>
      <c r="C1308" t="s">
        <v>20</v>
      </c>
      <c r="D1308">
        <v>0</v>
      </c>
      <c r="E1308" t="s">
        <v>42</v>
      </c>
      <c r="F1308" t="s">
        <v>11</v>
      </c>
      <c r="G1308" t="s">
        <v>12</v>
      </c>
    </row>
    <row r="1309" spans="1:7" x14ac:dyDescent="0.3">
      <c r="A1309" t="s">
        <v>48</v>
      </c>
      <c r="B1309" t="s">
        <v>8</v>
      </c>
      <c r="C1309" t="s">
        <v>21</v>
      </c>
      <c r="D1309">
        <v>0</v>
      </c>
      <c r="E1309" t="s">
        <v>42</v>
      </c>
      <c r="F1309" t="s">
        <v>11</v>
      </c>
      <c r="G1309" t="s">
        <v>12</v>
      </c>
    </row>
    <row r="1310" spans="1:7" x14ac:dyDescent="0.3">
      <c r="A1310" t="s">
        <v>48</v>
      </c>
      <c r="B1310" t="s">
        <v>8</v>
      </c>
      <c r="C1310" t="s">
        <v>22</v>
      </c>
      <c r="D1310">
        <v>0</v>
      </c>
      <c r="E1310" t="s">
        <v>42</v>
      </c>
      <c r="F1310" t="s">
        <v>11</v>
      </c>
      <c r="G1310" t="s">
        <v>12</v>
      </c>
    </row>
    <row r="1311" spans="1:7" x14ac:dyDescent="0.3">
      <c r="A1311" t="s">
        <v>48</v>
      </c>
      <c r="B1311" t="s">
        <v>23</v>
      </c>
      <c r="C1311" t="s">
        <v>9</v>
      </c>
      <c r="D1311">
        <v>0</v>
      </c>
      <c r="E1311" t="s">
        <v>42</v>
      </c>
      <c r="F1311" t="s">
        <v>11</v>
      </c>
      <c r="G1311" t="s">
        <v>12</v>
      </c>
    </row>
    <row r="1312" spans="1:7" x14ac:dyDescent="0.3">
      <c r="A1312" t="s">
        <v>48</v>
      </c>
      <c r="B1312" t="s">
        <v>23</v>
      </c>
      <c r="C1312" t="s">
        <v>13</v>
      </c>
      <c r="D1312">
        <v>0</v>
      </c>
      <c r="E1312" t="s">
        <v>42</v>
      </c>
      <c r="F1312" t="s">
        <v>11</v>
      </c>
      <c r="G1312" t="s">
        <v>12</v>
      </c>
    </row>
    <row r="1313" spans="1:7" x14ac:dyDescent="0.3">
      <c r="A1313" t="s">
        <v>48</v>
      </c>
      <c r="B1313" t="s">
        <v>23</v>
      </c>
      <c r="C1313" t="s">
        <v>14</v>
      </c>
      <c r="D1313">
        <v>434</v>
      </c>
      <c r="E1313" t="s">
        <v>42</v>
      </c>
      <c r="F1313" t="s">
        <v>11</v>
      </c>
      <c r="G1313" t="s">
        <v>12</v>
      </c>
    </row>
    <row r="1314" spans="1:7" x14ac:dyDescent="0.3">
      <c r="A1314" t="s">
        <v>48</v>
      </c>
      <c r="B1314" t="s">
        <v>23</v>
      </c>
      <c r="C1314" t="s">
        <v>15</v>
      </c>
      <c r="D1314">
        <v>1</v>
      </c>
      <c r="E1314" t="s">
        <v>42</v>
      </c>
      <c r="F1314" t="s">
        <v>11</v>
      </c>
      <c r="G1314" t="s">
        <v>12</v>
      </c>
    </row>
    <row r="1315" spans="1:7" x14ac:dyDescent="0.3">
      <c r="A1315" t="s">
        <v>48</v>
      </c>
      <c r="B1315" t="s">
        <v>23</v>
      </c>
      <c r="C1315" t="s">
        <v>16</v>
      </c>
      <c r="D1315">
        <v>148</v>
      </c>
      <c r="E1315" t="s">
        <v>42</v>
      </c>
      <c r="F1315" t="s">
        <v>11</v>
      </c>
      <c r="G1315" t="s">
        <v>12</v>
      </c>
    </row>
    <row r="1316" spans="1:7" x14ac:dyDescent="0.3">
      <c r="A1316" t="s">
        <v>48</v>
      </c>
      <c r="B1316" t="s">
        <v>23</v>
      </c>
      <c r="C1316" t="s">
        <v>17</v>
      </c>
      <c r="D1316">
        <v>0</v>
      </c>
      <c r="E1316" t="s">
        <v>42</v>
      </c>
      <c r="F1316" t="s">
        <v>11</v>
      </c>
      <c r="G1316" t="s">
        <v>12</v>
      </c>
    </row>
    <row r="1317" spans="1:7" x14ac:dyDescent="0.3">
      <c r="A1317" t="s">
        <v>48</v>
      </c>
      <c r="B1317" t="s">
        <v>23</v>
      </c>
      <c r="C1317" t="s">
        <v>18</v>
      </c>
      <c r="D1317">
        <v>0</v>
      </c>
      <c r="E1317" t="s">
        <v>42</v>
      </c>
      <c r="F1317" t="s">
        <v>11</v>
      </c>
      <c r="G1317" t="s">
        <v>12</v>
      </c>
    </row>
    <row r="1318" spans="1:7" x14ac:dyDescent="0.3">
      <c r="A1318" t="s">
        <v>48</v>
      </c>
      <c r="B1318" t="s">
        <v>23</v>
      </c>
      <c r="C1318" t="s">
        <v>19</v>
      </c>
      <c r="D1318">
        <v>1</v>
      </c>
      <c r="E1318" t="s">
        <v>42</v>
      </c>
      <c r="F1318" t="s">
        <v>11</v>
      </c>
      <c r="G1318" t="s">
        <v>12</v>
      </c>
    </row>
    <row r="1319" spans="1:7" x14ac:dyDescent="0.3">
      <c r="A1319" t="s">
        <v>48</v>
      </c>
      <c r="B1319" t="s">
        <v>23</v>
      </c>
      <c r="C1319" t="s">
        <v>20</v>
      </c>
      <c r="D1319">
        <v>2</v>
      </c>
      <c r="E1319" t="s">
        <v>42</v>
      </c>
      <c r="F1319" t="s">
        <v>11</v>
      </c>
      <c r="G1319" t="s">
        <v>12</v>
      </c>
    </row>
    <row r="1320" spans="1:7" x14ac:dyDescent="0.3">
      <c r="A1320" t="s">
        <v>48</v>
      </c>
      <c r="B1320" t="s">
        <v>23</v>
      </c>
      <c r="C1320" t="s">
        <v>21</v>
      </c>
      <c r="D1320">
        <v>0</v>
      </c>
      <c r="E1320" t="s">
        <v>42</v>
      </c>
      <c r="F1320" t="s">
        <v>11</v>
      </c>
      <c r="G1320" t="s">
        <v>12</v>
      </c>
    </row>
    <row r="1321" spans="1:7" x14ac:dyDescent="0.3">
      <c r="A1321" t="s">
        <v>48</v>
      </c>
      <c r="B1321" t="s">
        <v>23</v>
      </c>
      <c r="C1321" t="s">
        <v>22</v>
      </c>
      <c r="D1321">
        <v>0</v>
      </c>
      <c r="E1321" t="s">
        <v>42</v>
      </c>
      <c r="F1321" t="s">
        <v>11</v>
      </c>
      <c r="G1321" t="s">
        <v>12</v>
      </c>
    </row>
    <row r="1322" spans="1:7" x14ac:dyDescent="0.3">
      <c r="A1322" t="s">
        <v>49</v>
      </c>
      <c r="B1322" t="s">
        <v>8</v>
      </c>
      <c r="C1322" t="s">
        <v>9</v>
      </c>
      <c r="D1322">
        <v>19</v>
      </c>
      <c r="E1322" t="s">
        <v>42</v>
      </c>
      <c r="F1322" t="s">
        <v>11</v>
      </c>
      <c r="G1322" t="s">
        <v>12</v>
      </c>
    </row>
    <row r="1323" spans="1:7" x14ac:dyDescent="0.3">
      <c r="A1323" t="s">
        <v>49</v>
      </c>
      <c r="B1323" t="s">
        <v>8</v>
      </c>
      <c r="C1323" t="s">
        <v>13</v>
      </c>
      <c r="D1323">
        <v>2</v>
      </c>
      <c r="E1323" t="s">
        <v>42</v>
      </c>
      <c r="F1323" t="s">
        <v>11</v>
      </c>
      <c r="G1323" t="s">
        <v>12</v>
      </c>
    </row>
    <row r="1324" spans="1:7" x14ac:dyDescent="0.3">
      <c r="A1324" t="s">
        <v>49</v>
      </c>
      <c r="B1324" t="s">
        <v>8</v>
      </c>
      <c r="C1324" t="s">
        <v>14</v>
      </c>
      <c r="D1324">
        <v>2</v>
      </c>
      <c r="E1324" t="s">
        <v>42</v>
      </c>
      <c r="F1324" t="s">
        <v>11</v>
      </c>
      <c r="G1324" t="s">
        <v>12</v>
      </c>
    </row>
    <row r="1325" spans="1:7" x14ac:dyDescent="0.3">
      <c r="A1325" t="s">
        <v>49</v>
      </c>
      <c r="B1325" t="s">
        <v>8</v>
      </c>
      <c r="C1325" t="s">
        <v>15</v>
      </c>
      <c r="D1325">
        <v>0</v>
      </c>
      <c r="E1325" t="s">
        <v>42</v>
      </c>
      <c r="F1325" t="s">
        <v>11</v>
      </c>
      <c r="G1325" t="s">
        <v>12</v>
      </c>
    </row>
    <row r="1326" spans="1:7" x14ac:dyDescent="0.3">
      <c r="A1326" t="s">
        <v>49</v>
      </c>
      <c r="B1326" t="s">
        <v>8</v>
      </c>
      <c r="C1326" t="s">
        <v>16</v>
      </c>
      <c r="D1326">
        <v>4</v>
      </c>
      <c r="E1326" t="s">
        <v>42</v>
      </c>
      <c r="F1326" t="s">
        <v>11</v>
      </c>
      <c r="G1326" t="s">
        <v>12</v>
      </c>
    </row>
    <row r="1327" spans="1:7" x14ac:dyDescent="0.3">
      <c r="A1327" t="s">
        <v>49</v>
      </c>
      <c r="B1327" t="s">
        <v>8</v>
      </c>
      <c r="C1327" t="s">
        <v>17</v>
      </c>
      <c r="D1327">
        <v>19</v>
      </c>
      <c r="E1327" t="s">
        <v>42</v>
      </c>
      <c r="F1327" t="s">
        <v>11</v>
      </c>
      <c r="G1327" t="s">
        <v>12</v>
      </c>
    </row>
    <row r="1328" spans="1:7" x14ac:dyDescent="0.3">
      <c r="A1328" t="s">
        <v>49</v>
      </c>
      <c r="B1328" t="s">
        <v>8</v>
      </c>
      <c r="C1328" t="s">
        <v>18</v>
      </c>
      <c r="D1328">
        <v>0</v>
      </c>
      <c r="E1328" t="s">
        <v>42</v>
      </c>
      <c r="F1328" t="s">
        <v>11</v>
      </c>
      <c r="G1328" t="s">
        <v>12</v>
      </c>
    </row>
    <row r="1329" spans="1:7" x14ac:dyDescent="0.3">
      <c r="A1329" t="s">
        <v>49</v>
      </c>
      <c r="B1329" t="s">
        <v>8</v>
      </c>
      <c r="C1329" t="s">
        <v>19</v>
      </c>
      <c r="D1329">
        <v>1</v>
      </c>
      <c r="E1329" t="s">
        <v>42</v>
      </c>
      <c r="F1329" t="s">
        <v>11</v>
      </c>
      <c r="G1329" t="s">
        <v>12</v>
      </c>
    </row>
    <row r="1330" spans="1:7" x14ac:dyDescent="0.3">
      <c r="A1330" t="s">
        <v>49</v>
      </c>
      <c r="B1330" t="s">
        <v>8</v>
      </c>
      <c r="C1330" t="s">
        <v>20</v>
      </c>
      <c r="D1330">
        <v>0</v>
      </c>
      <c r="E1330" t="s">
        <v>42</v>
      </c>
      <c r="F1330" t="s">
        <v>11</v>
      </c>
      <c r="G1330" t="s">
        <v>12</v>
      </c>
    </row>
    <row r="1331" spans="1:7" x14ac:dyDescent="0.3">
      <c r="A1331" t="s">
        <v>49</v>
      </c>
      <c r="B1331" t="s">
        <v>8</v>
      </c>
      <c r="C1331" t="s">
        <v>21</v>
      </c>
      <c r="D1331">
        <v>3</v>
      </c>
      <c r="E1331" t="s">
        <v>42</v>
      </c>
      <c r="F1331" t="s">
        <v>11</v>
      </c>
      <c r="G1331" t="s">
        <v>12</v>
      </c>
    </row>
    <row r="1332" spans="1:7" x14ac:dyDescent="0.3">
      <c r="A1332" t="s">
        <v>49</v>
      </c>
      <c r="B1332" t="s">
        <v>8</v>
      </c>
      <c r="C1332" t="s">
        <v>22</v>
      </c>
      <c r="D1332">
        <v>6</v>
      </c>
      <c r="E1332" t="s">
        <v>42</v>
      </c>
      <c r="F1332" t="s">
        <v>11</v>
      </c>
      <c r="G1332" t="s">
        <v>12</v>
      </c>
    </row>
    <row r="1333" spans="1:7" x14ac:dyDescent="0.3">
      <c r="A1333" t="s">
        <v>49</v>
      </c>
      <c r="B1333" t="s">
        <v>23</v>
      </c>
      <c r="C1333" t="s">
        <v>9</v>
      </c>
      <c r="D1333">
        <v>307</v>
      </c>
      <c r="E1333" t="s">
        <v>42</v>
      </c>
      <c r="F1333" t="s">
        <v>11</v>
      </c>
      <c r="G1333" t="s">
        <v>12</v>
      </c>
    </row>
    <row r="1334" spans="1:7" x14ac:dyDescent="0.3">
      <c r="A1334" t="s">
        <v>49</v>
      </c>
      <c r="B1334" t="s">
        <v>23</v>
      </c>
      <c r="C1334" t="s">
        <v>13</v>
      </c>
      <c r="D1334">
        <v>14</v>
      </c>
      <c r="E1334" t="s">
        <v>42</v>
      </c>
      <c r="F1334" t="s">
        <v>11</v>
      </c>
      <c r="G1334" t="s">
        <v>12</v>
      </c>
    </row>
    <row r="1335" spans="1:7" x14ac:dyDescent="0.3">
      <c r="A1335" t="s">
        <v>49</v>
      </c>
      <c r="B1335" t="s">
        <v>23</v>
      </c>
      <c r="C1335" t="s">
        <v>14</v>
      </c>
      <c r="D1335">
        <v>166</v>
      </c>
      <c r="E1335" t="s">
        <v>42</v>
      </c>
      <c r="F1335" t="s">
        <v>11</v>
      </c>
      <c r="G1335" t="s">
        <v>12</v>
      </c>
    </row>
    <row r="1336" spans="1:7" x14ac:dyDescent="0.3">
      <c r="A1336" t="s">
        <v>49</v>
      </c>
      <c r="B1336" t="s">
        <v>23</v>
      </c>
      <c r="C1336" t="s">
        <v>15</v>
      </c>
      <c r="D1336">
        <v>3</v>
      </c>
      <c r="E1336" t="s">
        <v>42</v>
      </c>
      <c r="F1336" t="s">
        <v>11</v>
      </c>
      <c r="G1336" t="s">
        <v>12</v>
      </c>
    </row>
    <row r="1337" spans="1:7" x14ac:dyDescent="0.3">
      <c r="A1337" t="s">
        <v>49</v>
      </c>
      <c r="B1337" t="s">
        <v>23</v>
      </c>
      <c r="C1337" t="s">
        <v>16</v>
      </c>
      <c r="D1337">
        <v>86</v>
      </c>
      <c r="E1337" t="s">
        <v>42</v>
      </c>
      <c r="F1337" t="s">
        <v>11</v>
      </c>
      <c r="G1337" t="s">
        <v>12</v>
      </c>
    </row>
    <row r="1338" spans="1:7" x14ac:dyDescent="0.3">
      <c r="A1338" t="s">
        <v>49</v>
      </c>
      <c r="B1338" t="s">
        <v>23</v>
      </c>
      <c r="C1338" t="s">
        <v>17</v>
      </c>
      <c r="D1338">
        <v>15</v>
      </c>
      <c r="E1338" t="s">
        <v>42</v>
      </c>
      <c r="F1338" t="s">
        <v>11</v>
      </c>
      <c r="G1338" t="s">
        <v>12</v>
      </c>
    </row>
    <row r="1339" spans="1:7" x14ac:dyDescent="0.3">
      <c r="A1339" t="s">
        <v>49</v>
      </c>
      <c r="B1339" t="s">
        <v>23</v>
      </c>
      <c r="C1339" t="s">
        <v>18</v>
      </c>
      <c r="D1339">
        <v>0</v>
      </c>
      <c r="E1339" t="s">
        <v>42</v>
      </c>
      <c r="F1339" t="s">
        <v>11</v>
      </c>
      <c r="G1339" t="s">
        <v>12</v>
      </c>
    </row>
    <row r="1340" spans="1:7" x14ac:dyDescent="0.3">
      <c r="A1340" t="s">
        <v>49</v>
      </c>
      <c r="B1340" t="s">
        <v>23</v>
      </c>
      <c r="C1340" t="s">
        <v>19</v>
      </c>
      <c r="D1340">
        <v>6</v>
      </c>
      <c r="E1340" t="s">
        <v>42</v>
      </c>
      <c r="F1340" t="s">
        <v>11</v>
      </c>
      <c r="G1340" t="s">
        <v>12</v>
      </c>
    </row>
    <row r="1341" spans="1:7" x14ac:dyDescent="0.3">
      <c r="A1341" t="s">
        <v>49</v>
      </c>
      <c r="B1341" t="s">
        <v>23</v>
      </c>
      <c r="C1341" t="s">
        <v>20</v>
      </c>
      <c r="D1341">
        <v>10</v>
      </c>
      <c r="E1341" t="s">
        <v>42</v>
      </c>
      <c r="F1341" t="s">
        <v>11</v>
      </c>
      <c r="G1341" t="s">
        <v>12</v>
      </c>
    </row>
    <row r="1342" spans="1:7" x14ac:dyDescent="0.3">
      <c r="A1342" t="s">
        <v>49</v>
      </c>
      <c r="B1342" t="s">
        <v>23</v>
      </c>
      <c r="C1342" t="s">
        <v>21</v>
      </c>
      <c r="D1342">
        <v>3</v>
      </c>
      <c r="E1342" t="s">
        <v>42</v>
      </c>
      <c r="F1342" t="s">
        <v>11</v>
      </c>
      <c r="G1342" t="s">
        <v>12</v>
      </c>
    </row>
    <row r="1343" spans="1:7" x14ac:dyDescent="0.3">
      <c r="A1343" t="s">
        <v>49</v>
      </c>
      <c r="B1343" t="s">
        <v>23</v>
      </c>
      <c r="C1343" t="s">
        <v>22</v>
      </c>
      <c r="D1343">
        <v>4</v>
      </c>
      <c r="E1343" t="s">
        <v>42</v>
      </c>
      <c r="F1343" t="s">
        <v>11</v>
      </c>
      <c r="G1343" t="s">
        <v>12</v>
      </c>
    </row>
    <row r="1344" spans="1:7" x14ac:dyDescent="0.3">
      <c r="A1344" t="s">
        <v>27</v>
      </c>
      <c r="B1344" t="s">
        <v>8</v>
      </c>
      <c r="C1344" t="s">
        <v>9</v>
      </c>
      <c r="D1344">
        <v>1</v>
      </c>
      <c r="E1344" t="s">
        <v>42</v>
      </c>
      <c r="F1344" t="s">
        <v>11</v>
      </c>
      <c r="G1344" t="s">
        <v>12</v>
      </c>
    </row>
    <row r="1345" spans="1:7" x14ac:dyDescent="0.3">
      <c r="A1345" t="s">
        <v>27</v>
      </c>
      <c r="B1345" t="s">
        <v>8</v>
      </c>
      <c r="C1345" t="s">
        <v>13</v>
      </c>
      <c r="D1345">
        <v>0</v>
      </c>
      <c r="E1345" t="s">
        <v>42</v>
      </c>
      <c r="F1345" t="s">
        <v>11</v>
      </c>
      <c r="G1345" t="s">
        <v>12</v>
      </c>
    </row>
    <row r="1346" spans="1:7" x14ac:dyDescent="0.3">
      <c r="A1346" t="s">
        <v>27</v>
      </c>
      <c r="B1346" t="s">
        <v>8</v>
      </c>
      <c r="C1346" t="s">
        <v>14</v>
      </c>
      <c r="D1346">
        <v>139</v>
      </c>
      <c r="E1346" t="s">
        <v>42</v>
      </c>
      <c r="F1346" t="s">
        <v>11</v>
      </c>
      <c r="G1346" t="s">
        <v>12</v>
      </c>
    </row>
    <row r="1347" spans="1:7" x14ac:dyDescent="0.3">
      <c r="A1347" t="s">
        <v>27</v>
      </c>
      <c r="B1347" t="s">
        <v>8</v>
      </c>
      <c r="C1347" t="s">
        <v>15</v>
      </c>
      <c r="D1347">
        <v>0</v>
      </c>
      <c r="E1347" t="s">
        <v>42</v>
      </c>
      <c r="F1347" t="s">
        <v>11</v>
      </c>
      <c r="G1347" t="s">
        <v>12</v>
      </c>
    </row>
    <row r="1348" spans="1:7" x14ac:dyDescent="0.3">
      <c r="A1348" t="s">
        <v>27</v>
      </c>
      <c r="B1348" t="s">
        <v>8</v>
      </c>
      <c r="C1348" t="s">
        <v>16</v>
      </c>
      <c r="D1348">
        <v>481</v>
      </c>
      <c r="E1348" t="s">
        <v>42</v>
      </c>
      <c r="F1348" t="s">
        <v>11</v>
      </c>
      <c r="G1348" t="s">
        <v>12</v>
      </c>
    </row>
    <row r="1349" spans="1:7" x14ac:dyDescent="0.3">
      <c r="A1349" t="s">
        <v>27</v>
      </c>
      <c r="B1349" t="s">
        <v>8</v>
      </c>
      <c r="C1349" t="s">
        <v>17</v>
      </c>
      <c r="D1349">
        <v>12</v>
      </c>
      <c r="E1349" t="s">
        <v>42</v>
      </c>
      <c r="F1349" t="s">
        <v>11</v>
      </c>
      <c r="G1349" t="s">
        <v>12</v>
      </c>
    </row>
    <row r="1350" spans="1:7" x14ac:dyDescent="0.3">
      <c r="A1350" t="s">
        <v>27</v>
      </c>
      <c r="B1350" t="s">
        <v>8</v>
      </c>
      <c r="C1350" t="s">
        <v>18</v>
      </c>
      <c r="D1350">
        <v>0</v>
      </c>
      <c r="E1350" t="s">
        <v>42</v>
      </c>
      <c r="F1350" t="s">
        <v>11</v>
      </c>
      <c r="G1350" t="s">
        <v>12</v>
      </c>
    </row>
    <row r="1351" spans="1:7" x14ac:dyDescent="0.3">
      <c r="A1351" t="s">
        <v>27</v>
      </c>
      <c r="B1351" t="s">
        <v>8</v>
      </c>
      <c r="C1351" t="s">
        <v>19</v>
      </c>
      <c r="D1351">
        <v>0</v>
      </c>
      <c r="E1351" t="s">
        <v>42</v>
      </c>
      <c r="F1351" t="s">
        <v>11</v>
      </c>
      <c r="G1351" t="s">
        <v>12</v>
      </c>
    </row>
    <row r="1352" spans="1:7" x14ac:dyDescent="0.3">
      <c r="A1352" t="s">
        <v>27</v>
      </c>
      <c r="B1352" t="s">
        <v>8</v>
      </c>
      <c r="C1352" t="s">
        <v>20</v>
      </c>
      <c r="D1352">
        <v>0</v>
      </c>
      <c r="E1352" t="s">
        <v>42</v>
      </c>
      <c r="F1352" t="s">
        <v>11</v>
      </c>
      <c r="G1352" t="s">
        <v>12</v>
      </c>
    </row>
    <row r="1353" spans="1:7" x14ac:dyDescent="0.3">
      <c r="A1353" t="s">
        <v>27</v>
      </c>
      <c r="B1353" t="s">
        <v>8</v>
      </c>
      <c r="C1353" t="s">
        <v>21</v>
      </c>
      <c r="D1353">
        <v>0</v>
      </c>
      <c r="E1353" t="s">
        <v>42</v>
      </c>
      <c r="F1353" t="s">
        <v>11</v>
      </c>
      <c r="G1353" t="s">
        <v>12</v>
      </c>
    </row>
    <row r="1354" spans="1:7" x14ac:dyDescent="0.3">
      <c r="A1354" t="s">
        <v>27</v>
      </c>
      <c r="B1354" t="s">
        <v>8</v>
      </c>
      <c r="C1354" t="s">
        <v>22</v>
      </c>
      <c r="D1354">
        <v>18</v>
      </c>
      <c r="E1354" t="s">
        <v>42</v>
      </c>
      <c r="F1354" t="s">
        <v>11</v>
      </c>
      <c r="G1354" t="s">
        <v>12</v>
      </c>
    </row>
    <row r="1355" spans="1:7" x14ac:dyDescent="0.3">
      <c r="A1355" t="s">
        <v>27</v>
      </c>
      <c r="B1355" t="s">
        <v>23</v>
      </c>
      <c r="C1355" t="s">
        <v>9</v>
      </c>
      <c r="D1355">
        <v>5</v>
      </c>
      <c r="E1355" t="s">
        <v>42</v>
      </c>
      <c r="F1355" t="s">
        <v>11</v>
      </c>
      <c r="G1355" t="s">
        <v>12</v>
      </c>
    </row>
    <row r="1356" spans="1:7" x14ac:dyDescent="0.3">
      <c r="A1356" t="s">
        <v>27</v>
      </c>
      <c r="B1356" t="s">
        <v>23</v>
      </c>
      <c r="C1356" t="s">
        <v>13</v>
      </c>
      <c r="D1356">
        <v>59</v>
      </c>
      <c r="E1356" t="s">
        <v>42</v>
      </c>
      <c r="F1356" t="s">
        <v>11</v>
      </c>
      <c r="G1356" t="s">
        <v>12</v>
      </c>
    </row>
    <row r="1357" spans="1:7" x14ac:dyDescent="0.3">
      <c r="A1357" t="s">
        <v>27</v>
      </c>
      <c r="B1357" t="s">
        <v>23</v>
      </c>
      <c r="C1357" t="s">
        <v>14</v>
      </c>
      <c r="D1357">
        <v>1252</v>
      </c>
      <c r="E1357" t="s">
        <v>42</v>
      </c>
      <c r="F1357" t="s">
        <v>11</v>
      </c>
      <c r="G1357" t="s">
        <v>12</v>
      </c>
    </row>
    <row r="1358" spans="1:7" x14ac:dyDescent="0.3">
      <c r="A1358" t="s">
        <v>27</v>
      </c>
      <c r="B1358" t="s">
        <v>23</v>
      </c>
      <c r="C1358" t="s">
        <v>15</v>
      </c>
      <c r="D1358">
        <v>7</v>
      </c>
      <c r="E1358" t="s">
        <v>42</v>
      </c>
      <c r="F1358" t="s">
        <v>11</v>
      </c>
      <c r="G1358" t="s">
        <v>12</v>
      </c>
    </row>
    <row r="1359" spans="1:7" x14ac:dyDescent="0.3">
      <c r="A1359" t="s">
        <v>27</v>
      </c>
      <c r="B1359" t="s">
        <v>23</v>
      </c>
      <c r="C1359" t="s">
        <v>16</v>
      </c>
      <c r="D1359">
        <v>1443</v>
      </c>
      <c r="E1359" t="s">
        <v>42</v>
      </c>
      <c r="F1359" t="s">
        <v>11</v>
      </c>
      <c r="G1359" t="s">
        <v>12</v>
      </c>
    </row>
    <row r="1360" spans="1:7" x14ac:dyDescent="0.3">
      <c r="A1360" t="s">
        <v>27</v>
      </c>
      <c r="B1360" t="s">
        <v>23</v>
      </c>
      <c r="C1360" t="s">
        <v>17</v>
      </c>
      <c r="D1360">
        <v>3</v>
      </c>
      <c r="E1360" t="s">
        <v>42</v>
      </c>
      <c r="F1360" t="s">
        <v>11</v>
      </c>
      <c r="G1360" t="s">
        <v>12</v>
      </c>
    </row>
    <row r="1361" spans="1:7" x14ac:dyDescent="0.3">
      <c r="A1361" t="s">
        <v>27</v>
      </c>
      <c r="B1361" t="s">
        <v>23</v>
      </c>
      <c r="C1361" t="s">
        <v>18</v>
      </c>
      <c r="D1361">
        <v>0</v>
      </c>
      <c r="E1361" t="s">
        <v>42</v>
      </c>
      <c r="F1361" t="s">
        <v>11</v>
      </c>
      <c r="G1361" t="s">
        <v>12</v>
      </c>
    </row>
    <row r="1362" spans="1:7" x14ac:dyDescent="0.3">
      <c r="A1362" t="s">
        <v>27</v>
      </c>
      <c r="B1362" t="s">
        <v>23</v>
      </c>
      <c r="C1362" t="s">
        <v>19</v>
      </c>
      <c r="D1362">
        <v>12</v>
      </c>
      <c r="E1362" t="s">
        <v>42</v>
      </c>
      <c r="F1362" t="s">
        <v>11</v>
      </c>
      <c r="G1362" t="s">
        <v>12</v>
      </c>
    </row>
    <row r="1363" spans="1:7" x14ac:dyDescent="0.3">
      <c r="A1363" t="s">
        <v>27</v>
      </c>
      <c r="B1363" t="s">
        <v>23</v>
      </c>
      <c r="C1363" t="s">
        <v>20</v>
      </c>
      <c r="D1363">
        <v>19</v>
      </c>
      <c r="E1363" t="s">
        <v>42</v>
      </c>
      <c r="F1363" t="s">
        <v>11</v>
      </c>
      <c r="G1363" t="s">
        <v>12</v>
      </c>
    </row>
    <row r="1364" spans="1:7" x14ac:dyDescent="0.3">
      <c r="A1364" t="s">
        <v>27</v>
      </c>
      <c r="B1364" t="s">
        <v>23</v>
      </c>
      <c r="C1364" t="s">
        <v>21</v>
      </c>
      <c r="D1364">
        <v>4</v>
      </c>
      <c r="E1364" t="s">
        <v>42</v>
      </c>
      <c r="F1364" t="s">
        <v>11</v>
      </c>
      <c r="G1364" t="s">
        <v>12</v>
      </c>
    </row>
    <row r="1365" spans="1:7" x14ac:dyDescent="0.3">
      <c r="A1365" t="s">
        <v>27</v>
      </c>
      <c r="B1365" t="s">
        <v>23</v>
      </c>
      <c r="C1365" t="s">
        <v>22</v>
      </c>
      <c r="D1365">
        <v>233</v>
      </c>
      <c r="E1365" t="s">
        <v>42</v>
      </c>
      <c r="F1365" t="s">
        <v>11</v>
      </c>
      <c r="G1365" t="s">
        <v>12</v>
      </c>
    </row>
    <row r="1366" spans="1:7" x14ac:dyDescent="0.3">
      <c r="A1366" t="s">
        <v>50</v>
      </c>
      <c r="B1366" t="s">
        <v>8</v>
      </c>
      <c r="C1366" t="s">
        <v>9</v>
      </c>
      <c r="D1366">
        <v>0</v>
      </c>
      <c r="E1366" t="s">
        <v>42</v>
      </c>
      <c r="F1366" t="s">
        <v>11</v>
      </c>
      <c r="G1366" t="s">
        <v>12</v>
      </c>
    </row>
    <row r="1367" spans="1:7" x14ac:dyDescent="0.3">
      <c r="A1367" t="s">
        <v>50</v>
      </c>
      <c r="B1367" t="s">
        <v>8</v>
      </c>
      <c r="C1367" t="s">
        <v>13</v>
      </c>
      <c r="D1367">
        <v>0</v>
      </c>
      <c r="E1367" t="s">
        <v>42</v>
      </c>
      <c r="F1367" t="s">
        <v>11</v>
      </c>
      <c r="G1367" t="s">
        <v>12</v>
      </c>
    </row>
    <row r="1368" spans="1:7" x14ac:dyDescent="0.3">
      <c r="A1368" t="s">
        <v>50</v>
      </c>
      <c r="B1368" t="s">
        <v>8</v>
      </c>
      <c r="C1368" t="s">
        <v>14</v>
      </c>
      <c r="D1368">
        <v>6</v>
      </c>
      <c r="E1368" t="s">
        <v>42</v>
      </c>
      <c r="F1368" t="s">
        <v>11</v>
      </c>
      <c r="G1368" t="s">
        <v>12</v>
      </c>
    </row>
    <row r="1369" spans="1:7" x14ac:dyDescent="0.3">
      <c r="A1369" t="s">
        <v>50</v>
      </c>
      <c r="B1369" t="s">
        <v>8</v>
      </c>
      <c r="C1369" t="s">
        <v>15</v>
      </c>
      <c r="D1369">
        <v>0</v>
      </c>
      <c r="E1369" t="s">
        <v>42</v>
      </c>
      <c r="F1369" t="s">
        <v>11</v>
      </c>
      <c r="G1369" t="s">
        <v>12</v>
      </c>
    </row>
    <row r="1370" spans="1:7" x14ac:dyDescent="0.3">
      <c r="A1370" t="s">
        <v>50</v>
      </c>
      <c r="B1370" t="s">
        <v>8</v>
      </c>
      <c r="C1370" t="s">
        <v>16</v>
      </c>
      <c r="D1370">
        <v>178</v>
      </c>
      <c r="E1370" t="s">
        <v>42</v>
      </c>
      <c r="F1370" t="s">
        <v>11</v>
      </c>
      <c r="G1370" t="s">
        <v>12</v>
      </c>
    </row>
    <row r="1371" spans="1:7" x14ac:dyDescent="0.3">
      <c r="A1371" t="s">
        <v>50</v>
      </c>
      <c r="B1371" t="s">
        <v>8</v>
      </c>
      <c r="C1371" t="s">
        <v>17</v>
      </c>
      <c r="D1371">
        <v>4</v>
      </c>
      <c r="E1371" t="s">
        <v>42</v>
      </c>
      <c r="F1371" t="s">
        <v>11</v>
      </c>
      <c r="G1371" t="s">
        <v>12</v>
      </c>
    </row>
    <row r="1372" spans="1:7" x14ac:dyDescent="0.3">
      <c r="A1372" t="s">
        <v>50</v>
      </c>
      <c r="B1372" t="s">
        <v>8</v>
      </c>
      <c r="C1372" t="s">
        <v>18</v>
      </c>
      <c r="D1372">
        <v>0</v>
      </c>
      <c r="E1372" t="s">
        <v>42</v>
      </c>
      <c r="F1372" t="s">
        <v>11</v>
      </c>
      <c r="G1372" t="s">
        <v>12</v>
      </c>
    </row>
    <row r="1373" spans="1:7" x14ac:dyDescent="0.3">
      <c r="A1373" t="s">
        <v>50</v>
      </c>
      <c r="B1373" t="s">
        <v>8</v>
      </c>
      <c r="C1373" t="s">
        <v>19</v>
      </c>
      <c r="D1373">
        <v>0</v>
      </c>
      <c r="E1373" t="s">
        <v>42</v>
      </c>
      <c r="F1373" t="s">
        <v>11</v>
      </c>
      <c r="G1373" t="s">
        <v>12</v>
      </c>
    </row>
    <row r="1374" spans="1:7" x14ac:dyDescent="0.3">
      <c r="A1374" t="s">
        <v>50</v>
      </c>
      <c r="B1374" t="s">
        <v>8</v>
      </c>
      <c r="C1374" t="s">
        <v>20</v>
      </c>
      <c r="D1374">
        <v>0</v>
      </c>
      <c r="E1374" t="s">
        <v>42</v>
      </c>
      <c r="F1374" t="s">
        <v>11</v>
      </c>
      <c r="G1374" t="s">
        <v>12</v>
      </c>
    </row>
    <row r="1375" spans="1:7" x14ac:dyDescent="0.3">
      <c r="A1375" t="s">
        <v>50</v>
      </c>
      <c r="B1375" t="s">
        <v>8</v>
      </c>
      <c r="C1375" t="s">
        <v>21</v>
      </c>
      <c r="D1375">
        <v>0</v>
      </c>
      <c r="E1375" t="s">
        <v>42</v>
      </c>
      <c r="F1375" t="s">
        <v>11</v>
      </c>
      <c r="G1375" t="s">
        <v>12</v>
      </c>
    </row>
    <row r="1376" spans="1:7" x14ac:dyDescent="0.3">
      <c r="A1376" t="s">
        <v>50</v>
      </c>
      <c r="B1376" t="s">
        <v>8</v>
      </c>
      <c r="C1376" t="s">
        <v>22</v>
      </c>
      <c r="D1376">
        <v>0</v>
      </c>
      <c r="E1376" t="s">
        <v>42</v>
      </c>
      <c r="F1376" t="s">
        <v>11</v>
      </c>
      <c r="G1376" t="s">
        <v>12</v>
      </c>
    </row>
    <row r="1377" spans="1:7" x14ac:dyDescent="0.3">
      <c r="A1377" t="s">
        <v>50</v>
      </c>
      <c r="B1377" t="s">
        <v>23</v>
      </c>
      <c r="C1377" t="s">
        <v>9</v>
      </c>
      <c r="D1377">
        <v>0</v>
      </c>
      <c r="E1377" t="s">
        <v>42</v>
      </c>
      <c r="F1377" t="s">
        <v>11</v>
      </c>
      <c r="G1377" t="s">
        <v>12</v>
      </c>
    </row>
    <row r="1378" spans="1:7" x14ac:dyDescent="0.3">
      <c r="A1378" t="s">
        <v>50</v>
      </c>
      <c r="B1378" t="s">
        <v>23</v>
      </c>
      <c r="C1378" t="s">
        <v>13</v>
      </c>
      <c r="D1378">
        <v>0</v>
      </c>
      <c r="E1378" t="s">
        <v>42</v>
      </c>
      <c r="F1378" t="s">
        <v>11</v>
      </c>
      <c r="G1378" t="s">
        <v>12</v>
      </c>
    </row>
    <row r="1379" spans="1:7" x14ac:dyDescent="0.3">
      <c r="A1379" t="s">
        <v>50</v>
      </c>
      <c r="B1379" t="s">
        <v>23</v>
      </c>
      <c r="C1379" t="s">
        <v>14</v>
      </c>
      <c r="D1379">
        <v>2</v>
      </c>
      <c r="E1379" t="s">
        <v>42</v>
      </c>
      <c r="F1379" t="s">
        <v>11</v>
      </c>
      <c r="G1379" t="s">
        <v>12</v>
      </c>
    </row>
    <row r="1380" spans="1:7" x14ac:dyDescent="0.3">
      <c r="A1380" t="s">
        <v>50</v>
      </c>
      <c r="B1380" t="s">
        <v>23</v>
      </c>
      <c r="C1380" t="s">
        <v>15</v>
      </c>
      <c r="D1380">
        <v>0</v>
      </c>
      <c r="E1380" t="s">
        <v>42</v>
      </c>
      <c r="F1380" t="s">
        <v>11</v>
      </c>
      <c r="G1380" t="s">
        <v>12</v>
      </c>
    </row>
    <row r="1381" spans="1:7" x14ac:dyDescent="0.3">
      <c r="A1381" t="s">
        <v>50</v>
      </c>
      <c r="B1381" t="s">
        <v>23</v>
      </c>
      <c r="C1381" t="s">
        <v>16</v>
      </c>
      <c r="D1381">
        <v>475</v>
      </c>
      <c r="E1381" t="s">
        <v>42</v>
      </c>
      <c r="F1381" t="s">
        <v>11</v>
      </c>
      <c r="G1381" t="s">
        <v>12</v>
      </c>
    </row>
    <row r="1382" spans="1:7" x14ac:dyDescent="0.3">
      <c r="A1382" t="s">
        <v>50</v>
      </c>
      <c r="B1382" t="s">
        <v>23</v>
      </c>
      <c r="C1382" t="s">
        <v>17</v>
      </c>
      <c r="D1382">
        <v>0</v>
      </c>
      <c r="E1382" t="s">
        <v>42</v>
      </c>
      <c r="F1382" t="s">
        <v>11</v>
      </c>
      <c r="G1382" t="s">
        <v>12</v>
      </c>
    </row>
    <row r="1383" spans="1:7" x14ac:dyDescent="0.3">
      <c r="A1383" t="s">
        <v>50</v>
      </c>
      <c r="B1383" t="s">
        <v>23</v>
      </c>
      <c r="C1383" t="s">
        <v>18</v>
      </c>
      <c r="D1383">
        <v>0</v>
      </c>
      <c r="E1383" t="s">
        <v>42</v>
      </c>
      <c r="F1383" t="s">
        <v>11</v>
      </c>
      <c r="G1383" t="s">
        <v>12</v>
      </c>
    </row>
    <row r="1384" spans="1:7" x14ac:dyDescent="0.3">
      <c r="A1384" t="s">
        <v>50</v>
      </c>
      <c r="B1384" t="s">
        <v>23</v>
      </c>
      <c r="C1384" t="s">
        <v>19</v>
      </c>
      <c r="D1384">
        <v>0</v>
      </c>
      <c r="E1384" t="s">
        <v>42</v>
      </c>
      <c r="F1384" t="s">
        <v>11</v>
      </c>
      <c r="G1384" t="s">
        <v>12</v>
      </c>
    </row>
    <row r="1385" spans="1:7" x14ac:dyDescent="0.3">
      <c r="A1385" t="s">
        <v>50</v>
      </c>
      <c r="B1385" t="s">
        <v>23</v>
      </c>
      <c r="C1385" t="s">
        <v>20</v>
      </c>
      <c r="D1385">
        <v>5</v>
      </c>
      <c r="E1385" t="s">
        <v>42</v>
      </c>
      <c r="F1385" t="s">
        <v>11</v>
      </c>
      <c r="G1385" t="s">
        <v>12</v>
      </c>
    </row>
    <row r="1386" spans="1:7" x14ac:dyDescent="0.3">
      <c r="A1386" t="s">
        <v>50</v>
      </c>
      <c r="B1386" t="s">
        <v>23</v>
      </c>
      <c r="C1386" t="s">
        <v>21</v>
      </c>
      <c r="D1386">
        <v>0</v>
      </c>
      <c r="E1386" t="s">
        <v>42</v>
      </c>
      <c r="F1386" t="s">
        <v>11</v>
      </c>
      <c r="G1386" t="s">
        <v>12</v>
      </c>
    </row>
    <row r="1387" spans="1:7" x14ac:dyDescent="0.3">
      <c r="A1387" t="s">
        <v>50</v>
      </c>
      <c r="B1387" t="s">
        <v>23</v>
      </c>
      <c r="C1387" t="s">
        <v>22</v>
      </c>
      <c r="D1387">
        <v>0</v>
      </c>
      <c r="E1387" t="s">
        <v>42</v>
      </c>
      <c r="F1387" t="s">
        <v>11</v>
      </c>
      <c r="G1387" t="s">
        <v>12</v>
      </c>
    </row>
    <row r="1388" spans="1:7" x14ac:dyDescent="0.3">
      <c r="A1388" t="s">
        <v>51</v>
      </c>
      <c r="B1388" t="s">
        <v>8</v>
      </c>
      <c r="C1388" t="s">
        <v>9</v>
      </c>
      <c r="D1388">
        <v>0</v>
      </c>
      <c r="E1388" t="s">
        <v>42</v>
      </c>
      <c r="F1388" t="s">
        <v>11</v>
      </c>
      <c r="G1388" t="s">
        <v>12</v>
      </c>
    </row>
    <row r="1389" spans="1:7" x14ac:dyDescent="0.3">
      <c r="A1389" t="s">
        <v>51</v>
      </c>
      <c r="B1389" t="s">
        <v>8</v>
      </c>
      <c r="C1389" t="s">
        <v>13</v>
      </c>
      <c r="D1389">
        <v>20</v>
      </c>
      <c r="E1389" t="s">
        <v>42</v>
      </c>
      <c r="F1389" t="s">
        <v>11</v>
      </c>
      <c r="G1389" t="s">
        <v>12</v>
      </c>
    </row>
    <row r="1390" spans="1:7" x14ac:dyDescent="0.3">
      <c r="A1390" t="s">
        <v>51</v>
      </c>
      <c r="B1390" t="s">
        <v>8</v>
      </c>
      <c r="C1390" t="s">
        <v>14</v>
      </c>
      <c r="D1390">
        <v>0</v>
      </c>
      <c r="E1390" t="s">
        <v>42</v>
      </c>
      <c r="F1390" t="s">
        <v>11</v>
      </c>
      <c r="G1390" t="s">
        <v>12</v>
      </c>
    </row>
    <row r="1391" spans="1:7" x14ac:dyDescent="0.3">
      <c r="A1391" t="s">
        <v>51</v>
      </c>
      <c r="B1391" t="s">
        <v>8</v>
      </c>
      <c r="C1391" t="s">
        <v>15</v>
      </c>
      <c r="D1391">
        <v>0</v>
      </c>
      <c r="E1391" t="s">
        <v>42</v>
      </c>
      <c r="F1391" t="s">
        <v>11</v>
      </c>
      <c r="G1391" t="s">
        <v>12</v>
      </c>
    </row>
    <row r="1392" spans="1:7" x14ac:dyDescent="0.3">
      <c r="A1392" t="s">
        <v>51</v>
      </c>
      <c r="B1392" t="s">
        <v>8</v>
      </c>
      <c r="C1392" t="s">
        <v>16</v>
      </c>
      <c r="D1392">
        <v>0</v>
      </c>
      <c r="E1392" t="s">
        <v>42</v>
      </c>
      <c r="F1392" t="s">
        <v>11</v>
      </c>
      <c r="G1392" t="s">
        <v>12</v>
      </c>
    </row>
    <row r="1393" spans="1:7" x14ac:dyDescent="0.3">
      <c r="A1393" t="s">
        <v>51</v>
      </c>
      <c r="B1393" t="s">
        <v>8</v>
      </c>
      <c r="C1393" t="s">
        <v>17</v>
      </c>
      <c r="D1393">
        <v>0</v>
      </c>
      <c r="E1393" t="s">
        <v>42</v>
      </c>
      <c r="F1393" t="s">
        <v>11</v>
      </c>
      <c r="G1393" t="s">
        <v>12</v>
      </c>
    </row>
    <row r="1394" spans="1:7" x14ac:dyDescent="0.3">
      <c r="A1394" t="s">
        <v>51</v>
      </c>
      <c r="B1394" t="s">
        <v>8</v>
      </c>
      <c r="C1394" t="s">
        <v>18</v>
      </c>
      <c r="D1394">
        <v>0</v>
      </c>
      <c r="E1394" t="s">
        <v>42</v>
      </c>
      <c r="F1394" t="s">
        <v>11</v>
      </c>
      <c r="G1394" t="s">
        <v>12</v>
      </c>
    </row>
    <row r="1395" spans="1:7" x14ac:dyDescent="0.3">
      <c r="A1395" t="s">
        <v>51</v>
      </c>
      <c r="B1395" t="s">
        <v>8</v>
      </c>
      <c r="C1395" t="s">
        <v>19</v>
      </c>
      <c r="D1395">
        <v>0</v>
      </c>
      <c r="E1395" t="s">
        <v>42</v>
      </c>
      <c r="F1395" t="s">
        <v>11</v>
      </c>
      <c r="G1395" t="s">
        <v>12</v>
      </c>
    </row>
    <row r="1396" spans="1:7" x14ac:dyDescent="0.3">
      <c r="A1396" t="s">
        <v>51</v>
      </c>
      <c r="B1396" t="s">
        <v>8</v>
      </c>
      <c r="C1396" t="s">
        <v>20</v>
      </c>
      <c r="D1396">
        <v>0</v>
      </c>
      <c r="E1396" t="s">
        <v>42</v>
      </c>
      <c r="F1396" t="s">
        <v>11</v>
      </c>
      <c r="G1396" t="s">
        <v>12</v>
      </c>
    </row>
    <row r="1397" spans="1:7" x14ac:dyDescent="0.3">
      <c r="A1397" t="s">
        <v>51</v>
      </c>
      <c r="B1397" t="s">
        <v>8</v>
      </c>
      <c r="C1397" t="s">
        <v>21</v>
      </c>
      <c r="D1397">
        <v>0</v>
      </c>
      <c r="E1397" t="s">
        <v>42</v>
      </c>
      <c r="F1397" t="s">
        <v>11</v>
      </c>
      <c r="G1397" t="s">
        <v>12</v>
      </c>
    </row>
    <row r="1398" spans="1:7" x14ac:dyDescent="0.3">
      <c r="A1398" t="s">
        <v>51</v>
      </c>
      <c r="B1398" t="s">
        <v>8</v>
      </c>
      <c r="C1398" t="s">
        <v>22</v>
      </c>
      <c r="D1398">
        <v>0</v>
      </c>
      <c r="E1398" t="s">
        <v>42</v>
      </c>
      <c r="F1398" t="s">
        <v>11</v>
      </c>
      <c r="G1398" t="s">
        <v>12</v>
      </c>
    </row>
    <row r="1399" spans="1:7" x14ac:dyDescent="0.3">
      <c r="A1399" t="s">
        <v>51</v>
      </c>
      <c r="B1399" t="s">
        <v>23</v>
      </c>
      <c r="C1399" t="s">
        <v>9</v>
      </c>
      <c r="D1399">
        <v>1</v>
      </c>
      <c r="E1399" t="s">
        <v>42</v>
      </c>
      <c r="F1399" t="s">
        <v>11</v>
      </c>
      <c r="G1399" t="s">
        <v>12</v>
      </c>
    </row>
    <row r="1400" spans="1:7" x14ac:dyDescent="0.3">
      <c r="A1400" t="s">
        <v>51</v>
      </c>
      <c r="B1400" t="s">
        <v>23</v>
      </c>
      <c r="C1400" t="s">
        <v>13</v>
      </c>
      <c r="D1400">
        <v>457</v>
      </c>
      <c r="E1400" t="s">
        <v>42</v>
      </c>
      <c r="F1400" t="s">
        <v>11</v>
      </c>
      <c r="G1400" t="s">
        <v>12</v>
      </c>
    </row>
    <row r="1401" spans="1:7" x14ac:dyDescent="0.3">
      <c r="A1401" t="s">
        <v>51</v>
      </c>
      <c r="B1401" t="s">
        <v>23</v>
      </c>
      <c r="C1401" t="s">
        <v>14</v>
      </c>
      <c r="D1401">
        <v>27</v>
      </c>
      <c r="E1401" t="s">
        <v>42</v>
      </c>
      <c r="F1401" t="s">
        <v>11</v>
      </c>
      <c r="G1401" t="s">
        <v>12</v>
      </c>
    </row>
    <row r="1402" spans="1:7" x14ac:dyDescent="0.3">
      <c r="A1402" t="s">
        <v>51</v>
      </c>
      <c r="B1402" t="s">
        <v>23</v>
      </c>
      <c r="C1402" t="s">
        <v>15</v>
      </c>
      <c r="D1402">
        <v>1</v>
      </c>
      <c r="E1402" t="s">
        <v>42</v>
      </c>
      <c r="F1402" t="s">
        <v>11</v>
      </c>
      <c r="G1402" t="s">
        <v>12</v>
      </c>
    </row>
    <row r="1403" spans="1:7" x14ac:dyDescent="0.3">
      <c r="A1403" t="s">
        <v>51</v>
      </c>
      <c r="B1403" t="s">
        <v>23</v>
      </c>
      <c r="C1403" t="s">
        <v>16</v>
      </c>
      <c r="D1403">
        <v>2</v>
      </c>
      <c r="E1403" t="s">
        <v>42</v>
      </c>
      <c r="F1403" t="s">
        <v>11</v>
      </c>
      <c r="G1403" t="s">
        <v>12</v>
      </c>
    </row>
    <row r="1404" spans="1:7" x14ac:dyDescent="0.3">
      <c r="A1404" t="s">
        <v>51</v>
      </c>
      <c r="B1404" t="s">
        <v>23</v>
      </c>
      <c r="C1404" t="s">
        <v>17</v>
      </c>
      <c r="D1404">
        <v>0</v>
      </c>
      <c r="E1404" t="s">
        <v>42</v>
      </c>
      <c r="F1404" t="s">
        <v>11</v>
      </c>
      <c r="G1404" t="s">
        <v>12</v>
      </c>
    </row>
    <row r="1405" spans="1:7" x14ac:dyDescent="0.3">
      <c r="A1405" t="s">
        <v>51</v>
      </c>
      <c r="B1405" t="s">
        <v>23</v>
      </c>
      <c r="C1405" t="s">
        <v>18</v>
      </c>
      <c r="D1405">
        <v>0</v>
      </c>
      <c r="E1405" t="s">
        <v>42</v>
      </c>
      <c r="F1405" t="s">
        <v>11</v>
      </c>
      <c r="G1405" t="s">
        <v>12</v>
      </c>
    </row>
    <row r="1406" spans="1:7" x14ac:dyDescent="0.3">
      <c r="A1406" t="s">
        <v>51</v>
      </c>
      <c r="B1406" t="s">
        <v>23</v>
      </c>
      <c r="C1406" t="s">
        <v>19</v>
      </c>
      <c r="D1406">
        <v>9</v>
      </c>
      <c r="E1406" t="s">
        <v>42</v>
      </c>
      <c r="F1406" t="s">
        <v>11</v>
      </c>
      <c r="G1406" t="s">
        <v>12</v>
      </c>
    </row>
    <row r="1407" spans="1:7" x14ac:dyDescent="0.3">
      <c r="A1407" t="s">
        <v>51</v>
      </c>
      <c r="B1407" t="s">
        <v>23</v>
      </c>
      <c r="C1407" t="s">
        <v>20</v>
      </c>
      <c r="D1407">
        <v>0</v>
      </c>
      <c r="E1407" t="s">
        <v>42</v>
      </c>
      <c r="F1407" t="s">
        <v>11</v>
      </c>
      <c r="G1407" t="s">
        <v>12</v>
      </c>
    </row>
    <row r="1408" spans="1:7" x14ac:dyDescent="0.3">
      <c r="A1408" t="s">
        <v>51</v>
      </c>
      <c r="B1408" t="s">
        <v>23</v>
      </c>
      <c r="C1408" t="s">
        <v>21</v>
      </c>
      <c r="D1408">
        <v>0</v>
      </c>
      <c r="E1408" t="s">
        <v>42</v>
      </c>
      <c r="F1408" t="s">
        <v>11</v>
      </c>
      <c r="G1408" t="s">
        <v>12</v>
      </c>
    </row>
    <row r="1409" spans="1:7" x14ac:dyDescent="0.3">
      <c r="A1409" t="s">
        <v>51</v>
      </c>
      <c r="B1409" t="s">
        <v>23</v>
      </c>
      <c r="C1409" t="s">
        <v>22</v>
      </c>
      <c r="D1409">
        <v>13</v>
      </c>
      <c r="E1409" t="s">
        <v>42</v>
      </c>
      <c r="F1409" t="s">
        <v>11</v>
      </c>
      <c r="G1409" t="s">
        <v>12</v>
      </c>
    </row>
    <row r="1410" spans="1:7" x14ac:dyDescent="0.3">
      <c r="A1410" t="s">
        <v>52</v>
      </c>
      <c r="B1410" t="s">
        <v>8</v>
      </c>
      <c r="C1410" t="s">
        <v>9</v>
      </c>
      <c r="D1410">
        <v>13</v>
      </c>
      <c r="E1410" t="s">
        <v>42</v>
      </c>
      <c r="F1410" t="s">
        <v>11</v>
      </c>
      <c r="G1410" t="s">
        <v>12</v>
      </c>
    </row>
    <row r="1411" spans="1:7" x14ac:dyDescent="0.3">
      <c r="A1411" t="s">
        <v>52</v>
      </c>
      <c r="B1411" t="s">
        <v>8</v>
      </c>
      <c r="C1411" t="s">
        <v>13</v>
      </c>
      <c r="D1411">
        <v>1</v>
      </c>
      <c r="E1411" t="s">
        <v>42</v>
      </c>
      <c r="F1411" t="s">
        <v>11</v>
      </c>
      <c r="G1411" t="s">
        <v>12</v>
      </c>
    </row>
    <row r="1412" spans="1:7" x14ac:dyDescent="0.3">
      <c r="A1412" t="s">
        <v>52</v>
      </c>
      <c r="B1412" t="s">
        <v>8</v>
      </c>
      <c r="C1412" t="s">
        <v>14</v>
      </c>
      <c r="D1412">
        <v>1</v>
      </c>
      <c r="E1412" t="s">
        <v>42</v>
      </c>
      <c r="F1412" t="s">
        <v>11</v>
      </c>
      <c r="G1412" t="s">
        <v>12</v>
      </c>
    </row>
    <row r="1413" spans="1:7" x14ac:dyDescent="0.3">
      <c r="A1413" t="s">
        <v>52</v>
      </c>
      <c r="B1413" t="s">
        <v>8</v>
      </c>
      <c r="C1413" t="s">
        <v>15</v>
      </c>
      <c r="D1413">
        <v>0</v>
      </c>
      <c r="E1413" t="s">
        <v>42</v>
      </c>
      <c r="F1413" t="s">
        <v>11</v>
      </c>
      <c r="G1413" t="s">
        <v>12</v>
      </c>
    </row>
    <row r="1414" spans="1:7" x14ac:dyDescent="0.3">
      <c r="A1414" t="s">
        <v>52</v>
      </c>
      <c r="B1414" t="s">
        <v>8</v>
      </c>
      <c r="C1414" t="s">
        <v>16</v>
      </c>
      <c r="D1414">
        <v>3</v>
      </c>
      <c r="E1414" t="s">
        <v>42</v>
      </c>
      <c r="F1414" t="s">
        <v>11</v>
      </c>
      <c r="G1414" t="s">
        <v>12</v>
      </c>
    </row>
    <row r="1415" spans="1:7" x14ac:dyDescent="0.3">
      <c r="A1415" t="s">
        <v>52</v>
      </c>
      <c r="B1415" t="s">
        <v>8</v>
      </c>
      <c r="C1415" t="s">
        <v>17</v>
      </c>
      <c r="D1415">
        <v>13</v>
      </c>
      <c r="E1415" t="s">
        <v>42</v>
      </c>
      <c r="F1415" t="s">
        <v>11</v>
      </c>
      <c r="G1415" t="s">
        <v>12</v>
      </c>
    </row>
    <row r="1416" spans="1:7" x14ac:dyDescent="0.3">
      <c r="A1416" t="s">
        <v>52</v>
      </c>
      <c r="B1416" t="s">
        <v>8</v>
      </c>
      <c r="C1416" t="s">
        <v>18</v>
      </c>
      <c r="D1416">
        <v>0</v>
      </c>
      <c r="E1416" t="s">
        <v>42</v>
      </c>
      <c r="F1416" t="s">
        <v>11</v>
      </c>
      <c r="G1416" t="s">
        <v>12</v>
      </c>
    </row>
    <row r="1417" spans="1:7" x14ac:dyDescent="0.3">
      <c r="A1417" t="s">
        <v>52</v>
      </c>
      <c r="B1417" t="s">
        <v>8</v>
      </c>
      <c r="C1417" t="s">
        <v>19</v>
      </c>
      <c r="D1417">
        <v>0</v>
      </c>
      <c r="E1417" t="s">
        <v>42</v>
      </c>
      <c r="F1417" t="s">
        <v>11</v>
      </c>
      <c r="G1417" t="s">
        <v>12</v>
      </c>
    </row>
    <row r="1418" spans="1:7" x14ac:dyDescent="0.3">
      <c r="A1418" t="s">
        <v>52</v>
      </c>
      <c r="B1418" t="s">
        <v>8</v>
      </c>
      <c r="C1418" t="s">
        <v>20</v>
      </c>
      <c r="D1418">
        <v>0</v>
      </c>
      <c r="E1418" t="s">
        <v>42</v>
      </c>
      <c r="F1418" t="s">
        <v>11</v>
      </c>
      <c r="G1418" t="s">
        <v>12</v>
      </c>
    </row>
    <row r="1419" spans="1:7" x14ac:dyDescent="0.3">
      <c r="A1419" t="s">
        <v>52</v>
      </c>
      <c r="B1419" t="s">
        <v>8</v>
      </c>
      <c r="C1419" t="s">
        <v>21</v>
      </c>
      <c r="D1419">
        <v>2</v>
      </c>
      <c r="E1419" t="s">
        <v>42</v>
      </c>
      <c r="F1419" t="s">
        <v>11</v>
      </c>
      <c r="G1419" t="s">
        <v>12</v>
      </c>
    </row>
    <row r="1420" spans="1:7" x14ac:dyDescent="0.3">
      <c r="A1420" t="s">
        <v>52</v>
      </c>
      <c r="B1420" t="s">
        <v>8</v>
      </c>
      <c r="C1420" t="s">
        <v>22</v>
      </c>
      <c r="D1420">
        <v>4</v>
      </c>
      <c r="E1420" t="s">
        <v>42</v>
      </c>
      <c r="F1420" t="s">
        <v>11</v>
      </c>
      <c r="G1420" t="s">
        <v>12</v>
      </c>
    </row>
    <row r="1421" spans="1:7" x14ac:dyDescent="0.3">
      <c r="A1421" t="s">
        <v>52</v>
      </c>
      <c r="B1421" t="s">
        <v>23</v>
      </c>
      <c r="C1421" t="s">
        <v>9</v>
      </c>
      <c r="D1421">
        <v>206</v>
      </c>
      <c r="E1421" t="s">
        <v>42</v>
      </c>
      <c r="F1421" t="s">
        <v>11</v>
      </c>
      <c r="G1421" t="s">
        <v>12</v>
      </c>
    </row>
    <row r="1422" spans="1:7" x14ac:dyDescent="0.3">
      <c r="A1422" t="s">
        <v>52</v>
      </c>
      <c r="B1422" t="s">
        <v>23</v>
      </c>
      <c r="C1422" t="s">
        <v>13</v>
      </c>
      <c r="D1422">
        <v>10</v>
      </c>
      <c r="E1422" t="s">
        <v>42</v>
      </c>
      <c r="F1422" t="s">
        <v>11</v>
      </c>
      <c r="G1422" t="s">
        <v>12</v>
      </c>
    </row>
    <row r="1423" spans="1:7" x14ac:dyDescent="0.3">
      <c r="A1423" t="s">
        <v>52</v>
      </c>
      <c r="B1423" t="s">
        <v>23</v>
      </c>
      <c r="C1423" t="s">
        <v>14</v>
      </c>
      <c r="D1423">
        <v>112</v>
      </c>
      <c r="E1423" t="s">
        <v>42</v>
      </c>
      <c r="F1423" t="s">
        <v>11</v>
      </c>
      <c r="G1423" t="s">
        <v>12</v>
      </c>
    </row>
    <row r="1424" spans="1:7" x14ac:dyDescent="0.3">
      <c r="A1424" t="s">
        <v>52</v>
      </c>
      <c r="B1424" t="s">
        <v>23</v>
      </c>
      <c r="C1424" t="s">
        <v>15</v>
      </c>
      <c r="D1424">
        <v>2</v>
      </c>
      <c r="E1424" t="s">
        <v>42</v>
      </c>
      <c r="F1424" t="s">
        <v>11</v>
      </c>
      <c r="G1424" t="s">
        <v>12</v>
      </c>
    </row>
    <row r="1425" spans="1:7" x14ac:dyDescent="0.3">
      <c r="A1425" t="s">
        <v>52</v>
      </c>
      <c r="B1425" t="s">
        <v>23</v>
      </c>
      <c r="C1425" t="s">
        <v>16</v>
      </c>
      <c r="D1425">
        <v>58</v>
      </c>
      <c r="E1425" t="s">
        <v>42</v>
      </c>
      <c r="F1425" t="s">
        <v>11</v>
      </c>
      <c r="G1425" t="s">
        <v>12</v>
      </c>
    </row>
    <row r="1426" spans="1:7" x14ac:dyDescent="0.3">
      <c r="A1426" t="s">
        <v>52</v>
      </c>
      <c r="B1426" t="s">
        <v>23</v>
      </c>
      <c r="C1426" t="s">
        <v>17</v>
      </c>
      <c r="D1426">
        <v>10</v>
      </c>
      <c r="E1426" t="s">
        <v>42</v>
      </c>
      <c r="F1426" t="s">
        <v>11</v>
      </c>
      <c r="G1426" t="s">
        <v>12</v>
      </c>
    </row>
    <row r="1427" spans="1:7" x14ac:dyDescent="0.3">
      <c r="A1427" t="s">
        <v>52</v>
      </c>
      <c r="B1427" t="s">
        <v>23</v>
      </c>
      <c r="C1427" t="s">
        <v>18</v>
      </c>
      <c r="D1427">
        <v>0</v>
      </c>
      <c r="E1427" t="s">
        <v>42</v>
      </c>
      <c r="F1427" t="s">
        <v>11</v>
      </c>
      <c r="G1427" t="s">
        <v>12</v>
      </c>
    </row>
    <row r="1428" spans="1:7" x14ac:dyDescent="0.3">
      <c r="A1428" t="s">
        <v>52</v>
      </c>
      <c r="B1428" t="s">
        <v>23</v>
      </c>
      <c r="C1428" t="s">
        <v>19</v>
      </c>
      <c r="D1428">
        <v>4</v>
      </c>
      <c r="E1428" t="s">
        <v>42</v>
      </c>
      <c r="F1428" t="s">
        <v>11</v>
      </c>
      <c r="G1428" t="s">
        <v>12</v>
      </c>
    </row>
    <row r="1429" spans="1:7" x14ac:dyDescent="0.3">
      <c r="A1429" t="s">
        <v>52</v>
      </c>
      <c r="B1429" t="s">
        <v>23</v>
      </c>
      <c r="C1429" t="s">
        <v>20</v>
      </c>
      <c r="D1429">
        <v>7</v>
      </c>
      <c r="E1429" t="s">
        <v>42</v>
      </c>
      <c r="F1429" t="s">
        <v>11</v>
      </c>
      <c r="G1429" t="s">
        <v>12</v>
      </c>
    </row>
    <row r="1430" spans="1:7" x14ac:dyDescent="0.3">
      <c r="A1430" t="s">
        <v>52</v>
      </c>
      <c r="B1430" t="s">
        <v>23</v>
      </c>
      <c r="C1430" t="s">
        <v>21</v>
      </c>
      <c r="D1430">
        <v>2</v>
      </c>
      <c r="E1430" t="s">
        <v>42</v>
      </c>
      <c r="F1430" t="s">
        <v>11</v>
      </c>
      <c r="G1430" t="s">
        <v>12</v>
      </c>
    </row>
    <row r="1431" spans="1:7" x14ac:dyDescent="0.3">
      <c r="A1431" t="s">
        <v>52</v>
      </c>
      <c r="B1431" t="s">
        <v>23</v>
      </c>
      <c r="C1431" t="s">
        <v>22</v>
      </c>
      <c r="D1431">
        <v>3</v>
      </c>
      <c r="E1431" t="s">
        <v>42</v>
      </c>
      <c r="F1431" t="s">
        <v>11</v>
      </c>
      <c r="G1431" t="s">
        <v>12</v>
      </c>
    </row>
    <row r="1432" spans="1:7" x14ac:dyDescent="0.3">
      <c r="A1432" t="s">
        <v>53</v>
      </c>
      <c r="B1432" t="s">
        <v>8</v>
      </c>
      <c r="C1432" t="s">
        <v>9</v>
      </c>
      <c r="D1432">
        <v>0</v>
      </c>
      <c r="E1432" t="s">
        <v>42</v>
      </c>
      <c r="F1432" t="s">
        <v>11</v>
      </c>
      <c r="G1432" t="s">
        <v>12</v>
      </c>
    </row>
    <row r="1433" spans="1:7" x14ac:dyDescent="0.3">
      <c r="A1433" t="s">
        <v>53</v>
      </c>
      <c r="B1433" t="s">
        <v>8</v>
      </c>
      <c r="C1433" t="s">
        <v>13</v>
      </c>
      <c r="D1433">
        <v>0</v>
      </c>
      <c r="E1433" t="s">
        <v>42</v>
      </c>
      <c r="F1433" t="s">
        <v>11</v>
      </c>
      <c r="G1433" t="s">
        <v>12</v>
      </c>
    </row>
    <row r="1434" spans="1:7" x14ac:dyDescent="0.3">
      <c r="A1434" t="s">
        <v>53</v>
      </c>
      <c r="B1434" t="s">
        <v>8</v>
      </c>
      <c r="C1434" t="s">
        <v>14</v>
      </c>
      <c r="D1434">
        <v>5</v>
      </c>
      <c r="E1434" t="s">
        <v>42</v>
      </c>
      <c r="F1434" t="s">
        <v>11</v>
      </c>
      <c r="G1434" t="s">
        <v>12</v>
      </c>
    </row>
    <row r="1435" spans="1:7" x14ac:dyDescent="0.3">
      <c r="A1435" t="s">
        <v>53</v>
      </c>
      <c r="B1435" t="s">
        <v>8</v>
      </c>
      <c r="C1435" t="s">
        <v>15</v>
      </c>
      <c r="D1435">
        <v>0</v>
      </c>
      <c r="E1435" t="s">
        <v>42</v>
      </c>
      <c r="F1435" t="s">
        <v>11</v>
      </c>
      <c r="G1435" t="s">
        <v>12</v>
      </c>
    </row>
    <row r="1436" spans="1:7" x14ac:dyDescent="0.3">
      <c r="A1436" t="s">
        <v>53</v>
      </c>
      <c r="B1436" t="s">
        <v>8</v>
      </c>
      <c r="C1436" t="s">
        <v>16</v>
      </c>
      <c r="D1436">
        <v>163</v>
      </c>
      <c r="E1436" t="s">
        <v>42</v>
      </c>
      <c r="F1436" t="s">
        <v>11</v>
      </c>
      <c r="G1436" t="s">
        <v>12</v>
      </c>
    </row>
    <row r="1437" spans="1:7" x14ac:dyDescent="0.3">
      <c r="A1437" t="s">
        <v>53</v>
      </c>
      <c r="B1437" t="s">
        <v>8</v>
      </c>
      <c r="C1437" t="s">
        <v>17</v>
      </c>
      <c r="D1437">
        <v>4</v>
      </c>
      <c r="E1437" t="s">
        <v>42</v>
      </c>
      <c r="F1437" t="s">
        <v>11</v>
      </c>
      <c r="G1437" t="s">
        <v>12</v>
      </c>
    </row>
    <row r="1438" spans="1:7" x14ac:dyDescent="0.3">
      <c r="A1438" t="s">
        <v>53</v>
      </c>
      <c r="B1438" t="s">
        <v>8</v>
      </c>
      <c r="C1438" t="s">
        <v>18</v>
      </c>
      <c r="D1438">
        <v>0</v>
      </c>
      <c r="E1438" t="s">
        <v>42</v>
      </c>
      <c r="F1438" t="s">
        <v>11</v>
      </c>
      <c r="G1438" t="s">
        <v>12</v>
      </c>
    </row>
    <row r="1439" spans="1:7" x14ac:dyDescent="0.3">
      <c r="A1439" t="s">
        <v>53</v>
      </c>
      <c r="B1439" t="s">
        <v>8</v>
      </c>
      <c r="C1439" t="s">
        <v>19</v>
      </c>
      <c r="D1439">
        <v>0</v>
      </c>
      <c r="E1439" t="s">
        <v>42</v>
      </c>
      <c r="F1439" t="s">
        <v>11</v>
      </c>
      <c r="G1439" t="s">
        <v>12</v>
      </c>
    </row>
    <row r="1440" spans="1:7" x14ac:dyDescent="0.3">
      <c r="A1440" t="s">
        <v>53</v>
      </c>
      <c r="B1440" t="s">
        <v>8</v>
      </c>
      <c r="C1440" t="s">
        <v>20</v>
      </c>
      <c r="D1440">
        <v>0</v>
      </c>
      <c r="E1440" t="s">
        <v>42</v>
      </c>
      <c r="F1440" t="s">
        <v>11</v>
      </c>
      <c r="G1440" t="s">
        <v>12</v>
      </c>
    </row>
    <row r="1441" spans="1:7" x14ac:dyDescent="0.3">
      <c r="A1441" t="s">
        <v>53</v>
      </c>
      <c r="B1441" t="s">
        <v>8</v>
      </c>
      <c r="C1441" t="s">
        <v>21</v>
      </c>
      <c r="D1441">
        <v>0</v>
      </c>
      <c r="E1441" t="s">
        <v>42</v>
      </c>
      <c r="F1441" t="s">
        <v>11</v>
      </c>
      <c r="G1441" t="s">
        <v>12</v>
      </c>
    </row>
    <row r="1442" spans="1:7" x14ac:dyDescent="0.3">
      <c r="A1442" t="s">
        <v>53</v>
      </c>
      <c r="B1442" t="s">
        <v>8</v>
      </c>
      <c r="C1442" t="s">
        <v>22</v>
      </c>
      <c r="D1442">
        <v>0</v>
      </c>
      <c r="E1442" t="s">
        <v>42</v>
      </c>
      <c r="F1442" t="s">
        <v>11</v>
      </c>
      <c r="G1442" t="s">
        <v>12</v>
      </c>
    </row>
    <row r="1443" spans="1:7" x14ac:dyDescent="0.3">
      <c r="A1443" t="s">
        <v>53</v>
      </c>
      <c r="B1443" t="s">
        <v>23</v>
      </c>
      <c r="C1443" t="s">
        <v>9</v>
      </c>
      <c r="D1443">
        <v>0</v>
      </c>
      <c r="E1443" t="s">
        <v>42</v>
      </c>
      <c r="F1443" t="s">
        <v>11</v>
      </c>
      <c r="G1443" t="s">
        <v>12</v>
      </c>
    </row>
    <row r="1444" spans="1:7" x14ac:dyDescent="0.3">
      <c r="A1444" t="s">
        <v>53</v>
      </c>
      <c r="B1444" t="s">
        <v>23</v>
      </c>
      <c r="C1444" t="s">
        <v>13</v>
      </c>
      <c r="D1444">
        <v>0</v>
      </c>
      <c r="E1444" t="s">
        <v>42</v>
      </c>
      <c r="F1444" t="s">
        <v>11</v>
      </c>
      <c r="G1444" t="s">
        <v>12</v>
      </c>
    </row>
    <row r="1445" spans="1:7" x14ac:dyDescent="0.3">
      <c r="A1445" t="s">
        <v>53</v>
      </c>
      <c r="B1445" t="s">
        <v>23</v>
      </c>
      <c r="C1445" t="s">
        <v>14</v>
      </c>
      <c r="D1445">
        <v>2</v>
      </c>
      <c r="E1445" t="s">
        <v>42</v>
      </c>
      <c r="F1445" t="s">
        <v>11</v>
      </c>
      <c r="G1445" t="s">
        <v>12</v>
      </c>
    </row>
    <row r="1446" spans="1:7" x14ac:dyDescent="0.3">
      <c r="A1446" t="s">
        <v>53</v>
      </c>
      <c r="B1446" t="s">
        <v>23</v>
      </c>
      <c r="C1446" t="s">
        <v>15</v>
      </c>
      <c r="D1446">
        <v>0</v>
      </c>
      <c r="E1446" t="s">
        <v>42</v>
      </c>
      <c r="F1446" t="s">
        <v>11</v>
      </c>
      <c r="G1446" t="s">
        <v>12</v>
      </c>
    </row>
    <row r="1447" spans="1:7" x14ac:dyDescent="0.3">
      <c r="A1447" t="s">
        <v>53</v>
      </c>
      <c r="B1447" t="s">
        <v>23</v>
      </c>
      <c r="C1447" t="s">
        <v>16</v>
      </c>
      <c r="D1447">
        <v>436</v>
      </c>
      <c r="E1447" t="s">
        <v>42</v>
      </c>
      <c r="F1447" t="s">
        <v>11</v>
      </c>
      <c r="G1447" t="s">
        <v>12</v>
      </c>
    </row>
    <row r="1448" spans="1:7" x14ac:dyDescent="0.3">
      <c r="A1448" t="s">
        <v>53</v>
      </c>
      <c r="B1448" t="s">
        <v>23</v>
      </c>
      <c r="C1448" t="s">
        <v>17</v>
      </c>
      <c r="D1448">
        <v>0</v>
      </c>
      <c r="E1448" t="s">
        <v>42</v>
      </c>
      <c r="F1448" t="s">
        <v>11</v>
      </c>
      <c r="G1448" t="s">
        <v>12</v>
      </c>
    </row>
    <row r="1449" spans="1:7" x14ac:dyDescent="0.3">
      <c r="A1449" t="s">
        <v>53</v>
      </c>
      <c r="B1449" t="s">
        <v>23</v>
      </c>
      <c r="C1449" t="s">
        <v>18</v>
      </c>
      <c r="D1449">
        <v>0</v>
      </c>
      <c r="E1449" t="s">
        <v>42</v>
      </c>
      <c r="F1449" t="s">
        <v>11</v>
      </c>
      <c r="G1449" t="s">
        <v>12</v>
      </c>
    </row>
    <row r="1450" spans="1:7" x14ac:dyDescent="0.3">
      <c r="A1450" t="s">
        <v>53</v>
      </c>
      <c r="B1450" t="s">
        <v>23</v>
      </c>
      <c r="C1450" t="s">
        <v>19</v>
      </c>
      <c r="D1450">
        <v>0</v>
      </c>
      <c r="E1450" t="s">
        <v>42</v>
      </c>
      <c r="F1450" t="s">
        <v>11</v>
      </c>
      <c r="G1450" t="s">
        <v>12</v>
      </c>
    </row>
    <row r="1451" spans="1:7" x14ac:dyDescent="0.3">
      <c r="A1451" t="s">
        <v>53</v>
      </c>
      <c r="B1451" t="s">
        <v>23</v>
      </c>
      <c r="C1451" t="s">
        <v>20</v>
      </c>
      <c r="D1451">
        <v>5</v>
      </c>
      <c r="E1451" t="s">
        <v>42</v>
      </c>
      <c r="F1451" t="s">
        <v>11</v>
      </c>
      <c r="G1451" t="s">
        <v>12</v>
      </c>
    </row>
    <row r="1452" spans="1:7" x14ac:dyDescent="0.3">
      <c r="A1452" t="s">
        <v>53</v>
      </c>
      <c r="B1452" t="s">
        <v>23</v>
      </c>
      <c r="C1452" t="s">
        <v>21</v>
      </c>
      <c r="D1452">
        <v>0</v>
      </c>
      <c r="E1452" t="s">
        <v>42</v>
      </c>
      <c r="F1452" t="s">
        <v>11</v>
      </c>
      <c r="G1452" t="s">
        <v>12</v>
      </c>
    </row>
    <row r="1453" spans="1:7" x14ac:dyDescent="0.3">
      <c r="A1453" t="s">
        <v>53</v>
      </c>
      <c r="B1453" t="s">
        <v>23</v>
      </c>
      <c r="C1453" t="s">
        <v>22</v>
      </c>
      <c r="D1453">
        <v>0</v>
      </c>
      <c r="E1453" t="s">
        <v>42</v>
      </c>
      <c r="F1453" t="s">
        <v>11</v>
      </c>
      <c r="G1453" t="s">
        <v>12</v>
      </c>
    </row>
    <row r="1454" spans="1:7" x14ac:dyDescent="0.3">
      <c r="A1454" t="s">
        <v>33</v>
      </c>
      <c r="B1454" t="s">
        <v>8</v>
      </c>
      <c r="C1454" t="s">
        <v>9</v>
      </c>
      <c r="D1454">
        <v>5</v>
      </c>
      <c r="E1454" t="s">
        <v>42</v>
      </c>
      <c r="F1454" t="s">
        <v>11</v>
      </c>
      <c r="G1454" t="s">
        <v>12</v>
      </c>
    </row>
    <row r="1455" spans="1:7" x14ac:dyDescent="0.3">
      <c r="A1455" t="s">
        <v>33</v>
      </c>
      <c r="B1455" t="s">
        <v>8</v>
      </c>
      <c r="C1455" t="s">
        <v>13</v>
      </c>
      <c r="D1455">
        <v>0</v>
      </c>
      <c r="E1455" t="s">
        <v>42</v>
      </c>
      <c r="F1455" t="s">
        <v>11</v>
      </c>
      <c r="G1455" t="s">
        <v>12</v>
      </c>
    </row>
    <row r="1456" spans="1:7" x14ac:dyDescent="0.3">
      <c r="A1456" t="s">
        <v>33</v>
      </c>
      <c r="B1456" t="s">
        <v>8</v>
      </c>
      <c r="C1456" t="s">
        <v>14</v>
      </c>
      <c r="D1456">
        <v>15</v>
      </c>
      <c r="E1456" t="s">
        <v>42</v>
      </c>
      <c r="F1456" t="s">
        <v>11</v>
      </c>
      <c r="G1456" t="s">
        <v>12</v>
      </c>
    </row>
    <row r="1457" spans="1:7" x14ac:dyDescent="0.3">
      <c r="A1457" t="s">
        <v>33</v>
      </c>
      <c r="B1457" t="s">
        <v>8</v>
      </c>
      <c r="C1457" t="s">
        <v>15</v>
      </c>
      <c r="D1457">
        <v>0</v>
      </c>
      <c r="E1457" t="s">
        <v>42</v>
      </c>
      <c r="F1457" t="s">
        <v>11</v>
      </c>
      <c r="G1457" t="s">
        <v>12</v>
      </c>
    </row>
    <row r="1458" spans="1:7" x14ac:dyDescent="0.3">
      <c r="A1458" t="s">
        <v>33</v>
      </c>
      <c r="B1458" t="s">
        <v>8</v>
      </c>
      <c r="C1458" t="s">
        <v>16</v>
      </c>
      <c r="D1458">
        <v>461</v>
      </c>
      <c r="E1458" t="s">
        <v>42</v>
      </c>
      <c r="F1458" t="s">
        <v>11</v>
      </c>
      <c r="G1458" t="s">
        <v>12</v>
      </c>
    </row>
    <row r="1459" spans="1:7" x14ac:dyDescent="0.3">
      <c r="A1459" t="s">
        <v>33</v>
      </c>
      <c r="B1459" t="s">
        <v>8</v>
      </c>
      <c r="C1459" t="s">
        <v>17</v>
      </c>
      <c r="D1459">
        <v>15</v>
      </c>
      <c r="E1459" t="s">
        <v>42</v>
      </c>
      <c r="F1459" t="s">
        <v>11</v>
      </c>
      <c r="G1459" t="s">
        <v>12</v>
      </c>
    </row>
    <row r="1460" spans="1:7" x14ac:dyDescent="0.3">
      <c r="A1460" t="s">
        <v>33</v>
      </c>
      <c r="B1460" t="s">
        <v>8</v>
      </c>
      <c r="C1460" t="s">
        <v>18</v>
      </c>
      <c r="D1460">
        <v>0</v>
      </c>
      <c r="E1460" t="s">
        <v>42</v>
      </c>
      <c r="F1460" t="s">
        <v>11</v>
      </c>
      <c r="G1460" t="s">
        <v>12</v>
      </c>
    </row>
    <row r="1461" spans="1:7" x14ac:dyDescent="0.3">
      <c r="A1461" t="s">
        <v>33</v>
      </c>
      <c r="B1461" t="s">
        <v>8</v>
      </c>
      <c r="C1461" t="s">
        <v>19</v>
      </c>
      <c r="D1461">
        <v>0</v>
      </c>
      <c r="E1461" t="s">
        <v>42</v>
      </c>
      <c r="F1461" t="s">
        <v>11</v>
      </c>
      <c r="G1461" t="s">
        <v>12</v>
      </c>
    </row>
    <row r="1462" spans="1:7" x14ac:dyDescent="0.3">
      <c r="A1462" t="s">
        <v>33</v>
      </c>
      <c r="B1462" t="s">
        <v>8</v>
      </c>
      <c r="C1462" t="s">
        <v>20</v>
      </c>
      <c r="D1462">
        <v>0</v>
      </c>
      <c r="E1462" t="s">
        <v>42</v>
      </c>
      <c r="F1462" t="s">
        <v>11</v>
      </c>
      <c r="G1462" t="s">
        <v>12</v>
      </c>
    </row>
    <row r="1463" spans="1:7" x14ac:dyDescent="0.3">
      <c r="A1463" t="s">
        <v>33</v>
      </c>
      <c r="B1463" t="s">
        <v>8</v>
      </c>
      <c r="C1463" t="s">
        <v>21</v>
      </c>
      <c r="D1463">
        <v>0</v>
      </c>
      <c r="E1463" t="s">
        <v>42</v>
      </c>
      <c r="F1463" t="s">
        <v>11</v>
      </c>
      <c r="G1463" t="s">
        <v>12</v>
      </c>
    </row>
    <row r="1464" spans="1:7" x14ac:dyDescent="0.3">
      <c r="A1464" t="s">
        <v>33</v>
      </c>
      <c r="B1464" t="s">
        <v>8</v>
      </c>
      <c r="C1464" t="s">
        <v>22</v>
      </c>
      <c r="D1464">
        <v>2</v>
      </c>
      <c r="E1464" t="s">
        <v>42</v>
      </c>
      <c r="F1464" t="s">
        <v>11</v>
      </c>
      <c r="G1464" t="s">
        <v>12</v>
      </c>
    </row>
    <row r="1465" spans="1:7" x14ac:dyDescent="0.3">
      <c r="A1465" t="s">
        <v>33</v>
      </c>
      <c r="B1465" t="s">
        <v>23</v>
      </c>
      <c r="C1465" t="s">
        <v>9</v>
      </c>
      <c r="D1465">
        <v>66</v>
      </c>
      <c r="E1465" t="s">
        <v>42</v>
      </c>
      <c r="F1465" t="s">
        <v>11</v>
      </c>
      <c r="G1465" t="s">
        <v>12</v>
      </c>
    </row>
    <row r="1466" spans="1:7" x14ac:dyDescent="0.3">
      <c r="A1466" t="s">
        <v>33</v>
      </c>
      <c r="B1466" t="s">
        <v>23</v>
      </c>
      <c r="C1466" t="s">
        <v>13</v>
      </c>
      <c r="D1466">
        <v>5</v>
      </c>
      <c r="E1466" t="s">
        <v>42</v>
      </c>
      <c r="F1466" t="s">
        <v>11</v>
      </c>
      <c r="G1466" t="s">
        <v>12</v>
      </c>
    </row>
    <row r="1467" spans="1:7" x14ac:dyDescent="0.3">
      <c r="A1467" t="s">
        <v>33</v>
      </c>
      <c r="B1467" t="s">
        <v>23</v>
      </c>
      <c r="C1467" t="s">
        <v>14</v>
      </c>
      <c r="D1467">
        <v>41</v>
      </c>
      <c r="E1467" t="s">
        <v>42</v>
      </c>
      <c r="F1467" t="s">
        <v>11</v>
      </c>
      <c r="G1467" t="s">
        <v>12</v>
      </c>
    </row>
    <row r="1468" spans="1:7" x14ac:dyDescent="0.3">
      <c r="A1468" t="s">
        <v>33</v>
      </c>
      <c r="B1468" t="s">
        <v>23</v>
      </c>
      <c r="C1468" t="s">
        <v>15</v>
      </c>
      <c r="D1468">
        <v>0</v>
      </c>
      <c r="E1468" t="s">
        <v>42</v>
      </c>
      <c r="F1468" t="s">
        <v>11</v>
      </c>
      <c r="G1468" t="s">
        <v>12</v>
      </c>
    </row>
    <row r="1469" spans="1:7" x14ac:dyDescent="0.3">
      <c r="A1469" t="s">
        <v>33</v>
      </c>
      <c r="B1469" t="s">
        <v>23</v>
      </c>
      <c r="C1469" t="s">
        <v>16</v>
      </c>
      <c r="D1469">
        <v>1248</v>
      </c>
      <c r="E1469" t="s">
        <v>42</v>
      </c>
      <c r="F1469" t="s">
        <v>11</v>
      </c>
      <c r="G1469" t="s">
        <v>12</v>
      </c>
    </row>
    <row r="1470" spans="1:7" x14ac:dyDescent="0.3">
      <c r="A1470" t="s">
        <v>33</v>
      </c>
      <c r="B1470" t="s">
        <v>23</v>
      </c>
      <c r="C1470" t="s">
        <v>17</v>
      </c>
      <c r="D1470">
        <v>4</v>
      </c>
      <c r="E1470" t="s">
        <v>42</v>
      </c>
      <c r="F1470" t="s">
        <v>11</v>
      </c>
      <c r="G1470" t="s">
        <v>12</v>
      </c>
    </row>
    <row r="1471" spans="1:7" x14ac:dyDescent="0.3">
      <c r="A1471" t="s">
        <v>33</v>
      </c>
      <c r="B1471" t="s">
        <v>23</v>
      </c>
      <c r="C1471" t="s">
        <v>18</v>
      </c>
      <c r="D1471">
        <v>0</v>
      </c>
      <c r="E1471" t="s">
        <v>42</v>
      </c>
      <c r="F1471" t="s">
        <v>11</v>
      </c>
      <c r="G1471" t="s">
        <v>12</v>
      </c>
    </row>
    <row r="1472" spans="1:7" x14ac:dyDescent="0.3">
      <c r="A1472" t="s">
        <v>33</v>
      </c>
      <c r="B1472" t="s">
        <v>23</v>
      </c>
      <c r="C1472" t="s">
        <v>19</v>
      </c>
      <c r="D1472">
        <v>2</v>
      </c>
      <c r="E1472" t="s">
        <v>42</v>
      </c>
      <c r="F1472" t="s">
        <v>11</v>
      </c>
      <c r="G1472" t="s">
        <v>12</v>
      </c>
    </row>
    <row r="1473" spans="1:7" x14ac:dyDescent="0.3">
      <c r="A1473" t="s">
        <v>33</v>
      </c>
      <c r="B1473" t="s">
        <v>23</v>
      </c>
      <c r="C1473" t="s">
        <v>20</v>
      </c>
      <c r="D1473">
        <v>15</v>
      </c>
      <c r="E1473" t="s">
        <v>42</v>
      </c>
      <c r="F1473" t="s">
        <v>11</v>
      </c>
      <c r="G1473" t="s">
        <v>12</v>
      </c>
    </row>
    <row r="1474" spans="1:7" x14ac:dyDescent="0.3">
      <c r="A1474" t="s">
        <v>33</v>
      </c>
      <c r="B1474" t="s">
        <v>23</v>
      </c>
      <c r="C1474" t="s">
        <v>21</v>
      </c>
      <c r="D1474">
        <v>1</v>
      </c>
      <c r="E1474" t="s">
        <v>42</v>
      </c>
      <c r="F1474" t="s">
        <v>11</v>
      </c>
      <c r="G1474" t="s">
        <v>12</v>
      </c>
    </row>
    <row r="1475" spans="1:7" x14ac:dyDescent="0.3">
      <c r="A1475" t="s">
        <v>33</v>
      </c>
      <c r="B1475" t="s">
        <v>23</v>
      </c>
      <c r="C1475" t="s">
        <v>22</v>
      </c>
      <c r="D1475">
        <v>2</v>
      </c>
      <c r="E1475" t="s">
        <v>42</v>
      </c>
      <c r="F1475" t="s">
        <v>11</v>
      </c>
      <c r="G1475" t="s">
        <v>12</v>
      </c>
    </row>
    <row r="1476" spans="1:7" x14ac:dyDescent="0.3">
      <c r="A1476" t="s">
        <v>54</v>
      </c>
      <c r="B1476" t="s">
        <v>8</v>
      </c>
      <c r="C1476" t="s">
        <v>9</v>
      </c>
      <c r="D1476">
        <v>15</v>
      </c>
      <c r="E1476" t="s">
        <v>42</v>
      </c>
      <c r="F1476" t="s">
        <v>11</v>
      </c>
      <c r="G1476" t="s">
        <v>12</v>
      </c>
    </row>
    <row r="1477" spans="1:7" x14ac:dyDescent="0.3">
      <c r="A1477" t="s">
        <v>54</v>
      </c>
      <c r="B1477" t="s">
        <v>8</v>
      </c>
      <c r="C1477" t="s">
        <v>13</v>
      </c>
      <c r="D1477">
        <v>2</v>
      </c>
      <c r="E1477" t="s">
        <v>42</v>
      </c>
      <c r="F1477" t="s">
        <v>11</v>
      </c>
      <c r="G1477" t="s">
        <v>12</v>
      </c>
    </row>
    <row r="1478" spans="1:7" x14ac:dyDescent="0.3">
      <c r="A1478" t="s">
        <v>54</v>
      </c>
      <c r="B1478" t="s">
        <v>8</v>
      </c>
      <c r="C1478" t="s">
        <v>14</v>
      </c>
      <c r="D1478">
        <v>2</v>
      </c>
      <c r="E1478" t="s">
        <v>42</v>
      </c>
      <c r="F1478" t="s">
        <v>11</v>
      </c>
      <c r="G1478" t="s">
        <v>12</v>
      </c>
    </row>
    <row r="1479" spans="1:7" x14ac:dyDescent="0.3">
      <c r="A1479" t="s">
        <v>54</v>
      </c>
      <c r="B1479" t="s">
        <v>8</v>
      </c>
      <c r="C1479" t="s">
        <v>15</v>
      </c>
      <c r="D1479">
        <v>0</v>
      </c>
      <c r="E1479" t="s">
        <v>42</v>
      </c>
      <c r="F1479" t="s">
        <v>11</v>
      </c>
      <c r="G1479" t="s">
        <v>12</v>
      </c>
    </row>
    <row r="1480" spans="1:7" x14ac:dyDescent="0.3">
      <c r="A1480" t="s">
        <v>54</v>
      </c>
      <c r="B1480" t="s">
        <v>8</v>
      </c>
      <c r="C1480" t="s">
        <v>16</v>
      </c>
      <c r="D1480">
        <v>4</v>
      </c>
      <c r="E1480" t="s">
        <v>42</v>
      </c>
      <c r="F1480" t="s">
        <v>11</v>
      </c>
      <c r="G1480" t="s">
        <v>12</v>
      </c>
    </row>
    <row r="1481" spans="1:7" x14ac:dyDescent="0.3">
      <c r="A1481" t="s">
        <v>54</v>
      </c>
      <c r="B1481" t="s">
        <v>8</v>
      </c>
      <c r="C1481" t="s">
        <v>17</v>
      </c>
      <c r="D1481">
        <v>15</v>
      </c>
      <c r="E1481" t="s">
        <v>42</v>
      </c>
      <c r="F1481" t="s">
        <v>11</v>
      </c>
      <c r="G1481" t="s">
        <v>12</v>
      </c>
    </row>
    <row r="1482" spans="1:7" x14ac:dyDescent="0.3">
      <c r="A1482" t="s">
        <v>54</v>
      </c>
      <c r="B1482" t="s">
        <v>8</v>
      </c>
      <c r="C1482" t="s">
        <v>18</v>
      </c>
      <c r="D1482">
        <v>0</v>
      </c>
      <c r="E1482" t="s">
        <v>42</v>
      </c>
      <c r="F1482" t="s">
        <v>11</v>
      </c>
      <c r="G1482" t="s">
        <v>12</v>
      </c>
    </row>
    <row r="1483" spans="1:7" x14ac:dyDescent="0.3">
      <c r="A1483" t="s">
        <v>54</v>
      </c>
      <c r="B1483" t="s">
        <v>8</v>
      </c>
      <c r="C1483" t="s">
        <v>19</v>
      </c>
      <c r="D1483">
        <v>1</v>
      </c>
      <c r="E1483" t="s">
        <v>42</v>
      </c>
      <c r="F1483" t="s">
        <v>11</v>
      </c>
      <c r="G1483" t="s">
        <v>12</v>
      </c>
    </row>
    <row r="1484" spans="1:7" x14ac:dyDescent="0.3">
      <c r="A1484" t="s">
        <v>54</v>
      </c>
      <c r="B1484" t="s">
        <v>8</v>
      </c>
      <c r="C1484" t="s">
        <v>20</v>
      </c>
      <c r="D1484">
        <v>0</v>
      </c>
      <c r="E1484" t="s">
        <v>42</v>
      </c>
      <c r="F1484" t="s">
        <v>11</v>
      </c>
      <c r="G1484" t="s">
        <v>12</v>
      </c>
    </row>
    <row r="1485" spans="1:7" x14ac:dyDescent="0.3">
      <c r="A1485" t="s">
        <v>54</v>
      </c>
      <c r="B1485" t="s">
        <v>8</v>
      </c>
      <c r="C1485" t="s">
        <v>21</v>
      </c>
      <c r="D1485">
        <v>2</v>
      </c>
      <c r="E1485" t="s">
        <v>42</v>
      </c>
      <c r="F1485" t="s">
        <v>11</v>
      </c>
      <c r="G1485" t="s">
        <v>12</v>
      </c>
    </row>
    <row r="1486" spans="1:7" x14ac:dyDescent="0.3">
      <c r="A1486" t="s">
        <v>54</v>
      </c>
      <c r="B1486" t="s">
        <v>8</v>
      </c>
      <c r="C1486" t="s">
        <v>22</v>
      </c>
      <c r="D1486">
        <v>5</v>
      </c>
      <c r="E1486" t="s">
        <v>42</v>
      </c>
      <c r="F1486" t="s">
        <v>11</v>
      </c>
      <c r="G1486" t="s">
        <v>12</v>
      </c>
    </row>
    <row r="1487" spans="1:7" x14ac:dyDescent="0.3">
      <c r="A1487" t="s">
        <v>54</v>
      </c>
      <c r="B1487" t="s">
        <v>23</v>
      </c>
      <c r="C1487" t="s">
        <v>9</v>
      </c>
      <c r="D1487">
        <v>253</v>
      </c>
      <c r="E1487" t="s">
        <v>42</v>
      </c>
      <c r="F1487" t="s">
        <v>11</v>
      </c>
      <c r="G1487" t="s">
        <v>12</v>
      </c>
    </row>
    <row r="1488" spans="1:7" x14ac:dyDescent="0.3">
      <c r="A1488" t="s">
        <v>54</v>
      </c>
      <c r="B1488" t="s">
        <v>23</v>
      </c>
      <c r="C1488" t="s">
        <v>13</v>
      </c>
      <c r="D1488">
        <v>12</v>
      </c>
      <c r="E1488" t="s">
        <v>42</v>
      </c>
      <c r="F1488" t="s">
        <v>11</v>
      </c>
      <c r="G1488" t="s">
        <v>12</v>
      </c>
    </row>
    <row r="1489" spans="1:7" x14ac:dyDescent="0.3">
      <c r="A1489" t="s">
        <v>54</v>
      </c>
      <c r="B1489" t="s">
        <v>23</v>
      </c>
      <c r="C1489" t="s">
        <v>14</v>
      </c>
      <c r="D1489">
        <v>137</v>
      </c>
      <c r="E1489" t="s">
        <v>42</v>
      </c>
      <c r="F1489" t="s">
        <v>11</v>
      </c>
      <c r="G1489" t="s">
        <v>12</v>
      </c>
    </row>
    <row r="1490" spans="1:7" x14ac:dyDescent="0.3">
      <c r="A1490" t="s">
        <v>54</v>
      </c>
      <c r="B1490" t="s">
        <v>23</v>
      </c>
      <c r="C1490" t="s">
        <v>15</v>
      </c>
      <c r="D1490">
        <v>2</v>
      </c>
      <c r="E1490" t="s">
        <v>42</v>
      </c>
      <c r="F1490" t="s">
        <v>11</v>
      </c>
      <c r="G1490" t="s">
        <v>12</v>
      </c>
    </row>
    <row r="1491" spans="1:7" x14ac:dyDescent="0.3">
      <c r="A1491" t="s">
        <v>54</v>
      </c>
      <c r="B1491" t="s">
        <v>23</v>
      </c>
      <c r="C1491" t="s">
        <v>16</v>
      </c>
      <c r="D1491">
        <v>71</v>
      </c>
      <c r="E1491" t="s">
        <v>42</v>
      </c>
      <c r="F1491" t="s">
        <v>11</v>
      </c>
      <c r="G1491" t="s">
        <v>12</v>
      </c>
    </row>
    <row r="1492" spans="1:7" x14ac:dyDescent="0.3">
      <c r="A1492" t="s">
        <v>54</v>
      </c>
      <c r="B1492" t="s">
        <v>23</v>
      </c>
      <c r="C1492" t="s">
        <v>17</v>
      </c>
      <c r="D1492">
        <v>13</v>
      </c>
      <c r="E1492" t="s">
        <v>42</v>
      </c>
      <c r="F1492" t="s">
        <v>11</v>
      </c>
      <c r="G1492" t="s">
        <v>12</v>
      </c>
    </row>
    <row r="1493" spans="1:7" x14ac:dyDescent="0.3">
      <c r="A1493" t="s">
        <v>54</v>
      </c>
      <c r="B1493" t="s">
        <v>23</v>
      </c>
      <c r="C1493" t="s">
        <v>18</v>
      </c>
      <c r="D1493">
        <v>0</v>
      </c>
      <c r="E1493" t="s">
        <v>42</v>
      </c>
      <c r="F1493" t="s">
        <v>11</v>
      </c>
      <c r="G1493" t="s">
        <v>12</v>
      </c>
    </row>
    <row r="1494" spans="1:7" x14ac:dyDescent="0.3">
      <c r="A1494" t="s">
        <v>54</v>
      </c>
      <c r="B1494" t="s">
        <v>23</v>
      </c>
      <c r="C1494" t="s">
        <v>19</v>
      </c>
      <c r="D1494">
        <v>5</v>
      </c>
      <c r="E1494" t="s">
        <v>42</v>
      </c>
      <c r="F1494" t="s">
        <v>11</v>
      </c>
      <c r="G1494" t="s">
        <v>12</v>
      </c>
    </row>
    <row r="1495" spans="1:7" x14ac:dyDescent="0.3">
      <c r="A1495" t="s">
        <v>54</v>
      </c>
      <c r="B1495" t="s">
        <v>23</v>
      </c>
      <c r="C1495" t="s">
        <v>20</v>
      </c>
      <c r="D1495">
        <v>8</v>
      </c>
      <c r="E1495" t="s">
        <v>42</v>
      </c>
      <c r="F1495" t="s">
        <v>11</v>
      </c>
      <c r="G1495" t="s">
        <v>12</v>
      </c>
    </row>
    <row r="1496" spans="1:7" x14ac:dyDescent="0.3">
      <c r="A1496" t="s">
        <v>54</v>
      </c>
      <c r="B1496" t="s">
        <v>23</v>
      </c>
      <c r="C1496" t="s">
        <v>21</v>
      </c>
      <c r="D1496">
        <v>2</v>
      </c>
      <c r="E1496" t="s">
        <v>42</v>
      </c>
      <c r="F1496" t="s">
        <v>11</v>
      </c>
      <c r="G1496" t="s">
        <v>12</v>
      </c>
    </row>
    <row r="1497" spans="1:7" x14ac:dyDescent="0.3">
      <c r="A1497" t="s">
        <v>54</v>
      </c>
      <c r="B1497" t="s">
        <v>23</v>
      </c>
      <c r="C1497" t="s">
        <v>22</v>
      </c>
      <c r="D1497">
        <v>3</v>
      </c>
      <c r="E1497" t="s">
        <v>42</v>
      </c>
      <c r="F1497" t="s">
        <v>11</v>
      </c>
      <c r="G1497" t="s">
        <v>12</v>
      </c>
    </row>
    <row r="1498" spans="1:7" x14ac:dyDescent="0.3">
      <c r="A1498" t="s">
        <v>55</v>
      </c>
      <c r="B1498" t="s">
        <v>8</v>
      </c>
      <c r="C1498" t="s">
        <v>9</v>
      </c>
      <c r="D1498">
        <v>23</v>
      </c>
      <c r="E1498" t="s">
        <v>42</v>
      </c>
      <c r="F1498" t="s">
        <v>11</v>
      </c>
      <c r="G1498" t="s">
        <v>12</v>
      </c>
    </row>
    <row r="1499" spans="1:7" x14ac:dyDescent="0.3">
      <c r="A1499" t="s">
        <v>55</v>
      </c>
      <c r="B1499" t="s">
        <v>8</v>
      </c>
      <c r="C1499" t="s">
        <v>13</v>
      </c>
      <c r="D1499">
        <v>3</v>
      </c>
      <c r="E1499" t="s">
        <v>42</v>
      </c>
      <c r="F1499" t="s">
        <v>11</v>
      </c>
      <c r="G1499" t="s">
        <v>12</v>
      </c>
    </row>
    <row r="1500" spans="1:7" x14ac:dyDescent="0.3">
      <c r="A1500" t="s">
        <v>55</v>
      </c>
      <c r="B1500" t="s">
        <v>8</v>
      </c>
      <c r="C1500" t="s">
        <v>14</v>
      </c>
      <c r="D1500">
        <v>3</v>
      </c>
      <c r="E1500" t="s">
        <v>42</v>
      </c>
      <c r="F1500" t="s">
        <v>11</v>
      </c>
      <c r="G1500" t="s">
        <v>12</v>
      </c>
    </row>
    <row r="1501" spans="1:7" x14ac:dyDescent="0.3">
      <c r="A1501" t="s">
        <v>55</v>
      </c>
      <c r="B1501" t="s">
        <v>8</v>
      </c>
      <c r="C1501" t="s">
        <v>15</v>
      </c>
      <c r="D1501">
        <v>0</v>
      </c>
      <c r="E1501" t="s">
        <v>42</v>
      </c>
      <c r="F1501" t="s">
        <v>11</v>
      </c>
      <c r="G1501" t="s">
        <v>12</v>
      </c>
    </row>
    <row r="1502" spans="1:7" x14ac:dyDescent="0.3">
      <c r="A1502" t="s">
        <v>55</v>
      </c>
      <c r="B1502" t="s">
        <v>8</v>
      </c>
      <c r="C1502" t="s">
        <v>16</v>
      </c>
      <c r="D1502">
        <v>5</v>
      </c>
      <c r="E1502" t="s">
        <v>42</v>
      </c>
      <c r="F1502" t="s">
        <v>11</v>
      </c>
      <c r="G1502" t="s">
        <v>12</v>
      </c>
    </row>
    <row r="1503" spans="1:7" x14ac:dyDescent="0.3">
      <c r="A1503" t="s">
        <v>55</v>
      </c>
      <c r="B1503" t="s">
        <v>8</v>
      </c>
      <c r="C1503" t="s">
        <v>17</v>
      </c>
      <c r="D1503">
        <v>23</v>
      </c>
      <c r="E1503" t="s">
        <v>42</v>
      </c>
      <c r="F1503" t="s">
        <v>11</v>
      </c>
      <c r="G1503" t="s">
        <v>12</v>
      </c>
    </row>
    <row r="1504" spans="1:7" x14ac:dyDescent="0.3">
      <c r="A1504" t="s">
        <v>55</v>
      </c>
      <c r="B1504" t="s">
        <v>8</v>
      </c>
      <c r="C1504" t="s">
        <v>18</v>
      </c>
      <c r="D1504">
        <v>0</v>
      </c>
      <c r="E1504" t="s">
        <v>42</v>
      </c>
      <c r="F1504" t="s">
        <v>11</v>
      </c>
      <c r="G1504" t="s">
        <v>12</v>
      </c>
    </row>
    <row r="1505" spans="1:7" x14ac:dyDescent="0.3">
      <c r="A1505" t="s">
        <v>55</v>
      </c>
      <c r="B1505" t="s">
        <v>8</v>
      </c>
      <c r="C1505" t="s">
        <v>19</v>
      </c>
      <c r="D1505">
        <v>2</v>
      </c>
      <c r="E1505" t="s">
        <v>42</v>
      </c>
      <c r="F1505" t="s">
        <v>11</v>
      </c>
      <c r="G1505" t="s">
        <v>12</v>
      </c>
    </row>
    <row r="1506" spans="1:7" x14ac:dyDescent="0.3">
      <c r="A1506" t="s">
        <v>55</v>
      </c>
      <c r="B1506" t="s">
        <v>8</v>
      </c>
      <c r="C1506" t="s">
        <v>20</v>
      </c>
      <c r="D1506">
        <v>0</v>
      </c>
      <c r="E1506" t="s">
        <v>42</v>
      </c>
      <c r="F1506" t="s">
        <v>11</v>
      </c>
      <c r="G1506" t="s">
        <v>12</v>
      </c>
    </row>
    <row r="1507" spans="1:7" x14ac:dyDescent="0.3">
      <c r="A1507" t="s">
        <v>55</v>
      </c>
      <c r="B1507" t="s">
        <v>8</v>
      </c>
      <c r="C1507" t="s">
        <v>21</v>
      </c>
      <c r="D1507">
        <v>3</v>
      </c>
      <c r="E1507" t="s">
        <v>42</v>
      </c>
      <c r="F1507" t="s">
        <v>11</v>
      </c>
      <c r="G1507" t="s">
        <v>12</v>
      </c>
    </row>
    <row r="1508" spans="1:7" x14ac:dyDescent="0.3">
      <c r="A1508" t="s">
        <v>55</v>
      </c>
      <c r="B1508" t="s">
        <v>8</v>
      </c>
      <c r="C1508" t="s">
        <v>22</v>
      </c>
      <c r="D1508">
        <v>8</v>
      </c>
      <c r="E1508" t="s">
        <v>42</v>
      </c>
      <c r="F1508" t="s">
        <v>11</v>
      </c>
      <c r="G1508" t="s">
        <v>12</v>
      </c>
    </row>
    <row r="1509" spans="1:7" x14ac:dyDescent="0.3">
      <c r="A1509" t="s">
        <v>55</v>
      </c>
      <c r="B1509" t="s">
        <v>23</v>
      </c>
      <c r="C1509" t="s">
        <v>9</v>
      </c>
      <c r="D1509">
        <v>370</v>
      </c>
      <c r="E1509" t="s">
        <v>42</v>
      </c>
      <c r="F1509" t="s">
        <v>11</v>
      </c>
      <c r="G1509" t="s">
        <v>12</v>
      </c>
    </row>
    <row r="1510" spans="1:7" x14ac:dyDescent="0.3">
      <c r="A1510" t="s">
        <v>55</v>
      </c>
      <c r="B1510" t="s">
        <v>23</v>
      </c>
      <c r="C1510" t="s">
        <v>13</v>
      </c>
      <c r="D1510">
        <v>17</v>
      </c>
      <c r="E1510" t="s">
        <v>42</v>
      </c>
      <c r="F1510" t="s">
        <v>11</v>
      </c>
      <c r="G1510" t="s">
        <v>12</v>
      </c>
    </row>
    <row r="1511" spans="1:7" x14ac:dyDescent="0.3">
      <c r="A1511" t="s">
        <v>55</v>
      </c>
      <c r="B1511" t="s">
        <v>23</v>
      </c>
      <c r="C1511" t="s">
        <v>14</v>
      </c>
      <c r="D1511">
        <v>201</v>
      </c>
      <c r="E1511" t="s">
        <v>42</v>
      </c>
      <c r="F1511" t="s">
        <v>11</v>
      </c>
      <c r="G1511" t="s">
        <v>12</v>
      </c>
    </row>
    <row r="1512" spans="1:7" x14ac:dyDescent="0.3">
      <c r="A1512" t="s">
        <v>55</v>
      </c>
      <c r="B1512" t="s">
        <v>23</v>
      </c>
      <c r="C1512" t="s">
        <v>15</v>
      </c>
      <c r="D1512">
        <v>4</v>
      </c>
      <c r="E1512" t="s">
        <v>42</v>
      </c>
      <c r="F1512" t="s">
        <v>11</v>
      </c>
      <c r="G1512" t="s">
        <v>12</v>
      </c>
    </row>
    <row r="1513" spans="1:7" x14ac:dyDescent="0.3">
      <c r="A1513" t="s">
        <v>55</v>
      </c>
      <c r="B1513" t="s">
        <v>23</v>
      </c>
      <c r="C1513" t="s">
        <v>16</v>
      </c>
      <c r="D1513">
        <v>104</v>
      </c>
      <c r="E1513" t="s">
        <v>42</v>
      </c>
      <c r="F1513" t="s">
        <v>11</v>
      </c>
      <c r="G1513" t="s">
        <v>12</v>
      </c>
    </row>
    <row r="1514" spans="1:7" x14ac:dyDescent="0.3">
      <c r="A1514" t="s">
        <v>55</v>
      </c>
      <c r="B1514" t="s">
        <v>23</v>
      </c>
      <c r="C1514" t="s">
        <v>17</v>
      </c>
      <c r="D1514">
        <v>18</v>
      </c>
      <c r="E1514" t="s">
        <v>42</v>
      </c>
      <c r="F1514" t="s">
        <v>11</v>
      </c>
      <c r="G1514" t="s">
        <v>12</v>
      </c>
    </row>
    <row r="1515" spans="1:7" x14ac:dyDescent="0.3">
      <c r="A1515" t="s">
        <v>55</v>
      </c>
      <c r="B1515" t="s">
        <v>23</v>
      </c>
      <c r="C1515" t="s">
        <v>18</v>
      </c>
      <c r="D1515">
        <v>0</v>
      </c>
      <c r="E1515" t="s">
        <v>42</v>
      </c>
      <c r="F1515" t="s">
        <v>11</v>
      </c>
      <c r="G1515" t="s">
        <v>12</v>
      </c>
    </row>
    <row r="1516" spans="1:7" x14ac:dyDescent="0.3">
      <c r="A1516" t="s">
        <v>55</v>
      </c>
      <c r="B1516" t="s">
        <v>23</v>
      </c>
      <c r="C1516" t="s">
        <v>19</v>
      </c>
      <c r="D1516">
        <v>7</v>
      </c>
      <c r="E1516" t="s">
        <v>42</v>
      </c>
      <c r="F1516" t="s">
        <v>11</v>
      </c>
      <c r="G1516" t="s">
        <v>12</v>
      </c>
    </row>
    <row r="1517" spans="1:7" x14ac:dyDescent="0.3">
      <c r="A1517" t="s">
        <v>55</v>
      </c>
      <c r="B1517" t="s">
        <v>23</v>
      </c>
      <c r="C1517" t="s">
        <v>20</v>
      </c>
      <c r="D1517">
        <v>12</v>
      </c>
      <c r="E1517" t="s">
        <v>42</v>
      </c>
      <c r="F1517" t="s">
        <v>11</v>
      </c>
      <c r="G1517" t="s">
        <v>12</v>
      </c>
    </row>
    <row r="1518" spans="1:7" x14ac:dyDescent="0.3">
      <c r="A1518" t="s">
        <v>55</v>
      </c>
      <c r="B1518" t="s">
        <v>23</v>
      </c>
      <c r="C1518" t="s">
        <v>21</v>
      </c>
      <c r="D1518">
        <v>3</v>
      </c>
      <c r="E1518" t="s">
        <v>42</v>
      </c>
      <c r="F1518" t="s">
        <v>11</v>
      </c>
      <c r="G1518" t="s">
        <v>12</v>
      </c>
    </row>
    <row r="1519" spans="1:7" x14ac:dyDescent="0.3">
      <c r="A1519" t="s">
        <v>55</v>
      </c>
      <c r="B1519" t="s">
        <v>23</v>
      </c>
      <c r="C1519" t="s">
        <v>22</v>
      </c>
      <c r="D1519">
        <v>5</v>
      </c>
      <c r="E1519" t="s">
        <v>42</v>
      </c>
      <c r="F1519" t="s">
        <v>11</v>
      </c>
      <c r="G1519" t="s">
        <v>12</v>
      </c>
    </row>
    <row r="1520" spans="1:7" x14ac:dyDescent="0.3">
      <c r="A1520" t="s">
        <v>56</v>
      </c>
      <c r="B1520" t="s">
        <v>8</v>
      </c>
      <c r="C1520" t="s">
        <v>9</v>
      </c>
      <c r="D1520">
        <v>4</v>
      </c>
      <c r="E1520" t="s">
        <v>42</v>
      </c>
      <c r="F1520" t="s">
        <v>11</v>
      </c>
      <c r="G1520" t="s">
        <v>12</v>
      </c>
    </row>
    <row r="1521" spans="1:7" x14ac:dyDescent="0.3">
      <c r="A1521" t="s">
        <v>56</v>
      </c>
      <c r="B1521" t="s">
        <v>8</v>
      </c>
      <c r="C1521" t="s">
        <v>13</v>
      </c>
      <c r="D1521">
        <v>5</v>
      </c>
      <c r="E1521" t="s">
        <v>42</v>
      </c>
      <c r="F1521" t="s">
        <v>11</v>
      </c>
      <c r="G1521" t="s">
        <v>12</v>
      </c>
    </row>
    <row r="1522" spans="1:7" x14ac:dyDescent="0.3">
      <c r="A1522" t="s">
        <v>56</v>
      </c>
      <c r="B1522" t="s">
        <v>8</v>
      </c>
      <c r="C1522" t="s">
        <v>14</v>
      </c>
      <c r="D1522">
        <v>0</v>
      </c>
      <c r="E1522" t="s">
        <v>42</v>
      </c>
      <c r="F1522" t="s">
        <v>11</v>
      </c>
      <c r="G1522" t="s">
        <v>12</v>
      </c>
    </row>
    <row r="1523" spans="1:7" x14ac:dyDescent="0.3">
      <c r="A1523" t="s">
        <v>56</v>
      </c>
      <c r="B1523" t="s">
        <v>8</v>
      </c>
      <c r="C1523" t="s">
        <v>15</v>
      </c>
      <c r="D1523">
        <v>0</v>
      </c>
      <c r="E1523" t="s">
        <v>42</v>
      </c>
      <c r="F1523" t="s">
        <v>11</v>
      </c>
      <c r="G1523" t="s">
        <v>12</v>
      </c>
    </row>
    <row r="1524" spans="1:7" x14ac:dyDescent="0.3">
      <c r="A1524" t="s">
        <v>56</v>
      </c>
      <c r="B1524" t="s">
        <v>8</v>
      </c>
      <c r="C1524" t="s">
        <v>16</v>
      </c>
      <c r="D1524">
        <v>0</v>
      </c>
      <c r="E1524" t="s">
        <v>42</v>
      </c>
      <c r="F1524" t="s">
        <v>11</v>
      </c>
      <c r="G1524" t="s">
        <v>12</v>
      </c>
    </row>
    <row r="1525" spans="1:7" x14ac:dyDescent="0.3">
      <c r="A1525" t="s">
        <v>56</v>
      </c>
      <c r="B1525" t="s">
        <v>8</v>
      </c>
      <c r="C1525" t="s">
        <v>17</v>
      </c>
      <c r="D1525">
        <v>4</v>
      </c>
      <c r="E1525" t="s">
        <v>42</v>
      </c>
      <c r="F1525" t="s">
        <v>11</v>
      </c>
      <c r="G1525" t="s">
        <v>12</v>
      </c>
    </row>
    <row r="1526" spans="1:7" x14ac:dyDescent="0.3">
      <c r="A1526" t="s">
        <v>56</v>
      </c>
      <c r="B1526" t="s">
        <v>8</v>
      </c>
      <c r="C1526" t="s">
        <v>18</v>
      </c>
      <c r="D1526">
        <v>0</v>
      </c>
      <c r="E1526" t="s">
        <v>42</v>
      </c>
      <c r="F1526" t="s">
        <v>11</v>
      </c>
      <c r="G1526" t="s">
        <v>12</v>
      </c>
    </row>
    <row r="1527" spans="1:7" x14ac:dyDescent="0.3">
      <c r="A1527" t="s">
        <v>56</v>
      </c>
      <c r="B1527" t="s">
        <v>8</v>
      </c>
      <c r="C1527" t="s">
        <v>19</v>
      </c>
      <c r="D1527">
        <v>0</v>
      </c>
      <c r="E1527" t="s">
        <v>42</v>
      </c>
      <c r="F1527" t="s">
        <v>11</v>
      </c>
      <c r="G1527" t="s">
        <v>12</v>
      </c>
    </row>
    <row r="1528" spans="1:7" x14ac:dyDescent="0.3">
      <c r="A1528" t="s">
        <v>56</v>
      </c>
      <c r="B1528" t="s">
        <v>8</v>
      </c>
      <c r="C1528" t="s">
        <v>20</v>
      </c>
      <c r="D1528">
        <v>0</v>
      </c>
      <c r="E1528" t="s">
        <v>42</v>
      </c>
      <c r="F1528" t="s">
        <v>11</v>
      </c>
      <c r="G1528" t="s">
        <v>12</v>
      </c>
    </row>
    <row r="1529" spans="1:7" x14ac:dyDescent="0.3">
      <c r="A1529" t="s">
        <v>56</v>
      </c>
      <c r="B1529" t="s">
        <v>8</v>
      </c>
      <c r="C1529" t="s">
        <v>21</v>
      </c>
      <c r="D1529">
        <v>0</v>
      </c>
      <c r="E1529" t="s">
        <v>42</v>
      </c>
      <c r="F1529" t="s">
        <v>11</v>
      </c>
      <c r="G1529" t="s">
        <v>12</v>
      </c>
    </row>
    <row r="1530" spans="1:7" x14ac:dyDescent="0.3">
      <c r="A1530" t="s">
        <v>56</v>
      </c>
      <c r="B1530" t="s">
        <v>8</v>
      </c>
      <c r="C1530" t="s">
        <v>22</v>
      </c>
      <c r="D1530">
        <v>2</v>
      </c>
      <c r="E1530" t="s">
        <v>42</v>
      </c>
      <c r="F1530" t="s">
        <v>11</v>
      </c>
      <c r="G1530" t="s">
        <v>12</v>
      </c>
    </row>
    <row r="1531" spans="1:7" x14ac:dyDescent="0.3">
      <c r="A1531" t="s">
        <v>56</v>
      </c>
      <c r="B1531" t="s">
        <v>23</v>
      </c>
      <c r="C1531" t="s">
        <v>9</v>
      </c>
      <c r="D1531">
        <v>66</v>
      </c>
      <c r="E1531" t="s">
        <v>42</v>
      </c>
      <c r="F1531" t="s">
        <v>11</v>
      </c>
      <c r="G1531" t="s">
        <v>12</v>
      </c>
    </row>
    <row r="1532" spans="1:7" x14ac:dyDescent="0.3">
      <c r="A1532" t="s">
        <v>56</v>
      </c>
      <c r="B1532" t="s">
        <v>23</v>
      </c>
      <c r="C1532" t="s">
        <v>13</v>
      </c>
      <c r="D1532">
        <v>112</v>
      </c>
      <c r="E1532" t="s">
        <v>42</v>
      </c>
      <c r="F1532" t="s">
        <v>11</v>
      </c>
      <c r="G1532" t="s">
        <v>12</v>
      </c>
    </row>
    <row r="1533" spans="1:7" x14ac:dyDescent="0.3">
      <c r="A1533" t="s">
        <v>56</v>
      </c>
      <c r="B1533" t="s">
        <v>23</v>
      </c>
      <c r="C1533" t="s">
        <v>14</v>
      </c>
      <c r="D1533">
        <v>42</v>
      </c>
      <c r="E1533" t="s">
        <v>42</v>
      </c>
      <c r="F1533" t="s">
        <v>11</v>
      </c>
      <c r="G1533" t="s">
        <v>12</v>
      </c>
    </row>
    <row r="1534" spans="1:7" x14ac:dyDescent="0.3">
      <c r="A1534" t="s">
        <v>56</v>
      </c>
      <c r="B1534" t="s">
        <v>23</v>
      </c>
      <c r="C1534" t="s">
        <v>15</v>
      </c>
      <c r="D1534">
        <v>0</v>
      </c>
      <c r="E1534" t="s">
        <v>42</v>
      </c>
      <c r="F1534" t="s">
        <v>11</v>
      </c>
      <c r="G1534" t="s">
        <v>12</v>
      </c>
    </row>
    <row r="1535" spans="1:7" x14ac:dyDescent="0.3">
      <c r="A1535" t="s">
        <v>56</v>
      </c>
      <c r="B1535" t="s">
        <v>23</v>
      </c>
      <c r="C1535" t="s">
        <v>16</v>
      </c>
      <c r="D1535">
        <v>19</v>
      </c>
      <c r="E1535" t="s">
        <v>42</v>
      </c>
      <c r="F1535" t="s">
        <v>11</v>
      </c>
      <c r="G1535" t="s">
        <v>12</v>
      </c>
    </row>
    <row r="1536" spans="1:7" x14ac:dyDescent="0.3">
      <c r="A1536" t="s">
        <v>56</v>
      </c>
      <c r="B1536" t="s">
        <v>23</v>
      </c>
      <c r="C1536" t="s">
        <v>17</v>
      </c>
      <c r="D1536">
        <v>3</v>
      </c>
      <c r="E1536" t="s">
        <v>42</v>
      </c>
      <c r="F1536" t="s">
        <v>11</v>
      </c>
      <c r="G1536" t="s">
        <v>12</v>
      </c>
    </row>
    <row r="1537" spans="1:7" x14ac:dyDescent="0.3">
      <c r="A1537" t="s">
        <v>56</v>
      </c>
      <c r="B1537" t="s">
        <v>23</v>
      </c>
      <c r="C1537" t="s">
        <v>18</v>
      </c>
      <c r="D1537">
        <v>0</v>
      </c>
      <c r="E1537" t="s">
        <v>42</v>
      </c>
      <c r="F1537" t="s">
        <v>11</v>
      </c>
      <c r="G1537" t="s">
        <v>12</v>
      </c>
    </row>
    <row r="1538" spans="1:7" x14ac:dyDescent="0.3">
      <c r="A1538" t="s">
        <v>56</v>
      </c>
      <c r="B1538" t="s">
        <v>23</v>
      </c>
      <c r="C1538" t="s">
        <v>19</v>
      </c>
      <c r="D1538">
        <v>3</v>
      </c>
      <c r="E1538" t="s">
        <v>42</v>
      </c>
      <c r="F1538" t="s">
        <v>11</v>
      </c>
      <c r="G1538" t="s">
        <v>12</v>
      </c>
    </row>
    <row r="1539" spans="1:7" x14ac:dyDescent="0.3">
      <c r="A1539" t="s">
        <v>56</v>
      </c>
      <c r="B1539" t="s">
        <v>23</v>
      </c>
      <c r="C1539" t="s">
        <v>20</v>
      </c>
      <c r="D1539">
        <v>2</v>
      </c>
      <c r="E1539" t="s">
        <v>42</v>
      </c>
      <c r="F1539" t="s">
        <v>11</v>
      </c>
      <c r="G1539" t="s">
        <v>12</v>
      </c>
    </row>
    <row r="1540" spans="1:7" x14ac:dyDescent="0.3">
      <c r="A1540" t="s">
        <v>56</v>
      </c>
      <c r="B1540" t="s">
        <v>23</v>
      </c>
      <c r="C1540" t="s">
        <v>21</v>
      </c>
      <c r="D1540">
        <v>0</v>
      </c>
      <c r="E1540" t="s">
        <v>42</v>
      </c>
      <c r="F1540" t="s">
        <v>11</v>
      </c>
      <c r="G1540" t="s">
        <v>12</v>
      </c>
    </row>
    <row r="1541" spans="1:7" x14ac:dyDescent="0.3">
      <c r="A1541" t="s">
        <v>56</v>
      </c>
      <c r="B1541" t="s">
        <v>23</v>
      </c>
      <c r="C1541" t="s">
        <v>22</v>
      </c>
      <c r="D1541">
        <v>4</v>
      </c>
      <c r="E1541" t="s">
        <v>42</v>
      </c>
      <c r="F1541" t="s">
        <v>11</v>
      </c>
      <c r="G1541" t="s">
        <v>12</v>
      </c>
    </row>
    <row r="1542" spans="1:7" x14ac:dyDescent="0.3">
      <c r="A1542" t="s">
        <v>41</v>
      </c>
      <c r="B1542" t="s">
        <v>8</v>
      </c>
      <c r="C1542" t="s">
        <v>9</v>
      </c>
      <c r="D1542">
        <v>0</v>
      </c>
      <c r="E1542" t="s">
        <v>42</v>
      </c>
      <c r="F1542" t="s">
        <v>36</v>
      </c>
      <c r="G1542" t="s">
        <v>37</v>
      </c>
    </row>
    <row r="1543" spans="1:7" x14ac:dyDescent="0.3">
      <c r="A1543" t="s">
        <v>41</v>
      </c>
      <c r="B1543" t="s">
        <v>8</v>
      </c>
      <c r="C1543" t="s">
        <v>13</v>
      </c>
      <c r="D1543">
        <v>0</v>
      </c>
      <c r="E1543" t="s">
        <v>42</v>
      </c>
      <c r="F1543" t="s">
        <v>36</v>
      </c>
      <c r="G1543" t="s">
        <v>37</v>
      </c>
    </row>
    <row r="1544" spans="1:7" x14ac:dyDescent="0.3">
      <c r="A1544" t="s">
        <v>41</v>
      </c>
      <c r="B1544" t="s">
        <v>8</v>
      </c>
      <c r="C1544" t="s">
        <v>14</v>
      </c>
      <c r="D1544">
        <v>0</v>
      </c>
      <c r="E1544" t="s">
        <v>42</v>
      </c>
      <c r="F1544" t="s">
        <v>36</v>
      </c>
      <c r="G1544" t="s">
        <v>37</v>
      </c>
    </row>
    <row r="1545" spans="1:7" x14ac:dyDescent="0.3">
      <c r="A1545" t="s">
        <v>41</v>
      </c>
      <c r="B1545" t="s">
        <v>8</v>
      </c>
      <c r="C1545" t="s">
        <v>15</v>
      </c>
      <c r="D1545">
        <v>0</v>
      </c>
      <c r="E1545" t="s">
        <v>42</v>
      </c>
      <c r="F1545" t="s">
        <v>36</v>
      </c>
      <c r="G1545" t="s">
        <v>37</v>
      </c>
    </row>
    <row r="1546" spans="1:7" x14ac:dyDescent="0.3">
      <c r="A1546" t="s">
        <v>41</v>
      </c>
      <c r="B1546" t="s">
        <v>8</v>
      </c>
      <c r="C1546" t="s">
        <v>16</v>
      </c>
      <c r="D1546">
        <v>0</v>
      </c>
      <c r="E1546" t="s">
        <v>42</v>
      </c>
      <c r="F1546" t="s">
        <v>36</v>
      </c>
      <c r="G1546" t="s">
        <v>37</v>
      </c>
    </row>
    <row r="1547" spans="1:7" x14ac:dyDescent="0.3">
      <c r="A1547" t="s">
        <v>41</v>
      </c>
      <c r="B1547" t="s">
        <v>8</v>
      </c>
      <c r="C1547" t="s">
        <v>17</v>
      </c>
      <c r="D1547">
        <v>0</v>
      </c>
      <c r="E1547" t="s">
        <v>42</v>
      </c>
      <c r="F1547" t="s">
        <v>36</v>
      </c>
      <c r="G1547" t="s">
        <v>37</v>
      </c>
    </row>
    <row r="1548" spans="1:7" x14ac:dyDescent="0.3">
      <c r="A1548" t="s">
        <v>41</v>
      </c>
      <c r="B1548" t="s">
        <v>8</v>
      </c>
      <c r="C1548" t="s">
        <v>18</v>
      </c>
      <c r="D1548">
        <v>0</v>
      </c>
      <c r="E1548" t="s">
        <v>42</v>
      </c>
      <c r="F1548" t="s">
        <v>36</v>
      </c>
      <c r="G1548" t="s">
        <v>37</v>
      </c>
    </row>
    <row r="1549" spans="1:7" x14ac:dyDescent="0.3">
      <c r="A1549" t="s">
        <v>41</v>
      </c>
      <c r="B1549" t="s">
        <v>8</v>
      </c>
      <c r="C1549" t="s">
        <v>19</v>
      </c>
      <c r="D1549">
        <v>0</v>
      </c>
      <c r="E1549" t="s">
        <v>42</v>
      </c>
      <c r="F1549" t="s">
        <v>36</v>
      </c>
      <c r="G1549" t="s">
        <v>37</v>
      </c>
    </row>
    <row r="1550" spans="1:7" x14ac:dyDescent="0.3">
      <c r="A1550" t="s">
        <v>41</v>
      </c>
      <c r="B1550" t="s">
        <v>8</v>
      </c>
      <c r="C1550" t="s">
        <v>20</v>
      </c>
      <c r="D1550">
        <v>0</v>
      </c>
      <c r="E1550" t="s">
        <v>42</v>
      </c>
      <c r="F1550" t="s">
        <v>36</v>
      </c>
      <c r="G1550" t="s">
        <v>37</v>
      </c>
    </row>
    <row r="1551" spans="1:7" x14ac:dyDescent="0.3">
      <c r="A1551" t="s">
        <v>41</v>
      </c>
      <c r="B1551" t="s">
        <v>8</v>
      </c>
      <c r="C1551" t="s">
        <v>21</v>
      </c>
      <c r="D1551">
        <v>0</v>
      </c>
      <c r="E1551" t="s">
        <v>42</v>
      </c>
      <c r="F1551" t="s">
        <v>36</v>
      </c>
      <c r="G1551" t="s">
        <v>37</v>
      </c>
    </row>
    <row r="1552" spans="1:7" x14ac:dyDescent="0.3">
      <c r="A1552" t="s">
        <v>41</v>
      </c>
      <c r="B1552" t="s">
        <v>8</v>
      </c>
      <c r="C1552" t="s">
        <v>22</v>
      </c>
      <c r="D1552">
        <v>0</v>
      </c>
      <c r="E1552" t="s">
        <v>42</v>
      </c>
      <c r="F1552" t="s">
        <v>36</v>
      </c>
      <c r="G1552" t="s">
        <v>37</v>
      </c>
    </row>
    <row r="1553" spans="1:7" x14ac:dyDescent="0.3">
      <c r="A1553" t="s">
        <v>41</v>
      </c>
      <c r="B1553" t="s">
        <v>23</v>
      </c>
      <c r="C1553" t="s">
        <v>9</v>
      </c>
      <c r="D1553">
        <v>2065</v>
      </c>
      <c r="E1553" t="s">
        <v>42</v>
      </c>
      <c r="F1553" t="s">
        <v>36</v>
      </c>
      <c r="G1553" t="s">
        <v>37</v>
      </c>
    </row>
    <row r="1554" spans="1:7" x14ac:dyDescent="0.3">
      <c r="A1554" t="s">
        <v>41</v>
      </c>
      <c r="B1554" t="s">
        <v>23</v>
      </c>
      <c r="C1554" t="s">
        <v>13</v>
      </c>
      <c r="D1554">
        <v>25816</v>
      </c>
      <c r="E1554" t="s">
        <v>42</v>
      </c>
      <c r="F1554" t="s">
        <v>36</v>
      </c>
      <c r="G1554" t="s">
        <v>37</v>
      </c>
    </row>
    <row r="1555" spans="1:7" x14ac:dyDescent="0.3">
      <c r="A1555" t="s">
        <v>41</v>
      </c>
      <c r="B1555" t="s">
        <v>23</v>
      </c>
      <c r="C1555" t="s">
        <v>14</v>
      </c>
      <c r="D1555">
        <v>7562</v>
      </c>
      <c r="E1555" t="s">
        <v>42</v>
      </c>
      <c r="F1555" t="s">
        <v>36</v>
      </c>
      <c r="G1555" t="s">
        <v>37</v>
      </c>
    </row>
    <row r="1556" spans="1:7" x14ac:dyDescent="0.3">
      <c r="A1556" t="s">
        <v>41</v>
      </c>
      <c r="B1556" t="s">
        <v>23</v>
      </c>
      <c r="C1556" t="s">
        <v>15</v>
      </c>
      <c r="D1556">
        <v>1157095</v>
      </c>
      <c r="E1556" t="s">
        <v>42</v>
      </c>
      <c r="F1556" t="s">
        <v>36</v>
      </c>
      <c r="G1556" t="s">
        <v>37</v>
      </c>
    </row>
    <row r="1557" spans="1:7" x14ac:dyDescent="0.3">
      <c r="A1557" t="s">
        <v>41</v>
      </c>
      <c r="B1557" t="s">
        <v>23</v>
      </c>
      <c r="C1557" t="s">
        <v>16</v>
      </c>
      <c r="D1557">
        <v>18140</v>
      </c>
      <c r="E1557" t="s">
        <v>42</v>
      </c>
      <c r="F1557" t="s">
        <v>36</v>
      </c>
      <c r="G1557" t="s">
        <v>37</v>
      </c>
    </row>
    <row r="1558" spans="1:7" x14ac:dyDescent="0.3">
      <c r="A1558" t="s">
        <v>41</v>
      </c>
      <c r="B1558" t="s">
        <v>23</v>
      </c>
      <c r="C1558" t="s">
        <v>17</v>
      </c>
      <c r="D1558">
        <v>571</v>
      </c>
      <c r="E1558" t="s">
        <v>42</v>
      </c>
      <c r="F1558" t="s">
        <v>36</v>
      </c>
      <c r="G1558" t="s">
        <v>37</v>
      </c>
    </row>
    <row r="1559" spans="1:7" x14ac:dyDescent="0.3">
      <c r="A1559" t="s">
        <v>41</v>
      </c>
      <c r="B1559" t="s">
        <v>23</v>
      </c>
      <c r="C1559" t="s">
        <v>18</v>
      </c>
      <c r="D1559">
        <v>11</v>
      </c>
      <c r="E1559" t="s">
        <v>42</v>
      </c>
      <c r="F1559" t="s">
        <v>36</v>
      </c>
      <c r="G1559" t="s">
        <v>37</v>
      </c>
    </row>
    <row r="1560" spans="1:7" x14ac:dyDescent="0.3">
      <c r="A1560" t="s">
        <v>41</v>
      </c>
      <c r="B1560" t="s">
        <v>23</v>
      </c>
      <c r="C1560" t="s">
        <v>19</v>
      </c>
      <c r="D1560">
        <v>37983</v>
      </c>
      <c r="E1560" t="s">
        <v>42</v>
      </c>
      <c r="F1560" t="s">
        <v>36</v>
      </c>
      <c r="G1560" t="s">
        <v>37</v>
      </c>
    </row>
    <row r="1561" spans="1:7" x14ac:dyDescent="0.3">
      <c r="A1561" t="s">
        <v>41</v>
      </c>
      <c r="B1561" t="s">
        <v>23</v>
      </c>
      <c r="C1561" t="s">
        <v>20</v>
      </c>
      <c r="D1561">
        <v>17748</v>
      </c>
      <c r="E1561" t="s">
        <v>42</v>
      </c>
      <c r="F1561" t="s">
        <v>36</v>
      </c>
      <c r="G1561" t="s">
        <v>37</v>
      </c>
    </row>
    <row r="1562" spans="1:7" x14ac:dyDescent="0.3">
      <c r="A1562" t="s">
        <v>41</v>
      </c>
      <c r="B1562" t="s">
        <v>23</v>
      </c>
      <c r="C1562" t="s">
        <v>21</v>
      </c>
      <c r="D1562">
        <v>800</v>
      </c>
      <c r="E1562" t="s">
        <v>42</v>
      </c>
      <c r="F1562" t="s">
        <v>36</v>
      </c>
      <c r="G1562" t="s">
        <v>37</v>
      </c>
    </row>
    <row r="1563" spans="1:7" x14ac:dyDescent="0.3">
      <c r="A1563" t="s">
        <v>41</v>
      </c>
      <c r="B1563" t="s">
        <v>23</v>
      </c>
      <c r="C1563" t="s">
        <v>22</v>
      </c>
      <c r="D1563">
        <v>5224</v>
      </c>
      <c r="E1563" t="s">
        <v>42</v>
      </c>
      <c r="F1563" t="s">
        <v>36</v>
      </c>
      <c r="G1563" t="s">
        <v>37</v>
      </c>
    </row>
    <row r="1564" spans="1:7" x14ac:dyDescent="0.3">
      <c r="A1564" t="s">
        <v>43</v>
      </c>
      <c r="B1564" t="s">
        <v>8</v>
      </c>
      <c r="C1564" t="s">
        <v>9</v>
      </c>
      <c r="D1564">
        <v>0</v>
      </c>
      <c r="E1564" t="s">
        <v>42</v>
      </c>
      <c r="F1564" t="s">
        <v>36</v>
      </c>
      <c r="G1564" t="s">
        <v>37</v>
      </c>
    </row>
    <row r="1565" spans="1:7" x14ac:dyDescent="0.3">
      <c r="A1565" t="s">
        <v>43</v>
      </c>
      <c r="B1565" t="s">
        <v>8</v>
      </c>
      <c r="C1565" t="s">
        <v>13</v>
      </c>
      <c r="D1565">
        <v>0</v>
      </c>
      <c r="E1565" t="s">
        <v>42</v>
      </c>
      <c r="F1565" t="s">
        <v>36</v>
      </c>
      <c r="G1565" t="s">
        <v>37</v>
      </c>
    </row>
    <row r="1566" spans="1:7" x14ac:dyDescent="0.3">
      <c r="A1566" t="s">
        <v>43</v>
      </c>
      <c r="B1566" t="s">
        <v>8</v>
      </c>
      <c r="C1566" t="s">
        <v>14</v>
      </c>
      <c r="D1566">
        <v>0</v>
      </c>
      <c r="E1566" t="s">
        <v>42</v>
      </c>
      <c r="F1566" t="s">
        <v>36</v>
      </c>
      <c r="G1566" t="s">
        <v>37</v>
      </c>
    </row>
    <row r="1567" spans="1:7" x14ac:dyDescent="0.3">
      <c r="A1567" t="s">
        <v>43</v>
      </c>
      <c r="B1567" t="s">
        <v>8</v>
      </c>
      <c r="C1567" t="s">
        <v>15</v>
      </c>
      <c r="D1567">
        <v>0</v>
      </c>
      <c r="E1567" t="s">
        <v>42</v>
      </c>
      <c r="F1567" t="s">
        <v>36</v>
      </c>
      <c r="G1567" t="s">
        <v>37</v>
      </c>
    </row>
    <row r="1568" spans="1:7" x14ac:dyDescent="0.3">
      <c r="A1568" t="s">
        <v>43</v>
      </c>
      <c r="B1568" t="s">
        <v>8</v>
      </c>
      <c r="C1568" t="s">
        <v>16</v>
      </c>
      <c r="D1568">
        <v>0</v>
      </c>
      <c r="E1568" t="s">
        <v>42</v>
      </c>
      <c r="F1568" t="s">
        <v>36</v>
      </c>
      <c r="G1568" t="s">
        <v>37</v>
      </c>
    </row>
    <row r="1569" spans="1:7" x14ac:dyDescent="0.3">
      <c r="A1569" t="s">
        <v>43</v>
      </c>
      <c r="B1569" t="s">
        <v>8</v>
      </c>
      <c r="C1569" t="s">
        <v>17</v>
      </c>
      <c r="D1569">
        <v>0</v>
      </c>
      <c r="E1569" t="s">
        <v>42</v>
      </c>
      <c r="F1569" t="s">
        <v>36</v>
      </c>
      <c r="G1569" t="s">
        <v>37</v>
      </c>
    </row>
    <row r="1570" spans="1:7" x14ac:dyDescent="0.3">
      <c r="A1570" t="s">
        <v>43</v>
      </c>
      <c r="B1570" t="s">
        <v>8</v>
      </c>
      <c r="C1570" t="s">
        <v>18</v>
      </c>
      <c r="D1570">
        <v>0</v>
      </c>
      <c r="E1570" t="s">
        <v>42</v>
      </c>
      <c r="F1570" t="s">
        <v>36</v>
      </c>
      <c r="G1570" t="s">
        <v>37</v>
      </c>
    </row>
    <row r="1571" spans="1:7" x14ac:dyDescent="0.3">
      <c r="A1571" t="s">
        <v>43</v>
      </c>
      <c r="B1571" t="s">
        <v>8</v>
      </c>
      <c r="C1571" t="s">
        <v>19</v>
      </c>
      <c r="D1571">
        <v>0</v>
      </c>
      <c r="E1571" t="s">
        <v>42</v>
      </c>
      <c r="F1571" t="s">
        <v>36</v>
      </c>
      <c r="G1571" t="s">
        <v>37</v>
      </c>
    </row>
    <row r="1572" spans="1:7" x14ac:dyDescent="0.3">
      <c r="A1572" t="s">
        <v>43</v>
      </c>
      <c r="B1572" t="s">
        <v>8</v>
      </c>
      <c r="C1572" t="s">
        <v>20</v>
      </c>
      <c r="D1572">
        <v>0</v>
      </c>
      <c r="E1572" t="s">
        <v>42</v>
      </c>
      <c r="F1572" t="s">
        <v>36</v>
      </c>
      <c r="G1572" t="s">
        <v>37</v>
      </c>
    </row>
    <row r="1573" spans="1:7" x14ac:dyDescent="0.3">
      <c r="A1573" t="s">
        <v>43</v>
      </c>
      <c r="B1573" t="s">
        <v>8</v>
      </c>
      <c r="C1573" t="s">
        <v>21</v>
      </c>
      <c r="D1573">
        <v>0</v>
      </c>
      <c r="E1573" t="s">
        <v>42</v>
      </c>
      <c r="F1573" t="s">
        <v>36</v>
      </c>
      <c r="G1573" t="s">
        <v>37</v>
      </c>
    </row>
    <row r="1574" spans="1:7" x14ac:dyDescent="0.3">
      <c r="A1574" t="s">
        <v>43</v>
      </c>
      <c r="B1574" t="s">
        <v>8</v>
      </c>
      <c r="C1574" t="s">
        <v>22</v>
      </c>
      <c r="D1574">
        <v>0</v>
      </c>
      <c r="E1574" t="s">
        <v>42</v>
      </c>
      <c r="F1574" t="s">
        <v>36</v>
      </c>
      <c r="G1574" t="s">
        <v>37</v>
      </c>
    </row>
    <row r="1575" spans="1:7" x14ac:dyDescent="0.3">
      <c r="A1575" t="s">
        <v>43</v>
      </c>
      <c r="B1575" t="s">
        <v>23</v>
      </c>
      <c r="C1575" t="s">
        <v>9</v>
      </c>
      <c r="D1575">
        <v>90</v>
      </c>
      <c r="E1575" t="s">
        <v>42</v>
      </c>
      <c r="F1575" t="s">
        <v>36</v>
      </c>
      <c r="G1575" t="s">
        <v>37</v>
      </c>
    </row>
    <row r="1576" spans="1:7" x14ac:dyDescent="0.3">
      <c r="A1576" t="s">
        <v>43</v>
      </c>
      <c r="B1576" t="s">
        <v>23</v>
      </c>
      <c r="C1576" t="s">
        <v>13</v>
      </c>
      <c r="D1576">
        <v>20</v>
      </c>
      <c r="E1576" t="s">
        <v>42</v>
      </c>
      <c r="F1576" t="s">
        <v>36</v>
      </c>
      <c r="G1576" t="s">
        <v>37</v>
      </c>
    </row>
    <row r="1577" spans="1:7" x14ac:dyDescent="0.3">
      <c r="A1577" t="s">
        <v>43</v>
      </c>
      <c r="B1577" t="s">
        <v>23</v>
      </c>
      <c r="C1577" t="s">
        <v>14</v>
      </c>
      <c r="D1577">
        <v>54225</v>
      </c>
      <c r="E1577" t="s">
        <v>42</v>
      </c>
      <c r="F1577" t="s">
        <v>36</v>
      </c>
      <c r="G1577" t="s">
        <v>37</v>
      </c>
    </row>
    <row r="1578" spans="1:7" x14ac:dyDescent="0.3">
      <c r="A1578" t="s">
        <v>43</v>
      </c>
      <c r="B1578" t="s">
        <v>23</v>
      </c>
      <c r="C1578" t="s">
        <v>15</v>
      </c>
      <c r="D1578">
        <v>2143</v>
      </c>
      <c r="E1578" t="s">
        <v>42</v>
      </c>
      <c r="F1578" t="s">
        <v>36</v>
      </c>
      <c r="G1578" t="s">
        <v>37</v>
      </c>
    </row>
    <row r="1579" spans="1:7" x14ac:dyDescent="0.3">
      <c r="A1579" t="s">
        <v>43</v>
      </c>
      <c r="B1579" t="s">
        <v>23</v>
      </c>
      <c r="C1579" t="s">
        <v>16</v>
      </c>
      <c r="D1579">
        <v>14211</v>
      </c>
      <c r="E1579" t="s">
        <v>42</v>
      </c>
      <c r="F1579" t="s">
        <v>36</v>
      </c>
      <c r="G1579" t="s">
        <v>37</v>
      </c>
    </row>
    <row r="1580" spans="1:7" x14ac:dyDescent="0.3">
      <c r="A1580" t="s">
        <v>43</v>
      </c>
      <c r="B1580" t="s">
        <v>23</v>
      </c>
      <c r="C1580" t="s">
        <v>17</v>
      </c>
      <c r="D1580">
        <v>11</v>
      </c>
      <c r="E1580" t="s">
        <v>42</v>
      </c>
      <c r="F1580" t="s">
        <v>36</v>
      </c>
      <c r="G1580" t="s">
        <v>37</v>
      </c>
    </row>
    <row r="1581" spans="1:7" x14ac:dyDescent="0.3">
      <c r="A1581" t="s">
        <v>43</v>
      </c>
      <c r="B1581" t="s">
        <v>23</v>
      </c>
      <c r="C1581" t="s">
        <v>18</v>
      </c>
      <c r="D1581">
        <v>0</v>
      </c>
      <c r="E1581" t="s">
        <v>42</v>
      </c>
      <c r="F1581" t="s">
        <v>36</v>
      </c>
      <c r="G1581" t="s">
        <v>37</v>
      </c>
    </row>
    <row r="1582" spans="1:7" x14ac:dyDescent="0.3">
      <c r="A1582" t="s">
        <v>43</v>
      </c>
      <c r="B1582" t="s">
        <v>23</v>
      </c>
      <c r="C1582" t="s">
        <v>19</v>
      </c>
      <c r="D1582">
        <v>96</v>
      </c>
      <c r="E1582" t="s">
        <v>42</v>
      </c>
      <c r="F1582" t="s">
        <v>36</v>
      </c>
      <c r="G1582" t="s">
        <v>37</v>
      </c>
    </row>
    <row r="1583" spans="1:7" x14ac:dyDescent="0.3">
      <c r="A1583" t="s">
        <v>43</v>
      </c>
      <c r="B1583" t="s">
        <v>23</v>
      </c>
      <c r="C1583" t="s">
        <v>20</v>
      </c>
      <c r="D1583">
        <v>312</v>
      </c>
      <c r="E1583" t="s">
        <v>42</v>
      </c>
      <c r="F1583" t="s">
        <v>36</v>
      </c>
      <c r="G1583" t="s">
        <v>37</v>
      </c>
    </row>
    <row r="1584" spans="1:7" x14ac:dyDescent="0.3">
      <c r="A1584" t="s">
        <v>43</v>
      </c>
      <c r="B1584" t="s">
        <v>23</v>
      </c>
      <c r="C1584" t="s">
        <v>21</v>
      </c>
      <c r="D1584">
        <v>81</v>
      </c>
      <c r="E1584" t="s">
        <v>42</v>
      </c>
      <c r="F1584" t="s">
        <v>36</v>
      </c>
      <c r="G1584" t="s">
        <v>37</v>
      </c>
    </row>
    <row r="1585" spans="1:7" x14ac:dyDescent="0.3">
      <c r="A1585" t="s">
        <v>43</v>
      </c>
      <c r="B1585" t="s">
        <v>23</v>
      </c>
      <c r="C1585" t="s">
        <v>22</v>
      </c>
      <c r="D1585">
        <v>86</v>
      </c>
      <c r="E1585" t="s">
        <v>42</v>
      </c>
      <c r="F1585" t="s">
        <v>36</v>
      </c>
      <c r="G1585" t="s">
        <v>37</v>
      </c>
    </row>
    <row r="1586" spans="1:7" x14ac:dyDescent="0.3">
      <c r="A1586" t="s">
        <v>44</v>
      </c>
      <c r="B1586" t="s">
        <v>8</v>
      </c>
      <c r="C1586" t="s">
        <v>9</v>
      </c>
      <c r="D1586">
        <v>0</v>
      </c>
      <c r="E1586" t="s">
        <v>42</v>
      </c>
      <c r="F1586" t="s">
        <v>36</v>
      </c>
      <c r="G1586" t="s">
        <v>37</v>
      </c>
    </row>
    <row r="1587" spans="1:7" x14ac:dyDescent="0.3">
      <c r="A1587" t="s">
        <v>44</v>
      </c>
      <c r="B1587" t="s">
        <v>8</v>
      </c>
      <c r="C1587" t="s">
        <v>13</v>
      </c>
      <c r="D1587">
        <v>0</v>
      </c>
      <c r="E1587" t="s">
        <v>42</v>
      </c>
      <c r="F1587" t="s">
        <v>36</v>
      </c>
      <c r="G1587" t="s">
        <v>37</v>
      </c>
    </row>
    <row r="1588" spans="1:7" x14ac:dyDescent="0.3">
      <c r="A1588" t="s">
        <v>44</v>
      </c>
      <c r="B1588" t="s">
        <v>8</v>
      </c>
      <c r="C1588" t="s">
        <v>14</v>
      </c>
      <c r="D1588">
        <v>0</v>
      </c>
      <c r="E1588" t="s">
        <v>42</v>
      </c>
      <c r="F1588" t="s">
        <v>36</v>
      </c>
      <c r="G1588" t="s">
        <v>37</v>
      </c>
    </row>
    <row r="1589" spans="1:7" x14ac:dyDescent="0.3">
      <c r="A1589" t="s">
        <v>44</v>
      </c>
      <c r="B1589" t="s">
        <v>8</v>
      </c>
      <c r="C1589" t="s">
        <v>15</v>
      </c>
      <c r="D1589">
        <v>0</v>
      </c>
      <c r="E1589" t="s">
        <v>42</v>
      </c>
      <c r="F1589" t="s">
        <v>36</v>
      </c>
      <c r="G1589" t="s">
        <v>37</v>
      </c>
    </row>
    <row r="1590" spans="1:7" x14ac:dyDescent="0.3">
      <c r="A1590" t="s">
        <v>44</v>
      </c>
      <c r="B1590" t="s">
        <v>8</v>
      </c>
      <c r="C1590" t="s">
        <v>16</v>
      </c>
      <c r="D1590">
        <v>0</v>
      </c>
      <c r="E1590" t="s">
        <v>42</v>
      </c>
      <c r="F1590" t="s">
        <v>36</v>
      </c>
      <c r="G1590" t="s">
        <v>37</v>
      </c>
    </row>
    <row r="1591" spans="1:7" x14ac:dyDescent="0.3">
      <c r="A1591" t="s">
        <v>44</v>
      </c>
      <c r="B1591" t="s">
        <v>8</v>
      </c>
      <c r="C1591" t="s">
        <v>17</v>
      </c>
      <c r="D1591">
        <v>0</v>
      </c>
      <c r="E1591" t="s">
        <v>42</v>
      </c>
      <c r="F1591" t="s">
        <v>36</v>
      </c>
      <c r="G1591" t="s">
        <v>37</v>
      </c>
    </row>
    <row r="1592" spans="1:7" x14ac:dyDescent="0.3">
      <c r="A1592" t="s">
        <v>44</v>
      </c>
      <c r="B1592" t="s">
        <v>8</v>
      </c>
      <c r="C1592" t="s">
        <v>18</v>
      </c>
      <c r="D1592">
        <v>0</v>
      </c>
      <c r="E1592" t="s">
        <v>42</v>
      </c>
      <c r="F1592" t="s">
        <v>36</v>
      </c>
      <c r="G1592" t="s">
        <v>37</v>
      </c>
    </row>
    <row r="1593" spans="1:7" x14ac:dyDescent="0.3">
      <c r="A1593" t="s">
        <v>44</v>
      </c>
      <c r="B1593" t="s">
        <v>8</v>
      </c>
      <c r="C1593" t="s">
        <v>19</v>
      </c>
      <c r="D1593">
        <v>0</v>
      </c>
      <c r="E1593" t="s">
        <v>42</v>
      </c>
      <c r="F1593" t="s">
        <v>36</v>
      </c>
      <c r="G1593" t="s">
        <v>37</v>
      </c>
    </row>
    <row r="1594" spans="1:7" x14ac:dyDescent="0.3">
      <c r="A1594" t="s">
        <v>44</v>
      </c>
      <c r="B1594" t="s">
        <v>8</v>
      </c>
      <c r="C1594" t="s">
        <v>20</v>
      </c>
      <c r="D1594">
        <v>0</v>
      </c>
      <c r="E1594" t="s">
        <v>42</v>
      </c>
      <c r="F1594" t="s">
        <v>36</v>
      </c>
      <c r="G1594" t="s">
        <v>37</v>
      </c>
    </row>
    <row r="1595" spans="1:7" x14ac:dyDescent="0.3">
      <c r="A1595" t="s">
        <v>44</v>
      </c>
      <c r="B1595" t="s">
        <v>8</v>
      </c>
      <c r="C1595" t="s">
        <v>21</v>
      </c>
      <c r="D1595">
        <v>0</v>
      </c>
      <c r="E1595" t="s">
        <v>42</v>
      </c>
      <c r="F1595" t="s">
        <v>36</v>
      </c>
      <c r="G1595" t="s">
        <v>37</v>
      </c>
    </row>
    <row r="1596" spans="1:7" x14ac:dyDescent="0.3">
      <c r="A1596" t="s">
        <v>44</v>
      </c>
      <c r="B1596" t="s">
        <v>8</v>
      </c>
      <c r="C1596" t="s">
        <v>22</v>
      </c>
      <c r="D1596">
        <v>0</v>
      </c>
      <c r="E1596" t="s">
        <v>42</v>
      </c>
      <c r="F1596" t="s">
        <v>36</v>
      </c>
      <c r="G1596" t="s">
        <v>37</v>
      </c>
    </row>
    <row r="1597" spans="1:7" x14ac:dyDescent="0.3">
      <c r="A1597" t="s">
        <v>44</v>
      </c>
      <c r="B1597" t="s">
        <v>23</v>
      </c>
      <c r="C1597" t="s">
        <v>9</v>
      </c>
      <c r="D1597">
        <v>454</v>
      </c>
      <c r="E1597" t="s">
        <v>42</v>
      </c>
      <c r="F1597" t="s">
        <v>36</v>
      </c>
      <c r="G1597" t="s">
        <v>37</v>
      </c>
    </row>
    <row r="1598" spans="1:7" x14ac:dyDescent="0.3">
      <c r="A1598" t="s">
        <v>44</v>
      </c>
      <c r="B1598" t="s">
        <v>23</v>
      </c>
      <c r="C1598" t="s">
        <v>13</v>
      </c>
      <c r="D1598">
        <v>100</v>
      </c>
      <c r="E1598" t="s">
        <v>42</v>
      </c>
      <c r="F1598" t="s">
        <v>36</v>
      </c>
      <c r="G1598" t="s">
        <v>37</v>
      </c>
    </row>
    <row r="1599" spans="1:7" x14ac:dyDescent="0.3">
      <c r="A1599" t="s">
        <v>44</v>
      </c>
      <c r="B1599" t="s">
        <v>23</v>
      </c>
      <c r="C1599" t="s">
        <v>14</v>
      </c>
      <c r="D1599">
        <v>272503</v>
      </c>
      <c r="E1599" t="s">
        <v>42</v>
      </c>
      <c r="F1599" t="s">
        <v>36</v>
      </c>
      <c r="G1599" t="s">
        <v>37</v>
      </c>
    </row>
    <row r="1600" spans="1:7" x14ac:dyDescent="0.3">
      <c r="A1600" t="s">
        <v>44</v>
      </c>
      <c r="B1600" t="s">
        <v>23</v>
      </c>
      <c r="C1600" t="s">
        <v>15</v>
      </c>
      <c r="D1600">
        <v>10772</v>
      </c>
      <c r="E1600" t="s">
        <v>42</v>
      </c>
      <c r="F1600" t="s">
        <v>36</v>
      </c>
      <c r="G1600" t="s">
        <v>37</v>
      </c>
    </row>
    <row r="1601" spans="1:7" x14ac:dyDescent="0.3">
      <c r="A1601" t="s">
        <v>44</v>
      </c>
      <c r="B1601" t="s">
        <v>23</v>
      </c>
      <c r="C1601" t="s">
        <v>16</v>
      </c>
      <c r="D1601">
        <v>71416</v>
      </c>
      <c r="E1601" t="s">
        <v>42</v>
      </c>
      <c r="F1601" t="s">
        <v>36</v>
      </c>
      <c r="G1601" t="s">
        <v>37</v>
      </c>
    </row>
    <row r="1602" spans="1:7" x14ac:dyDescent="0.3">
      <c r="A1602" t="s">
        <v>44</v>
      </c>
      <c r="B1602" t="s">
        <v>23</v>
      </c>
      <c r="C1602" t="s">
        <v>17</v>
      </c>
      <c r="D1602">
        <v>55</v>
      </c>
      <c r="E1602" t="s">
        <v>42</v>
      </c>
      <c r="F1602" t="s">
        <v>36</v>
      </c>
      <c r="G1602" t="s">
        <v>37</v>
      </c>
    </row>
    <row r="1603" spans="1:7" x14ac:dyDescent="0.3">
      <c r="A1603" t="s">
        <v>44</v>
      </c>
      <c r="B1603" t="s">
        <v>23</v>
      </c>
      <c r="C1603" t="s">
        <v>18</v>
      </c>
      <c r="D1603">
        <v>0</v>
      </c>
      <c r="E1603" t="s">
        <v>42</v>
      </c>
      <c r="F1603" t="s">
        <v>36</v>
      </c>
      <c r="G1603" t="s">
        <v>37</v>
      </c>
    </row>
    <row r="1604" spans="1:7" x14ac:dyDescent="0.3">
      <c r="A1604" t="s">
        <v>44</v>
      </c>
      <c r="B1604" t="s">
        <v>23</v>
      </c>
      <c r="C1604" t="s">
        <v>19</v>
      </c>
      <c r="D1604">
        <v>483</v>
      </c>
      <c r="E1604" t="s">
        <v>42</v>
      </c>
      <c r="F1604" t="s">
        <v>36</v>
      </c>
      <c r="G1604" t="s">
        <v>37</v>
      </c>
    </row>
    <row r="1605" spans="1:7" x14ac:dyDescent="0.3">
      <c r="A1605" t="s">
        <v>44</v>
      </c>
      <c r="B1605" t="s">
        <v>23</v>
      </c>
      <c r="C1605" t="s">
        <v>20</v>
      </c>
      <c r="D1605">
        <v>1569</v>
      </c>
      <c r="E1605" t="s">
        <v>42</v>
      </c>
      <c r="F1605" t="s">
        <v>36</v>
      </c>
      <c r="G1605" t="s">
        <v>37</v>
      </c>
    </row>
    <row r="1606" spans="1:7" x14ac:dyDescent="0.3">
      <c r="A1606" t="s">
        <v>44</v>
      </c>
      <c r="B1606" t="s">
        <v>23</v>
      </c>
      <c r="C1606" t="s">
        <v>21</v>
      </c>
      <c r="D1606">
        <v>407</v>
      </c>
      <c r="E1606" t="s">
        <v>42</v>
      </c>
      <c r="F1606" t="s">
        <v>36</v>
      </c>
      <c r="G1606" t="s">
        <v>37</v>
      </c>
    </row>
    <row r="1607" spans="1:7" x14ac:dyDescent="0.3">
      <c r="A1607" t="s">
        <v>44</v>
      </c>
      <c r="B1607" t="s">
        <v>23</v>
      </c>
      <c r="C1607" t="s">
        <v>22</v>
      </c>
      <c r="D1607">
        <v>433</v>
      </c>
      <c r="E1607" t="s">
        <v>42</v>
      </c>
      <c r="F1607" t="s">
        <v>36</v>
      </c>
      <c r="G1607" t="s">
        <v>37</v>
      </c>
    </row>
    <row r="1608" spans="1:7" x14ac:dyDescent="0.3">
      <c r="A1608" t="s">
        <v>24</v>
      </c>
      <c r="B1608" t="s">
        <v>8</v>
      </c>
      <c r="C1608" t="s">
        <v>9</v>
      </c>
      <c r="D1608">
        <v>0</v>
      </c>
      <c r="E1608" t="s">
        <v>42</v>
      </c>
      <c r="F1608" t="s">
        <v>36</v>
      </c>
      <c r="G1608" t="s">
        <v>37</v>
      </c>
    </row>
    <row r="1609" spans="1:7" x14ac:dyDescent="0.3">
      <c r="A1609" t="s">
        <v>24</v>
      </c>
      <c r="B1609" t="s">
        <v>8</v>
      </c>
      <c r="C1609" t="s">
        <v>13</v>
      </c>
      <c r="D1609">
        <v>0</v>
      </c>
      <c r="E1609" t="s">
        <v>42</v>
      </c>
      <c r="F1609" t="s">
        <v>36</v>
      </c>
      <c r="G1609" t="s">
        <v>37</v>
      </c>
    </row>
    <row r="1610" spans="1:7" x14ac:dyDescent="0.3">
      <c r="A1610" t="s">
        <v>24</v>
      </c>
      <c r="B1610" t="s">
        <v>8</v>
      </c>
      <c r="C1610" t="s">
        <v>14</v>
      </c>
      <c r="D1610">
        <v>0</v>
      </c>
      <c r="E1610" t="s">
        <v>42</v>
      </c>
      <c r="F1610" t="s">
        <v>36</v>
      </c>
      <c r="G1610" t="s">
        <v>37</v>
      </c>
    </row>
    <row r="1611" spans="1:7" x14ac:dyDescent="0.3">
      <c r="A1611" t="s">
        <v>24</v>
      </c>
      <c r="B1611" t="s">
        <v>8</v>
      </c>
      <c r="C1611" t="s">
        <v>15</v>
      </c>
      <c r="D1611">
        <v>0</v>
      </c>
      <c r="E1611" t="s">
        <v>42</v>
      </c>
      <c r="F1611" t="s">
        <v>36</v>
      </c>
      <c r="G1611" t="s">
        <v>37</v>
      </c>
    </row>
    <row r="1612" spans="1:7" x14ac:dyDescent="0.3">
      <c r="A1612" t="s">
        <v>24</v>
      </c>
      <c r="B1612" t="s">
        <v>8</v>
      </c>
      <c r="C1612" t="s">
        <v>16</v>
      </c>
      <c r="D1612">
        <v>0</v>
      </c>
      <c r="E1612" t="s">
        <v>42</v>
      </c>
      <c r="F1612" t="s">
        <v>36</v>
      </c>
      <c r="G1612" t="s">
        <v>37</v>
      </c>
    </row>
    <row r="1613" spans="1:7" x14ac:dyDescent="0.3">
      <c r="A1613" t="s">
        <v>24</v>
      </c>
      <c r="B1613" t="s">
        <v>8</v>
      </c>
      <c r="C1613" t="s">
        <v>17</v>
      </c>
      <c r="D1613">
        <v>0</v>
      </c>
      <c r="E1613" t="s">
        <v>42</v>
      </c>
      <c r="F1613" t="s">
        <v>36</v>
      </c>
      <c r="G1613" t="s">
        <v>37</v>
      </c>
    </row>
    <row r="1614" spans="1:7" x14ac:dyDescent="0.3">
      <c r="A1614" t="s">
        <v>24</v>
      </c>
      <c r="B1614" t="s">
        <v>8</v>
      </c>
      <c r="C1614" t="s">
        <v>18</v>
      </c>
      <c r="D1614">
        <v>0</v>
      </c>
      <c r="E1614" t="s">
        <v>42</v>
      </c>
      <c r="F1614" t="s">
        <v>36</v>
      </c>
      <c r="G1614" t="s">
        <v>37</v>
      </c>
    </row>
    <row r="1615" spans="1:7" x14ac:dyDescent="0.3">
      <c r="A1615" t="s">
        <v>24</v>
      </c>
      <c r="B1615" t="s">
        <v>8</v>
      </c>
      <c r="C1615" t="s">
        <v>19</v>
      </c>
      <c r="D1615">
        <v>0</v>
      </c>
      <c r="E1615" t="s">
        <v>42</v>
      </c>
      <c r="F1615" t="s">
        <v>36</v>
      </c>
      <c r="G1615" t="s">
        <v>37</v>
      </c>
    </row>
    <row r="1616" spans="1:7" x14ac:dyDescent="0.3">
      <c r="A1616" t="s">
        <v>24</v>
      </c>
      <c r="B1616" t="s">
        <v>8</v>
      </c>
      <c r="C1616" t="s">
        <v>20</v>
      </c>
      <c r="D1616">
        <v>0</v>
      </c>
      <c r="E1616" t="s">
        <v>42</v>
      </c>
      <c r="F1616" t="s">
        <v>36</v>
      </c>
      <c r="G1616" t="s">
        <v>37</v>
      </c>
    </row>
    <row r="1617" spans="1:7" x14ac:dyDescent="0.3">
      <c r="A1617" t="s">
        <v>24</v>
      </c>
      <c r="B1617" t="s">
        <v>8</v>
      </c>
      <c r="C1617" t="s">
        <v>21</v>
      </c>
      <c r="D1617">
        <v>0</v>
      </c>
      <c r="E1617" t="s">
        <v>42</v>
      </c>
      <c r="F1617" t="s">
        <v>36</v>
      </c>
      <c r="G1617" t="s">
        <v>37</v>
      </c>
    </row>
    <row r="1618" spans="1:7" x14ac:dyDescent="0.3">
      <c r="A1618" t="s">
        <v>24</v>
      </c>
      <c r="B1618" t="s">
        <v>8</v>
      </c>
      <c r="C1618" t="s">
        <v>22</v>
      </c>
      <c r="D1618">
        <v>0</v>
      </c>
      <c r="E1618" t="s">
        <v>42</v>
      </c>
      <c r="F1618" t="s">
        <v>36</v>
      </c>
      <c r="G1618" t="s">
        <v>37</v>
      </c>
    </row>
    <row r="1619" spans="1:7" x14ac:dyDescent="0.3">
      <c r="A1619" t="s">
        <v>24</v>
      </c>
      <c r="B1619" t="s">
        <v>23</v>
      </c>
      <c r="C1619" t="s">
        <v>9</v>
      </c>
      <c r="D1619">
        <v>34847</v>
      </c>
      <c r="E1619" t="s">
        <v>42</v>
      </c>
      <c r="F1619" t="s">
        <v>36</v>
      </c>
      <c r="G1619" t="s">
        <v>37</v>
      </c>
    </row>
    <row r="1620" spans="1:7" x14ac:dyDescent="0.3">
      <c r="A1620" t="s">
        <v>24</v>
      </c>
      <c r="B1620" t="s">
        <v>23</v>
      </c>
      <c r="C1620" t="s">
        <v>13</v>
      </c>
      <c r="D1620">
        <v>3568</v>
      </c>
      <c r="E1620" t="s">
        <v>42</v>
      </c>
      <c r="F1620" t="s">
        <v>36</v>
      </c>
      <c r="G1620" t="s">
        <v>37</v>
      </c>
    </row>
    <row r="1621" spans="1:7" x14ac:dyDescent="0.3">
      <c r="A1621" t="s">
        <v>24</v>
      </c>
      <c r="B1621" t="s">
        <v>23</v>
      </c>
      <c r="C1621" t="s">
        <v>14</v>
      </c>
      <c r="D1621">
        <v>46830</v>
      </c>
      <c r="E1621" t="s">
        <v>42</v>
      </c>
      <c r="F1621" t="s">
        <v>36</v>
      </c>
      <c r="G1621" t="s">
        <v>37</v>
      </c>
    </row>
    <row r="1622" spans="1:7" x14ac:dyDescent="0.3">
      <c r="A1622" t="s">
        <v>24</v>
      </c>
      <c r="B1622" t="s">
        <v>23</v>
      </c>
      <c r="C1622" t="s">
        <v>15</v>
      </c>
      <c r="D1622">
        <v>4233</v>
      </c>
      <c r="E1622" t="s">
        <v>42</v>
      </c>
      <c r="F1622" t="s">
        <v>36</v>
      </c>
      <c r="G1622" t="s">
        <v>37</v>
      </c>
    </row>
    <row r="1623" spans="1:7" x14ac:dyDescent="0.3">
      <c r="A1623" t="s">
        <v>24</v>
      </c>
      <c r="B1623" t="s">
        <v>23</v>
      </c>
      <c r="C1623" t="s">
        <v>16</v>
      </c>
      <c r="D1623">
        <v>244861</v>
      </c>
      <c r="E1623" t="s">
        <v>42</v>
      </c>
      <c r="F1623" t="s">
        <v>36</v>
      </c>
      <c r="G1623" t="s">
        <v>37</v>
      </c>
    </row>
    <row r="1624" spans="1:7" x14ac:dyDescent="0.3">
      <c r="A1624" t="s">
        <v>24</v>
      </c>
      <c r="B1624" t="s">
        <v>23</v>
      </c>
      <c r="C1624" t="s">
        <v>17</v>
      </c>
      <c r="D1624">
        <v>238</v>
      </c>
      <c r="E1624" t="s">
        <v>42</v>
      </c>
      <c r="F1624" t="s">
        <v>36</v>
      </c>
      <c r="G1624" t="s">
        <v>37</v>
      </c>
    </row>
    <row r="1625" spans="1:7" x14ac:dyDescent="0.3">
      <c r="A1625" t="s">
        <v>24</v>
      </c>
      <c r="B1625" t="s">
        <v>23</v>
      </c>
      <c r="C1625" t="s">
        <v>18</v>
      </c>
      <c r="D1625">
        <v>0</v>
      </c>
      <c r="E1625" t="s">
        <v>42</v>
      </c>
      <c r="F1625" t="s">
        <v>36</v>
      </c>
      <c r="G1625" t="s">
        <v>37</v>
      </c>
    </row>
    <row r="1626" spans="1:7" x14ac:dyDescent="0.3">
      <c r="A1626" t="s">
        <v>24</v>
      </c>
      <c r="B1626" t="s">
        <v>23</v>
      </c>
      <c r="C1626" t="s">
        <v>19</v>
      </c>
      <c r="D1626">
        <v>1363</v>
      </c>
      <c r="E1626" t="s">
        <v>42</v>
      </c>
      <c r="F1626" t="s">
        <v>36</v>
      </c>
      <c r="G1626" t="s">
        <v>37</v>
      </c>
    </row>
    <row r="1627" spans="1:7" x14ac:dyDescent="0.3">
      <c r="A1627" t="s">
        <v>24</v>
      </c>
      <c r="B1627" t="s">
        <v>23</v>
      </c>
      <c r="C1627" t="s">
        <v>20</v>
      </c>
      <c r="D1627">
        <v>4390</v>
      </c>
      <c r="E1627" t="s">
        <v>42</v>
      </c>
      <c r="F1627" t="s">
        <v>36</v>
      </c>
      <c r="G1627" t="s">
        <v>37</v>
      </c>
    </row>
    <row r="1628" spans="1:7" x14ac:dyDescent="0.3">
      <c r="A1628" t="s">
        <v>24</v>
      </c>
      <c r="B1628" t="s">
        <v>23</v>
      </c>
      <c r="C1628" t="s">
        <v>21</v>
      </c>
      <c r="D1628">
        <v>422</v>
      </c>
      <c r="E1628" t="s">
        <v>42</v>
      </c>
      <c r="F1628" t="s">
        <v>36</v>
      </c>
      <c r="G1628" t="s">
        <v>37</v>
      </c>
    </row>
    <row r="1629" spans="1:7" x14ac:dyDescent="0.3">
      <c r="A1629" t="s">
        <v>24</v>
      </c>
      <c r="B1629" t="s">
        <v>23</v>
      </c>
      <c r="C1629" t="s">
        <v>22</v>
      </c>
      <c r="D1629">
        <v>35208</v>
      </c>
      <c r="E1629" t="s">
        <v>42</v>
      </c>
      <c r="F1629" t="s">
        <v>36</v>
      </c>
      <c r="G1629" t="s">
        <v>37</v>
      </c>
    </row>
    <row r="1630" spans="1:7" x14ac:dyDescent="0.3">
      <c r="A1630" t="s">
        <v>45</v>
      </c>
      <c r="B1630" t="s">
        <v>8</v>
      </c>
      <c r="C1630" t="s">
        <v>9</v>
      </c>
      <c r="D1630">
        <v>0</v>
      </c>
      <c r="E1630" t="s">
        <v>42</v>
      </c>
      <c r="F1630" t="s">
        <v>36</v>
      </c>
      <c r="G1630" t="s">
        <v>37</v>
      </c>
    </row>
    <row r="1631" spans="1:7" x14ac:dyDescent="0.3">
      <c r="A1631" t="s">
        <v>45</v>
      </c>
      <c r="B1631" t="s">
        <v>8</v>
      </c>
      <c r="C1631" t="s">
        <v>13</v>
      </c>
      <c r="D1631">
        <v>0</v>
      </c>
      <c r="E1631" t="s">
        <v>42</v>
      </c>
      <c r="F1631" t="s">
        <v>36</v>
      </c>
      <c r="G1631" t="s">
        <v>37</v>
      </c>
    </row>
    <row r="1632" spans="1:7" x14ac:dyDescent="0.3">
      <c r="A1632" t="s">
        <v>45</v>
      </c>
      <c r="B1632" t="s">
        <v>8</v>
      </c>
      <c r="C1632" t="s">
        <v>14</v>
      </c>
      <c r="D1632">
        <v>0</v>
      </c>
      <c r="E1632" t="s">
        <v>42</v>
      </c>
      <c r="F1632" t="s">
        <v>36</v>
      </c>
      <c r="G1632" t="s">
        <v>37</v>
      </c>
    </row>
    <row r="1633" spans="1:7" x14ac:dyDescent="0.3">
      <c r="A1633" t="s">
        <v>45</v>
      </c>
      <c r="B1633" t="s">
        <v>8</v>
      </c>
      <c r="C1633" t="s">
        <v>15</v>
      </c>
      <c r="D1633">
        <v>0</v>
      </c>
      <c r="E1633" t="s">
        <v>42</v>
      </c>
      <c r="F1633" t="s">
        <v>36</v>
      </c>
      <c r="G1633" t="s">
        <v>37</v>
      </c>
    </row>
    <row r="1634" spans="1:7" x14ac:dyDescent="0.3">
      <c r="A1634" t="s">
        <v>45</v>
      </c>
      <c r="B1634" t="s">
        <v>8</v>
      </c>
      <c r="C1634" t="s">
        <v>16</v>
      </c>
      <c r="D1634">
        <v>0</v>
      </c>
      <c r="E1634" t="s">
        <v>42</v>
      </c>
      <c r="F1634" t="s">
        <v>36</v>
      </c>
      <c r="G1634" t="s">
        <v>37</v>
      </c>
    </row>
    <row r="1635" spans="1:7" x14ac:dyDescent="0.3">
      <c r="A1635" t="s">
        <v>45</v>
      </c>
      <c r="B1635" t="s">
        <v>8</v>
      </c>
      <c r="C1635" t="s">
        <v>17</v>
      </c>
      <c r="D1635">
        <v>0</v>
      </c>
      <c r="E1635" t="s">
        <v>42</v>
      </c>
      <c r="F1635" t="s">
        <v>36</v>
      </c>
      <c r="G1635" t="s">
        <v>37</v>
      </c>
    </row>
    <row r="1636" spans="1:7" x14ac:dyDescent="0.3">
      <c r="A1636" t="s">
        <v>45</v>
      </c>
      <c r="B1636" t="s">
        <v>8</v>
      </c>
      <c r="C1636" t="s">
        <v>18</v>
      </c>
      <c r="D1636">
        <v>0</v>
      </c>
      <c r="E1636" t="s">
        <v>42</v>
      </c>
      <c r="F1636" t="s">
        <v>36</v>
      </c>
      <c r="G1636" t="s">
        <v>37</v>
      </c>
    </row>
    <row r="1637" spans="1:7" x14ac:dyDescent="0.3">
      <c r="A1637" t="s">
        <v>45</v>
      </c>
      <c r="B1637" t="s">
        <v>8</v>
      </c>
      <c r="C1637" t="s">
        <v>19</v>
      </c>
      <c r="D1637">
        <v>0</v>
      </c>
      <c r="E1637" t="s">
        <v>42</v>
      </c>
      <c r="F1637" t="s">
        <v>36</v>
      </c>
      <c r="G1637" t="s">
        <v>37</v>
      </c>
    </row>
    <row r="1638" spans="1:7" x14ac:dyDescent="0.3">
      <c r="A1638" t="s">
        <v>45</v>
      </c>
      <c r="B1638" t="s">
        <v>8</v>
      </c>
      <c r="C1638" t="s">
        <v>20</v>
      </c>
      <c r="D1638">
        <v>0</v>
      </c>
      <c r="E1638" t="s">
        <v>42</v>
      </c>
      <c r="F1638" t="s">
        <v>36</v>
      </c>
      <c r="G1638" t="s">
        <v>37</v>
      </c>
    </row>
    <row r="1639" spans="1:7" x14ac:dyDescent="0.3">
      <c r="A1639" t="s">
        <v>45</v>
      </c>
      <c r="B1639" t="s">
        <v>8</v>
      </c>
      <c r="C1639" t="s">
        <v>21</v>
      </c>
      <c r="D1639">
        <v>0</v>
      </c>
      <c r="E1639" t="s">
        <v>42</v>
      </c>
      <c r="F1639" t="s">
        <v>36</v>
      </c>
      <c r="G1639" t="s">
        <v>37</v>
      </c>
    </row>
    <row r="1640" spans="1:7" x14ac:dyDescent="0.3">
      <c r="A1640" t="s">
        <v>45</v>
      </c>
      <c r="B1640" t="s">
        <v>8</v>
      </c>
      <c r="C1640" t="s">
        <v>22</v>
      </c>
      <c r="D1640">
        <v>0</v>
      </c>
      <c r="E1640" t="s">
        <v>42</v>
      </c>
      <c r="F1640" t="s">
        <v>36</v>
      </c>
      <c r="G1640" t="s">
        <v>37</v>
      </c>
    </row>
    <row r="1641" spans="1:7" x14ac:dyDescent="0.3">
      <c r="A1641" t="s">
        <v>45</v>
      </c>
      <c r="B1641" t="s">
        <v>23</v>
      </c>
      <c r="C1641" t="s">
        <v>9</v>
      </c>
      <c r="D1641">
        <v>130608</v>
      </c>
      <c r="E1641" t="s">
        <v>42</v>
      </c>
      <c r="F1641" t="s">
        <v>36</v>
      </c>
      <c r="G1641" t="s">
        <v>37</v>
      </c>
    </row>
    <row r="1642" spans="1:7" x14ac:dyDescent="0.3">
      <c r="A1642" t="s">
        <v>45</v>
      </c>
      <c r="B1642" t="s">
        <v>23</v>
      </c>
      <c r="C1642" t="s">
        <v>13</v>
      </c>
      <c r="D1642">
        <v>1685</v>
      </c>
      <c r="E1642" t="s">
        <v>42</v>
      </c>
      <c r="F1642" t="s">
        <v>36</v>
      </c>
      <c r="G1642" t="s">
        <v>37</v>
      </c>
    </row>
    <row r="1643" spans="1:7" x14ac:dyDescent="0.3">
      <c r="A1643" t="s">
        <v>45</v>
      </c>
      <c r="B1643" t="s">
        <v>23</v>
      </c>
      <c r="C1643" t="s">
        <v>14</v>
      </c>
      <c r="D1643">
        <v>2206</v>
      </c>
      <c r="E1643" t="s">
        <v>42</v>
      </c>
      <c r="F1643" t="s">
        <v>36</v>
      </c>
      <c r="G1643" t="s">
        <v>37</v>
      </c>
    </row>
    <row r="1644" spans="1:7" x14ac:dyDescent="0.3">
      <c r="A1644" t="s">
        <v>45</v>
      </c>
      <c r="B1644" t="s">
        <v>23</v>
      </c>
      <c r="C1644" t="s">
        <v>15</v>
      </c>
      <c r="D1644">
        <v>2036</v>
      </c>
      <c r="E1644" t="s">
        <v>42</v>
      </c>
      <c r="F1644" t="s">
        <v>36</v>
      </c>
      <c r="G1644" t="s">
        <v>37</v>
      </c>
    </row>
    <row r="1645" spans="1:7" x14ac:dyDescent="0.3">
      <c r="A1645" t="s">
        <v>45</v>
      </c>
      <c r="B1645" t="s">
        <v>23</v>
      </c>
      <c r="C1645" t="s">
        <v>16</v>
      </c>
      <c r="D1645">
        <v>19866</v>
      </c>
      <c r="E1645" t="s">
        <v>42</v>
      </c>
      <c r="F1645" t="s">
        <v>36</v>
      </c>
      <c r="G1645" t="s">
        <v>37</v>
      </c>
    </row>
    <row r="1646" spans="1:7" x14ac:dyDescent="0.3">
      <c r="A1646" t="s">
        <v>45</v>
      </c>
      <c r="B1646" t="s">
        <v>23</v>
      </c>
      <c r="C1646" t="s">
        <v>17</v>
      </c>
      <c r="D1646">
        <v>677</v>
      </c>
      <c r="E1646" t="s">
        <v>42</v>
      </c>
      <c r="F1646" t="s">
        <v>36</v>
      </c>
      <c r="G1646" t="s">
        <v>37</v>
      </c>
    </row>
    <row r="1647" spans="1:7" x14ac:dyDescent="0.3">
      <c r="A1647" t="s">
        <v>45</v>
      </c>
      <c r="B1647" t="s">
        <v>23</v>
      </c>
      <c r="C1647" t="s">
        <v>18</v>
      </c>
      <c r="D1647">
        <v>0</v>
      </c>
      <c r="E1647" t="s">
        <v>42</v>
      </c>
      <c r="F1647" t="s">
        <v>36</v>
      </c>
      <c r="G1647" t="s">
        <v>37</v>
      </c>
    </row>
    <row r="1648" spans="1:7" x14ac:dyDescent="0.3">
      <c r="A1648" t="s">
        <v>45</v>
      </c>
      <c r="B1648" t="s">
        <v>23</v>
      </c>
      <c r="C1648" t="s">
        <v>19</v>
      </c>
      <c r="D1648">
        <v>41343</v>
      </c>
      <c r="E1648" t="s">
        <v>42</v>
      </c>
      <c r="F1648" t="s">
        <v>36</v>
      </c>
      <c r="G1648" t="s">
        <v>37</v>
      </c>
    </row>
    <row r="1649" spans="1:7" x14ac:dyDescent="0.3">
      <c r="A1649" t="s">
        <v>45</v>
      </c>
      <c r="B1649" t="s">
        <v>23</v>
      </c>
      <c r="C1649" t="s">
        <v>20</v>
      </c>
      <c r="D1649">
        <v>9789</v>
      </c>
      <c r="E1649" t="s">
        <v>42</v>
      </c>
      <c r="F1649" t="s">
        <v>36</v>
      </c>
      <c r="G1649" t="s">
        <v>37</v>
      </c>
    </row>
    <row r="1650" spans="1:7" x14ac:dyDescent="0.3">
      <c r="A1650" t="s">
        <v>45</v>
      </c>
      <c r="B1650" t="s">
        <v>23</v>
      </c>
      <c r="C1650" t="s">
        <v>21</v>
      </c>
      <c r="D1650">
        <v>342</v>
      </c>
      <c r="E1650" t="s">
        <v>42</v>
      </c>
      <c r="F1650" t="s">
        <v>36</v>
      </c>
      <c r="G1650" t="s">
        <v>37</v>
      </c>
    </row>
    <row r="1651" spans="1:7" x14ac:dyDescent="0.3">
      <c r="A1651" t="s">
        <v>45</v>
      </c>
      <c r="B1651" t="s">
        <v>23</v>
      </c>
      <c r="C1651" t="s">
        <v>22</v>
      </c>
      <c r="D1651">
        <v>509</v>
      </c>
      <c r="E1651" t="s">
        <v>42</v>
      </c>
      <c r="F1651" t="s">
        <v>36</v>
      </c>
      <c r="G1651" t="s">
        <v>37</v>
      </c>
    </row>
    <row r="1652" spans="1:7" x14ac:dyDescent="0.3">
      <c r="A1652" t="s">
        <v>46</v>
      </c>
      <c r="B1652" t="s">
        <v>8</v>
      </c>
      <c r="C1652" t="s">
        <v>9</v>
      </c>
      <c r="D1652">
        <v>0</v>
      </c>
      <c r="E1652" t="s">
        <v>42</v>
      </c>
      <c r="F1652" t="s">
        <v>36</v>
      </c>
      <c r="G1652" t="s">
        <v>37</v>
      </c>
    </row>
    <row r="1653" spans="1:7" x14ac:dyDescent="0.3">
      <c r="A1653" t="s">
        <v>46</v>
      </c>
      <c r="B1653" t="s">
        <v>8</v>
      </c>
      <c r="C1653" t="s">
        <v>13</v>
      </c>
      <c r="D1653">
        <v>0</v>
      </c>
      <c r="E1653" t="s">
        <v>42</v>
      </c>
      <c r="F1653" t="s">
        <v>36</v>
      </c>
      <c r="G1653" t="s">
        <v>37</v>
      </c>
    </row>
    <row r="1654" spans="1:7" x14ac:dyDescent="0.3">
      <c r="A1654" t="s">
        <v>46</v>
      </c>
      <c r="B1654" t="s">
        <v>8</v>
      </c>
      <c r="C1654" t="s">
        <v>14</v>
      </c>
      <c r="D1654">
        <v>0</v>
      </c>
      <c r="E1654" t="s">
        <v>42</v>
      </c>
      <c r="F1654" t="s">
        <v>36</v>
      </c>
      <c r="G1654" t="s">
        <v>37</v>
      </c>
    </row>
    <row r="1655" spans="1:7" x14ac:dyDescent="0.3">
      <c r="A1655" t="s">
        <v>46</v>
      </c>
      <c r="B1655" t="s">
        <v>8</v>
      </c>
      <c r="C1655" t="s">
        <v>15</v>
      </c>
      <c r="D1655">
        <v>0</v>
      </c>
      <c r="E1655" t="s">
        <v>42</v>
      </c>
      <c r="F1655" t="s">
        <v>36</v>
      </c>
      <c r="G1655" t="s">
        <v>37</v>
      </c>
    </row>
    <row r="1656" spans="1:7" x14ac:dyDescent="0.3">
      <c r="A1656" t="s">
        <v>46</v>
      </c>
      <c r="B1656" t="s">
        <v>8</v>
      </c>
      <c r="C1656" t="s">
        <v>16</v>
      </c>
      <c r="D1656">
        <v>0</v>
      </c>
      <c r="E1656" t="s">
        <v>42</v>
      </c>
      <c r="F1656" t="s">
        <v>36</v>
      </c>
      <c r="G1656" t="s">
        <v>37</v>
      </c>
    </row>
    <row r="1657" spans="1:7" x14ac:dyDescent="0.3">
      <c r="A1657" t="s">
        <v>46</v>
      </c>
      <c r="B1657" t="s">
        <v>8</v>
      </c>
      <c r="C1657" t="s">
        <v>17</v>
      </c>
      <c r="D1657">
        <v>0</v>
      </c>
      <c r="E1657" t="s">
        <v>42</v>
      </c>
      <c r="F1657" t="s">
        <v>36</v>
      </c>
      <c r="G1657" t="s">
        <v>37</v>
      </c>
    </row>
    <row r="1658" spans="1:7" x14ac:dyDescent="0.3">
      <c r="A1658" t="s">
        <v>46</v>
      </c>
      <c r="B1658" t="s">
        <v>8</v>
      </c>
      <c r="C1658" t="s">
        <v>18</v>
      </c>
      <c r="D1658">
        <v>0</v>
      </c>
      <c r="E1658" t="s">
        <v>42</v>
      </c>
      <c r="F1658" t="s">
        <v>36</v>
      </c>
      <c r="G1658" t="s">
        <v>37</v>
      </c>
    </row>
    <row r="1659" spans="1:7" x14ac:dyDescent="0.3">
      <c r="A1659" t="s">
        <v>46</v>
      </c>
      <c r="B1659" t="s">
        <v>8</v>
      </c>
      <c r="C1659" t="s">
        <v>19</v>
      </c>
      <c r="D1659">
        <v>0</v>
      </c>
      <c r="E1659" t="s">
        <v>42</v>
      </c>
      <c r="F1659" t="s">
        <v>36</v>
      </c>
      <c r="G1659" t="s">
        <v>37</v>
      </c>
    </row>
    <row r="1660" spans="1:7" x14ac:dyDescent="0.3">
      <c r="A1660" t="s">
        <v>46</v>
      </c>
      <c r="B1660" t="s">
        <v>8</v>
      </c>
      <c r="C1660" t="s">
        <v>20</v>
      </c>
      <c r="D1660">
        <v>0</v>
      </c>
      <c r="E1660" t="s">
        <v>42</v>
      </c>
      <c r="F1660" t="s">
        <v>36</v>
      </c>
      <c r="G1660" t="s">
        <v>37</v>
      </c>
    </row>
    <row r="1661" spans="1:7" x14ac:dyDescent="0.3">
      <c r="A1661" t="s">
        <v>46</v>
      </c>
      <c r="B1661" t="s">
        <v>8</v>
      </c>
      <c r="C1661" t="s">
        <v>21</v>
      </c>
      <c r="D1661">
        <v>0</v>
      </c>
      <c r="E1661" t="s">
        <v>42</v>
      </c>
      <c r="F1661" t="s">
        <v>36</v>
      </c>
      <c r="G1661" t="s">
        <v>37</v>
      </c>
    </row>
    <row r="1662" spans="1:7" x14ac:dyDescent="0.3">
      <c r="A1662" t="s">
        <v>46</v>
      </c>
      <c r="B1662" t="s">
        <v>8</v>
      </c>
      <c r="C1662" t="s">
        <v>22</v>
      </c>
      <c r="D1662">
        <v>0</v>
      </c>
      <c r="E1662" t="s">
        <v>42</v>
      </c>
      <c r="F1662" t="s">
        <v>36</v>
      </c>
      <c r="G1662" t="s">
        <v>37</v>
      </c>
    </row>
    <row r="1663" spans="1:7" x14ac:dyDescent="0.3">
      <c r="A1663" t="s">
        <v>46</v>
      </c>
      <c r="B1663" t="s">
        <v>23</v>
      </c>
      <c r="C1663" t="s">
        <v>9</v>
      </c>
      <c r="D1663">
        <v>180</v>
      </c>
      <c r="E1663" t="s">
        <v>42</v>
      </c>
      <c r="F1663" t="s">
        <v>36</v>
      </c>
      <c r="G1663" t="s">
        <v>37</v>
      </c>
    </row>
    <row r="1664" spans="1:7" x14ac:dyDescent="0.3">
      <c r="A1664" t="s">
        <v>46</v>
      </c>
      <c r="B1664" t="s">
        <v>23</v>
      </c>
      <c r="C1664" t="s">
        <v>13</v>
      </c>
      <c r="D1664">
        <v>29</v>
      </c>
      <c r="E1664" t="s">
        <v>42</v>
      </c>
      <c r="F1664" t="s">
        <v>36</v>
      </c>
      <c r="G1664" t="s">
        <v>37</v>
      </c>
    </row>
    <row r="1665" spans="1:7" x14ac:dyDescent="0.3">
      <c r="A1665" t="s">
        <v>46</v>
      </c>
      <c r="B1665" t="s">
        <v>23</v>
      </c>
      <c r="C1665" t="s">
        <v>14</v>
      </c>
      <c r="D1665">
        <v>535</v>
      </c>
      <c r="E1665" t="s">
        <v>42</v>
      </c>
      <c r="F1665" t="s">
        <v>36</v>
      </c>
      <c r="G1665" t="s">
        <v>37</v>
      </c>
    </row>
    <row r="1666" spans="1:7" x14ac:dyDescent="0.3">
      <c r="A1666" t="s">
        <v>46</v>
      </c>
      <c r="B1666" t="s">
        <v>23</v>
      </c>
      <c r="C1666" t="s">
        <v>15</v>
      </c>
      <c r="D1666">
        <v>82</v>
      </c>
      <c r="E1666" t="s">
        <v>42</v>
      </c>
      <c r="F1666" t="s">
        <v>36</v>
      </c>
      <c r="G1666" t="s">
        <v>37</v>
      </c>
    </row>
    <row r="1667" spans="1:7" x14ac:dyDescent="0.3">
      <c r="A1667" t="s">
        <v>46</v>
      </c>
      <c r="B1667" t="s">
        <v>23</v>
      </c>
      <c r="C1667" t="s">
        <v>16</v>
      </c>
      <c r="D1667">
        <v>226660</v>
      </c>
      <c r="E1667" t="s">
        <v>42</v>
      </c>
      <c r="F1667" t="s">
        <v>36</v>
      </c>
      <c r="G1667" t="s">
        <v>37</v>
      </c>
    </row>
    <row r="1668" spans="1:7" x14ac:dyDescent="0.3">
      <c r="A1668" t="s">
        <v>46</v>
      </c>
      <c r="B1668" t="s">
        <v>23</v>
      </c>
      <c r="C1668" t="s">
        <v>17</v>
      </c>
      <c r="D1668">
        <v>43</v>
      </c>
      <c r="E1668" t="s">
        <v>42</v>
      </c>
      <c r="F1668" t="s">
        <v>36</v>
      </c>
      <c r="G1668" t="s">
        <v>37</v>
      </c>
    </row>
    <row r="1669" spans="1:7" x14ac:dyDescent="0.3">
      <c r="A1669" t="s">
        <v>46</v>
      </c>
      <c r="B1669" t="s">
        <v>23</v>
      </c>
      <c r="C1669" t="s">
        <v>18</v>
      </c>
      <c r="D1669">
        <v>0</v>
      </c>
      <c r="E1669" t="s">
        <v>42</v>
      </c>
      <c r="F1669" t="s">
        <v>36</v>
      </c>
      <c r="G1669" t="s">
        <v>37</v>
      </c>
    </row>
    <row r="1670" spans="1:7" x14ac:dyDescent="0.3">
      <c r="A1670" t="s">
        <v>46</v>
      </c>
      <c r="B1670" t="s">
        <v>23</v>
      </c>
      <c r="C1670" t="s">
        <v>19</v>
      </c>
      <c r="D1670">
        <v>76</v>
      </c>
      <c r="E1670" t="s">
        <v>42</v>
      </c>
      <c r="F1670" t="s">
        <v>36</v>
      </c>
      <c r="G1670" t="s">
        <v>37</v>
      </c>
    </row>
    <row r="1671" spans="1:7" x14ac:dyDescent="0.3">
      <c r="A1671" t="s">
        <v>46</v>
      </c>
      <c r="B1671" t="s">
        <v>23</v>
      </c>
      <c r="C1671" t="s">
        <v>20</v>
      </c>
      <c r="D1671">
        <v>511</v>
      </c>
      <c r="E1671" t="s">
        <v>42</v>
      </c>
      <c r="F1671" t="s">
        <v>36</v>
      </c>
      <c r="G1671" t="s">
        <v>37</v>
      </c>
    </row>
    <row r="1672" spans="1:7" x14ac:dyDescent="0.3">
      <c r="A1672" t="s">
        <v>46</v>
      </c>
      <c r="B1672" t="s">
        <v>23</v>
      </c>
      <c r="C1672" t="s">
        <v>21</v>
      </c>
      <c r="D1672">
        <v>186</v>
      </c>
      <c r="E1672" t="s">
        <v>42</v>
      </c>
      <c r="F1672" t="s">
        <v>36</v>
      </c>
      <c r="G1672" t="s">
        <v>37</v>
      </c>
    </row>
    <row r="1673" spans="1:7" x14ac:dyDescent="0.3">
      <c r="A1673" t="s">
        <v>46</v>
      </c>
      <c r="B1673" t="s">
        <v>23</v>
      </c>
      <c r="C1673" t="s">
        <v>22</v>
      </c>
      <c r="D1673">
        <v>100</v>
      </c>
      <c r="E1673" t="s">
        <v>42</v>
      </c>
      <c r="F1673" t="s">
        <v>36</v>
      </c>
      <c r="G1673" t="s">
        <v>37</v>
      </c>
    </row>
    <row r="1674" spans="1:7" x14ac:dyDescent="0.3">
      <c r="A1674" t="s">
        <v>47</v>
      </c>
      <c r="B1674" t="s">
        <v>8</v>
      </c>
      <c r="C1674" t="s">
        <v>9</v>
      </c>
      <c r="D1674">
        <v>0</v>
      </c>
      <c r="E1674" t="s">
        <v>42</v>
      </c>
      <c r="F1674" t="s">
        <v>36</v>
      </c>
      <c r="G1674" t="s">
        <v>37</v>
      </c>
    </row>
    <row r="1675" spans="1:7" x14ac:dyDescent="0.3">
      <c r="A1675" t="s">
        <v>47</v>
      </c>
      <c r="B1675" t="s">
        <v>8</v>
      </c>
      <c r="C1675" t="s">
        <v>13</v>
      </c>
      <c r="D1675">
        <v>0</v>
      </c>
      <c r="E1675" t="s">
        <v>42</v>
      </c>
      <c r="F1675" t="s">
        <v>36</v>
      </c>
      <c r="G1675" t="s">
        <v>37</v>
      </c>
    </row>
    <row r="1676" spans="1:7" x14ac:dyDescent="0.3">
      <c r="A1676" t="s">
        <v>47</v>
      </c>
      <c r="B1676" t="s">
        <v>8</v>
      </c>
      <c r="C1676" t="s">
        <v>14</v>
      </c>
      <c r="D1676">
        <v>0</v>
      </c>
      <c r="E1676" t="s">
        <v>42</v>
      </c>
      <c r="F1676" t="s">
        <v>36</v>
      </c>
      <c r="G1676" t="s">
        <v>37</v>
      </c>
    </row>
    <row r="1677" spans="1:7" x14ac:dyDescent="0.3">
      <c r="A1677" t="s">
        <v>47</v>
      </c>
      <c r="B1677" t="s">
        <v>8</v>
      </c>
      <c r="C1677" t="s">
        <v>15</v>
      </c>
      <c r="D1677">
        <v>0</v>
      </c>
      <c r="E1677" t="s">
        <v>42</v>
      </c>
      <c r="F1677" t="s">
        <v>36</v>
      </c>
      <c r="G1677" t="s">
        <v>37</v>
      </c>
    </row>
    <row r="1678" spans="1:7" x14ac:dyDescent="0.3">
      <c r="A1678" t="s">
        <v>47</v>
      </c>
      <c r="B1678" t="s">
        <v>8</v>
      </c>
      <c r="C1678" t="s">
        <v>16</v>
      </c>
      <c r="D1678">
        <v>0</v>
      </c>
      <c r="E1678" t="s">
        <v>42</v>
      </c>
      <c r="F1678" t="s">
        <v>36</v>
      </c>
      <c r="G1678" t="s">
        <v>37</v>
      </c>
    </row>
    <row r="1679" spans="1:7" x14ac:dyDescent="0.3">
      <c r="A1679" t="s">
        <v>47</v>
      </c>
      <c r="B1679" t="s">
        <v>8</v>
      </c>
      <c r="C1679" t="s">
        <v>17</v>
      </c>
      <c r="D1679">
        <v>0</v>
      </c>
      <c r="E1679" t="s">
        <v>42</v>
      </c>
      <c r="F1679" t="s">
        <v>36</v>
      </c>
      <c r="G1679" t="s">
        <v>37</v>
      </c>
    </row>
    <row r="1680" spans="1:7" x14ac:dyDescent="0.3">
      <c r="A1680" t="s">
        <v>47</v>
      </c>
      <c r="B1680" t="s">
        <v>8</v>
      </c>
      <c r="C1680" t="s">
        <v>18</v>
      </c>
      <c r="D1680">
        <v>0</v>
      </c>
      <c r="E1680" t="s">
        <v>42</v>
      </c>
      <c r="F1680" t="s">
        <v>36</v>
      </c>
      <c r="G1680" t="s">
        <v>37</v>
      </c>
    </row>
    <row r="1681" spans="1:7" x14ac:dyDescent="0.3">
      <c r="A1681" t="s">
        <v>47</v>
      </c>
      <c r="B1681" t="s">
        <v>8</v>
      </c>
      <c r="C1681" t="s">
        <v>19</v>
      </c>
      <c r="D1681">
        <v>0</v>
      </c>
      <c r="E1681" t="s">
        <v>42</v>
      </c>
      <c r="F1681" t="s">
        <v>36</v>
      </c>
      <c r="G1681" t="s">
        <v>37</v>
      </c>
    </row>
    <row r="1682" spans="1:7" x14ac:dyDescent="0.3">
      <c r="A1682" t="s">
        <v>47</v>
      </c>
      <c r="B1682" t="s">
        <v>8</v>
      </c>
      <c r="C1682" t="s">
        <v>20</v>
      </c>
      <c r="D1682">
        <v>0</v>
      </c>
      <c r="E1682" t="s">
        <v>42</v>
      </c>
      <c r="F1682" t="s">
        <v>36</v>
      </c>
      <c r="G1682" t="s">
        <v>37</v>
      </c>
    </row>
    <row r="1683" spans="1:7" x14ac:dyDescent="0.3">
      <c r="A1683" t="s">
        <v>47</v>
      </c>
      <c r="B1683" t="s">
        <v>8</v>
      </c>
      <c r="C1683" t="s">
        <v>21</v>
      </c>
      <c r="D1683">
        <v>0</v>
      </c>
      <c r="E1683" t="s">
        <v>42</v>
      </c>
      <c r="F1683" t="s">
        <v>36</v>
      </c>
      <c r="G1683" t="s">
        <v>37</v>
      </c>
    </row>
    <row r="1684" spans="1:7" x14ac:dyDescent="0.3">
      <c r="A1684" t="s">
        <v>47</v>
      </c>
      <c r="B1684" t="s">
        <v>8</v>
      </c>
      <c r="C1684" t="s">
        <v>22</v>
      </c>
      <c r="D1684">
        <v>0</v>
      </c>
      <c r="E1684" t="s">
        <v>42</v>
      </c>
      <c r="F1684" t="s">
        <v>36</v>
      </c>
      <c r="G1684" t="s">
        <v>37</v>
      </c>
    </row>
    <row r="1685" spans="1:7" x14ac:dyDescent="0.3">
      <c r="A1685" t="s">
        <v>47</v>
      </c>
      <c r="B1685" t="s">
        <v>23</v>
      </c>
      <c r="C1685" t="s">
        <v>9</v>
      </c>
      <c r="D1685">
        <v>129641</v>
      </c>
      <c r="E1685" t="s">
        <v>42</v>
      </c>
      <c r="F1685" t="s">
        <v>36</v>
      </c>
      <c r="G1685" t="s">
        <v>37</v>
      </c>
    </row>
    <row r="1686" spans="1:7" x14ac:dyDescent="0.3">
      <c r="A1686" t="s">
        <v>47</v>
      </c>
      <c r="B1686" t="s">
        <v>23</v>
      </c>
      <c r="C1686" t="s">
        <v>13</v>
      </c>
      <c r="D1686">
        <v>1629</v>
      </c>
      <c r="E1686" t="s">
        <v>42</v>
      </c>
      <c r="F1686" t="s">
        <v>36</v>
      </c>
      <c r="G1686" t="s">
        <v>37</v>
      </c>
    </row>
    <row r="1687" spans="1:7" x14ac:dyDescent="0.3">
      <c r="A1687" t="s">
        <v>47</v>
      </c>
      <c r="B1687" t="s">
        <v>23</v>
      </c>
      <c r="C1687" t="s">
        <v>14</v>
      </c>
      <c r="D1687">
        <v>2180</v>
      </c>
      <c r="E1687" t="s">
        <v>42</v>
      </c>
      <c r="F1687" t="s">
        <v>36</v>
      </c>
      <c r="G1687" t="s">
        <v>37</v>
      </c>
    </row>
    <row r="1688" spans="1:7" x14ac:dyDescent="0.3">
      <c r="A1688" t="s">
        <v>47</v>
      </c>
      <c r="B1688" t="s">
        <v>23</v>
      </c>
      <c r="C1688" t="s">
        <v>15</v>
      </c>
      <c r="D1688">
        <v>1591</v>
      </c>
      <c r="E1688" t="s">
        <v>42</v>
      </c>
      <c r="F1688" t="s">
        <v>36</v>
      </c>
      <c r="G1688" t="s">
        <v>37</v>
      </c>
    </row>
    <row r="1689" spans="1:7" x14ac:dyDescent="0.3">
      <c r="A1689" t="s">
        <v>47</v>
      </c>
      <c r="B1689" t="s">
        <v>23</v>
      </c>
      <c r="C1689" t="s">
        <v>16</v>
      </c>
      <c r="D1689">
        <v>19717</v>
      </c>
      <c r="E1689" t="s">
        <v>42</v>
      </c>
      <c r="F1689" t="s">
        <v>36</v>
      </c>
      <c r="G1689" t="s">
        <v>37</v>
      </c>
    </row>
    <row r="1690" spans="1:7" x14ac:dyDescent="0.3">
      <c r="A1690" t="s">
        <v>47</v>
      </c>
      <c r="B1690" t="s">
        <v>23</v>
      </c>
      <c r="C1690" t="s">
        <v>17</v>
      </c>
      <c r="D1690">
        <v>672</v>
      </c>
      <c r="E1690" t="s">
        <v>42</v>
      </c>
      <c r="F1690" t="s">
        <v>36</v>
      </c>
      <c r="G1690" t="s">
        <v>37</v>
      </c>
    </row>
    <row r="1691" spans="1:7" x14ac:dyDescent="0.3">
      <c r="A1691" t="s">
        <v>47</v>
      </c>
      <c r="B1691" t="s">
        <v>23</v>
      </c>
      <c r="C1691" t="s">
        <v>18</v>
      </c>
      <c r="D1691">
        <v>0</v>
      </c>
      <c r="E1691" t="s">
        <v>42</v>
      </c>
      <c r="F1691" t="s">
        <v>36</v>
      </c>
      <c r="G1691" t="s">
        <v>37</v>
      </c>
    </row>
    <row r="1692" spans="1:7" x14ac:dyDescent="0.3">
      <c r="A1692" t="s">
        <v>47</v>
      </c>
      <c r="B1692" t="s">
        <v>23</v>
      </c>
      <c r="C1692" t="s">
        <v>19</v>
      </c>
      <c r="D1692">
        <v>1725</v>
      </c>
      <c r="E1692" t="s">
        <v>42</v>
      </c>
      <c r="F1692" t="s">
        <v>36</v>
      </c>
      <c r="G1692" t="s">
        <v>37</v>
      </c>
    </row>
    <row r="1693" spans="1:7" x14ac:dyDescent="0.3">
      <c r="A1693" t="s">
        <v>47</v>
      </c>
      <c r="B1693" t="s">
        <v>23</v>
      </c>
      <c r="C1693" t="s">
        <v>20</v>
      </c>
      <c r="D1693">
        <v>9686</v>
      </c>
      <c r="E1693" t="s">
        <v>42</v>
      </c>
      <c r="F1693" t="s">
        <v>36</v>
      </c>
      <c r="G1693" t="s">
        <v>37</v>
      </c>
    </row>
    <row r="1694" spans="1:7" x14ac:dyDescent="0.3">
      <c r="A1694" t="s">
        <v>47</v>
      </c>
      <c r="B1694" t="s">
        <v>23</v>
      </c>
      <c r="C1694" t="s">
        <v>21</v>
      </c>
      <c r="D1694">
        <v>339</v>
      </c>
      <c r="E1694" t="s">
        <v>42</v>
      </c>
      <c r="F1694" t="s">
        <v>36</v>
      </c>
      <c r="G1694" t="s">
        <v>37</v>
      </c>
    </row>
    <row r="1695" spans="1:7" x14ac:dyDescent="0.3">
      <c r="A1695" t="s">
        <v>47</v>
      </c>
      <c r="B1695" t="s">
        <v>23</v>
      </c>
      <c r="C1695" t="s">
        <v>22</v>
      </c>
      <c r="D1695">
        <v>489</v>
      </c>
      <c r="E1695" t="s">
        <v>42</v>
      </c>
      <c r="F1695" t="s">
        <v>36</v>
      </c>
      <c r="G1695" t="s">
        <v>37</v>
      </c>
    </row>
    <row r="1696" spans="1:7" x14ac:dyDescent="0.3">
      <c r="A1696" t="s">
        <v>48</v>
      </c>
      <c r="B1696" t="s">
        <v>8</v>
      </c>
      <c r="C1696" t="s">
        <v>9</v>
      </c>
      <c r="D1696">
        <v>0</v>
      </c>
      <c r="E1696" t="s">
        <v>42</v>
      </c>
      <c r="F1696" t="s">
        <v>36</v>
      </c>
      <c r="G1696" t="s">
        <v>37</v>
      </c>
    </row>
    <row r="1697" spans="1:7" x14ac:dyDescent="0.3">
      <c r="A1697" t="s">
        <v>48</v>
      </c>
      <c r="B1697" t="s">
        <v>8</v>
      </c>
      <c r="C1697" t="s">
        <v>13</v>
      </c>
      <c r="D1697">
        <v>0</v>
      </c>
      <c r="E1697" t="s">
        <v>42</v>
      </c>
      <c r="F1697" t="s">
        <v>36</v>
      </c>
      <c r="G1697" t="s">
        <v>37</v>
      </c>
    </row>
    <row r="1698" spans="1:7" x14ac:dyDescent="0.3">
      <c r="A1698" t="s">
        <v>48</v>
      </c>
      <c r="B1698" t="s">
        <v>8</v>
      </c>
      <c r="C1698" t="s">
        <v>14</v>
      </c>
      <c r="D1698">
        <v>0</v>
      </c>
      <c r="E1698" t="s">
        <v>42</v>
      </c>
      <c r="F1698" t="s">
        <v>36</v>
      </c>
      <c r="G1698" t="s">
        <v>37</v>
      </c>
    </row>
    <row r="1699" spans="1:7" x14ac:dyDescent="0.3">
      <c r="A1699" t="s">
        <v>48</v>
      </c>
      <c r="B1699" t="s">
        <v>8</v>
      </c>
      <c r="C1699" t="s">
        <v>15</v>
      </c>
      <c r="D1699">
        <v>0</v>
      </c>
      <c r="E1699" t="s">
        <v>42</v>
      </c>
      <c r="F1699" t="s">
        <v>36</v>
      </c>
      <c r="G1699" t="s">
        <v>37</v>
      </c>
    </row>
    <row r="1700" spans="1:7" x14ac:dyDescent="0.3">
      <c r="A1700" t="s">
        <v>48</v>
      </c>
      <c r="B1700" t="s">
        <v>8</v>
      </c>
      <c r="C1700" t="s">
        <v>16</v>
      </c>
      <c r="D1700">
        <v>0</v>
      </c>
      <c r="E1700" t="s">
        <v>42</v>
      </c>
      <c r="F1700" t="s">
        <v>36</v>
      </c>
      <c r="G1700" t="s">
        <v>37</v>
      </c>
    </row>
    <row r="1701" spans="1:7" x14ac:dyDescent="0.3">
      <c r="A1701" t="s">
        <v>48</v>
      </c>
      <c r="B1701" t="s">
        <v>8</v>
      </c>
      <c r="C1701" t="s">
        <v>17</v>
      </c>
      <c r="D1701">
        <v>0</v>
      </c>
      <c r="E1701" t="s">
        <v>42</v>
      </c>
      <c r="F1701" t="s">
        <v>36</v>
      </c>
      <c r="G1701" t="s">
        <v>37</v>
      </c>
    </row>
    <row r="1702" spans="1:7" x14ac:dyDescent="0.3">
      <c r="A1702" t="s">
        <v>48</v>
      </c>
      <c r="B1702" t="s">
        <v>8</v>
      </c>
      <c r="C1702" t="s">
        <v>18</v>
      </c>
      <c r="D1702">
        <v>0</v>
      </c>
      <c r="E1702" t="s">
        <v>42</v>
      </c>
      <c r="F1702" t="s">
        <v>36</v>
      </c>
      <c r="G1702" t="s">
        <v>37</v>
      </c>
    </row>
    <row r="1703" spans="1:7" x14ac:dyDescent="0.3">
      <c r="A1703" t="s">
        <v>48</v>
      </c>
      <c r="B1703" t="s">
        <v>8</v>
      </c>
      <c r="C1703" t="s">
        <v>19</v>
      </c>
      <c r="D1703">
        <v>0</v>
      </c>
      <c r="E1703" t="s">
        <v>42</v>
      </c>
      <c r="F1703" t="s">
        <v>36</v>
      </c>
      <c r="G1703" t="s">
        <v>37</v>
      </c>
    </row>
    <row r="1704" spans="1:7" x14ac:dyDescent="0.3">
      <c r="A1704" t="s">
        <v>48</v>
      </c>
      <c r="B1704" t="s">
        <v>8</v>
      </c>
      <c r="C1704" t="s">
        <v>20</v>
      </c>
      <c r="D1704">
        <v>0</v>
      </c>
      <c r="E1704" t="s">
        <v>42</v>
      </c>
      <c r="F1704" t="s">
        <v>36</v>
      </c>
      <c r="G1704" t="s">
        <v>37</v>
      </c>
    </row>
    <row r="1705" spans="1:7" x14ac:dyDescent="0.3">
      <c r="A1705" t="s">
        <v>48</v>
      </c>
      <c r="B1705" t="s">
        <v>8</v>
      </c>
      <c r="C1705" t="s">
        <v>21</v>
      </c>
      <c r="D1705">
        <v>0</v>
      </c>
      <c r="E1705" t="s">
        <v>42</v>
      </c>
      <c r="F1705" t="s">
        <v>36</v>
      </c>
      <c r="G1705" t="s">
        <v>37</v>
      </c>
    </row>
    <row r="1706" spans="1:7" x14ac:dyDescent="0.3">
      <c r="A1706" t="s">
        <v>48</v>
      </c>
      <c r="B1706" t="s">
        <v>8</v>
      </c>
      <c r="C1706" t="s">
        <v>22</v>
      </c>
      <c r="D1706">
        <v>0</v>
      </c>
      <c r="E1706" t="s">
        <v>42</v>
      </c>
      <c r="F1706" t="s">
        <v>36</v>
      </c>
      <c r="G1706" t="s">
        <v>37</v>
      </c>
    </row>
    <row r="1707" spans="1:7" x14ac:dyDescent="0.3">
      <c r="A1707" t="s">
        <v>48</v>
      </c>
      <c r="B1707" t="s">
        <v>23</v>
      </c>
      <c r="C1707" t="s">
        <v>9</v>
      </c>
      <c r="D1707">
        <v>188</v>
      </c>
      <c r="E1707" t="s">
        <v>42</v>
      </c>
      <c r="F1707" t="s">
        <v>36</v>
      </c>
      <c r="G1707" t="s">
        <v>37</v>
      </c>
    </row>
    <row r="1708" spans="1:7" x14ac:dyDescent="0.3">
      <c r="A1708" t="s">
        <v>48</v>
      </c>
      <c r="B1708" t="s">
        <v>23</v>
      </c>
      <c r="C1708" t="s">
        <v>13</v>
      </c>
      <c r="D1708">
        <v>39</v>
      </c>
      <c r="E1708" t="s">
        <v>42</v>
      </c>
      <c r="F1708" t="s">
        <v>36</v>
      </c>
      <c r="G1708" t="s">
        <v>37</v>
      </c>
    </row>
    <row r="1709" spans="1:7" x14ac:dyDescent="0.3">
      <c r="A1709" t="s">
        <v>48</v>
      </c>
      <c r="B1709" t="s">
        <v>23</v>
      </c>
      <c r="C1709" t="s">
        <v>14</v>
      </c>
      <c r="D1709">
        <v>85496</v>
      </c>
      <c r="E1709" t="s">
        <v>42</v>
      </c>
      <c r="F1709" t="s">
        <v>36</v>
      </c>
      <c r="G1709" t="s">
        <v>37</v>
      </c>
    </row>
    <row r="1710" spans="1:7" x14ac:dyDescent="0.3">
      <c r="A1710" t="s">
        <v>48</v>
      </c>
      <c r="B1710" t="s">
        <v>23</v>
      </c>
      <c r="C1710" t="s">
        <v>15</v>
      </c>
      <c r="D1710">
        <v>3395</v>
      </c>
      <c r="E1710" t="s">
        <v>42</v>
      </c>
      <c r="F1710" t="s">
        <v>36</v>
      </c>
      <c r="G1710" t="s">
        <v>37</v>
      </c>
    </row>
    <row r="1711" spans="1:7" x14ac:dyDescent="0.3">
      <c r="A1711" t="s">
        <v>48</v>
      </c>
      <c r="B1711" t="s">
        <v>23</v>
      </c>
      <c r="C1711" t="s">
        <v>16</v>
      </c>
      <c r="D1711">
        <v>79501</v>
      </c>
      <c r="E1711" t="s">
        <v>42</v>
      </c>
      <c r="F1711" t="s">
        <v>36</v>
      </c>
      <c r="G1711" t="s">
        <v>37</v>
      </c>
    </row>
    <row r="1712" spans="1:7" x14ac:dyDescent="0.3">
      <c r="A1712" t="s">
        <v>48</v>
      </c>
      <c r="B1712" t="s">
        <v>23</v>
      </c>
      <c r="C1712" t="s">
        <v>17</v>
      </c>
      <c r="D1712">
        <v>28</v>
      </c>
      <c r="E1712" t="s">
        <v>42</v>
      </c>
      <c r="F1712" t="s">
        <v>36</v>
      </c>
      <c r="G1712" t="s">
        <v>37</v>
      </c>
    </row>
    <row r="1713" spans="1:7" x14ac:dyDescent="0.3">
      <c r="A1713" t="s">
        <v>48</v>
      </c>
      <c r="B1713" t="s">
        <v>23</v>
      </c>
      <c r="C1713" t="s">
        <v>18</v>
      </c>
      <c r="D1713">
        <v>0</v>
      </c>
      <c r="E1713" t="s">
        <v>42</v>
      </c>
      <c r="F1713" t="s">
        <v>36</v>
      </c>
      <c r="G1713" t="s">
        <v>37</v>
      </c>
    </row>
    <row r="1714" spans="1:7" x14ac:dyDescent="0.3">
      <c r="A1714" t="s">
        <v>48</v>
      </c>
      <c r="B1714" t="s">
        <v>23</v>
      </c>
      <c r="C1714" t="s">
        <v>19</v>
      </c>
      <c r="D1714">
        <v>171</v>
      </c>
      <c r="E1714" t="s">
        <v>42</v>
      </c>
      <c r="F1714" t="s">
        <v>36</v>
      </c>
      <c r="G1714" t="s">
        <v>37</v>
      </c>
    </row>
    <row r="1715" spans="1:7" x14ac:dyDescent="0.3">
      <c r="A1715" t="s">
        <v>48</v>
      </c>
      <c r="B1715" t="s">
        <v>23</v>
      </c>
      <c r="C1715" t="s">
        <v>20</v>
      </c>
      <c r="D1715">
        <v>620</v>
      </c>
      <c r="E1715" t="s">
        <v>42</v>
      </c>
      <c r="F1715" t="s">
        <v>36</v>
      </c>
      <c r="G1715" t="s">
        <v>37</v>
      </c>
    </row>
    <row r="1716" spans="1:7" x14ac:dyDescent="0.3">
      <c r="A1716" t="s">
        <v>48</v>
      </c>
      <c r="B1716" t="s">
        <v>23</v>
      </c>
      <c r="C1716" t="s">
        <v>21</v>
      </c>
      <c r="D1716">
        <v>174</v>
      </c>
      <c r="E1716" t="s">
        <v>42</v>
      </c>
      <c r="F1716" t="s">
        <v>36</v>
      </c>
      <c r="G1716" t="s">
        <v>37</v>
      </c>
    </row>
    <row r="1717" spans="1:7" x14ac:dyDescent="0.3">
      <c r="A1717" t="s">
        <v>48</v>
      </c>
      <c r="B1717" t="s">
        <v>23</v>
      </c>
      <c r="C1717" t="s">
        <v>22</v>
      </c>
      <c r="D1717">
        <v>161</v>
      </c>
      <c r="E1717" t="s">
        <v>42</v>
      </c>
      <c r="F1717" t="s">
        <v>36</v>
      </c>
      <c r="G1717" t="s">
        <v>37</v>
      </c>
    </row>
    <row r="1718" spans="1:7" x14ac:dyDescent="0.3">
      <c r="A1718" t="s">
        <v>49</v>
      </c>
      <c r="B1718" t="s">
        <v>8</v>
      </c>
      <c r="C1718" t="s">
        <v>9</v>
      </c>
      <c r="D1718">
        <v>0</v>
      </c>
      <c r="E1718" t="s">
        <v>42</v>
      </c>
      <c r="F1718" t="s">
        <v>36</v>
      </c>
      <c r="G1718" t="s">
        <v>37</v>
      </c>
    </row>
    <row r="1719" spans="1:7" x14ac:dyDescent="0.3">
      <c r="A1719" t="s">
        <v>49</v>
      </c>
      <c r="B1719" t="s">
        <v>8</v>
      </c>
      <c r="C1719" t="s">
        <v>13</v>
      </c>
      <c r="D1719">
        <v>0</v>
      </c>
      <c r="E1719" t="s">
        <v>42</v>
      </c>
      <c r="F1719" t="s">
        <v>36</v>
      </c>
      <c r="G1719" t="s">
        <v>37</v>
      </c>
    </row>
    <row r="1720" spans="1:7" x14ac:dyDescent="0.3">
      <c r="A1720" t="s">
        <v>49</v>
      </c>
      <c r="B1720" t="s">
        <v>8</v>
      </c>
      <c r="C1720" t="s">
        <v>14</v>
      </c>
      <c r="D1720">
        <v>0</v>
      </c>
      <c r="E1720" t="s">
        <v>42</v>
      </c>
      <c r="F1720" t="s">
        <v>36</v>
      </c>
      <c r="G1720" t="s">
        <v>37</v>
      </c>
    </row>
    <row r="1721" spans="1:7" x14ac:dyDescent="0.3">
      <c r="A1721" t="s">
        <v>49</v>
      </c>
      <c r="B1721" t="s">
        <v>8</v>
      </c>
      <c r="C1721" t="s">
        <v>15</v>
      </c>
      <c r="D1721">
        <v>0</v>
      </c>
      <c r="E1721" t="s">
        <v>42</v>
      </c>
      <c r="F1721" t="s">
        <v>36</v>
      </c>
      <c r="G1721" t="s">
        <v>37</v>
      </c>
    </row>
    <row r="1722" spans="1:7" x14ac:dyDescent="0.3">
      <c r="A1722" t="s">
        <v>49</v>
      </c>
      <c r="B1722" t="s">
        <v>8</v>
      </c>
      <c r="C1722" t="s">
        <v>16</v>
      </c>
      <c r="D1722">
        <v>0</v>
      </c>
      <c r="E1722" t="s">
        <v>42</v>
      </c>
      <c r="F1722" t="s">
        <v>36</v>
      </c>
      <c r="G1722" t="s">
        <v>37</v>
      </c>
    </row>
    <row r="1723" spans="1:7" x14ac:dyDescent="0.3">
      <c r="A1723" t="s">
        <v>49</v>
      </c>
      <c r="B1723" t="s">
        <v>8</v>
      </c>
      <c r="C1723" t="s">
        <v>17</v>
      </c>
      <c r="D1723">
        <v>0</v>
      </c>
      <c r="E1723" t="s">
        <v>42</v>
      </c>
      <c r="F1723" t="s">
        <v>36</v>
      </c>
      <c r="G1723" t="s">
        <v>37</v>
      </c>
    </row>
    <row r="1724" spans="1:7" x14ac:dyDescent="0.3">
      <c r="A1724" t="s">
        <v>49</v>
      </c>
      <c r="B1724" t="s">
        <v>8</v>
      </c>
      <c r="C1724" t="s">
        <v>18</v>
      </c>
      <c r="D1724">
        <v>0</v>
      </c>
      <c r="E1724" t="s">
        <v>42</v>
      </c>
      <c r="F1724" t="s">
        <v>36</v>
      </c>
      <c r="G1724" t="s">
        <v>37</v>
      </c>
    </row>
    <row r="1725" spans="1:7" x14ac:dyDescent="0.3">
      <c r="A1725" t="s">
        <v>49</v>
      </c>
      <c r="B1725" t="s">
        <v>8</v>
      </c>
      <c r="C1725" t="s">
        <v>19</v>
      </c>
      <c r="D1725">
        <v>0</v>
      </c>
      <c r="E1725" t="s">
        <v>42</v>
      </c>
      <c r="F1725" t="s">
        <v>36</v>
      </c>
      <c r="G1725" t="s">
        <v>37</v>
      </c>
    </row>
    <row r="1726" spans="1:7" x14ac:dyDescent="0.3">
      <c r="A1726" t="s">
        <v>49</v>
      </c>
      <c r="B1726" t="s">
        <v>8</v>
      </c>
      <c r="C1726" t="s">
        <v>20</v>
      </c>
      <c r="D1726">
        <v>0</v>
      </c>
      <c r="E1726" t="s">
        <v>42</v>
      </c>
      <c r="F1726" t="s">
        <v>36</v>
      </c>
      <c r="G1726" t="s">
        <v>37</v>
      </c>
    </row>
    <row r="1727" spans="1:7" x14ac:dyDescent="0.3">
      <c r="A1727" t="s">
        <v>49</v>
      </c>
      <c r="B1727" t="s">
        <v>8</v>
      </c>
      <c r="C1727" t="s">
        <v>21</v>
      </c>
      <c r="D1727">
        <v>0</v>
      </c>
      <c r="E1727" t="s">
        <v>42</v>
      </c>
      <c r="F1727" t="s">
        <v>36</v>
      </c>
      <c r="G1727" t="s">
        <v>37</v>
      </c>
    </row>
    <row r="1728" spans="1:7" x14ac:dyDescent="0.3">
      <c r="A1728" t="s">
        <v>49</v>
      </c>
      <c r="B1728" t="s">
        <v>8</v>
      </c>
      <c r="C1728" t="s">
        <v>22</v>
      </c>
      <c r="D1728">
        <v>0</v>
      </c>
      <c r="E1728" t="s">
        <v>42</v>
      </c>
      <c r="F1728" t="s">
        <v>36</v>
      </c>
      <c r="G1728" t="s">
        <v>37</v>
      </c>
    </row>
    <row r="1729" spans="1:7" x14ac:dyDescent="0.3">
      <c r="A1729" t="s">
        <v>49</v>
      </c>
      <c r="B1729" t="s">
        <v>23</v>
      </c>
      <c r="C1729" t="s">
        <v>9</v>
      </c>
      <c r="D1729">
        <v>187026</v>
      </c>
      <c r="E1729" t="s">
        <v>42</v>
      </c>
      <c r="F1729" t="s">
        <v>36</v>
      </c>
      <c r="G1729" t="s">
        <v>37</v>
      </c>
    </row>
    <row r="1730" spans="1:7" x14ac:dyDescent="0.3">
      <c r="A1730" t="s">
        <v>49</v>
      </c>
      <c r="B1730" t="s">
        <v>23</v>
      </c>
      <c r="C1730" t="s">
        <v>13</v>
      </c>
      <c r="D1730">
        <v>2350</v>
      </c>
      <c r="E1730" t="s">
        <v>42</v>
      </c>
      <c r="F1730" t="s">
        <v>36</v>
      </c>
      <c r="G1730" t="s">
        <v>37</v>
      </c>
    </row>
    <row r="1731" spans="1:7" x14ac:dyDescent="0.3">
      <c r="A1731" t="s">
        <v>49</v>
      </c>
      <c r="B1731" t="s">
        <v>23</v>
      </c>
      <c r="C1731" t="s">
        <v>14</v>
      </c>
      <c r="D1731">
        <v>3144</v>
      </c>
      <c r="E1731" t="s">
        <v>42</v>
      </c>
      <c r="F1731" t="s">
        <v>36</v>
      </c>
      <c r="G1731" t="s">
        <v>37</v>
      </c>
    </row>
    <row r="1732" spans="1:7" x14ac:dyDescent="0.3">
      <c r="A1732" t="s">
        <v>49</v>
      </c>
      <c r="B1732" t="s">
        <v>23</v>
      </c>
      <c r="C1732" t="s">
        <v>15</v>
      </c>
      <c r="D1732">
        <v>2296</v>
      </c>
      <c r="E1732" t="s">
        <v>42</v>
      </c>
      <c r="F1732" t="s">
        <v>36</v>
      </c>
      <c r="G1732" t="s">
        <v>37</v>
      </c>
    </row>
    <row r="1733" spans="1:7" x14ac:dyDescent="0.3">
      <c r="A1733" t="s">
        <v>49</v>
      </c>
      <c r="B1733" t="s">
        <v>23</v>
      </c>
      <c r="C1733" t="s">
        <v>16</v>
      </c>
      <c r="D1733">
        <v>28444</v>
      </c>
      <c r="E1733" t="s">
        <v>42</v>
      </c>
      <c r="F1733" t="s">
        <v>36</v>
      </c>
      <c r="G1733" t="s">
        <v>37</v>
      </c>
    </row>
    <row r="1734" spans="1:7" x14ac:dyDescent="0.3">
      <c r="A1734" t="s">
        <v>49</v>
      </c>
      <c r="B1734" t="s">
        <v>23</v>
      </c>
      <c r="C1734" t="s">
        <v>17</v>
      </c>
      <c r="D1734">
        <v>970</v>
      </c>
      <c r="E1734" t="s">
        <v>42</v>
      </c>
      <c r="F1734" t="s">
        <v>36</v>
      </c>
      <c r="G1734" t="s">
        <v>37</v>
      </c>
    </row>
    <row r="1735" spans="1:7" x14ac:dyDescent="0.3">
      <c r="A1735" t="s">
        <v>49</v>
      </c>
      <c r="B1735" t="s">
        <v>23</v>
      </c>
      <c r="C1735" t="s">
        <v>18</v>
      </c>
      <c r="D1735">
        <v>0</v>
      </c>
      <c r="E1735" t="s">
        <v>42</v>
      </c>
      <c r="F1735" t="s">
        <v>36</v>
      </c>
      <c r="G1735" t="s">
        <v>37</v>
      </c>
    </row>
    <row r="1736" spans="1:7" x14ac:dyDescent="0.3">
      <c r="A1736" t="s">
        <v>49</v>
      </c>
      <c r="B1736" t="s">
        <v>23</v>
      </c>
      <c r="C1736" t="s">
        <v>19</v>
      </c>
      <c r="D1736">
        <v>2488</v>
      </c>
      <c r="E1736" t="s">
        <v>42</v>
      </c>
      <c r="F1736" t="s">
        <v>36</v>
      </c>
      <c r="G1736" t="s">
        <v>37</v>
      </c>
    </row>
    <row r="1737" spans="1:7" x14ac:dyDescent="0.3">
      <c r="A1737" t="s">
        <v>49</v>
      </c>
      <c r="B1737" t="s">
        <v>23</v>
      </c>
      <c r="C1737" t="s">
        <v>20</v>
      </c>
      <c r="D1737">
        <v>13974</v>
      </c>
      <c r="E1737" t="s">
        <v>42</v>
      </c>
      <c r="F1737" t="s">
        <v>36</v>
      </c>
      <c r="G1737" t="s">
        <v>37</v>
      </c>
    </row>
    <row r="1738" spans="1:7" x14ac:dyDescent="0.3">
      <c r="A1738" t="s">
        <v>49</v>
      </c>
      <c r="B1738" t="s">
        <v>23</v>
      </c>
      <c r="C1738" t="s">
        <v>21</v>
      </c>
      <c r="D1738">
        <v>489</v>
      </c>
      <c r="E1738" t="s">
        <v>42</v>
      </c>
      <c r="F1738" t="s">
        <v>36</v>
      </c>
      <c r="G1738" t="s">
        <v>37</v>
      </c>
    </row>
    <row r="1739" spans="1:7" x14ac:dyDescent="0.3">
      <c r="A1739" t="s">
        <v>49</v>
      </c>
      <c r="B1739" t="s">
        <v>23</v>
      </c>
      <c r="C1739" t="s">
        <v>22</v>
      </c>
      <c r="D1739">
        <v>706</v>
      </c>
      <c r="E1739" t="s">
        <v>42</v>
      </c>
      <c r="F1739" t="s">
        <v>36</v>
      </c>
      <c r="G1739" t="s">
        <v>37</v>
      </c>
    </row>
    <row r="1740" spans="1:7" x14ac:dyDescent="0.3">
      <c r="A1740" t="s">
        <v>27</v>
      </c>
      <c r="B1740" t="s">
        <v>8</v>
      </c>
      <c r="C1740" t="s">
        <v>9</v>
      </c>
      <c r="D1740">
        <v>0</v>
      </c>
      <c r="E1740" t="s">
        <v>42</v>
      </c>
      <c r="F1740" t="s">
        <v>36</v>
      </c>
      <c r="G1740" t="s">
        <v>37</v>
      </c>
    </row>
    <row r="1741" spans="1:7" x14ac:dyDescent="0.3">
      <c r="A1741" t="s">
        <v>27</v>
      </c>
      <c r="B1741" t="s">
        <v>8</v>
      </c>
      <c r="C1741" t="s">
        <v>13</v>
      </c>
      <c r="D1741">
        <v>0</v>
      </c>
      <c r="E1741" t="s">
        <v>42</v>
      </c>
      <c r="F1741" t="s">
        <v>36</v>
      </c>
      <c r="G1741" t="s">
        <v>37</v>
      </c>
    </row>
    <row r="1742" spans="1:7" x14ac:dyDescent="0.3">
      <c r="A1742" t="s">
        <v>27</v>
      </c>
      <c r="B1742" t="s">
        <v>8</v>
      </c>
      <c r="C1742" t="s">
        <v>14</v>
      </c>
      <c r="D1742">
        <v>0</v>
      </c>
      <c r="E1742" t="s">
        <v>42</v>
      </c>
      <c r="F1742" t="s">
        <v>36</v>
      </c>
      <c r="G1742" t="s">
        <v>37</v>
      </c>
    </row>
    <row r="1743" spans="1:7" x14ac:dyDescent="0.3">
      <c r="A1743" t="s">
        <v>27</v>
      </c>
      <c r="B1743" t="s">
        <v>8</v>
      </c>
      <c r="C1743" t="s">
        <v>15</v>
      </c>
      <c r="D1743">
        <v>0</v>
      </c>
      <c r="E1743" t="s">
        <v>42</v>
      </c>
      <c r="F1743" t="s">
        <v>36</v>
      </c>
      <c r="G1743" t="s">
        <v>37</v>
      </c>
    </row>
    <row r="1744" spans="1:7" x14ac:dyDescent="0.3">
      <c r="A1744" t="s">
        <v>27</v>
      </c>
      <c r="B1744" t="s">
        <v>8</v>
      </c>
      <c r="C1744" t="s">
        <v>16</v>
      </c>
      <c r="D1744">
        <v>0</v>
      </c>
      <c r="E1744" t="s">
        <v>42</v>
      </c>
      <c r="F1744" t="s">
        <v>36</v>
      </c>
      <c r="G1744" t="s">
        <v>37</v>
      </c>
    </row>
    <row r="1745" spans="1:7" x14ac:dyDescent="0.3">
      <c r="A1745" t="s">
        <v>27</v>
      </c>
      <c r="B1745" t="s">
        <v>8</v>
      </c>
      <c r="C1745" t="s">
        <v>17</v>
      </c>
      <c r="D1745">
        <v>0</v>
      </c>
      <c r="E1745" t="s">
        <v>42</v>
      </c>
      <c r="F1745" t="s">
        <v>36</v>
      </c>
      <c r="G1745" t="s">
        <v>37</v>
      </c>
    </row>
    <row r="1746" spans="1:7" x14ac:dyDescent="0.3">
      <c r="A1746" t="s">
        <v>27</v>
      </c>
      <c r="B1746" t="s">
        <v>8</v>
      </c>
      <c r="C1746" t="s">
        <v>18</v>
      </c>
      <c r="D1746">
        <v>0</v>
      </c>
      <c r="E1746" t="s">
        <v>42</v>
      </c>
      <c r="F1746" t="s">
        <v>36</v>
      </c>
      <c r="G1746" t="s">
        <v>37</v>
      </c>
    </row>
    <row r="1747" spans="1:7" x14ac:dyDescent="0.3">
      <c r="A1747" t="s">
        <v>27</v>
      </c>
      <c r="B1747" t="s">
        <v>8</v>
      </c>
      <c r="C1747" t="s">
        <v>19</v>
      </c>
      <c r="D1747">
        <v>0</v>
      </c>
      <c r="E1747" t="s">
        <v>42</v>
      </c>
      <c r="F1747" t="s">
        <v>36</v>
      </c>
      <c r="G1747" t="s">
        <v>37</v>
      </c>
    </row>
    <row r="1748" spans="1:7" x14ac:dyDescent="0.3">
      <c r="A1748" t="s">
        <v>27</v>
      </c>
      <c r="B1748" t="s">
        <v>8</v>
      </c>
      <c r="C1748" t="s">
        <v>20</v>
      </c>
      <c r="D1748">
        <v>0</v>
      </c>
      <c r="E1748" t="s">
        <v>42</v>
      </c>
      <c r="F1748" t="s">
        <v>36</v>
      </c>
      <c r="G1748" t="s">
        <v>37</v>
      </c>
    </row>
    <row r="1749" spans="1:7" x14ac:dyDescent="0.3">
      <c r="A1749" t="s">
        <v>27</v>
      </c>
      <c r="B1749" t="s">
        <v>8</v>
      </c>
      <c r="C1749" t="s">
        <v>21</v>
      </c>
      <c r="D1749">
        <v>0</v>
      </c>
      <c r="E1749" t="s">
        <v>42</v>
      </c>
      <c r="F1749" t="s">
        <v>36</v>
      </c>
      <c r="G1749" t="s">
        <v>37</v>
      </c>
    </row>
    <row r="1750" spans="1:7" x14ac:dyDescent="0.3">
      <c r="A1750" t="s">
        <v>27</v>
      </c>
      <c r="B1750" t="s">
        <v>8</v>
      </c>
      <c r="C1750" t="s">
        <v>22</v>
      </c>
      <c r="D1750">
        <v>0</v>
      </c>
      <c r="E1750" t="s">
        <v>42</v>
      </c>
      <c r="F1750" t="s">
        <v>36</v>
      </c>
      <c r="G1750" t="s">
        <v>37</v>
      </c>
    </row>
    <row r="1751" spans="1:7" x14ac:dyDescent="0.3">
      <c r="A1751" t="s">
        <v>27</v>
      </c>
      <c r="B1751" t="s">
        <v>23</v>
      </c>
      <c r="C1751" t="s">
        <v>9</v>
      </c>
      <c r="D1751">
        <v>1756</v>
      </c>
      <c r="E1751" t="s">
        <v>42</v>
      </c>
      <c r="F1751" t="s">
        <v>36</v>
      </c>
      <c r="G1751" t="s">
        <v>37</v>
      </c>
    </row>
    <row r="1752" spans="1:7" x14ac:dyDescent="0.3">
      <c r="A1752" t="s">
        <v>27</v>
      </c>
      <c r="B1752" t="s">
        <v>23</v>
      </c>
      <c r="C1752" t="s">
        <v>13</v>
      </c>
      <c r="D1752">
        <v>8651</v>
      </c>
      <c r="E1752" t="s">
        <v>42</v>
      </c>
      <c r="F1752" t="s">
        <v>36</v>
      </c>
      <c r="G1752" t="s">
        <v>37</v>
      </c>
    </row>
    <row r="1753" spans="1:7" x14ac:dyDescent="0.3">
      <c r="A1753" t="s">
        <v>27</v>
      </c>
      <c r="B1753" t="s">
        <v>23</v>
      </c>
      <c r="C1753" t="s">
        <v>14</v>
      </c>
      <c r="D1753">
        <v>241201</v>
      </c>
      <c r="E1753" t="s">
        <v>42</v>
      </c>
      <c r="F1753" t="s">
        <v>36</v>
      </c>
      <c r="G1753" t="s">
        <v>37</v>
      </c>
    </row>
    <row r="1754" spans="1:7" x14ac:dyDescent="0.3">
      <c r="A1754" t="s">
        <v>27</v>
      </c>
      <c r="B1754" t="s">
        <v>23</v>
      </c>
      <c r="C1754" t="s">
        <v>15</v>
      </c>
      <c r="D1754">
        <v>15003</v>
      </c>
      <c r="E1754" t="s">
        <v>42</v>
      </c>
      <c r="F1754" t="s">
        <v>36</v>
      </c>
      <c r="G1754" t="s">
        <v>37</v>
      </c>
    </row>
    <row r="1755" spans="1:7" x14ac:dyDescent="0.3">
      <c r="A1755" t="s">
        <v>27</v>
      </c>
      <c r="B1755" t="s">
        <v>23</v>
      </c>
      <c r="C1755" t="s">
        <v>16</v>
      </c>
      <c r="D1755">
        <v>828303</v>
      </c>
      <c r="E1755" t="s">
        <v>42</v>
      </c>
      <c r="F1755" t="s">
        <v>36</v>
      </c>
      <c r="G1755" t="s">
        <v>37</v>
      </c>
    </row>
    <row r="1756" spans="1:7" x14ac:dyDescent="0.3">
      <c r="A1756" t="s">
        <v>27</v>
      </c>
      <c r="B1756" t="s">
        <v>23</v>
      </c>
      <c r="C1756" t="s">
        <v>17</v>
      </c>
      <c r="D1756">
        <v>214</v>
      </c>
      <c r="E1756" t="s">
        <v>42</v>
      </c>
      <c r="F1756" t="s">
        <v>36</v>
      </c>
      <c r="G1756" t="s">
        <v>37</v>
      </c>
    </row>
    <row r="1757" spans="1:7" x14ac:dyDescent="0.3">
      <c r="A1757" t="s">
        <v>27</v>
      </c>
      <c r="B1757" t="s">
        <v>23</v>
      </c>
      <c r="C1757" t="s">
        <v>18</v>
      </c>
      <c r="D1757">
        <v>0</v>
      </c>
      <c r="E1757" t="s">
        <v>42</v>
      </c>
      <c r="F1757" t="s">
        <v>36</v>
      </c>
      <c r="G1757" t="s">
        <v>37</v>
      </c>
    </row>
    <row r="1758" spans="1:7" x14ac:dyDescent="0.3">
      <c r="A1758" t="s">
        <v>27</v>
      </c>
      <c r="B1758" t="s">
        <v>23</v>
      </c>
      <c r="C1758" t="s">
        <v>19</v>
      </c>
      <c r="D1758">
        <v>2731</v>
      </c>
      <c r="E1758" t="s">
        <v>42</v>
      </c>
      <c r="F1758" t="s">
        <v>36</v>
      </c>
      <c r="G1758" t="s">
        <v>37</v>
      </c>
    </row>
    <row r="1759" spans="1:7" x14ac:dyDescent="0.3">
      <c r="A1759" t="s">
        <v>27</v>
      </c>
      <c r="B1759" t="s">
        <v>23</v>
      </c>
      <c r="C1759" t="s">
        <v>20</v>
      </c>
      <c r="D1759">
        <v>5978</v>
      </c>
      <c r="E1759" t="s">
        <v>42</v>
      </c>
      <c r="F1759" t="s">
        <v>36</v>
      </c>
      <c r="G1759" t="s">
        <v>37</v>
      </c>
    </row>
    <row r="1760" spans="1:7" x14ac:dyDescent="0.3">
      <c r="A1760" t="s">
        <v>27</v>
      </c>
      <c r="B1760" t="s">
        <v>23</v>
      </c>
      <c r="C1760" t="s">
        <v>21</v>
      </c>
      <c r="D1760">
        <v>1197</v>
      </c>
      <c r="E1760" t="s">
        <v>42</v>
      </c>
      <c r="F1760" t="s">
        <v>36</v>
      </c>
      <c r="G1760" t="s">
        <v>37</v>
      </c>
    </row>
    <row r="1761" spans="1:7" x14ac:dyDescent="0.3">
      <c r="A1761" t="s">
        <v>27</v>
      </c>
      <c r="B1761" t="s">
        <v>23</v>
      </c>
      <c r="C1761" t="s">
        <v>22</v>
      </c>
      <c r="D1761">
        <v>96298</v>
      </c>
      <c r="E1761" t="s">
        <v>42</v>
      </c>
      <c r="F1761" t="s">
        <v>36</v>
      </c>
      <c r="G1761" t="s">
        <v>37</v>
      </c>
    </row>
    <row r="1762" spans="1:7" x14ac:dyDescent="0.3">
      <c r="A1762" t="s">
        <v>50</v>
      </c>
      <c r="B1762" t="s">
        <v>8</v>
      </c>
      <c r="C1762" t="s">
        <v>9</v>
      </c>
      <c r="D1762">
        <v>0</v>
      </c>
      <c r="E1762" t="s">
        <v>42</v>
      </c>
      <c r="F1762" t="s">
        <v>36</v>
      </c>
      <c r="G1762" t="s">
        <v>37</v>
      </c>
    </row>
    <row r="1763" spans="1:7" x14ac:dyDescent="0.3">
      <c r="A1763" t="s">
        <v>50</v>
      </c>
      <c r="B1763" t="s">
        <v>8</v>
      </c>
      <c r="C1763" t="s">
        <v>13</v>
      </c>
      <c r="D1763">
        <v>0</v>
      </c>
      <c r="E1763" t="s">
        <v>42</v>
      </c>
      <c r="F1763" t="s">
        <v>36</v>
      </c>
      <c r="G1763" t="s">
        <v>37</v>
      </c>
    </row>
    <row r="1764" spans="1:7" x14ac:dyDescent="0.3">
      <c r="A1764" t="s">
        <v>50</v>
      </c>
      <c r="B1764" t="s">
        <v>8</v>
      </c>
      <c r="C1764" t="s">
        <v>14</v>
      </c>
      <c r="D1764">
        <v>0</v>
      </c>
      <c r="E1764" t="s">
        <v>42</v>
      </c>
      <c r="F1764" t="s">
        <v>36</v>
      </c>
      <c r="G1764" t="s">
        <v>37</v>
      </c>
    </row>
    <row r="1765" spans="1:7" x14ac:dyDescent="0.3">
      <c r="A1765" t="s">
        <v>50</v>
      </c>
      <c r="B1765" t="s">
        <v>8</v>
      </c>
      <c r="C1765" t="s">
        <v>15</v>
      </c>
      <c r="D1765">
        <v>0</v>
      </c>
      <c r="E1765" t="s">
        <v>42</v>
      </c>
      <c r="F1765" t="s">
        <v>36</v>
      </c>
      <c r="G1765" t="s">
        <v>37</v>
      </c>
    </row>
    <row r="1766" spans="1:7" x14ac:dyDescent="0.3">
      <c r="A1766" t="s">
        <v>50</v>
      </c>
      <c r="B1766" t="s">
        <v>8</v>
      </c>
      <c r="C1766" t="s">
        <v>16</v>
      </c>
      <c r="D1766">
        <v>0</v>
      </c>
      <c r="E1766" t="s">
        <v>42</v>
      </c>
      <c r="F1766" t="s">
        <v>36</v>
      </c>
      <c r="G1766" t="s">
        <v>37</v>
      </c>
    </row>
    <row r="1767" spans="1:7" x14ac:dyDescent="0.3">
      <c r="A1767" t="s">
        <v>50</v>
      </c>
      <c r="B1767" t="s">
        <v>8</v>
      </c>
      <c r="C1767" t="s">
        <v>17</v>
      </c>
      <c r="D1767">
        <v>0</v>
      </c>
      <c r="E1767" t="s">
        <v>42</v>
      </c>
      <c r="F1767" t="s">
        <v>36</v>
      </c>
      <c r="G1767" t="s">
        <v>37</v>
      </c>
    </row>
    <row r="1768" spans="1:7" x14ac:dyDescent="0.3">
      <c r="A1768" t="s">
        <v>50</v>
      </c>
      <c r="B1768" t="s">
        <v>8</v>
      </c>
      <c r="C1768" t="s">
        <v>18</v>
      </c>
      <c r="D1768">
        <v>0</v>
      </c>
      <c r="E1768" t="s">
        <v>42</v>
      </c>
      <c r="F1768" t="s">
        <v>36</v>
      </c>
      <c r="G1768" t="s">
        <v>37</v>
      </c>
    </row>
    <row r="1769" spans="1:7" x14ac:dyDescent="0.3">
      <c r="A1769" t="s">
        <v>50</v>
      </c>
      <c r="B1769" t="s">
        <v>8</v>
      </c>
      <c r="C1769" t="s">
        <v>19</v>
      </c>
      <c r="D1769">
        <v>0</v>
      </c>
      <c r="E1769" t="s">
        <v>42</v>
      </c>
      <c r="F1769" t="s">
        <v>36</v>
      </c>
      <c r="G1769" t="s">
        <v>37</v>
      </c>
    </row>
    <row r="1770" spans="1:7" x14ac:dyDescent="0.3">
      <c r="A1770" t="s">
        <v>50</v>
      </c>
      <c r="B1770" t="s">
        <v>8</v>
      </c>
      <c r="C1770" t="s">
        <v>20</v>
      </c>
      <c r="D1770">
        <v>0</v>
      </c>
      <c r="E1770" t="s">
        <v>42</v>
      </c>
      <c r="F1770" t="s">
        <v>36</v>
      </c>
      <c r="G1770" t="s">
        <v>37</v>
      </c>
    </row>
    <row r="1771" spans="1:7" x14ac:dyDescent="0.3">
      <c r="A1771" t="s">
        <v>50</v>
      </c>
      <c r="B1771" t="s">
        <v>8</v>
      </c>
      <c r="C1771" t="s">
        <v>21</v>
      </c>
      <c r="D1771">
        <v>0</v>
      </c>
      <c r="E1771" t="s">
        <v>42</v>
      </c>
      <c r="F1771" t="s">
        <v>36</v>
      </c>
      <c r="G1771" t="s">
        <v>37</v>
      </c>
    </row>
    <row r="1772" spans="1:7" x14ac:dyDescent="0.3">
      <c r="A1772" t="s">
        <v>50</v>
      </c>
      <c r="B1772" t="s">
        <v>8</v>
      </c>
      <c r="C1772" t="s">
        <v>22</v>
      </c>
      <c r="D1772">
        <v>0</v>
      </c>
      <c r="E1772" t="s">
        <v>42</v>
      </c>
      <c r="F1772" t="s">
        <v>36</v>
      </c>
      <c r="G1772" t="s">
        <v>37</v>
      </c>
    </row>
    <row r="1773" spans="1:7" x14ac:dyDescent="0.3">
      <c r="A1773" t="s">
        <v>50</v>
      </c>
      <c r="B1773" t="s">
        <v>23</v>
      </c>
      <c r="C1773" t="s">
        <v>9</v>
      </c>
      <c r="D1773">
        <v>225</v>
      </c>
      <c r="E1773" t="s">
        <v>42</v>
      </c>
      <c r="F1773" t="s">
        <v>36</v>
      </c>
      <c r="G1773" t="s">
        <v>37</v>
      </c>
    </row>
    <row r="1774" spans="1:7" x14ac:dyDescent="0.3">
      <c r="A1774" t="s">
        <v>50</v>
      </c>
      <c r="B1774" t="s">
        <v>23</v>
      </c>
      <c r="C1774" t="s">
        <v>13</v>
      </c>
      <c r="D1774">
        <v>36</v>
      </c>
      <c r="E1774" t="s">
        <v>42</v>
      </c>
      <c r="F1774" t="s">
        <v>36</v>
      </c>
      <c r="G1774" t="s">
        <v>37</v>
      </c>
    </row>
    <row r="1775" spans="1:7" x14ac:dyDescent="0.3">
      <c r="A1775" t="s">
        <v>50</v>
      </c>
      <c r="B1775" t="s">
        <v>23</v>
      </c>
      <c r="C1775" t="s">
        <v>14</v>
      </c>
      <c r="D1775">
        <v>669</v>
      </c>
      <c r="E1775" t="s">
        <v>42</v>
      </c>
      <c r="F1775" t="s">
        <v>36</v>
      </c>
      <c r="G1775" t="s">
        <v>37</v>
      </c>
    </row>
    <row r="1776" spans="1:7" x14ac:dyDescent="0.3">
      <c r="A1776" t="s">
        <v>50</v>
      </c>
      <c r="B1776" t="s">
        <v>23</v>
      </c>
      <c r="C1776" t="s">
        <v>15</v>
      </c>
      <c r="D1776">
        <v>103</v>
      </c>
      <c r="E1776" t="s">
        <v>42</v>
      </c>
      <c r="F1776" t="s">
        <v>36</v>
      </c>
      <c r="G1776" t="s">
        <v>37</v>
      </c>
    </row>
    <row r="1777" spans="1:7" x14ac:dyDescent="0.3">
      <c r="A1777" t="s">
        <v>50</v>
      </c>
      <c r="B1777" t="s">
        <v>23</v>
      </c>
      <c r="C1777" t="s">
        <v>16</v>
      </c>
      <c r="D1777">
        <v>283536</v>
      </c>
      <c r="E1777" t="s">
        <v>42</v>
      </c>
      <c r="F1777" t="s">
        <v>36</v>
      </c>
      <c r="G1777" t="s">
        <v>37</v>
      </c>
    </row>
    <row r="1778" spans="1:7" x14ac:dyDescent="0.3">
      <c r="A1778" t="s">
        <v>50</v>
      </c>
      <c r="B1778" t="s">
        <v>23</v>
      </c>
      <c r="C1778" t="s">
        <v>17</v>
      </c>
      <c r="D1778">
        <v>53</v>
      </c>
      <c r="E1778" t="s">
        <v>42</v>
      </c>
      <c r="F1778" t="s">
        <v>36</v>
      </c>
      <c r="G1778" t="s">
        <v>37</v>
      </c>
    </row>
    <row r="1779" spans="1:7" x14ac:dyDescent="0.3">
      <c r="A1779" t="s">
        <v>50</v>
      </c>
      <c r="B1779" t="s">
        <v>23</v>
      </c>
      <c r="C1779" t="s">
        <v>18</v>
      </c>
      <c r="D1779">
        <v>0</v>
      </c>
      <c r="E1779" t="s">
        <v>42</v>
      </c>
      <c r="F1779" t="s">
        <v>36</v>
      </c>
      <c r="G1779" t="s">
        <v>37</v>
      </c>
    </row>
    <row r="1780" spans="1:7" x14ac:dyDescent="0.3">
      <c r="A1780" t="s">
        <v>50</v>
      </c>
      <c r="B1780" t="s">
        <v>23</v>
      </c>
      <c r="C1780" t="s">
        <v>19</v>
      </c>
      <c r="D1780">
        <v>96</v>
      </c>
      <c r="E1780" t="s">
        <v>42</v>
      </c>
      <c r="F1780" t="s">
        <v>36</v>
      </c>
      <c r="G1780" t="s">
        <v>37</v>
      </c>
    </row>
    <row r="1781" spans="1:7" x14ac:dyDescent="0.3">
      <c r="A1781" t="s">
        <v>50</v>
      </c>
      <c r="B1781" t="s">
        <v>23</v>
      </c>
      <c r="C1781" t="s">
        <v>20</v>
      </c>
      <c r="D1781">
        <v>640</v>
      </c>
      <c r="E1781" t="s">
        <v>42</v>
      </c>
      <c r="F1781" t="s">
        <v>36</v>
      </c>
      <c r="G1781" t="s">
        <v>37</v>
      </c>
    </row>
    <row r="1782" spans="1:7" x14ac:dyDescent="0.3">
      <c r="A1782" t="s">
        <v>50</v>
      </c>
      <c r="B1782" t="s">
        <v>23</v>
      </c>
      <c r="C1782" t="s">
        <v>21</v>
      </c>
      <c r="D1782">
        <v>232</v>
      </c>
      <c r="E1782" t="s">
        <v>42</v>
      </c>
      <c r="F1782" t="s">
        <v>36</v>
      </c>
      <c r="G1782" t="s">
        <v>37</v>
      </c>
    </row>
    <row r="1783" spans="1:7" x14ac:dyDescent="0.3">
      <c r="A1783" t="s">
        <v>50</v>
      </c>
      <c r="B1783" t="s">
        <v>23</v>
      </c>
      <c r="C1783" t="s">
        <v>22</v>
      </c>
      <c r="D1783">
        <v>125</v>
      </c>
      <c r="E1783" t="s">
        <v>42</v>
      </c>
      <c r="F1783" t="s">
        <v>36</v>
      </c>
      <c r="G1783" t="s">
        <v>37</v>
      </c>
    </row>
    <row r="1784" spans="1:7" x14ac:dyDescent="0.3">
      <c r="A1784" t="s">
        <v>51</v>
      </c>
      <c r="B1784" t="s">
        <v>8</v>
      </c>
      <c r="C1784" t="s">
        <v>9</v>
      </c>
      <c r="D1784">
        <v>0</v>
      </c>
      <c r="E1784" t="s">
        <v>42</v>
      </c>
      <c r="F1784" t="s">
        <v>36</v>
      </c>
      <c r="G1784" t="s">
        <v>37</v>
      </c>
    </row>
    <row r="1785" spans="1:7" x14ac:dyDescent="0.3">
      <c r="A1785" t="s">
        <v>51</v>
      </c>
      <c r="B1785" t="s">
        <v>8</v>
      </c>
      <c r="C1785" t="s">
        <v>13</v>
      </c>
      <c r="D1785">
        <v>0</v>
      </c>
      <c r="E1785" t="s">
        <v>42</v>
      </c>
      <c r="F1785" t="s">
        <v>36</v>
      </c>
      <c r="G1785" t="s">
        <v>37</v>
      </c>
    </row>
    <row r="1786" spans="1:7" x14ac:dyDescent="0.3">
      <c r="A1786" t="s">
        <v>51</v>
      </c>
      <c r="B1786" t="s">
        <v>8</v>
      </c>
      <c r="C1786" t="s">
        <v>14</v>
      </c>
      <c r="D1786">
        <v>0</v>
      </c>
      <c r="E1786" t="s">
        <v>42</v>
      </c>
      <c r="F1786" t="s">
        <v>36</v>
      </c>
      <c r="G1786" t="s">
        <v>37</v>
      </c>
    </row>
    <row r="1787" spans="1:7" x14ac:dyDescent="0.3">
      <c r="A1787" t="s">
        <v>51</v>
      </c>
      <c r="B1787" t="s">
        <v>8</v>
      </c>
      <c r="C1787" t="s">
        <v>15</v>
      </c>
      <c r="D1787">
        <v>0</v>
      </c>
      <c r="E1787" t="s">
        <v>42</v>
      </c>
      <c r="F1787" t="s">
        <v>36</v>
      </c>
      <c r="G1787" t="s">
        <v>37</v>
      </c>
    </row>
    <row r="1788" spans="1:7" x14ac:dyDescent="0.3">
      <c r="A1788" t="s">
        <v>51</v>
      </c>
      <c r="B1788" t="s">
        <v>8</v>
      </c>
      <c r="C1788" t="s">
        <v>16</v>
      </c>
      <c r="D1788">
        <v>0</v>
      </c>
      <c r="E1788" t="s">
        <v>42</v>
      </c>
      <c r="F1788" t="s">
        <v>36</v>
      </c>
      <c r="G1788" t="s">
        <v>37</v>
      </c>
    </row>
    <row r="1789" spans="1:7" x14ac:dyDescent="0.3">
      <c r="A1789" t="s">
        <v>51</v>
      </c>
      <c r="B1789" t="s">
        <v>8</v>
      </c>
      <c r="C1789" t="s">
        <v>17</v>
      </c>
      <c r="D1789">
        <v>0</v>
      </c>
      <c r="E1789" t="s">
        <v>42</v>
      </c>
      <c r="F1789" t="s">
        <v>36</v>
      </c>
      <c r="G1789" t="s">
        <v>37</v>
      </c>
    </row>
    <row r="1790" spans="1:7" x14ac:dyDescent="0.3">
      <c r="A1790" t="s">
        <v>51</v>
      </c>
      <c r="B1790" t="s">
        <v>8</v>
      </c>
      <c r="C1790" t="s">
        <v>18</v>
      </c>
      <c r="D1790">
        <v>0</v>
      </c>
      <c r="E1790" t="s">
        <v>42</v>
      </c>
      <c r="F1790" t="s">
        <v>36</v>
      </c>
      <c r="G1790" t="s">
        <v>37</v>
      </c>
    </row>
    <row r="1791" spans="1:7" x14ac:dyDescent="0.3">
      <c r="A1791" t="s">
        <v>51</v>
      </c>
      <c r="B1791" t="s">
        <v>8</v>
      </c>
      <c r="C1791" t="s">
        <v>19</v>
      </c>
      <c r="D1791">
        <v>0</v>
      </c>
      <c r="E1791" t="s">
        <v>42</v>
      </c>
      <c r="F1791" t="s">
        <v>36</v>
      </c>
      <c r="G1791" t="s">
        <v>37</v>
      </c>
    </row>
    <row r="1792" spans="1:7" x14ac:dyDescent="0.3">
      <c r="A1792" t="s">
        <v>51</v>
      </c>
      <c r="B1792" t="s">
        <v>8</v>
      </c>
      <c r="C1792" t="s">
        <v>20</v>
      </c>
      <c r="D1792">
        <v>0</v>
      </c>
      <c r="E1792" t="s">
        <v>42</v>
      </c>
      <c r="F1792" t="s">
        <v>36</v>
      </c>
      <c r="G1792" t="s">
        <v>37</v>
      </c>
    </row>
    <row r="1793" spans="1:7" x14ac:dyDescent="0.3">
      <c r="A1793" t="s">
        <v>51</v>
      </c>
      <c r="B1793" t="s">
        <v>8</v>
      </c>
      <c r="C1793" t="s">
        <v>21</v>
      </c>
      <c r="D1793">
        <v>0</v>
      </c>
      <c r="E1793" t="s">
        <v>42</v>
      </c>
      <c r="F1793" t="s">
        <v>36</v>
      </c>
      <c r="G1793" t="s">
        <v>37</v>
      </c>
    </row>
    <row r="1794" spans="1:7" x14ac:dyDescent="0.3">
      <c r="A1794" t="s">
        <v>51</v>
      </c>
      <c r="B1794" t="s">
        <v>8</v>
      </c>
      <c r="C1794" t="s">
        <v>22</v>
      </c>
      <c r="D1794">
        <v>0</v>
      </c>
      <c r="E1794" t="s">
        <v>42</v>
      </c>
      <c r="F1794" t="s">
        <v>36</v>
      </c>
      <c r="G1794" t="s">
        <v>37</v>
      </c>
    </row>
    <row r="1795" spans="1:7" x14ac:dyDescent="0.3">
      <c r="A1795" t="s">
        <v>51</v>
      </c>
      <c r="B1795" t="s">
        <v>23</v>
      </c>
      <c r="C1795" t="s">
        <v>9</v>
      </c>
      <c r="D1795">
        <v>642</v>
      </c>
      <c r="E1795" t="s">
        <v>42</v>
      </c>
      <c r="F1795" t="s">
        <v>36</v>
      </c>
      <c r="G1795" t="s">
        <v>37</v>
      </c>
    </row>
    <row r="1796" spans="1:7" x14ac:dyDescent="0.3">
      <c r="A1796" t="s">
        <v>51</v>
      </c>
      <c r="B1796" t="s">
        <v>23</v>
      </c>
      <c r="C1796" t="s">
        <v>13</v>
      </c>
      <c r="D1796">
        <v>53216</v>
      </c>
      <c r="E1796" t="s">
        <v>42</v>
      </c>
      <c r="F1796" t="s">
        <v>36</v>
      </c>
      <c r="G1796" t="s">
        <v>37</v>
      </c>
    </row>
    <row r="1797" spans="1:7" x14ac:dyDescent="0.3">
      <c r="A1797" t="s">
        <v>51</v>
      </c>
      <c r="B1797" t="s">
        <v>23</v>
      </c>
      <c r="C1797" t="s">
        <v>14</v>
      </c>
      <c r="D1797">
        <v>620</v>
      </c>
      <c r="E1797" t="s">
        <v>42</v>
      </c>
      <c r="F1797" t="s">
        <v>36</v>
      </c>
      <c r="G1797" t="s">
        <v>37</v>
      </c>
    </row>
    <row r="1798" spans="1:7" x14ac:dyDescent="0.3">
      <c r="A1798" t="s">
        <v>51</v>
      </c>
      <c r="B1798" t="s">
        <v>23</v>
      </c>
      <c r="C1798" t="s">
        <v>15</v>
      </c>
      <c r="D1798">
        <v>2887</v>
      </c>
      <c r="E1798" t="s">
        <v>42</v>
      </c>
      <c r="F1798" t="s">
        <v>36</v>
      </c>
      <c r="G1798" t="s">
        <v>37</v>
      </c>
    </row>
    <row r="1799" spans="1:7" x14ac:dyDescent="0.3">
      <c r="A1799" t="s">
        <v>51</v>
      </c>
      <c r="B1799" t="s">
        <v>23</v>
      </c>
      <c r="C1799" t="s">
        <v>16</v>
      </c>
      <c r="D1799">
        <v>383</v>
      </c>
      <c r="E1799" t="s">
        <v>42</v>
      </c>
      <c r="F1799" t="s">
        <v>36</v>
      </c>
      <c r="G1799" t="s">
        <v>37</v>
      </c>
    </row>
    <row r="1800" spans="1:7" x14ac:dyDescent="0.3">
      <c r="A1800" t="s">
        <v>51</v>
      </c>
      <c r="B1800" t="s">
        <v>23</v>
      </c>
      <c r="C1800" t="s">
        <v>17</v>
      </c>
      <c r="D1800">
        <v>6</v>
      </c>
      <c r="E1800" t="s">
        <v>42</v>
      </c>
      <c r="F1800" t="s">
        <v>36</v>
      </c>
      <c r="G1800" t="s">
        <v>37</v>
      </c>
    </row>
    <row r="1801" spans="1:7" x14ac:dyDescent="0.3">
      <c r="A1801" t="s">
        <v>51</v>
      </c>
      <c r="B1801" t="s">
        <v>23</v>
      </c>
      <c r="C1801" t="s">
        <v>18</v>
      </c>
      <c r="D1801">
        <v>0</v>
      </c>
      <c r="E1801" t="s">
        <v>42</v>
      </c>
      <c r="F1801" t="s">
        <v>36</v>
      </c>
      <c r="G1801" t="s">
        <v>37</v>
      </c>
    </row>
    <row r="1802" spans="1:7" x14ac:dyDescent="0.3">
      <c r="A1802" t="s">
        <v>51</v>
      </c>
      <c r="B1802" t="s">
        <v>23</v>
      </c>
      <c r="C1802" t="s">
        <v>19</v>
      </c>
      <c r="D1802">
        <v>1152</v>
      </c>
      <c r="E1802" t="s">
        <v>42</v>
      </c>
      <c r="F1802" t="s">
        <v>36</v>
      </c>
      <c r="G1802" t="s">
        <v>37</v>
      </c>
    </row>
    <row r="1803" spans="1:7" x14ac:dyDescent="0.3">
      <c r="A1803" t="s">
        <v>51</v>
      </c>
      <c r="B1803" t="s">
        <v>23</v>
      </c>
      <c r="C1803" t="s">
        <v>20</v>
      </c>
      <c r="D1803">
        <v>1716</v>
      </c>
      <c r="E1803" t="s">
        <v>42</v>
      </c>
      <c r="F1803" t="s">
        <v>36</v>
      </c>
      <c r="G1803" t="s">
        <v>37</v>
      </c>
    </row>
    <row r="1804" spans="1:7" x14ac:dyDescent="0.3">
      <c r="A1804" t="s">
        <v>51</v>
      </c>
      <c r="B1804" t="s">
        <v>23</v>
      </c>
      <c r="C1804" t="s">
        <v>21</v>
      </c>
      <c r="D1804">
        <v>53</v>
      </c>
      <c r="E1804" t="s">
        <v>42</v>
      </c>
      <c r="F1804" t="s">
        <v>36</v>
      </c>
      <c r="G1804" t="s">
        <v>37</v>
      </c>
    </row>
    <row r="1805" spans="1:7" x14ac:dyDescent="0.3">
      <c r="A1805" t="s">
        <v>51</v>
      </c>
      <c r="B1805" t="s">
        <v>23</v>
      </c>
      <c r="C1805" t="s">
        <v>22</v>
      </c>
      <c r="D1805">
        <v>2760</v>
      </c>
      <c r="E1805" t="s">
        <v>42</v>
      </c>
      <c r="F1805" t="s">
        <v>36</v>
      </c>
      <c r="G1805" t="s">
        <v>37</v>
      </c>
    </row>
    <row r="1806" spans="1:7" x14ac:dyDescent="0.3">
      <c r="A1806" t="s">
        <v>52</v>
      </c>
      <c r="B1806" t="s">
        <v>8</v>
      </c>
      <c r="C1806" t="s">
        <v>9</v>
      </c>
      <c r="D1806">
        <v>0</v>
      </c>
      <c r="E1806" t="s">
        <v>42</v>
      </c>
      <c r="F1806" t="s">
        <v>36</v>
      </c>
      <c r="G1806" t="s">
        <v>37</v>
      </c>
    </row>
    <row r="1807" spans="1:7" x14ac:dyDescent="0.3">
      <c r="A1807" t="s">
        <v>52</v>
      </c>
      <c r="B1807" t="s">
        <v>8</v>
      </c>
      <c r="C1807" t="s">
        <v>13</v>
      </c>
      <c r="D1807">
        <v>0</v>
      </c>
      <c r="E1807" t="s">
        <v>42</v>
      </c>
      <c r="F1807" t="s">
        <v>36</v>
      </c>
      <c r="G1807" t="s">
        <v>37</v>
      </c>
    </row>
    <row r="1808" spans="1:7" x14ac:dyDescent="0.3">
      <c r="A1808" t="s">
        <v>52</v>
      </c>
      <c r="B1808" t="s">
        <v>8</v>
      </c>
      <c r="C1808" t="s">
        <v>14</v>
      </c>
      <c r="D1808">
        <v>0</v>
      </c>
      <c r="E1808" t="s">
        <v>42</v>
      </c>
      <c r="F1808" t="s">
        <v>36</v>
      </c>
      <c r="G1808" t="s">
        <v>37</v>
      </c>
    </row>
    <row r="1809" spans="1:7" x14ac:dyDescent="0.3">
      <c r="A1809" t="s">
        <v>52</v>
      </c>
      <c r="B1809" t="s">
        <v>8</v>
      </c>
      <c r="C1809" t="s">
        <v>15</v>
      </c>
      <c r="D1809">
        <v>0</v>
      </c>
      <c r="E1809" t="s">
        <v>42</v>
      </c>
      <c r="F1809" t="s">
        <v>36</v>
      </c>
      <c r="G1809" t="s">
        <v>37</v>
      </c>
    </row>
    <row r="1810" spans="1:7" x14ac:dyDescent="0.3">
      <c r="A1810" t="s">
        <v>52</v>
      </c>
      <c r="B1810" t="s">
        <v>8</v>
      </c>
      <c r="C1810" t="s">
        <v>16</v>
      </c>
      <c r="D1810">
        <v>0</v>
      </c>
      <c r="E1810" t="s">
        <v>42</v>
      </c>
      <c r="F1810" t="s">
        <v>36</v>
      </c>
      <c r="G1810" t="s">
        <v>37</v>
      </c>
    </row>
    <row r="1811" spans="1:7" x14ac:dyDescent="0.3">
      <c r="A1811" t="s">
        <v>52</v>
      </c>
      <c r="B1811" t="s">
        <v>8</v>
      </c>
      <c r="C1811" t="s">
        <v>17</v>
      </c>
      <c r="D1811">
        <v>0</v>
      </c>
      <c r="E1811" t="s">
        <v>42</v>
      </c>
      <c r="F1811" t="s">
        <v>36</v>
      </c>
      <c r="G1811" t="s">
        <v>37</v>
      </c>
    </row>
    <row r="1812" spans="1:7" x14ac:dyDescent="0.3">
      <c r="A1812" t="s">
        <v>52</v>
      </c>
      <c r="B1812" t="s">
        <v>8</v>
      </c>
      <c r="C1812" t="s">
        <v>18</v>
      </c>
      <c r="D1812">
        <v>0</v>
      </c>
      <c r="E1812" t="s">
        <v>42</v>
      </c>
      <c r="F1812" t="s">
        <v>36</v>
      </c>
      <c r="G1812" t="s">
        <v>37</v>
      </c>
    </row>
    <row r="1813" spans="1:7" x14ac:dyDescent="0.3">
      <c r="A1813" t="s">
        <v>52</v>
      </c>
      <c r="B1813" t="s">
        <v>8</v>
      </c>
      <c r="C1813" t="s">
        <v>19</v>
      </c>
      <c r="D1813">
        <v>0</v>
      </c>
      <c r="E1813" t="s">
        <v>42</v>
      </c>
      <c r="F1813" t="s">
        <v>36</v>
      </c>
      <c r="G1813" t="s">
        <v>37</v>
      </c>
    </row>
    <row r="1814" spans="1:7" x14ac:dyDescent="0.3">
      <c r="A1814" t="s">
        <v>52</v>
      </c>
      <c r="B1814" t="s">
        <v>8</v>
      </c>
      <c r="C1814" t="s">
        <v>20</v>
      </c>
      <c r="D1814">
        <v>0</v>
      </c>
      <c r="E1814" t="s">
        <v>42</v>
      </c>
      <c r="F1814" t="s">
        <v>36</v>
      </c>
      <c r="G1814" t="s">
        <v>37</v>
      </c>
    </row>
    <row r="1815" spans="1:7" x14ac:dyDescent="0.3">
      <c r="A1815" t="s">
        <v>52</v>
      </c>
      <c r="B1815" t="s">
        <v>8</v>
      </c>
      <c r="C1815" t="s">
        <v>21</v>
      </c>
      <c r="D1815">
        <v>0</v>
      </c>
      <c r="E1815" t="s">
        <v>42</v>
      </c>
      <c r="F1815" t="s">
        <v>36</v>
      </c>
      <c r="G1815" t="s">
        <v>37</v>
      </c>
    </row>
    <row r="1816" spans="1:7" x14ac:dyDescent="0.3">
      <c r="A1816" t="s">
        <v>52</v>
      </c>
      <c r="B1816" t="s">
        <v>8</v>
      </c>
      <c r="C1816" t="s">
        <v>22</v>
      </c>
      <c r="D1816">
        <v>0</v>
      </c>
      <c r="E1816" t="s">
        <v>42</v>
      </c>
      <c r="F1816" t="s">
        <v>36</v>
      </c>
      <c r="G1816" t="s">
        <v>37</v>
      </c>
    </row>
    <row r="1817" spans="1:7" x14ac:dyDescent="0.3">
      <c r="A1817" t="s">
        <v>52</v>
      </c>
      <c r="B1817" t="s">
        <v>23</v>
      </c>
      <c r="C1817" t="s">
        <v>9</v>
      </c>
      <c r="D1817">
        <v>125405</v>
      </c>
      <c r="E1817" t="s">
        <v>42</v>
      </c>
      <c r="F1817" t="s">
        <v>36</v>
      </c>
      <c r="G1817" t="s">
        <v>37</v>
      </c>
    </row>
    <row r="1818" spans="1:7" x14ac:dyDescent="0.3">
      <c r="A1818" t="s">
        <v>52</v>
      </c>
      <c r="B1818" t="s">
        <v>23</v>
      </c>
      <c r="C1818" t="s">
        <v>13</v>
      </c>
      <c r="D1818">
        <v>1576</v>
      </c>
      <c r="E1818" t="s">
        <v>42</v>
      </c>
      <c r="F1818" t="s">
        <v>36</v>
      </c>
      <c r="G1818" t="s">
        <v>37</v>
      </c>
    </row>
    <row r="1819" spans="1:7" x14ac:dyDescent="0.3">
      <c r="A1819" t="s">
        <v>52</v>
      </c>
      <c r="B1819" t="s">
        <v>23</v>
      </c>
      <c r="C1819" t="s">
        <v>14</v>
      </c>
      <c r="D1819">
        <v>2108</v>
      </c>
      <c r="E1819" t="s">
        <v>42</v>
      </c>
      <c r="F1819" t="s">
        <v>36</v>
      </c>
      <c r="G1819" t="s">
        <v>37</v>
      </c>
    </row>
    <row r="1820" spans="1:7" x14ac:dyDescent="0.3">
      <c r="A1820" t="s">
        <v>52</v>
      </c>
      <c r="B1820" t="s">
        <v>23</v>
      </c>
      <c r="C1820" t="s">
        <v>15</v>
      </c>
      <c r="D1820">
        <v>1539</v>
      </c>
      <c r="E1820" t="s">
        <v>42</v>
      </c>
      <c r="F1820" t="s">
        <v>36</v>
      </c>
      <c r="G1820" t="s">
        <v>37</v>
      </c>
    </row>
    <row r="1821" spans="1:7" x14ac:dyDescent="0.3">
      <c r="A1821" t="s">
        <v>52</v>
      </c>
      <c r="B1821" t="s">
        <v>23</v>
      </c>
      <c r="C1821" t="s">
        <v>16</v>
      </c>
      <c r="D1821">
        <v>19073</v>
      </c>
      <c r="E1821" t="s">
        <v>42</v>
      </c>
      <c r="F1821" t="s">
        <v>36</v>
      </c>
      <c r="G1821" t="s">
        <v>37</v>
      </c>
    </row>
    <row r="1822" spans="1:7" x14ac:dyDescent="0.3">
      <c r="A1822" t="s">
        <v>52</v>
      </c>
      <c r="B1822" t="s">
        <v>23</v>
      </c>
      <c r="C1822" t="s">
        <v>17</v>
      </c>
      <c r="D1822">
        <v>650</v>
      </c>
      <c r="E1822" t="s">
        <v>42</v>
      </c>
      <c r="F1822" t="s">
        <v>36</v>
      </c>
      <c r="G1822" t="s">
        <v>37</v>
      </c>
    </row>
    <row r="1823" spans="1:7" x14ac:dyDescent="0.3">
      <c r="A1823" t="s">
        <v>52</v>
      </c>
      <c r="B1823" t="s">
        <v>23</v>
      </c>
      <c r="C1823" t="s">
        <v>18</v>
      </c>
      <c r="D1823">
        <v>0</v>
      </c>
      <c r="E1823" t="s">
        <v>42</v>
      </c>
      <c r="F1823" t="s">
        <v>36</v>
      </c>
      <c r="G1823" t="s">
        <v>37</v>
      </c>
    </row>
    <row r="1824" spans="1:7" x14ac:dyDescent="0.3">
      <c r="A1824" t="s">
        <v>52</v>
      </c>
      <c r="B1824" t="s">
        <v>23</v>
      </c>
      <c r="C1824" t="s">
        <v>19</v>
      </c>
      <c r="D1824">
        <v>1669</v>
      </c>
      <c r="E1824" t="s">
        <v>42</v>
      </c>
      <c r="F1824" t="s">
        <v>36</v>
      </c>
      <c r="G1824" t="s">
        <v>37</v>
      </c>
    </row>
    <row r="1825" spans="1:7" x14ac:dyDescent="0.3">
      <c r="A1825" t="s">
        <v>52</v>
      </c>
      <c r="B1825" t="s">
        <v>23</v>
      </c>
      <c r="C1825" t="s">
        <v>20</v>
      </c>
      <c r="D1825">
        <v>9370</v>
      </c>
      <c r="E1825" t="s">
        <v>42</v>
      </c>
      <c r="F1825" t="s">
        <v>36</v>
      </c>
      <c r="G1825" t="s">
        <v>37</v>
      </c>
    </row>
    <row r="1826" spans="1:7" x14ac:dyDescent="0.3">
      <c r="A1826" t="s">
        <v>52</v>
      </c>
      <c r="B1826" t="s">
        <v>23</v>
      </c>
      <c r="C1826" t="s">
        <v>21</v>
      </c>
      <c r="D1826">
        <v>328</v>
      </c>
      <c r="E1826" t="s">
        <v>42</v>
      </c>
      <c r="F1826" t="s">
        <v>36</v>
      </c>
      <c r="G1826" t="s">
        <v>37</v>
      </c>
    </row>
    <row r="1827" spans="1:7" x14ac:dyDescent="0.3">
      <c r="A1827" t="s">
        <v>52</v>
      </c>
      <c r="B1827" t="s">
        <v>23</v>
      </c>
      <c r="C1827" t="s">
        <v>22</v>
      </c>
      <c r="D1827">
        <v>473</v>
      </c>
      <c r="E1827" t="s">
        <v>42</v>
      </c>
      <c r="F1827" t="s">
        <v>36</v>
      </c>
      <c r="G1827" t="s">
        <v>37</v>
      </c>
    </row>
    <row r="1828" spans="1:7" x14ac:dyDescent="0.3">
      <c r="A1828" t="s">
        <v>53</v>
      </c>
      <c r="B1828" t="s">
        <v>8</v>
      </c>
      <c r="C1828" t="s">
        <v>9</v>
      </c>
      <c r="D1828">
        <v>0</v>
      </c>
      <c r="E1828" t="s">
        <v>42</v>
      </c>
      <c r="F1828" t="s">
        <v>36</v>
      </c>
      <c r="G1828" t="s">
        <v>37</v>
      </c>
    </row>
    <row r="1829" spans="1:7" x14ac:dyDescent="0.3">
      <c r="A1829" t="s">
        <v>53</v>
      </c>
      <c r="B1829" t="s">
        <v>8</v>
      </c>
      <c r="C1829" t="s">
        <v>13</v>
      </c>
      <c r="D1829">
        <v>0</v>
      </c>
      <c r="E1829" t="s">
        <v>42</v>
      </c>
      <c r="F1829" t="s">
        <v>36</v>
      </c>
      <c r="G1829" t="s">
        <v>37</v>
      </c>
    </row>
    <row r="1830" spans="1:7" x14ac:dyDescent="0.3">
      <c r="A1830" t="s">
        <v>53</v>
      </c>
      <c r="B1830" t="s">
        <v>8</v>
      </c>
      <c r="C1830" t="s">
        <v>14</v>
      </c>
      <c r="D1830">
        <v>0</v>
      </c>
      <c r="E1830" t="s">
        <v>42</v>
      </c>
      <c r="F1830" t="s">
        <v>36</v>
      </c>
      <c r="G1830" t="s">
        <v>37</v>
      </c>
    </row>
    <row r="1831" spans="1:7" x14ac:dyDescent="0.3">
      <c r="A1831" t="s">
        <v>53</v>
      </c>
      <c r="B1831" t="s">
        <v>8</v>
      </c>
      <c r="C1831" t="s">
        <v>15</v>
      </c>
      <c r="D1831">
        <v>0</v>
      </c>
      <c r="E1831" t="s">
        <v>42</v>
      </c>
      <c r="F1831" t="s">
        <v>36</v>
      </c>
      <c r="G1831" t="s">
        <v>37</v>
      </c>
    </row>
    <row r="1832" spans="1:7" x14ac:dyDescent="0.3">
      <c r="A1832" t="s">
        <v>53</v>
      </c>
      <c r="B1832" t="s">
        <v>8</v>
      </c>
      <c r="C1832" t="s">
        <v>16</v>
      </c>
      <c r="D1832">
        <v>0</v>
      </c>
      <c r="E1832" t="s">
        <v>42</v>
      </c>
      <c r="F1832" t="s">
        <v>36</v>
      </c>
      <c r="G1832" t="s">
        <v>37</v>
      </c>
    </row>
    <row r="1833" spans="1:7" x14ac:dyDescent="0.3">
      <c r="A1833" t="s">
        <v>53</v>
      </c>
      <c r="B1833" t="s">
        <v>8</v>
      </c>
      <c r="C1833" t="s">
        <v>17</v>
      </c>
      <c r="D1833">
        <v>0</v>
      </c>
      <c r="E1833" t="s">
        <v>42</v>
      </c>
      <c r="F1833" t="s">
        <v>36</v>
      </c>
      <c r="G1833" t="s">
        <v>37</v>
      </c>
    </row>
    <row r="1834" spans="1:7" x14ac:dyDescent="0.3">
      <c r="A1834" t="s">
        <v>53</v>
      </c>
      <c r="B1834" t="s">
        <v>8</v>
      </c>
      <c r="C1834" t="s">
        <v>18</v>
      </c>
      <c r="D1834">
        <v>0</v>
      </c>
      <c r="E1834" t="s">
        <v>42</v>
      </c>
      <c r="F1834" t="s">
        <v>36</v>
      </c>
      <c r="G1834" t="s">
        <v>37</v>
      </c>
    </row>
    <row r="1835" spans="1:7" x14ac:dyDescent="0.3">
      <c r="A1835" t="s">
        <v>53</v>
      </c>
      <c r="B1835" t="s">
        <v>8</v>
      </c>
      <c r="C1835" t="s">
        <v>19</v>
      </c>
      <c r="D1835">
        <v>0</v>
      </c>
      <c r="E1835" t="s">
        <v>42</v>
      </c>
      <c r="F1835" t="s">
        <v>36</v>
      </c>
      <c r="G1835" t="s">
        <v>37</v>
      </c>
    </row>
    <row r="1836" spans="1:7" x14ac:dyDescent="0.3">
      <c r="A1836" t="s">
        <v>53</v>
      </c>
      <c r="B1836" t="s">
        <v>8</v>
      </c>
      <c r="C1836" t="s">
        <v>20</v>
      </c>
      <c r="D1836">
        <v>0</v>
      </c>
      <c r="E1836" t="s">
        <v>42</v>
      </c>
      <c r="F1836" t="s">
        <v>36</v>
      </c>
      <c r="G1836" t="s">
        <v>37</v>
      </c>
    </row>
    <row r="1837" spans="1:7" x14ac:dyDescent="0.3">
      <c r="A1837" t="s">
        <v>53</v>
      </c>
      <c r="B1837" t="s">
        <v>8</v>
      </c>
      <c r="C1837" t="s">
        <v>21</v>
      </c>
      <c r="D1837">
        <v>0</v>
      </c>
      <c r="E1837" t="s">
        <v>42</v>
      </c>
      <c r="F1837" t="s">
        <v>36</v>
      </c>
      <c r="G1837" t="s">
        <v>37</v>
      </c>
    </row>
    <row r="1838" spans="1:7" x14ac:dyDescent="0.3">
      <c r="A1838" t="s">
        <v>53</v>
      </c>
      <c r="B1838" t="s">
        <v>8</v>
      </c>
      <c r="C1838" t="s">
        <v>22</v>
      </c>
      <c r="D1838">
        <v>0</v>
      </c>
      <c r="E1838" t="s">
        <v>42</v>
      </c>
      <c r="F1838" t="s">
        <v>36</v>
      </c>
      <c r="G1838" t="s">
        <v>37</v>
      </c>
    </row>
    <row r="1839" spans="1:7" x14ac:dyDescent="0.3">
      <c r="A1839" t="s">
        <v>53</v>
      </c>
      <c r="B1839" t="s">
        <v>23</v>
      </c>
      <c r="C1839" t="s">
        <v>9</v>
      </c>
      <c r="D1839">
        <v>206</v>
      </c>
      <c r="E1839" t="s">
        <v>42</v>
      </c>
      <c r="F1839" t="s">
        <v>36</v>
      </c>
      <c r="G1839" t="s">
        <v>37</v>
      </c>
    </row>
    <row r="1840" spans="1:7" x14ac:dyDescent="0.3">
      <c r="A1840" t="s">
        <v>53</v>
      </c>
      <c r="B1840" t="s">
        <v>23</v>
      </c>
      <c r="C1840" t="s">
        <v>13</v>
      </c>
      <c r="D1840">
        <v>33</v>
      </c>
      <c r="E1840" t="s">
        <v>42</v>
      </c>
      <c r="F1840" t="s">
        <v>36</v>
      </c>
      <c r="G1840" t="s">
        <v>37</v>
      </c>
    </row>
    <row r="1841" spans="1:7" x14ac:dyDescent="0.3">
      <c r="A1841" t="s">
        <v>53</v>
      </c>
      <c r="B1841" t="s">
        <v>23</v>
      </c>
      <c r="C1841" t="s">
        <v>14</v>
      </c>
      <c r="D1841">
        <v>614</v>
      </c>
      <c r="E1841" t="s">
        <v>42</v>
      </c>
      <c r="F1841" t="s">
        <v>36</v>
      </c>
      <c r="G1841" t="s">
        <v>37</v>
      </c>
    </row>
    <row r="1842" spans="1:7" x14ac:dyDescent="0.3">
      <c r="A1842" t="s">
        <v>53</v>
      </c>
      <c r="B1842" t="s">
        <v>23</v>
      </c>
      <c r="C1842" t="s">
        <v>15</v>
      </c>
      <c r="D1842">
        <v>95</v>
      </c>
      <c r="E1842" t="s">
        <v>42</v>
      </c>
      <c r="F1842" t="s">
        <v>36</v>
      </c>
      <c r="G1842" t="s">
        <v>37</v>
      </c>
    </row>
    <row r="1843" spans="1:7" x14ac:dyDescent="0.3">
      <c r="A1843" t="s">
        <v>53</v>
      </c>
      <c r="B1843" t="s">
        <v>23</v>
      </c>
      <c r="C1843" t="s">
        <v>16</v>
      </c>
      <c r="D1843">
        <v>260261</v>
      </c>
      <c r="E1843" t="s">
        <v>42</v>
      </c>
      <c r="F1843" t="s">
        <v>36</v>
      </c>
      <c r="G1843" t="s">
        <v>37</v>
      </c>
    </row>
    <row r="1844" spans="1:7" x14ac:dyDescent="0.3">
      <c r="A1844" t="s">
        <v>53</v>
      </c>
      <c r="B1844" t="s">
        <v>23</v>
      </c>
      <c r="C1844" t="s">
        <v>17</v>
      </c>
      <c r="D1844">
        <v>49</v>
      </c>
      <c r="E1844" t="s">
        <v>42</v>
      </c>
      <c r="F1844" t="s">
        <v>36</v>
      </c>
      <c r="G1844" t="s">
        <v>37</v>
      </c>
    </row>
    <row r="1845" spans="1:7" x14ac:dyDescent="0.3">
      <c r="A1845" t="s">
        <v>53</v>
      </c>
      <c r="B1845" t="s">
        <v>23</v>
      </c>
      <c r="C1845" t="s">
        <v>18</v>
      </c>
      <c r="D1845">
        <v>0</v>
      </c>
      <c r="E1845" t="s">
        <v>42</v>
      </c>
      <c r="F1845" t="s">
        <v>36</v>
      </c>
      <c r="G1845" t="s">
        <v>37</v>
      </c>
    </row>
    <row r="1846" spans="1:7" x14ac:dyDescent="0.3">
      <c r="A1846" t="s">
        <v>53</v>
      </c>
      <c r="B1846" t="s">
        <v>23</v>
      </c>
      <c r="C1846" t="s">
        <v>19</v>
      </c>
      <c r="D1846">
        <v>88</v>
      </c>
      <c r="E1846" t="s">
        <v>42</v>
      </c>
      <c r="F1846" t="s">
        <v>36</v>
      </c>
      <c r="G1846" t="s">
        <v>37</v>
      </c>
    </row>
    <row r="1847" spans="1:7" x14ac:dyDescent="0.3">
      <c r="A1847" t="s">
        <v>53</v>
      </c>
      <c r="B1847" t="s">
        <v>23</v>
      </c>
      <c r="C1847" t="s">
        <v>20</v>
      </c>
      <c r="D1847">
        <v>587</v>
      </c>
      <c r="E1847" t="s">
        <v>42</v>
      </c>
      <c r="F1847" t="s">
        <v>36</v>
      </c>
      <c r="G1847" t="s">
        <v>37</v>
      </c>
    </row>
    <row r="1848" spans="1:7" x14ac:dyDescent="0.3">
      <c r="A1848" t="s">
        <v>53</v>
      </c>
      <c r="B1848" t="s">
        <v>23</v>
      </c>
      <c r="C1848" t="s">
        <v>21</v>
      </c>
      <c r="D1848">
        <v>213</v>
      </c>
      <c r="E1848" t="s">
        <v>42</v>
      </c>
      <c r="F1848" t="s">
        <v>36</v>
      </c>
      <c r="G1848" t="s">
        <v>37</v>
      </c>
    </row>
    <row r="1849" spans="1:7" x14ac:dyDescent="0.3">
      <c r="A1849" t="s">
        <v>53</v>
      </c>
      <c r="B1849" t="s">
        <v>23</v>
      </c>
      <c r="C1849" t="s">
        <v>22</v>
      </c>
      <c r="D1849">
        <v>115</v>
      </c>
      <c r="E1849" t="s">
        <v>42</v>
      </c>
      <c r="F1849" t="s">
        <v>36</v>
      </c>
      <c r="G1849" t="s">
        <v>37</v>
      </c>
    </row>
    <row r="1850" spans="1:7" x14ac:dyDescent="0.3">
      <c r="A1850" t="s">
        <v>33</v>
      </c>
      <c r="B1850" t="s">
        <v>8</v>
      </c>
      <c r="C1850" t="s">
        <v>9</v>
      </c>
      <c r="D1850">
        <v>0</v>
      </c>
      <c r="E1850" t="s">
        <v>42</v>
      </c>
      <c r="F1850" t="s">
        <v>36</v>
      </c>
      <c r="G1850" t="s">
        <v>37</v>
      </c>
    </row>
    <row r="1851" spans="1:7" x14ac:dyDescent="0.3">
      <c r="A1851" t="s">
        <v>33</v>
      </c>
      <c r="B1851" t="s">
        <v>8</v>
      </c>
      <c r="C1851" t="s">
        <v>13</v>
      </c>
      <c r="D1851">
        <v>0</v>
      </c>
      <c r="E1851" t="s">
        <v>42</v>
      </c>
      <c r="F1851" t="s">
        <v>36</v>
      </c>
      <c r="G1851" t="s">
        <v>37</v>
      </c>
    </row>
    <row r="1852" spans="1:7" x14ac:dyDescent="0.3">
      <c r="A1852" t="s">
        <v>33</v>
      </c>
      <c r="B1852" t="s">
        <v>8</v>
      </c>
      <c r="C1852" t="s">
        <v>14</v>
      </c>
      <c r="D1852">
        <v>0</v>
      </c>
      <c r="E1852" t="s">
        <v>42</v>
      </c>
      <c r="F1852" t="s">
        <v>36</v>
      </c>
      <c r="G1852" t="s">
        <v>37</v>
      </c>
    </row>
    <row r="1853" spans="1:7" x14ac:dyDescent="0.3">
      <c r="A1853" t="s">
        <v>33</v>
      </c>
      <c r="B1853" t="s">
        <v>8</v>
      </c>
      <c r="C1853" t="s">
        <v>15</v>
      </c>
      <c r="D1853">
        <v>0</v>
      </c>
      <c r="E1853" t="s">
        <v>42</v>
      </c>
      <c r="F1853" t="s">
        <v>36</v>
      </c>
      <c r="G1853" t="s">
        <v>37</v>
      </c>
    </row>
    <row r="1854" spans="1:7" x14ac:dyDescent="0.3">
      <c r="A1854" t="s">
        <v>33</v>
      </c>
      <c r="B1854" t="s">
        <v>8</v>
      </c>
      <c r="C1854" t="s">
        <v>16</v>
      </c>
      <c r="D1854">
        <v>0</v>
      </c>
      <c r="E1854" t="s">
        <v>42</v>
      </c>
      <c r="F1854" t="s">
        <v>36</v>
      </c>
      <c r="G1854" t="s">
        <v>37</v>
      </c>
    </row>
    <row r="1855" spans="1:7" x14ac:dyDescent="0.3">
      <c r="A1855" t="s">
        <v>33</v>
      </c>
      <c r="B1855" t="s">
        <v>8</v>
      </c>
      <c r="C1855" t="s">
        <v>17</v>
      </c>
      <c r="D1855">
        <v>0</v>
      </c>
      <c r="E1855" t="s">
        <v>42</v>
      </c>
      <c r="F1855" t="s">
        <v>36</v>
      </c>
      <c r="G1855" t="s">
        <v>37</v>
      </c>
    </row>
    <row r="1856" spans="1:7" x14ac:dyDescent="0.3">
      <c r="A1856" t="s">
        <v>33</v>
      </c>
      <c r="B1856" t="s">
        <v>8</v>
      </c>
      <c r="C1856" t="s">
        <v>18</v>
      </c>
      <c r="D1856">
        <v>0</v>
      </c>
      <c r="E1856" t="s">
        <v>42</v>
      </c>
      <c r="F1856" t="s">
        <v>36</v>
      </c>
      <c r="G1856" t="s">
        <v>37</v>
      </c>
    </row>
    <row r="1857" spans="1:7" x14ac:dyDescent="0.3">
      <c r="A1857" t="s">
        <v>33</v>
      </c>
      <c r="B1857" t="s">
        <v>8</v>
      </c>
      <c r="C1857" t="s">
        <v>19</v>
      </c>
      <c r="D1857">
        <v>0</v>
      </c>
      <c r="E1857" t="s">
        <v>42</v>
      </c>
      <c r="F1857" t="s">
        <v>36</v>
      </c>
      <c r="G1857" t="s">
        <v>37</v>
      </c>
    </row>
    <row r="1858" spans="1:7" x14ac:dyDescent="0.3">
      <c r="A1858" t="s">
        <v>33</v>
      </c>
      <c r="B1858" t="s">
        <v>8</v>
      </c>
      <c r="C1858" t="s">
        <v>20</v>
      </c>
      <c r="D1858">
        <v>0</v>
      </c>
      <c r="E1858" t="s">
        <v>42</v>
      </c>
      <c r="F1858" t="s">
        <v>36</v>
      </c>
      <c r="G1858" t="s">
        <v>37</v>
      </c>
    </row>
    <row r="1859" spans="1:7" x14ac:dyDescent="0.3">
      <c r="A1859" t="s">
        <v>33</v>
      </c>
      <c r="B1859" t="s">
        <v>8</v>
      </c>
      <c r="C1859" t="s">
        <v>21</v>
      </c>
      <c r="D1859">
        <v>0</v>
      </c>
      <c r="E1859" t="s">
        <v>42</v>
      </c>
      <c r="F1859" t="s">
        <v>36</v>
      </c>
      <c r="G1859" t="s">
        <v>37</v>
      </c>
    </row>
    <row r="1860" spans="1:7" x14ac:dyDescent="0.3">
      <c r="A1860" t="s">
        <v>33</v>
      </c>
      <c r="B1860" t="s">
        <v>8</v>
      </c>
      <c r="C1860" t="s">
        <v>22</v>
      </c>
      <c r="D1860">
        <v>0</v>
      </c>
      <c r="E1860" t="s">
        <v>42</v>
      </c>
      <c r="F1860" t="s">
        <v>36</v>
      </c>
      <c r="G1860" t="s">
        <v>37</v>
      </c>
    </row>
    <row r="1861" spans="1:7" x14ac:dyDescent="0.3">
      <c r="A1861" t="s">
        <v>33</v>
      </c>
      <c r="B1861" t="s">
        <v>23</v>
      </c>
      <c r="C1861" t="s">
        <v>9</v>
      </c>
      <c r="D1861">
        <v>40396</v>
      </c>
      <c r="E1861" t="s">
        <v>42</v>
      </c>
      <c r="F1861" t="s">
        <v>36</v>
      </c>
      <c r="G1861" t="s">
        <v>37</v>
      </c>
    </row>
    <row r="1862" spans="1:7" x14ac:dyDescent="0.3">
      <c r="A1862" t="s">
        <v>33</v>
      </c>
      <c r="B1862" t="s">
        <v>23</v>
      </c>
      <c r="C1862" t="s">
        <v>13</v>
      </c>
      <c r="D1862">
        <v>593</v>
      </c>
      <c r="E1862" t="s">
        <v>42</v>
      </c>
      <c r="F1862" t="s">
        <v>36</v>
      </c>
      <c r="G1862" t="s">
        <v>37</v>
      </c>
    </row>
    <row r="1863" spans="1:7" x14ac:dyDescent="0.3">
      <c r="A1863" t="s">
        <v>33</v>
      </c>
      <c r="B1863" t="s">
        <v>23</v>
      </c>
      <c r="C1863" t="s">
        <v>14</v>
      </c>
      <c r="D1863">
        <v>2401</v>
      </c>
      <c r="E1863" t="s">
        <v>42</v>
      </c>
      <c r="F1863" t="s">
        <v>36</v>
      </c>
      <c r="G1863" t="s">
        <v>37</v>
      </c>
    </row>
    <row r="1864" spans="1:7" x14ac:dyDescent="0.3">
      <c r="A1864" t="s">
        <v>33</v>
      </c>
      <c r="B1864" t="s">
        <v>23</v>
      </c>
      <c r="C1864" t="s">
        <v>15</v>
      </c>
      <c r="D1864">
        <v>755</v>
      </c>
      <c r="E1864" t="s">
        <v>42</v>
      </c>
      <c r="F1864" t="s">
        <v>36</v>
      </c>
      <c r="G1864" t="s">
        <v>37</v>
      </c>
    </row>
    <row r="1865" spans="1:7" x14ac:dyDescent="0.3">
      <c r="A1865" t="s">
        <v>33</v>
      </c>
      <c r="B1865" t="s">
        <v>23</v>
      </c>
      <c r="C1865" t="s">
        <v>16</v>
      </c>
      <c r="D1865">
        <v>739594</v>
      </c>
      <c r="E1865" t="s">
        <v>42</v>
      </c>
      <c r="F1865" t="s">
        <v>36</v>
      </c>
      <c r="G1865" t="s">
        <v>37</v>
      </c>
    </row>
    <row r="1866" spans="1:7" x14ac:dyDescent="0.3">
      <c r="A1866" t="s">
        <v>33</v>
      </c>
      <c r="B1866" t="s">
        <v>23</v>
      </c>
      <c r="C1866" t="s">
        <v>17</v>
      </c>
      <c r="D1866">
        <v>344</v>
      </c>
      <c r="E1866" t="s">
        <v>42</v>
      </c>
      <c r="F1866" t="s">
        <v>36</v>
      </c>
      <c r="G1866" t="s">
        <v>37</v>
      </c>
    </row>
    <row r="1867" spans="1:7" x14ac:dyDescent="0.3">
      <c r="A1867" t="s">
        <v>33</v>
      </c>
      <c r="B1867" t="s">
        <v>23</v>
      </c>
      <c r="C1867" t="s">
        <v>18</v>
      </c>
      <c r="D1867">
        <v>0</v>
      </c>
      <c r="E1867" t="s">
        <v>42</v>
      </c>
      <c r="F1867" t="s">
        <v>36</v>
      </c>
      <c r="G1867" t="s">
        <v>37</v>
      </c>
    </row>
    <row r="1868" spans="1:7" x14ac:dyDescent="0.3">
      <c r="A1868" t="s">
        <v>33</v>
      </c>
      <c r="B1868" t="s">
        <v>23</v>
      </c>
      <c r="C1868" t="s">
        <v>19</v>
      </c>
      <c r="D1868">
        <v>777</v>
      </c>
      <c r="E1868" t="s">
        <v>42</v>
      </c>
      <c r="F1868" t="s">
        <v>36</v>
      </c>
      <c r="G1868" t="s">
        <v>37</v>
      </c>
    </row>
    <row r="1869" spans="1:7" x14ac:dyDescent="0.3">
      <c r="A1869" t="s">
        <v>33</v>
      </c>
      <c r="B1869" t="s">
        <v>23</v>
      </c>
      <c r="C1869" t="s">
        <v>20</v>
      </c>
      <c r="D1869">
        <v>4630</v>
      </c>
      <c r="E1869" t="s">
        <v>42</v>
      </c>
      <c r="F1869" t="s">
        <v>36</v>
      </c>
      <c r="G1869" t="s">
        <v>37</v>
      </c>
    </row>
    <row r="1870" spans="1:7" x14ac:dyDescent="0.3">
      <c r="A1870" t="s">
        <v>33</v>
      </c>
      <c r="B1870" t="s">
        <v>23</v>
      </c>
      <c r="C1870" t="s">
        <v>21</v>
      </c>
      <c r="D1870">
        <v>706</v>
      </c>
      <c r="E1870" t="s">
        <v>42</v>
      </c>
      <c r="F1870" t="s">
        <v>36</v>
      </c>
      <c r="G1870" t="s">
        <v>37</v>
      </c>
    </row>
    <row r="1871" spans="1:7" x14ac:dyDescent="0.3">
      <c r="A1871" t="s">
        <v>33</v>
      </c>
      <c r="B1871" t="s">
        <v>23</v>
      </c>
      <c r="C1871" t="s">
        <v>22</v>
      </c>
      <c r="D1871">
        <v>474</v>
      </c>
      <c r="E1871" t="s">
        <v>42</v>
      </c>
      <c r="F1871" t="s">
        <v>36</v>
      </c>
      <c r="G1871" t="s">
        <v>37</v>
      </c>
    </row>
    <row r="1872" spans="1:7" x14ac:dyDescent="0.3">
      <c r="A1872" t="s">
        <v>54</v>
      </c>
      <c r="B1872" t="s">
        <v>8</v>
      </c>
      <c r="C1872" t="s">
        <v>9</v>
      </c>
      <c r="D1872">
        <v>0</v>
      </c>
      <c r="E1872" t="s">
        <v>42</v>
      </c>
      <c r="F1872" t="s">
        <v>36</v>
      </c>
      <c r="G1872" t="s">
        <v>37</v>
      </c>
    </row>
    <row r="1873" spans="1:7" x14ac:dyDescent="0.3">
      <c r="A1873" t="s">
        <v>54</v>
      </c>
      <c r="B1873" t="s">
        <v>8</v>
      </c>
      <c r="C1873" t="s">
        <v>13</v>
      </c>
      <c r="D1873">
        <v>0</v>
      </c>
      <c r="E1873" t="s">
        <v>42</v>
      </c>
      <c r="F1873" t="s">
        <v>36</v>
      </c>
      <c r="G1873" t="s">
        <v>37</v>
      </c>
    </row>
    <row r="1874" spans="1:7" x14ac:dyDescent="0.3">
      <c r="A1874" t="s">
        <v>54</v>
      </c>
      <c r="B1874" t="s">
        <v>8</v>
      </c>
      <c r="C1874" t="s">
        <v>14</v>
      </c>
      <c r="D1874">
        <v>0</v>
      </c>
      <c r="E1874" t="s">
        <v>42</v>
      </c>
      <c r="F1874" t="s">
        <v>36</v>
      </c>
      <c r="G1874" t="s">
        <v>37</v>
      </c>
    </row>
    <row r="1875" spans="1:7" x14ac:dyDescent="0.3">
      <c r="A1875" t="s">
        <v>54</v>
      </c>
      <c r="B1875" t="s">
        <v>8</v>
      </c>
      <c r="C1875" t="s">
        <v>15</v>
      </c>
      <c r="D1875">
        <v>0</v>
      </c>
      <c r="E1875" t="s">
        <v>42</v>
      </c>
      <c r="F1875" t="s">
        <v>36</v>
      </c>
      <c r="G1875" t="s">
        <v>37</v>
      </c>
    </row>
    <row r="1876" spans="1:7" x14ac:dyDescent="0.3">
      <c r="A1876" t="s">
        <v>54</v>
      </c>
      <c r="B1876" t="s">
        <v>8</v>
      </c>
      <c r="C1876" t="s">
        <v>16</v>
      </c>
      <c r="D1876">
        <v>0</v>
      </c>
      <c r="E1876" t="s">
        <v>42</v>
      </c>
      <c r="F1876" t="s">
        <v>36</v>
      </c>
      <c r="G1876" t="s">
        <v>37</v>
      </c>
    </row>
    <row r="1877" spans="1:7" x14ac:dyDescent="0.3">
      <c r="A1877" t="s">
        <v>54</v>
      </c>
      <c r="B1877" t="s">
        <v>8</v>
      </c>
      <c r="C1877" t="s">
        <v>17</v>
      </c>
      <c r="D1877">
        <v>0</v>
      </c>
      <c r="E1877" t="s">
        <v>42</v>
      </c>
      <c r="F1877" t="s">
        <v>36</v>
      </c>
      <c r="G1877" t="s">
        <v>37</v>
      </c>
    </row>
    <row r="1878" spans="1:7" x14ac:dyDescent="0.3">
      <c r="A1878" t="s">
        <v>54</v>
      </c>
      <c r="B1878" t="s">
        <v>8</v>
      </c>
      <c r="C1878" t="s">
        <v>18</v>
      </c>
      <c r="D1878">
        <v>0</v>
      </c>
      <c r="E1878" t="s">
        <v>42</v>
      </c>
      <c r="F1878" t="s">
        <v>36</v>
      </c>
      <c r="G1878" t="s">
        <v>37</v>
      </c>
    </row>
    <row r="1879" spans="1:7" x14ac:dyDescent="0.3">
      <c r="A1879" t="s">
        <v>54</v>
      </c>
      <c r="B1879" t="s">
        <v>8</v>
      </c>
      <c r="C1879" t="s">
        <v>19</v>
      </c>
      <c r="D1879">
        <v>0</v>
      </c>
      <c r="E1879" t="s">
        <v>42</v>
      </c>
      <c r="F1879" t="s">
        <v>36</v>
      </c>
      <c r="G1879" t="s">
        <v>37</v>
      </c>
    </row>
    <row r="1880" spans="1:7" x14ac:dyDescent="0.3">
      <c r="A1880" t="s">
        <v>54</v>
      </c>
      <c r="B1880" t="s">
        <v>8</v>
      </c>
      <c r="C1880" t="s">
        <v>20</v>
      </c>
      <c r="D1880">
        <v>0</v>
      </c>
      <c r="E1880" t="s">
        <v>42</v>
      </c>
      <c r="F1880" t="s">
        <v>36</v>
      </c>
      <c r="G1880" t="s">
        <v>37</v>
      </c>
    </row>
    <row r="1881" spans="1:7" x14ac:dyDescent="0.3">
      <c r="A1881" t="s">
        <v>54</v>
      </c>
      <c r="B1881" t="s">
        <v>8</v>
      </c>
      <c r="C1881" t="s">
        <v>21</v>
      </c>
      <c r="D1881">
        <v>0</v>
      </c>
      <c r="E1881" t="s">
        <v>42</v>
      </c>
      <c r="F1881" t="s">
        <v>36</v>
      </c>
      <c r="G1881" t="s">
        <v>37</v>
      </c>
    </row>
    <row r="1882" spans="1:7" x14ac:dyDescent="0.3">
      <c r="A1882" t="s">
        <v>54</v>
      </c>
      <c r="B1882" t="s">
        <v>8</v>
      </c>
      <c r="C1882" t="s">
        <v>22</v>
      </c>
      <c r="D1882">
        <v>0</v>
      </c>
      <c r="E1882" t="s">
        <v>42</v>
      </c>
      <c r="F1882" t="s">
        <v>36</v>
      </c>
      <c r="G1882" t="s">
        <v>37</v>
      </c>
    </row>
    <row r="1883" spans="1:7" x14ac:dyDescent="0.3">
      <c r="A1883" t="s">
        <v>54</v>
      </c>
      <c r="B1883" t="s">
        <v>23</v>
      </c>
      <c r="C1883" t="s">
        <v>9</v>
      </c>
      <c r="D1883">
        <v>154425</v>
      </c>
      <c r="E1883" t="s">
        <v>42</v>
      </c>
      <c r="F1883" t="s">
        <v>36</v>
      </c>
      <c r="G1883" t="s">
        <v>37</v>
      </c>
    </row>
    <row r="1884" spans="1:7" x14ac:dyDescent="0.3">
      <c r="A1884" t="s">
        <v>54</v>
      </c>
      <c r="B1884" t="s">
        <v>23</v>
      </c>
      <c r="C1884" t="s">
        <v>13</v>
      </c>
      <c r="D1884">
        <v>1940</v>
      </c>
      <c r="E1884" t="s">
        <v>42</v>
      </c>
      <c r="F1884" t="s">
        <v>36</v>
      </c>
      <c r="G1884" t="s">
        <v>37</v>
      </c>
    </row>
    <row r="1885" spans="1:7" x14ac:dyDescent="0.3">
      <c r="A1885" t="s">
        <v>54</v>
      </c>
      <c r="B1885" t="s">
        <v>23</v>
      </c>
      <c r="C1885" t="s">
        <v>14</v>
      </c>
      <c r="D1885">
        <v>2596</v>
      </c>
      <c r="E1885" t="s">
        <v>42</v>
      </c>
      <c r="F1885" t="s">
        <v>36</v>
      </c>
      <c r="G1885" t="s">
        <v>37</v>
      </c>
    </row>
    <row r="1886" spans="1:7" x14ac:dyDescent="0.3">
      <c r="A1886" t="s">
        <v>54</v>
      </c>
      <c r="B1886" t="s">
        <v>23</v>
      </c>
      <c r="C1886" t="s">
        <v>15</v>
      </c>
      <c r="D1886">
        <v>1896</v>
      </c>
      <c r="E1886" t="s">
        <v>42</v>
      </c>
      <c r="F1886" t="s">
        <v>36</v>
      </c>
      <c r="G1886" t="s">
        <v>37</v>
      </c>
    </row>
    <row r="1887" spans="1:7" x14ac:dyDescent="0.3">
      <c r="A1887" t="s">
        <v>54</v>
      </c>
      <c r="B1887" t="s">
        <v>23</v>
      </c>
      <c r="C1887" t="s">
        <v>16</v>
      </c>
      <c r="D1887">
        <v>23486</v>
      </c>
      <c r="E1887" t="s">
        <v>42</v>
      </c>
      <c r="F1887" t="s">
        <v>36</v>
      </c>
      <c r="G1887" t="s">
        <v>37</v>
      </c>
    </row>
    <row r="1888" spans="1:7" x14ac:dyDescent="0.3">
      <c r="A1888" t="s">
        <v>54</v>
      </c>
      <c r="B1888" t="s">
        <v>23</v>
      </c>
      <c r="C1888" t="s">
        <v>17</v>
      </c>
      <c r="D1888">
        <v>801</v>
      </c>
      <c r="E1888" t="s">
        <v>42</v>
      </c>
      <c r="F1888" t="s">
        <v>36</v>
      </c>
      <c r="G1888" t="s">
        <v>37</v>
      </c>
    </row>
    <row r="1889" spans="1:7" x14ac:dyDescent="0.3">
      <c r="A1889" t="s">
        <v>54</v>
      </c>
      <c r="B1889" t="s">
        <v>23</v>
      </c>
      <c r="C1889" t="s">
        <v>18</v>
      </c>
      <c r="D1889">
        <v>0</v>
      </c>
      <c r="E1889" t="s">
        <v>42</v>
      </c>
      <c r="F1889" t="s">
        <v>36</v>
      </c>
      <c r="G1889" t="s">
        <v>37</v>
      </c>
    </row>
    <row r="1890" spans="1:7" x14ac:dyDescent="0.3">
      <c r="A1890" t="s">
        <v>54</v>
      </c>
      <c r="B1890" t="s">
        <v>23</v>
      </c>
      <c r="C1890" t="s">
        <v>19</v>
      </c>
      <c r="D1890">
        <v>2055</v>
      </c>
      <c r="E1890" t="s">
        <v>42</v>
      </c>
      <c r="F1890" t="s">
        <v>36</v>
      </c>
      <c r="G1890" t="s">
        <v>37</v>
      </c>
    </row>
    <row r="1891" spans="1:7" x14ac:dyDescent="0.3">
      <c r="A1891" t="s">
        <v>54</v>
      </c>
      <c r="B1891" t="s">
        <v>23</v>
      </c>
      <c r="C1891" t="s">
        <v>20</v>
      </c>
      <c r="D1891">
        <v>11538</v>
      </c>
      <c r="E1891" t="s">
        <v>42</v>
      </c>
      <c r="F1891" t="s">
        <v>36</v>
      </c>
      <c r="G1891" t="s">
        <v>37</v>
      </c>
    </row>
    <row r="1892" spans="1:7" x14ac:dyDescent="0.3">
      <c r="A1892" t="s">
        <v>54</v>
      </c>
      <c r="B1892" t="s">
        <v>23</v>
      </c>
      <c r="C1892" t="s">
        <v>21</v>
      </c>
      <c r="D1892">
        <v>404</v>
      </c>
      <c r="E1892" t="s">
        <v>42</v>
      </c>
      <c r="F1892" t="s">
        <v>36</v>
      </c>
      <c r="G1892" t="s">
        <v>37</v>
      </c>
    </row>
    <row r="1893" spans="1:7" x14ac:dyDescent="0.3">
      <c r="A1893" t="s">
        <v>54</v>
      </c>
      <c r="B1893" t="s">
        <v>23</v>
      </c>
      <c r="C1893" t="s">
        <v>22</v>
      </c>
      <c r="D1893">
        <v>583</v>
      </c>
      <c r="E1893" t="s">
        <v>42</v>
      </c>
      <c r="F1893" t="s">
        <v>36</v>
      </c>
      <c r="G1893" t="s">
        <v>37</v>
      </c>
    </row>
    <row r="1894" spans="1:7" x14ac:dyDescent="0.3">
      <c r="A1894" t="s">
        <v>55</v>
      </c>
      <c r="B1894" t="s">
        <v>8</v>
      </c>
      <c r="C1894" t="s">
        <v>9</v>
      </c>
      <c r="D1894">
        <v>0</v>
      </c>
      <c r="E1894" t="s">
        <v>42</v>
      </c>
      <c r="F1894" t="s">
        <v>36</v>
      </c>
      <c r="G1894" t="s">
        <v>37</v>
      </c>
    </row>
    <row r="1895" spans="1:7" x14ac:dyDescent="0.3">
      <c r="A1895" t="s">
        <v>55</v>
      </c>
      <c r="B1895" t="s">
        <v>8</v>
      </c>
      <c r="C1895" t="s">
        <v>13</v>
      </c>
      <c r="D1895">
        <v>0</v>
      </c>
      <c r="E1895" t="s">
        <v>42</v>
      </c>
      <c r="F1895" t="s">
        <v>36</v>
      </c>
      <c r="G1895" t="s">
        <v>37</v>
      </c>
    </row>
    <row r="1896" spans="1:7" x14ac:dyDescent="0.3">
      <c r="A1896" t="s">
        <v>55</v>
      </c>
      <c r="B1896" t="s">
        <v>8</v>
      </c>
      <c r="C1896" t="s">
        <v>14</v>
      </c>
      <c r="D1896">
        <v>0</v>
      </c>
      <c r="E1896" t="s">
        <v>42</v>
      </c>
      <c r="F1896" t="s">
        <v>36</v>
      </c>
      <c r="G1896" t="s">
        <v>37</v>
      </c>
    </row>
    <row r="1897" spans="1:7" x14ac:dyDescent="0.3">
      <c r="A1897" t="s">
        <v>55</v>
      </c>
      <c r="B1897" t="s">
        <v>8</v>
      </c>
      <c r="C1897" t="s">
        <v>15</v>
      </c>
      <c r="D1897">
        <v>0</v>
      </c>
      <c r="E1897" t="s">
        <v>42</v>
      </c>
      <c r="F1897" t="s">
        <v>36</v>
      </c>
      <c r="G1897" t="s">
        <v>37</v>
      </c>
    </row>
    <row r="1898" spans="1:7" x14ac:dyDescent="0.3">
      <c r="A1898" t="s">
        <v>55</v>
      </c>
      <c r="B1898" t="s">
        <v>8</v>
      </c>
      <c r="C1898" t="s">
        <v>16</v>
      </c>
      <c r="D1898">
        <v>0</v>
      </c>
      <c r="E1898" t="s">
        <v>42</v>
      </c>
      <c r="F1898" t="s">
        <v>36</v>
      </c>
      <c r="G1898" t="s">
        <v>37</v>
      </c>
    </row>
    <row r="1899" spans="1:7" x14ac:dyDescent="0.3">
      <c r="A1899" t="s">
        <v>55</v>
      </c>
      <c r="B1899" t="s">
        <v>8</v>
      </c>
      <c r="C1899" t="s">
        <v>17</v>
      </c>
      <c r="D1899">
        <v>0</v>
      </c>
      <c r="E1899" t="s">
        <v>42</v>
      </c>
      <c r="F1899" t="s">
        <v>36</v>
      </c>
      <c r="G1899" t="s">
        <v>37</v>
      </c>
    </row>
    <row r="1900" spans="1:7" x14ac:dyDescent="0.3">
      <c r="A1900" t="s">
        <v>55</v>
      </c>
      <c r="B1900" t="s">
        <v>8</v>
      </c>
      <c r="C1900" t="s">
        <v>18</v>
      </c>
      <c r="D1900">
        <v>0</v>
      </c>
      <c r="E1900" t="s">
        <v>42</v>
      </c>
      <c r="F1900" t="s">
        <v>36</v>
      </c>
      <c r="G1900" t="s">
        <v>37</v>
      </c>
    </row>
    <row r="1901" spans="1:7" x14ac:dyDescent="0.3">
      <c r="A1901" t="s">
        <v>55</v>
      </c>
      <c r="B1901" t="s">
        <v>8</v>
      </c>
      <c r="C1901" t="s">
        <v>19</v>
      </c>
      <c r="D1901">
        <v>0</v>
      </c>
      <c r="E1901" t="s">
        <v>42</v>
      </c>
      <c r="F1901" t="s">
        <v>36</v>
      </c>
      <c r="G1901" t="s">
        <v>37</v>
      </c>
    </row>
    <row r="1902" spans="1:7" x14ac:dyDescent="0.3">
      <c r="A1902" t="s">
        <v>55</v>
      </c>
      <c r="B1902" t="s">
        <v>8</v>
      </c>
      <c r="C1902" t="s">
        <v>20</v>
      </c>
      <c r="D1902">
        <v>0</v>
      </c>
      <c r="E1902" t="s">
        <v>42</v>
      </c>
      <c r="F1902" t="s">
        <v>36</v>
      </c>
      <c r="G1902" t="s">
        <v>37</v>
      </c>
    </row>
    <row r="1903" spans="1:7" x14ac:dyDescent="0.3">
      <c r="A1903" t="s">
        <v>55</v>
      </c>
      <c r="B1903" t="s">
        <v>8</v>
      </c>
      <c r="C1903" t="s">
        <v>21</v>
      </c>
      <c r="D1903">
        <v>0</v>
      </c>
      <c r="E1903" t="s">
        <v>42</v>
      </c>
      <c r="F1903" t="s">
        <v>36</v>
      </c>
      <c r="G1903" t="s">
        <v>37</v>
      </c>
    </row>
    <row r="1904" spans="1:7" x14ac:dyDescent="0.3">
      <c r="A1904" t="s">
        <v>55</v>
      </c>
      <c r="B1904" t="s">
        <v>8</v>
      </c>
      <c r="C1904" t="s">
        <v>22</v>
      </c>
      <c r="D1904">
        <v>0</v>
      </c>
      <c r="E1904" t="s">
        <v>42</v>
      </c>
      <c r="F1904" t="s">
        <v>36</v>
      </c>
      <c r="G1904" t="s">
        <v>37</v>
      </c>
    </row>
    <row r="1905" spans="1:7" x14ac:dyDescent="0.3">
      <c r="A1905" t="s">
        <v>55</v>
      </c>
      <c r="B1905" t="s">
        <v>23</v>
      </c>
      <c r="C1905" t="s">
        <v>9</v>
      </c>
      <c r="D1905">
        <v>225537</v>
      </c>
      <c r="E1905" t="s">
        <v>42</v>
      </c>
      <c r="F1905" t="s">
        <v>36</v>
      </c>
      <c r="G1905" t="s">
        <v>37</v>
      </c>
    </row>
    <row r="1906" spans="1:7" x14ac:dyDescent="0.3">
      <c r="A1906" t="s">
        <v>55</v>
      </c>
      <c r="B1906" t="s">
        <v>23</v>
      </c>
      <c r="C1906" t="s">
        <v>13</v>
      </c>
      <c r="D1906">
        <v>2834</v>
      </c>
      <c r="E1906" t="s">
        <v>42</v>
      </c>
      <c r="F1906" t="s">
        <v>36</v>
      </c>
      <c r="G1906" t="s">
        <v>37</v>
      </c>
    </row>
    <row r="1907" spans="1:7" x14ac:dyDescent="0.3">
      <c r="A1907" t="s">
        <v>55</v>
      </c>
      <c r="B1907" t="s">
        <v>23</v>
      </c>
      <c r="C1907" t="s">
        <v>14</v>
      </c>
      <c r="D1907">
        <v>3792</v>
      </c>
      <c r="E1907" t="s">
        <v>42</v>
      </c>
      <c r="F1907" t="s">
        <v>36</v>
      </c>
      <c r="G1907" t="s">
        <v>37</v>
      </c>
    </row>
    <row r="1908" spans="1:7" x14ac:dyDescent="0.3">
      <c r="A1908" t="s">
        <v>55</v>
      </c>
      <c r="B1908" t="s">
        <v>23</v>
      </c>
      <c r="C1908" t="s">
        <v>15</v>
      </c>
      <c r="D1908">
        <v>2769</v>
      </c>
      <c r="E1908" t="s">
        <v>42</v>
      </c>
      <c r="F1908" t="s">
        <v>36</v>
      </c>
      <c r="G1908" t="s">
        <v>37</v>
      </c>
    </row>
    <row r="1909" spans="1:7" x14ac:dyDescent="0.3">
      <c r="A1909" t="s">
        <v>55</v>
      </c>
      <c r="B1909" t="s">
        <v>23</v>
      </c>
      <c r="C1909" t="s">
        <v>16</v>
      </c>
      <c r="D1909">
        <v>34301</v>
      </c>
      <c r="E1909" t="s">
        <v>42</v>
      </c>
      <c r="F1909" t="s">
        <v>36</v>
      </c>
      <c r="G1909" t="s">
        <v>37</v>
      </c>
    </row>
    <row r="1910" spans="1:7" x14ac:dyDescent="0.3">
      <c r="A1910" t="s">
        <v>55</v>
      </c>
      <c r="B1910" t="s">
        <v>23</v>
      </c>
      <c r="C1910" t="s">
        <v>17</v>
      </c>
      <c r="D1910">
        <v>1169</v>
      </c>
      <c r="E1910" t="s">
        <v>42</v>
      </c>
      <c r="F1910" t="s">
        <v>36</v>
      </c>
      <c r="G1910" t="s">
        <v>37</v>
      </c>
    </row>
    <row r="1911" spans="1:7" x14ac:dyDescent="0.3">
      <c r="A1911" t="s">
        <v>55</v>
      </c>
      <c r="B1911" t="s">
        <v>23</v>
      </c>
      <c r="C1911" t="s">
        <v>18</v>
      </c>
      <c r="D1911">
        <v>0</v>
      </c>
      <c r="E1911" t="s">
        <v>42</v>
      </c>
      <c r="F1911" t="s">
        <v>36</v>
      </c>
      <c r="G1911" t="s">
        <v>37</v>
      </c>
    </row>
    <row r="1912" spans="1:7" x14ac:dyDescent="0.3">
      <c r="A1912" t="s">
        <v>55</v>
      </c>
      <c r="B1912" t="s">
        <v>23</v>
      </c>
      <c r="C1912" t="s">
        <v>19</v>
      </c>
      <c r="D1912">
        <v>3001</v>
      </c>
      <c r="E1912" t="s">
        <v>42</v>
      </c>
      <c r="F1912" t="s">
        <v>36</v>
      </c>
      <c r="G1912" t="s">
        <v>37</v>
      </c>
    </row>
    <row r="1913" spans="1:7" x14ac:dyDescent="0.3">
      <c r="A1913" t="s">
        <v>55</v>
      </c>
      <c r="B1913" t="s">
        <v>23</v>
      </c>
      <c r="C1913" t="s">
        <v>20</v>
      </c>
      <c r="D1913">
        <v>16852</v>
      </c>
      <c r="E1913" t="s">
        <v>42</v>
      </c>
      <c r="F1913" t="s">
        <v>36</v>
      </c>
      <c r="G1913" t="s">
        <v>37</v>
      </c>
    </row>
    <row r="1914" spans="1:7" x14ac:dyDescent="0.3">
      <c r="A1914" t="s">
        <v>55</v>
      </c>
      <c r="B1914" t="s">
        <v>23</v>
      </c>
      <c r="C1914" t="s">
        <v>21</v>
      </c>
      <c r="D1914">
        <v>590</v>
      </c>
      <c r="E1914" t="s">
        <v>42</v>
      </c>
      <c r="F1914" t="s">
        <v>36</v>
      </c>
      <c r="G1914" t="s">
        <v>37</v>
      </c>
    </row>
    <row r="1915" spans="1:7" x14ac:dyDescent="0.3">
      <c r="A1915" t="s">
        <v>55</v>
      </c>
      <c r="B1915" t="s">
        <v>23</v>
      </c>
      <c r="C1915" t="s">
        <v>22</v>
      </c>
      <c r="D1915">
        <v>851</v>
      </c>
      <c r="E1915" t="s">
        <v>42</v>
      </c>
      <c r="F1915" t="s">
        <v>36</v>
      </c>
      <c r="G1915" t="s">
        <v>37</v>
      </c>
    </row>
    <row r="1916" spans="1:7" x14ac:dyDescent="0.3">
      <c r="A1916" t="s">
        <v>56</v>
      </c>
      <c r="B1916" t="s">
        <v>8</v>
      </c>
      <c r="C1916" t="s">
        <v>9</v>
      </c>
      <c r="D1916">
        <v>0</v>
      </c>
      <c r="E1916" t="s">
        <v>42</v>
      </c>
      <c r="F1916" t="s">
        <v>36</v>
      </c>
      <c r="G1916" t="s">
        <v>37</v>
      </c>
    </row>
    <row r="1917" spans="1:7" x14ac:dyDescent="0.3">
      <c r="A1917" t="s">
        <v>56</v>
      </c>
      <c r="B1917" t="s">
        <v>8</v>
      </c>
      <c r="C1917" t="s">
        <v>13</v>
      </c>
      <c r="D1917">
        <v>0</v>
      </c>
      <c r="E1917" t="s">
        <v>42</v>
      </c>
      <c r="F1917" t="s">
        <v>36</v>
      </c>
      <c r="G1917" t="s">
        <v>37</v>
      </c>
    </row>
    <row r="1918" spans="1:7" x14ac:dyDescent="0.3">
      <c r="A1918" t="s">
        <v>56</v>
      </c>
      <c r="B1918" t="s">
        <v>8</v>
      </c>
      <c r="C1918" t="s">
        <v>14</v>
      </c>
      <c r="D1918">
        <v>0</v>
      </c>
      <c r="E1918" t="s">
        <v>42</v>
      </c>
      <c r="F1918" t="s">
        <v>36</v>
      </c>
      <c r="G1918" t="s">
        <v>37</v>
      </c>
    </row>
    <row r="1919" spans="1:7" x14ac:dyDescent="0.3">
      <c r="A1919" t="s">
        <v>56</v>
      </c>
      <c r="B1919" t="s">
        <v>8</v>
      </c>
      <c r="C1919" t="s">
        <v>15</v>
      </c>
      <c r="D1919">
        <v>0</v>
      </c>
      <c r="E1919" t="s">
        <v>42</v>
      </c>
      <c r="F1919" t="s">
        <v>36</v>
      </c>
      <c r="G1919" t="s">
        <v>37</v>
      </c>
    </row>
    <row r="1920" spans="1:7" x14ac:dyDescent="0.3">
      <c r="A1920" t="s">
        <v>56</v>
      </c>
      <c r="B1920" t="s">
        <v>8</v>
      </c>
      <c r="C1920" t="s">
        <v>16</v>
      </c>
      <c r="D1920">
        <v>0</v>
      </c>
      <c r="E1920" t="s">
        <v>42</v>
      </c>
      <c r="F1920" t="s">
        <v>36</v>
      </c>
      <c r="G1920" t="s">
        <v>37</v>
      </c>
    </row>
    <row r="1921" spans="1:7" x14ac:dyDescent="0.3">
      <c r="A1921" t="s">
        <v>56</v>
      </c>
      <c r="B1921" t="s">
        <v>8</v>
      </c>
      <c r="C1921" t="s">
        <v>17</v>
      </c>
      <c r="D1921">
        <v>0</v>
      </c>
      <c r="E1921" t="s">
        <v>42</v>
      </c>
      <c r="F1921" t="s">
        <v>36</v>
      </c>
      <c r="G1921" t="s">
        <v>37</v>
      </c>
    </row>
    <row r="1922" spans="1:7" x14ac:dyDescent="0.3">
      <c r="A1922" t="s">
        <v>56</v>
      </c>
      <c r="B1922" t="s">
        <v>8</v>
      </c>
      <c r="C1922" t="s">
        <v>18</v>
      </c>
      <c r="D1922">
        <v>0</v>
      </c>
      <c r="E1922" t="s">
        <v>42</v>
      </c>
      <c r="F1922" t="s">
        <v>36</v>
      </c>
      <c r="G1922" t="s">
        <v>37</v>
      </c>
    </row>
    <row r="1923" spans="1:7" x14ac:dyDescent="0.3">
      <c r="A1923" t="s">
        <v>56</v>
      </c>
      <c r="B1923" t="s">
        <v>8</v>
      </c>
      <c r="C1923" t="s">
        <v>19</v>
      </c>
      <c r="D1923">
        <v>0</v>
      </c>
      <c r="E1923" t="s">
        <v>42</v>
      </c>
      <c r="F1923" t="s">
        <v>36</v>
      </c>
      <c r="G1923" t="s">
        <v>37</v>
      </c>
    </row>
    <row r="1924" spans="1:7" x14ac:dyDescent="0.3">
      <c r="A1924" t="s">
        <v>56</v>
      </c>
      <c r="B1924" t="s">
        <v>8</v>
      </c>
      <c r="C1924" t="s">
        <v>20</v>
      </c>
      <c r="D1924">
        <v>0</v>
      </c>
      <c r="E1924" t="s">
        <v>42</v>
      </c>
      <c r="F1924" t="s">
        <v>36</v>
      </c>
      <c r="G1924" t="s">
        <v>37</v>
      </c>
    </row>
    <row r="1925" spans="1:7" x14ac:dyDescent="0.3">
      <c r="A1925" t="s">
        <v>56</v>
      </c>
      <c r="B1925" t="s">
        <v>8</v>
      </c>
      <c r="C1925" t="s">
        <v>21</v>
      </c>
      <c r="D1925">
        <v>0</v>
      </c>
      <c r="E1925" t="s">
        <v>42</v>
      </c>
      <c r="F1925" t="s">
        <v>36</v>
      </c>
      <c r="G1925" t="s">
        <v>37</v>
      </c>
    </row>
    <row r="1926" spans="1:7" x14ac:dyDescent="0.3">
      <c r="A1926" t="s">
        <v>56</v>
      </c>
      <c r="B1926" t="s">
        <v>8</v>
      </c>
      <c r="C1926" t="s">
        <v>22</v>
      </c>
      <c r="D1926">
        <v>0</v>
      </c>
      <c r="E1926" t="s">
        <v>42</v>
      </c>
      <c r="F1926" t="s">
        <v>36</v>
      </c>
      <c r="G1926" t="s">
        <v>37</v>
      </c>
    </row>
    <row r="1927" spans="1:7" x14ac:dyDescent="0.3">
      <c r="A1927" t="s">
        <v>56</v>
      </c>
      <c r="B1927" t="s">
        <v>23</v>
      </c>
      <c r="C1927" t="s">
        <v>9</v>
      </c>
      <c r="D1927">
        <v>40062</v>
      </c>
      <c r="E1927" t="s">
        <v>42</v>
      </c>
      <c r="F1927" t="s">
        <v>36</v>
      </c>
      <c r="G1927" t="s">
        <v>37</v>
      </c>
    </row>
    <row r="1928" spans="1:7" x14ac:dyDescent="0.3">
      <c r="A1928" t="s">
        <v>56</v>
      </c>
      <c r="B1928" t="s">
        <v>23</v>
      </c>
      <c r="C1928" t="s">
        <v>13</v>
      </c>
      <c r="D1928">
        <v>13205</v>
      </c>
      <c r="E1928" t="s">
        <v>42</v>
      </c>
      <c r="F1928" t="s">
        <v>36</v>
      </c>
      <c r="G1928" t="s">
        <v>37</v>
      </c>
    </row>
    <row r="1929" spans="1:7" x14ac:dyDescent="0.3">
      <c r="A1929" t="s">
        <v>56</v>
      </c>
      <c r="B1929" t="s">
        <v>23</v>
      </c>
      <c r="C1929" t="s">
        <v>14</v>
      </c>
      <c r="D1929">
        <v>819</v>
      </c>
      <c r="E1929" t="s">
        <v>42</v>
      </c>
      <c r="F1929" t="s">
        <v>36</v>
      </c>
      <c r="G1929" t="s">
        <v>37</v>
      </c>
    </row>
    <row r="1930" spans="1:7" x14ac:dyDescent="0.3">
      <c r="A1930" t="s">
        <v>56</v>
      </c>
      <c r="B1930" t="s">
        <v>23</v>
      </c>
      <c r="C1930" t="s">
        <v>15</v>
      </c>
      <c r="D1930">
        <v>1179</v>
      </c>
      <c r="E1930" t="s">
        <v>42</v>
      </c>
      <c r="F1930" t="s">
        <v>36</v>
      </c>
      <c r="G1930" t="s">
        <v>37</v>
      </c>
    </row>
    <row r="1931" spans="1:7" x14ac:dyDescent="0.3">
      <c r="A1931" t="s">
        <v>56</v>
      </c>
      <c r="B1931" t="s">
        <v>23</v>
      </c>
      <c r="C1931" t="s">
        <v>16</v>
      </c>
      <c r="D1931">
        <v>6161</v>
      </c>
      <c r="E1931" t="s">
        <v>42</v>
      </c>
      <c r="F1931" t="s">
        <v>36</v>
      </c>
      <c r="G1931" t="s">
        <v>37</v>
      </c>
    </row>
    <row r="1932" spans="1:7" x14ac:dyDescent="0.3">
      <c r="A1932" t="s">
        <v>56</v>
      </c>
      <c r="B1932" t="s">
        <v>23</v>
      </c>
      <c r="C1932" t="s">
        <v>17</v>
      </c>
      <c r="D1932">
        <v>208</v>
      </c>
      <c r="E1932" t="s">
        <v>42</v>
      </c>
      <c r="F1932" t="s">
        <v>36</v>
      </c>
      <c r="G1932" t="s">
        <v>37</v>
      </c>
    </row>
    <row r="1933" spans="1:7" x14ac:dyDescent="0.3">
      <c r="A1933" t="s">
        <v>56</v>
      </c>
      <c r="B1933" t="s">
        <v>23</v>
      </c>
      <c r="C1933" t="s">
        <v>18</v>
      </c>
      <c r="D1933">
        <v>0</v>
      </c>
      <c r="E1933" t="s">
        <v>42</v>
      </c>
      <c r="F1933" t="s">
        <v>36</v>
      </c>
      <c r="G1933" t="s">
        <v>37</v>
      </c>
    </row>
    <row r="1934" spans="1:7" x14ac:dyDescent="0.3">
      <c r="A1934" t="s">
        <v>56</v>
      </c>
      <c r="B1934" t="s">
        <v>23</v>
      </c>
      <c r="C1934" t="s">
        <v>19</v>
      </c>
      <c r="D1934">
        <v>806</v>
      </c>
      <c r="E1934" t="s">
        <v>42</v>
      </c>
      <c r="F1934" t="s">
        <v>36</v>
      </c>
      <c r="G1934" t="s">
        <v>37</v>
      </c>
    </row>
    <row r="1935" spans="1:7" x14ac:dyDescent="0.3">
      <c r="A1935" t="s">
        <v>56</v>
      </c>
      <c r="B1935" t="s">
        <v>23</v>
      </c>
      <c r="C1935" t="s">
        <v>20</v>
      </c>
      <c r="D1935">
        <v>3391</v>
      </c>
      <c r="E1935" t="s">
        <v>42</v>
      </c>
      <c r="F1935" t="s">
        <v>36</v>
      </c>
      <c r="G1935" t="s">
        <v>37</v>
      </c>
    </row>
    <row r="1936" spans="1:7" x14ac:dyDescent="0.3">
      <c r="A1936" t="s">
        <v>56</v>
      </c>
      <c r="B1936" t="s">
        <v>23</v>
      </c>
      <c r="C1936" t="s">
        <v>21</v>
      </c>
      <c r="D1936">
        <v>117</v>
      </c>
      <c r="E1936" t="s">
        <v>42</v>
      </c>
      <c r="F1936" t="s">
        <v>36</v>
      </c>
      <c r="G1936" t="s">
        <v>37</v>
      </c>
    </row>
    <row r="1937" spans="1:7" x14ac:dyDescent="0.3">
      <c r="A1937" t="s">
        <v>56</v>
      </c>
      <c r="B1937" t="s">
        <v>23</v>
      </c>
      <c r="C1937" t="s">
        <v>22</v>
      </c>
      <c r="D1937">
        <v>810</v>
      </c>
      <c r="E1937" t="s">
        <v>42</v>
      </c>
      <c r="F1937" t="s">
        <v>36</v>
      </c>
      <c r="G1937" t="s">
        <v>37</v>
      </c>
    </row>
    <row r="1938" spans="1:7" x14ac:dyDescent="0.3">
      <c r="A1938" t="s">
        <v>41</v>
      </c>
      <c r="B1938" t="s">
        <v>8</v>
      </c>
      <c r="C1938" t="s">
        <v>9</v>
      </c>
      <c r="D1938">
        <v>11</v>
      </c>
      <c r="E1938" t="s">
        <v>42</v>
      </c>
      <c r="F1938" t="s">
        <v>38</v>
      </c>
      <c r="G1938" t="s">
        <v>37</v>
      </c>
    </row>
    <row r="1939" spans="1:7" x14ac:dyDescent="0.3">
      <c r="A1939" t="s">
        <v>41</v>
      </c>
      <c r="B1939" t="s">
        <v>8</v>
      </c>
      <c r="C1939" t="s">
        <v>13</v>
      </c>
      <c r="D1939">
        <v>241</v>
      </c>
      <c r="E1939" t="s">
        <v>42</v>
      </c>
      <c r="F1939" t="s">
        <v>38</v>
      </c>
      <c r="G1939" t="s">
        <v>37</v>
      </c>
    </row>
    <row r="1940" spans="1:7" x14ac:dyDescent="0.3">
      <c r="A1940" t="s">
        <v>41</v>
      </c>
      <c r="B1940" t="s">
        <v>8</v>
      </c>
      <c r="C1940" t="s">
        <v>14</v>
      </c>
      <c r="D1940">
        <v>348</v>
      </c>
      <c r="E1940" t="s">
        <v>42</v>
      </c>
      <c r="F1940" t="s">
        <v>38</v>
      </c>
      <c r="G1940" t="s">
        <v>37</v>
      </c>
    </row>
    <row r="1941" spans="1:7" x14ac:dyDescent="0.3">
      <c r="A1941" t="s">
        <v>41</v>
      </c>
      <c r="B1941" t="s">
        <v>8</v>
      </c>
      <c r="C1941" t="s">
        <v>15</v>
      </c>
      <c r="D1941">
        <v>80962</v>
      </c>
      <c r="E1941" t="s">
        <v>42</v>
      </c>
      <c r="F1941" t="s">
        <v>38</v>
      </c>
      <c r="G1941" t="s">
        <v>37</v>
      </c>
    </row>
    <row r="1942" spans="1:7" x14ac:dyDescent="0.3">
      <c r="A1942" t="s">
        <v>41</v>
      </c>
      <c r="B1942" t="s">
        <v>8</v>
      </c>
      <c r="C1942" t="s">
        <v>16</v>
      </c>
      <c r="D1942">
        <v>135</v>
      </c>
      <c r="E1942" t="s">
        <v>42</v>
      </c>
      <c r="F1942" t="s">
        <v>38</v>
      </c>
      <c r="G1942" t="s">
        <v>37</v>
      </c>
    </row>
    <row r="1943" spans="1:7" x14ac:dyDescent="0.3">
      <c r="A1943" t="s">
        <v>41</v>
      </c>
      <c r="B1943" t="s">
        <v>8</v>
      </c>
      <c r="C1943" t="s">
        <v>17</v>
      </c>
      <c r="D1943">
        <v>417</v>
      </c>
      <c r="E1943" t="s">
        <v>42</v>
      </c>
      <c r="F1943" t="s">
        <v>38</v>
      </c>
      <c r="G1943" t="s">
        <v>37</v>
      </c>
    </row>
    <row r="1944" spans="1:7" x14ac:dyDescent="0.3">
      <c r="A1944" t="s">
        <v>41</v>
      </c>
      <c r="B1944" t="s">
        <v>8</v>
      </c>
      <c r="C1944" t="s">
        <v>18</v>
      </c>
      <c r="D1944">
        <v>0</v>
      </c>
      <c r="E1944" t="s">
        <v>42</v>
      </c>
      <c r="F1944" t="s">
        <v>38</v>
      </c>
      <c r="G1944" t="s">
        <v>37</v>
      </c>
    </row>
    <row r="1945" spans="1:7" x14ac:dyDescent="0.3">
      <c r="A1945" t="s">
        <v>41</v>
      </c>
      <c r="B1945" t="s">
        <v>8</v>
      </c>
      <c r="C1945" t="s">
        <v>19</v>
      </c>
      <c r="D1945">
        <v>71</v>
      </c>
      <c r="E1945" t="s">
        <v>42</v>
      </c>
      <c r="F1945" t="s">
        <v>38</v>
      </c>
      <c r="G1945" t="s">
        <v>37</v>
      </c>
    </row>
    <row r="1946" spans="1:7" x14ac:dyDescent="0.3">
      <c r="A1946" t="s">
        <v>41</v>
      </c>
      <c r="B1946" t="s">
        <v>8</v>
      </c>
      <c r="C1946" t="s">
        <v>20</v>
      </c>
      <c r="D1946">
        <v>141</v>
      </c>
      <c r="E1946" t="s">
        <v>42</v>
      </c>
      <c r="F1946" t="s">
        <v>38</v>
      </c>
      <c r="G1946" t="s">
        <v>37</v>
      </c>
    </row>
    <row r="1947" spans="1:7" x14ac:dyDescent="0.3">
      <c r="A1947" t="s">
        <v>41</v>
      </c>
      <c r="B1947" t="s">
        <v>8</v>
      </c>
      <c r="C1947" t="s">
        <v>21</v>
      </c>
      <c r="D1947">
        <v>145</v>
      </c>
      <c r="E1947" t="s">
        <v>42</v>
      </c>
      <c r="F1947" t="s">
        <v>38</v>
      </c>
      <c r="G1947" t="s">
        <v>37</v>
      </c>
    </row>
    <row r="1948" spans="1:7" x14ac:dyDescent="0.3">
      <c r="A1948" t="s">
        <v>41</v>
      </c>
      <c r="B1948" t="s">
        <v>8</v>
      </c>
      <c r="C1948" t="s">
        <v>22</v>
      </c>
      <c r="D1948">
        <v>1177</v>
      </c>
      <c r="E1948" t="s">
        <v>42</v>
      </c>
      <c r="F1948" t="s">
        <v>38</v>
      </c>
      <c r="G1948" t="s">
        <v>37</v>
      </c>
    </row>
    <row r="1949" spans="1:7" x14ac:dyDescent="0.3">
      <c r="A1949" t="s">
        <v>41</v>
      </c>
      <c r="B1949" t="s">
        <v>23</v>
      </c>
      <c r="C1949" t="s">
        <v>9</v>
      </c>
      <c r="D1949">
        <v>51848</v>
      </c>
      <c r="E1949" t="s">
        <v>42</v>
      </c>
      <c r="F1949" t="s">
        <v>38</v>
      </c>
      <c r="G1949" t="s">
        <v>37</v>
      </c>
    </row>
    <row r="1950" spans="1:7" x14ac:dyDescent="0.3">
      <c r="A1950" t="s">
        <v>41</v>
      </c>
      <c r="B1950" t="s">
        <v>23</v>
      </c>
      <c r="C1950" t="s">
        <v>13</v>
      </c>
      <c r="D1950">
        <v>902299</v>
      </c>
      <c r="E1950" t="s">
        <v>42</v>
      </c>
      <c r="F1950" t="s">
        <v>38</v>
      </c>
      <c r="G1950" t="s">
        <v>37</v>
      </c>
    </row>
    <row r="1951" spans="1:7" x14ac:dyDescent="0.3">
      <c r="A1951" t="s">
        <v>41</v>
      </c>
      <c r="B1951" t="s">
        <v>23</v>
      </c>
      <c r="C1951" t="s">
        <v>14</v>
      </c>
      <c r="D1951">
        <v>1180100</v>
      </c>
      <c r="E1951" t="s">
        <v>42</v>
      </c>
      <c r="F1951" t="s">
        <v>38</v>
      </c>
      <c r="G1951" t="s">
        <v>37</v>
      </c>
    </row>
    <row r="1952" spans="1:7" x14ac:dyDescent="0.3">
      <c r="A1952" t="s">
        <v>41</v>
      </c>
      <c r="B1952" t="s">
        <v>23</v>
      </c>
      <c r="C1952" t="s">
        <v>15</v>
      </c>
      <c r="D1952">
        <v>2201726</v>
      </c>
      <c r="E1952" t="s">
        <v>42</v>
      </c>
      <c r="F1952" t="s">
        <v>38</v>
      </c>
      <c r="G1952" t="s">
        <v>37</v>
      </c>
    </row>
    <row r="1953" spans="1:7" x14ac:dyDescent="0.3">
      <c r="A1953" t="s">
        <v>41</v>
      </c>
      <c r="B1953" t="s">
        <v>23</v>
      </c>
      <c r="C1953" t="s">
        <v>16</v>
      </c>
      <c r="D1953">
        <v>304168</v>
      </c>
      <c r="E1953" t="s">
        <v>42</v>
      </c>
      <c r="F1953" t="s">
        <v>38</v>
      </c>
      <c r="G1953" t="s">
        <v>37</v>
      </c>
    </row>
    <row r="1954" spans="1:7" x14ac:dyDescent="0.3">
      <c r="A1954" t="s">
        <v>41</v>
      </c>
      <c r="B1954" t="s">
        <v>23</v>
      </c>
      <c r="C1954" t="s">
        <v>17</v>
      </c>
      <c r="D1954">
        <v>72652</v>
      </c>
      <c r="E1954" t="s">
        <v>42</v>
      </c>
      <c r="F1954" t="s">
        <v>38</v>
      </c>
      <c r="G1954" t="s">
        <v>37</v>
      </c>
    </row>
    <row r="1955" spans="1:7" x14ac:dyDescent="0.3">
      <c r="A1955" t="s">
        <v>41</v>
      </c>
      <c r="B1955" t="s">
        <v>23</v>
      </c>
      <c r="C1955" t="s">
        <v>18</v>
      </c>
      <c r="D1955">
        <v>112</v>
      </c>
      <c r="E1955" t="s">
        <v>42</v>
      </c>
      <c r="F1955" t="s">
        <v>38</v>
      </c>
      <c r="G1955" t="s">
        <v>37</v>
      </c>
    </row>
    <row r="1956" spans="1:7" x14ac:dyDescent="0.3">
      <c r="A1956" t="s">
        <v>41</v>
      </c>
      <c r="B1956" t="s">
        <v>23</v>
      </c>
      <c r="C1956" t="s">
        <v>19</v>
      </c>
      <c r="D1956">
        <v>1304303</v>
      </c>
      <c r="E1956" t="s">
        <v>42</v>
      </c>
      <c r="F1956" t="s">
        <v>38</v>
      </c>
      <c r="G1956" t="s">
        <v>37</v>
      </c>
    </row>
    <row r="1957" spans="1:7" x14ac:dyDescent="0.3">
      <c r="A1957" t="s">
        <v>41</v>
      </c>
      <c r="B1957" t="s">
        <v>23</v>
      </c>
      <c r="C1957" t="s">
        <v>20</v>
      </c>
      <c r="D1957">
        <v>33790</v>
      </c>
      <c r="E1957" t="s">
        <v>42</v>
      </c>
      <c r="F1957" t="s">
        <v>38</v>
      </c>
      <c r="G1957" t="s">
        <v>37</v>
      </c>
    </row>
    <row r="1958" spans="1:7" x14ac:dyDescent="0.3">
      <c r="A1958" t="s">
        <v>41</v>
      </c>
      <c r="B1958" t="s">
        <v>23</v>
      </c>
      <c r="C1958" t="s">
        <v>21</v>
      </c>
      <c r="D1958">
        <v>19441</v>
      </c>
      <c r="E1958" t="s">
        <v>42</v>
      </c>
      <c r="F1958" t="s">
        <v>38</v>
      </c>
      <c r="G1958" t="s">
        <v>37</v>
      </c>
    </row>
    <row r="1959" spans="1:7" x14ac:dyDescent="0.3">
      <c r="A1959" t="s">
        <v>41</v>
      </c>
      <c r="B1959" t="s">
        <v>23</v>
      </c>
      <c r="C1959" t="s">
        <v>22</v>
      </c>
      <c r="D1959">
        <v>240443</v>
      </c>
      <c r="E1959" t="s">
        <v>42</v>
      </c>
      <c r="F1959" t="s">
        <v>38</v>
      </c>
      <c r="G1959" t="s">
        <v>37</v>
      </c>
    </row>
    <row r="1960" spans="1:7" x14ac:dyDescent="0.3">
      <c r="A1960" t="s">
        <v>43</v>
      </c>
      <c r="B1960" t="s">
        <v>8</v>
      </c>
      <c r="C1960" t="s">
        <v>9</v>
      </c>
      <c r="D1960">
        <v>7</v>
      </c>
      <c r="E1960" t="s">
        <v>42</v>
      </c>
      <c r="F1960" t="s">
        <v>38</v>
      </c>
      <c r="G1960" t="s">
        <v>37</v>
      </c>
    </row>
    <row r="1961" spans="1:7" x14ac:dyDescent="0.3">
      <c r="A1961" t="s">
        <v>43</v>
      </c>
      <c r="B1961" t="s">
        <v>8</v>
      </c>
      <c r="C1961" t="s">
        <v>13</v>
      </c>
      <c r="D1961">
        <v>14</v>
      </c>
      <c r="E1961" t="s">
        <v>42</v>
      </c>
      <c r="F1961" t="s">
        <v>38</v>
      </c>
      <c r="G1961" t="s">
        <v>37</v>
      </c>
    </row>
    <row r="1962" spans="1:7" x14ac:dyDescent="0.3">
      <c r="A1962" t="s">
        <v>43</v>
      </c>
      <c r="B1962" t="s">
        <v>8</v>
      </c>
      <c r="C1962" t="s">
        <v>14</v>
      </c>
      <c r="D1962">
        <v>26489</v>
      </c>
      <c r="E1962" t="s">
        <v>42</v>
      </c>
      <c r="F1962" t="s">
        <v>38</v>
      </c>
      <c r="G1962" t="s">
        <v>37</v>
      </c>
    </row>
    <row r="1963" spans="1:7" x14ac:dyDescent="0.3">
      <c r="A1963" t="s">
        <v>43</v>
      </c>
      <c r="B1963" t="s">
        <v>8</v>
      </c>
      <c r="C1963" t="s">
        <v>15</v>
      </c>
      <c r="D1963">
        <v>5</v>
      </c>
      <c r="E1963" t="s">
        <v>42</v>
      </c>
      <c r="F1963" t="s">
        <v>38</v>
      </c>
      <c r="G1963" t="s">
        <v>37</v>
      </c>
    </row>
    <row r="1964" spans="1:7" x14ac:dyDescent="0.3">
      <c r="A1964" t="s">
        <v>43</v>
      </c>
      <c r="B1964" t="s">
        <v>8</v>
      </c>
      <c r="C1964" t="s">
        <v>16</v>
      </c>
      <c r="D1964">
        <v>235</v>
      </c>
      <c r="E1964" t="s">
        <v>42</v>
      </c>
      <c r="F1964" t="s">
        <v>38</v>
      </c>
      <c r="G1964" t="s">
        <v>37</v>
      </c>
    </row>
    <row r="1965" spans="1:7" x14ac:dyDescent="0.3">
      <c r="A1965" t="s">
        <v>43</v>
      </c>
      <c r="B1965" t="s">
        <v>8</v>
      </c>
      <c r="C1965" t="s">
        <v>17</v>
      </c>
      <c r="D1965">
        <v>67</v>
      </c>
      <c r="E1965" t="s">
        <v>42</v>
      </c>
      <c r="F1965" t="s">
        <v>38</v>
      </c>
      <c r="G1965" t="s">
        <v>37</v>
      </c>
    </row>
    <row r="1966" spans="1:7" x14ac:dyDescent="0.3">
      <c r="A1966" t="s">
        <v>43</v>
      </c>
      <c r="B1966" t="s">
        <v>8</v>
      </c>
      <c r="C1966" t="s">
        <v>18</v>
      </c>
      <c r="D1966">
        <v>0</v>
      </c>
      <c r="E1966" t="s">
        <v>42</v>
      </c>
      <c r="F1966" t="s">
        <v>38</v>
      </c>
      <c r="G1966" t="s">
        <v>37</v>
      </c>
    </row>
    <row r="1967" spans="1:7" x14ac:dyDescent="0.3">
      <c r="A1967" t="s">
        <v>43</v>
      </c>
      <c r="B1967" t="s">
        <v>8</v>
      </c>
      <c r="C1967" t="s">
        <v>19</v>
      </c>
      <c r="D1967">
        <v>3</v>
      </c>
      <c r="E1967" t="s">
        <v>42</v>
      </c>
      <c r="F1967" t="s">
        <v>38</v>
      </c>
      <c r="G1967" t="s">
        <v>37</v>
      </c>
    </row>
    <row r="1968" spans="1:7" x14ac:dyDescent="0.3">
      <c r="A1968" t="s">
        <v>43</v>
      </c>
      <c r="B1968" t="s">
        <v>8</v>
      </c>
      <c r="C1968" t="s">
        <v>20</v>
      </c>
      <c r="D1968">
        <v>4</v>
      </c>
      <c r="E1968" t="s">
        <v>42</v>
      </c>
      <c r="F1968" t="s">
        <v>38</v>
      </c>
      <c r="G1968" t="s">
        <v>37</v>
      </c>
    </row>
    <row r="1969" spans="1:7" x14ac:dyDescent="0.3">
      <c r="A1969" t="s">
        <v>43</v>
      </c>
      <c r="B1969" t="s">
        <v>8</v>
      </c>
      <c r="C1969" t="s">
        <v>21</v>
      </c>
      <c r="D1969">
        <v>6</v>
      </c>
      <c r="E1969" t="s">
        <v>42</v>
      </c>
      <c r="F1969" t="s">
        <v>38</v>
      </c>
      <c r="G1969" t="s">
        <v>37</v>
      </c>
    </row>
    <row r="1970" spans="1:7" x14ac:dyDescent="0.3">
      <c r="A1970" t="s">
        <v>43</v>
      </c>
      <c r="B1970" t="s">
        <v>8</v>
      </c>
      <c r="C1970" t="s">
        <v>22</v>
      </c>
      <c r="D1970">
        <v>77</v>
      </c>
      <c r="E1970" t="s">
        <v>42</v>
      </c>
      <c r="F1970" t="s">
        <v>38</v>
      </c>
      <c r="G1970" t="s">
        <v>37</v>
      </c>
    </row>
    <row r="1971" spans="1:7" x14ac:dyDescent="0.3">
      <c r="A1971" t="s">
        <v>43</v>
      </c>
      <c r="B1971" t="s">
        <v>23</v>
      </c>
      <c r="C1971" t="s">
        <v>9</v>
      </c>
      <c r="D1971">
        <v>1243</v>
      </c>
      <c r="E1971" t="s">
        <v>42</v>
      </c>
      <c r="F1971" t="s">
        <v>38</v>
      </c>
      <c r="G1971" t="s">
        <v>37</v>
      </c>
    </row>
    <row r="1972" spans="1:7" x14ac:dyDescent="0.3">
      <c r="A1972" t="s">
        <v>43</v>
      </c>
      <c r="B1972" t="s">
        <v>23</v>
      </c>
      <c r="C1972" t="s">
        <v>13</v>
      </c>
      <c r="D1972">
        <v>955</v>
      </c>
      <c r="E1972" t="s">
        <v>42</v>
      </c>
      <c r="F1972" t="s">
        <v>38</v>
      </c>
      <c r="G1972" t="s">
        <v>37</v>
      </c>
    </row>
    <row r="1973" spans="1:7" x14ac:dyDescent="0.3">
      <c r="A1973" t="s">
        <v>43</v>
      </c>
      <c r="B1973" t="s">
        <v>23</v>
      </c>
      <c r="C1973" t="s">
        <v>14</v>
      </c>
      <c r="D1973">
        <v>2187636</v>
      </c>
      <c r="E1973" t="s">
        <v>42</v>
      </c>
      <c r="F1973" t="s">
        <v>38</v>
      </c>
      <c r="G1973" t="s">
        <v>37</v>
      </c>
    </row>
    <row r="1974" spans="1:7" x14ac:dyDescent="0.3">
      <c r="A1974" t="s">
        <v>43</v>
      </c>
      <c r="B1974" t="s">
        <v>23</v>
      </c>
      <c r="C1974" t="s">
        <v>15</v>
      </c>
      <c r="D1974">
        <v>2479</v>
      </c>
      <c r="E1974" t="s">
        <v>42</v>
      </c>
      <c r="F1974" t="s">
        <v>38</v>
      </c>
      <c r="G1974" t="s">
        <v>37</v>
      </c>
    </row>
    <row r="1975" spans="1:7" x14ac:dyDescent="0.3">
      <c r="A1975" t="s">
        <v>43</v>
      </c>
      <c r="B1975" t="s">
        <v>23</v>
      </c>
      <c r="C1975" t="s">
        <v>16</v>
      </c>
      <c r="D1975">
        <v>180768</v>
      </c>
      <c r="E1975" t="s">
        <v>42</v>
      </c>
      <c r="F1975" t="s">
        <v>38</v>
      </c>
      <c r="G1975" t="s">
        <v>37</v>
      </c>
    </row>
    <row r="1976" spans="1:7" x14ac:dyDescent="0.3">
      <c r="A1976" t="s">
        <v>43</v>
      </c>
      <c r="B1976" t="s">
        <v>23</v>
      </c>
      <c r="C1976" t="s">
        <v>17</v>
      </c>
      <c r="D1976">
        <v>166</v>
      </c>
      <c r="E1976" t="s">
        <v>42</v>
      </c>
      <c r="F1976" t="s">
        <v>38</v>
      </c>
      <c r="G1976" t="s">
        <v>37</v>
      </c>
    </row>
    <row r="1977" spans="1:7" x14ac:dyDescent="0.3">
      <c r="A1977" t="s">
        <v>43</v>
      </c>
      <c r="B1977" t="s">
        <v>23</v>
      </c>
      <c r="C1977" t="s">
        <v>18</v>
      </c>
      <c r="D1977">
        <v>0</v>
      </c>
      <c r="E1977" t="s">
        <v>42</v>
      </c>
      <c r="F1977" t="s">
        <v>38</v>
      </c>
      <c r="G1977" t="s">
        <v>37</v>
      </c>
    </row>
    <row r="1978" spans="1:7" x14ac:dyDescent="0.3">
      <c r="A1978" t="s">
        <v>43</v>
      </c>
      <c r="B1978" t="s">
        <v>23</v>
      </c>
      <c r="C1978" t="s">
        <v>19</v>
      </c>
      <c r="D1978">
        <v>4052</v>
      </c>
      <c r="E1978" t="s">
        <v>42</v>
      </c>
      <c r="F1978" t="s">
        <v>38</v>
      </c>
      <c r="G1978" t="s">
        <v>37</v>
      </c>
    </row>
    <row r="1979" spans="1:7" x14ac:dyDescent="0.3">
      <c r="A1979" t="s">
        <v>43</v>
      </c>
      <c r="B1979" t="s">
        <v>23</v>
      </c>
      <c r="C1979" t="s">
        <v>20</v>
      </c>
      <c r="D1979">
        <v>2980</v>
      </c>
      <c r="E1979" t="s">
        <v>42</v>
      </c>
      <c r="F1979" t="s">
        <v>38</v>
      </c>
      <c r="G1979" t="s">
        <v>37</v>
      </c>
    </row>
    <row r="1980" spans="1:7" x14ac:dyDescent="0.3">
      <c r="A1980" t="s">
        <v>43</v>
      </c>
      <c r="B1980" t="s">
        <v>23</v>
      </c>
      <c r="C1980" t="s">
        <v>21</v>
      </c>
      <c r="D1980">
        <v>2987</v>
      </c>
      <c r="E1980" t="s">
        <v>42</v>
      </c>
      <c r="F1980" t="s">
        <v>38</v>
      </c>
      <c r="G1980" t="s">
        <v>37</v>
      </c>
    </row>
    <row r="1981" spans="1:7" x14ac:dyDescent="0.3">
      <c r="A1981" t="s">
        <v>43</v>
      </c>
      <c r="B1981" t="s">
        <v>23</v>
      </c>
      <c r="C1981" t="s">
        <v>22</v>
      </c>
      <c r="D1981">
        <v>830</v>
      </c>
      <c r="E1981" t="s">
        <v>42</v>
      </c>
      <c r="F1981" t="s">
        <v>38</v>
      </c>
      <c r="G1981" t="s">
        <v>37</v>
      </c>
    </row>
    <row r="1982" spans="1:7" x14ac:dyDescent="0.3">
      <c r="A1982" t="s">
        <v>44</v>
      </c>
      <c r="B1982" t="s">
        <v>8</v>
      </c>
      <c r="C1982" t="s">
        <v>9</v>
      </c>
      <c r="D1982">
        <v>34</v>
      </c>
      <c r="E1982" t="s">
        <v>42</v>
      </c>
      <c r="F1982" t="s">
        <v>38</v>
      </c>
      <c r="G1982" t="s">
        <v>37</v>
      </c>
    </row>
    <row r="1983" spans="1:7" x14ac:dyDescent="0.3">
      <c r="A1983" t="s">
        <v>44</v>
      </c>
      <c r="B1983" t="s">
        <v>8</v>
      </c>
      <c r="C1983" t="s">
        <v>13</v>
      </c>
      <c r="D1983">
        <v>72</v>
      </c>
      <c r="E1983" t="s">
        <v>42</v>
      </c>
      <c r="F1983" t="s">
        <v>38</v>
      </c>
      <c r="G1983" t="s">
        <v>37</v>
      </c>
    </row>
    <row r="1984" spans="1:7" x14ac:dyDescent="0.3">
      <c r="A1984" t="s">
        <v>44</v>
      </c>
      <c r="B1984" t="s">
        <v>8</v>
      </c>
      <c r="C1984" t="s">
        <v>14</v>
      </c>
      <c r="D1984">
        <v>133119</v>
      </c>
      <c r="E1984" t="s">
        <v>42</v>
      </c>
      <c r="F1984" t="s">
        <v>38</v>
      </c>
      <c r="G1984" t="s">
        <v>37</v>
      </c>
    </row>
    <row r="1985" spans="1:7" x14ac:dyDescent="0.3">
      <c r="A1985" t="s">
        <v>44</v>
      </c>
      <c r="B1985" t="s">
        <v>8</v>
      </c>
      <c r="C1985" t="s">
        <v>15</v>
      </c>
      <c r="D1985">
        <v>27</v>
      </c>
      <c r="E1985" t="s">
        <v>42</v>
      </c>
      <c r="F1985" t="s">
        <v>38</v>
      </c>
      <c r="G1985" t="s">
        <v>37</v>
      </c>
    </row>
    <row r="1986" spans="1:7" x14ac:dyDescent="0.3">
      <c r="A1986" t="s">
        <v>44</v>
      </c>
      <c r="B1986" t="s">
        <v>8</v>
      </c>
      <c r="C1986" t="s">
        <v>16</v>
      </c>
      <c r="D1986">
        <v>1179</v>
      </c>
      <c r="E1986" t="s">
        <v>42</v>
      </c>
      <c r="F1986" t="s">
        <v>38</v>
      </c>
      <c r="G1986" t="s">
        <v>37</v>
      </c>
    </row>
    <row r="1987" spans="1:7" x14ac:dyDescent="0.3">
      <c r="A1987" t="s">
        <v>44</v>
      </c>
      <c r="B1987" t="s">
        <v>8</v>
      </c>
      <c r="C1987" t="s">
        <v>17</v>
      </c>
      <c r="D1987">
        <v>336</v>
      </c>
      <c r="E1987" t="s">
        <v>42</v>
      </c>
      <c r="F1987" t="s">
        <v>38</v>
      </c>
      <c r="G1987" t="s">
        <v>37</v>
      </c>
    </row>
    <row r="1988" spans="1:7" x14ac:dyDescent="0.3">
      <c r="A1988" t="s">
        <v>44</v>
      </c>
      <c r="B1988" t="s">
        <v>8</v>
      </c>
      <c r="C1988" t="s">
        <v>18</v>
      </c>
      <c r="D1988">
        <v>0</v>
      </c>
      <c r="E1988" t="s">
        <v>42</v>
      </c>
      <c r="F1988" t="s">
        <v>38</v>
      </c>
      <c r="G1988" t="s">
        <v>37</v>
      </c>
    </row>
    <row r="1989" spans="1:7" x14ac:dyDescent="0.3">
      <c r="A1989" t="s">
        <v>44</v>
      </c>
      <c r="B1989" t="s">
        <v>8</v>
      </c>
      <c r="C1989" t="s">
        <v>19</v>
      </c>
      <c r="D1989">
        <v>15</v>
      </c>
      <c r="E1989" t="s">
        <v>42</v>
      </c>
      <c r="F1989" t="s">
        <v>38</v>
      </c>
      <c r="G1989" t="s">
        <v>37</v>
      </c>
    </row>
    <row r="1990" spans="1:7" x14ac:dyDescent="0.3">
      <c r="A1990" t="s">
        <v>44</v>
      </c>
      <c r="B1990" t="s">
        <v>8</v>
      </c>
      <c r="C1990" t="s">
        <v>20</v>
      </c>
      <c r="D1990">
        <v>21</v>
      </c>
      <c r="E1990" t="s">
        <v>42</v>
      </c>
      <c r="F1990" t="s">
        <v>38</v>
      </c>
      <c r="G1990" t="s">
        <v>37</v>
      </c>
    </row>
    <row r="1991" spans="1:7" x14ac:dyDescent="0.3">
      <c r="A1991" t="s">
        <v>44</v>
      </c>
      <c r="B1991" t="s">
        <v>8</v>
      </c>
      <c r="C1991" t="s">
        <v>21</v>
      </c>
      <c r="D1991">
        <v>32</v>
      </c>
      <c r="E1991" t="s">
        <v>42</v>
      </c>
      <c r="F1991" t="s">
        <v>38</v>
      </c>
      <c r="G1991" t="s">
        <v>37</v>
      </c>
    </row>
    <row r="1992" spans="1:7" x14ac:dyDescent="0.3">
      <c r="A1992" t="s">
        <v>44</v>
      </c>
      <c r="B1992" t="s">
        <v>8</v>
      </c>
      <c r="C1992" t="s">
        <v>22</v>
      </c>
      <c r="D1992">
        <v>385</v>
      </c>
      <c r="E1992" t="s">
        <v>42</v>
      </c>
      <c r="F1992" t="s">
        <v>38</v>
      </c>
      <c r="G1992" t="s">
        <v>37</v>
      </c>
    </row>
    <row r="1993" spans="1:7" x14ac:dyDescent="0.3">
      <c r="A1993" t="s">
        <v>44</v>
      </c>
      <c r="B1993" t="s">
        <v>23</v>
      </c>
      <c r="C1993" t="s">
        <v>9</v>
      </c>
      <c r="D1993">
        <v>6247</v>
      </c>
      <c r="E1993" t="s">
        <v>42</v>
      </c>
      <c r="F1993" t="s">
        <v>38</v>
      </c>
      <c r="G1993" t="s">
        <v>37</v>
      </c>
    </row>
    <row r="1994" spans="1:7" x14ac:dyDescent="0.3">
      <c r="A1994" t="s">
        <v>44</v>
      </c>
      <c r="B1994" t="s">
        <v>23</v>
      </c>
      <c r="C1994" t="s">
        <v>13</v>
      </c>
      <c r="D1994">
        <v>4801</v>
      </c>
      <c r="E1994" t="s">
        <v>42</v>
      </c>
      <c r="F1994" t="s">
        <v>38</v>
      </c>
      <c r="G1994" t="s">
        <v>37</v>
      </c>
    </row>
    <row r="1995" spans="1:7" x14ac:dyDescent="0.3">
      <c r="A1995" t="s">
        <v>44</v>
      </c>
      <c r="B1995" t="s">
        <v>23</v>
      </c>
      <c r="C1995" t="s">
        <v>14</v>
      </c>
      <c r="D1995">
        <v>10993728</v>
      </c>
      <c r="E1995" t="s">
        <v>42</v>
      </c>
      <c r="F1995" t="s">
        <v>38</v>
      </c>
      <c r="G1995" t="s">
        <v>37</v>
      </c>
    </row>
    <row r="1996" spans="1:7" x14ac:dyDescent="0.3">
      <c r="A1996" t="s">
        <v>44</v>
      </c>
      <c r="B1996" t="s">
        <v>23</v>
      </c>
      <c r="C1996" t="s">
        <v>15</v>
      </c>
      <c r="D1996">
        <v>12458</v>
      </c>
      <c r="E1996" t="s">
        <v>42</v>
      </c>
      <c r="F1996" t="s">
        <v>38</v>
      </c>
      <c r="G1996" t="s">
        <v>37</v>
      </c>
    </row>
    <row r="1997" spans="1:7" x14ac:dyDescent="0.3">
      <c r="A1997" t="s">
        <v>44</v>
      </c>
      <c r="B1997" t="s">
        <v>23</v>
      </c>
      <c r="C1997" t="s">
        <v>16</v>
      </c>
      <c r="D1997">
        <v>908430</v>
      </c>
      <c r="E1997" t="s">
        <v>42</v>
      </c>
      <c r="F1997" t="s">
        <v>38</v>
      </c>
      <c r="G1997" t="s">
        <v>37</v>
      </c>
    </row>
    <row r="1998" spans="1:7" x14ac:dyDescent="0.3">
      <c r="A1998" t="s">
        <v>44</v>
      </c>
      <c r="B1998" t="s">
        <v>23</v>
      </c>
      <c r="C1998" t="s">
        <v>17</v>
      </c>
      <c r="D1998">
        <v>836</v>
      </c>
      <c r="E1998" t="s">
        <v>42</v>
      </c>
      <c r="F1998" t="s">
        <v>38</v>
      </c>
      <c r="G1998" t="s">
        <v>37</v>
      </c>
    </row>
    <row r="1999" spans="1:7" x14ac:dyDescent="0.3">
      <c r="A1999" t="s">
        <v>44</v>
      </c>
      <c r="B1999" t="s">
        <v>23</v>
      </c>
      <c r="C1999" t="s">
        <v>18</v>
      </c>
      <c r="D1999">
        <v>0</v>
      </c>
      <c r="E1999" t="s">
        <v>42</v>
      </c>
      <c r="F1999" t="s">
        <v>38</v>
      </c>
      <c r="G1999" t="s">
        <v>37</v>
      </c>
    </row>
    <row r="2000" spans="1:7" x14ac:dyDescent="0.3">
      <c r="A2000" t="s">
        <v>44</v>
      </c>
      <c r="B2000" t="s">
        <v>23</v>
      </c>
      <c r="C2000" t="s">
        <v>19</v>
      </c>
      <c r="D2000">
        <v>20361</v>
      </c>
      <c r="E2000" t="s">
        <v>42</v>
      </c>
      <c r="F2000" t="s">
        <v>38</v>
      </c>
      <c r="G2000" t="s">
        <v>37</v>
      </c>
    </row>
    <row r="2001" spans="1:7" x14ac:dyDescent="0.3">
      <c r="A2001" t="s">
        <v>44</v>
      </c>
      <c r="B2001" t="s">
        <v>23</v>
      </c>
      <c r="C2001" t="s">
        <v>20</v>
      </c>
      <c r="D2001">
        <v>14975</v>
      </c>
      <c r="E2001" t="s">
        <v>42</v>
      </c>
      <c r="F2001" t="s">
        <v>38</v>
      </c>
      <c r="G2001" t="s">
        <v>37</v>
      </c>
    </row>
    <row r="2002" spans="1:7" x14ac:dyDescent="0.3">
      <c r="A2002" t="s">
        <v>44</v>
      </c>
      <c r="B2002" t="s">
        <v>23</v>
      </c>
      <c r="C2002" t="s">
        <v>21</v>
      </c>
      <c r="D2002">
        <v>15013</v>
      </c>
      <c r="E2002" t="s">
        <v>42</v>
      </c>
      <c r="F2002" t="s">
        <v>38</v>
      </c>
      <c r="G2002" t="s">
        <v>37</v>
      </c>
    </row>
    <row r="2003" spans="1:7" x14ac:dyDescent="0.3">
      <c r="A2003" t="s">
        <v>44</v>
      </c>
      <c r="B2003" t="s">
        <v>23</v>
      </c>
      <c r="C2003" t="s">
        <v>22</v>
      </c>
      <c r="D2003">
        <v>4173</v>
      </c>
      <c r="E2003" t="s">
        <v>42</v>
      </c>
      <c r="F2003" t="s">
        <v>38</v>
      </c>
      <c r="G2003" t="s">
        <v>37</v>
      </c>
    </row>
    <row r="2004" spans="1:7" x14ac:dyDescent="0.3">
      <c r="A2004" t="s">
        <v>24</v>
      </c>
      <c r="B2004" t="s">
        <v>8</v>
      </c>
      <c r="C2004" t="s">
        <v>9</v>
      </c>
      <c r="D2004">
        <v>4226</v>
      </c>
      <c r="E2004" t="s">
        <v>42</v>
      </c>
      <c r="F2004" t="s">
        <v>38</v>
      </c>
      <c r="G2004" t="s">
        <v>37</v>
      </c>
    </row>
    <row r="2005" spans="1:7" x14ac:dyDescent="0.3">
      <c r="A2005" t="s">
        <v>24</v>
      </c>
      <c r="B2005" t="s">
        <v>8</v>
      </c>
      <c r="C2005" t="s">
        <v>13</v>
      </c>
      <c r="D2005">
        <v>619</v>
      </c>
      <c r="E2005" t="s">
        <v>42</v>
      </c>
      <c r="F2005" t="s">
        <v>38</v>
      </c>
      <c r="G2005" t="s">
        <v>37</v>
      </c>
    </row>
    <row r="2006" spans="1:7" x14ac:dyDescent="0.3">
      <c r="A2006" t="s">
        <v>24</v>
      </c>
      <c r="B2006" t="s">
        <v>8</v>
      </c>
      <c r="C2006" t="s">
        <v>14</v>
      </c>
      <c r="D2006">
        <v>26122</v>
      </c>
      <c r="E2006" t="s">
        <v>42</v>
      </c>
      <c r="F2006" t="s">
        <v>38</v>
      </c>
      <c r="G2006" t="s">
        <v>37</v>
      </c>
    </row>
    <row r="2007" spans="1:7" x14ac:dyDescent="0.3">
      <c r="A2007" t="s">
        <v>24</v>
      </c>
      <c r="B2007" t="s">
        <v>8</v>
      </c>
      <c r="C2007" t="s">
        <v>15</v>
      </c>
      <c r="D2007">
        <v>153</v>
      </c>
      <c r="E2007" t="s">
        <v>42</v>
      </c>
      <c r="F2007" t="s">
        <v>38</v>
      </c>
      <c r="G2007" t="s">
        <v>37</v>
      </c>
    </row>
    <row r="2008" spans="1:7" x14ac:dyDescent="0.3">
      <c r="A2008" t="s">
        <v>24</v>
      </c>
      <c r="B2008" t="s">
        <v>8</v>
      </c>
      <c r="C2008" t="s">
        <v>16</v>
      </c>
      <c r="D2008">
        <v>90145</v>
      </c>
      <c r="E2008" t="s">
        <v>42</v>
      </c>
      <c r="F2008" t="s">
        <v>38</v>
      </c>
      <c r="G2008" t="s">
        <v>37</v>
      </c>
    </row>
    <row r="2009" spans="1:7" x14ac:dyDescent="0.3">
      <c r="A2009" t="s">
        <v>24</v>
      </c>
      <c r="B2009" t="s">
        <v>8</v>
      </c>
      <c r="C2009" t="s">
        <v>17</v>
      </c>
      <c r="D2009">
        <v>2501</v>
      </c>
      <c r="E2009" t="s">
        <v>42</v>
      </c>
      <c r="F2009" t="s">
        <v>38</v>
      </c>
      <c r="G2009" t="s">
        <v>37</v>
      </c>
    </row>
    <row r="2010" spans="1:7" x14ac:dyDescent="0.3">
      <c r="A2010" t="s">
        <v>24</v>
      </c>
      <c r="B2010" t="s">
        <v>8</v>
      </c>
      <c r="C2010" t="s">
        <v>18</v>
      </c>
      <c r="D2010">
        <v>0</v>
      </c>
      <c r="E2010" t="s">
        <v>42</v>
      </c>
      <c r="F2010" t="s">
        <v>38</v>
      </c>
      <c r="G2010" t="s">
        <v>37</v>
      </c>
    </row>
    <row r="2011" spans="1:7" x14ac:dyDescent="0.3">
      <c r="A2011" t="s">
        <v>24</v>
      </c>
      <c r="B2011" t="s">
        <v>8</v>
      </c>
      <c r="C2011" t="s">
        <v>19</v>
      </c>
      <c r="D2011">
        <v>89</v>
      </c>
      <c r="E2011" t="s">
        <v>42</v>
      </c>
      <c r="F2011" t="s">
        <v>38</v>
      </c>
      <c r="G2011" t="s">
        <v>37</v>
      </c>
    </row>
    <row r="2012" spans="1:7" x14ac:dyDescent="0.3">
      <c r="A2012" t="s">
        <v>24</v>
      </c>
      <c r="B2012" t="s">
        <v>8</v>
      </c>
      <c r="C2012" t="s">
        <v>20</v>
      </c>
      <c r="D2012">
        <v>109</v>
      </c>
      <c r="E2012" t="s">
        <v>42</v>
      </c>
      <c r="F2012" t="s">
        <v>38</v>
      </c>
      <c r="G2012" t="s">
        <v>37</v>
      </c>
    </row>
    <row r="2013" spans="1:7" x14ac:dyDescent="0.3">
      <c r="A2013" t="s">
        <v>24</v>
      </c>
      <c r="B2013" t="s">
        <v>8</v>
      </c>
      <c r="C2013" t="s">
        <v>21</v>
      </c>
      <c r="D2013">
        <v>344</v>
      </c>
      <c r="E2013" t="s">
        <v>42</v>
      </c>
      <c r="F2013" t="s">
        <v>38</v>
      </c>
      <c r="G2013" t="s">
        <v>37</v>
      </c>
    </row>
    <row r="2014" spans="1:7" x14ac:dyDescent="0.3">
      <c r="A2014" t="s">
        <v>24</v>
      </c>
      <c r="B2014" t="s">
        <v>8</v>
      </c>
      <c r="C2014" t="s">
        <v>22</v>
      </c>
      <c r="D2014">
        <v>8145</v>
      </c>
      <c r="E2014" t="s">
        <v>42</v>
      </c>
      <c r="F2014" t="s">
        <v>38</v>
      </c>
      <c r="G2014" t="s">
        <v>37</v>
      </c>
    </row>
    <row r="2015" spans="1:7" x14ac:dyDescent="0.3">
      <c r="A2015" t="s">
        <v>24</v>
      </c>
      <c r="B2015" t="s">
        <v>23</v>
      </c>
      <c r="C2015" t="s">
        <v>9</v>
      </c>
      <c r="D2015">
        <v>377112</v>
      </c>
      <c r="E2015" t="s">
        <v>42</v>
      </c>
      <c r="F2015" t="s">
        <v>38</v>
      </c>
      <c r="G2015" t="s">
        <v>37</v>
      </c>
    </row>
    <row r="2016" spans="1:7" x14ac:dyDescent="0.3">
      <c r="A2016" t="s">
        <v>24</v>
      </c>
      <c r="B2016" t="s">
        <v>23</v>
      </c>
      <c r="C2016" t="s">
        <v>13</v>
      </c>
      <c r="D2016">
        <v>133152</v>
      </c>
      <c r="E2016" t="s">
        <v>42</v>
      </c>
      <c r="F2016" t="s">
        <v>38</v>
      </c>
      <c r="G2016" t="s">
        <v>37</v>
      </c>
    </row>
    <row r="2017" spans="1:7" x14ac:dyDescent="0.3">
      <c r="A2017" t="s">
        <v>24</v>
      </c>
      <c r="B2017" t="s">
        <v>23</v>
      </c>
      <c r="C2017" t="s">
        <v>14</v>
      </c>
      <c r="D2017">
        <v>2164617</v>
      </c>
      <c r="E2017" t="s">
        <v>42</v>
      </c>
      <c r="F2017" t="s">
        <v>38</v>
      </c>
      <c r="G2017" t="s">
        <v>37</v>
      </c>
    </row>
    <row r="2018" spans="1:7" x14ac:dyDescent="0.3">
      <c r="A2018" t="s">
        <v>24</v>
      </c>
      <c r="B2018" t="s">
        <v>23</v>
      </c>
      <c r="C2018" t="s">
        <v>15</v>
      </c>
      <c r="D2018">
        <v>8896</v>
      </c>
      <c r="E2018" t="s">
        <v>42</v>
      </c>
      <c r="F2018" t="s">
        <v>38</v>
      </c>
      <c r="G2018" t="s">
        <v>37</v>
      </c>
    </row>
    <row r="2019" spans="1:7" x14ac:dyDescent="0.3">
      <c r="A2019" t="s">
        <v>24</v>
      </c>
      <c r="B2019" t="s">
        <v>23</v>
      </c>
      <c r="C2019" t="s">
        <v>16</v>
      </c>
      <c r="D2019">
        <v>2337137</v>
      </c>
      <c r="E2019" t="s">
        <v>42</v>
      </c>
      <c r="F2019" t="s">
        <v>38</v>
      </c>
      <c r="G2019" t="s">
        <v>37</v>
      </c>
    </row>
    <row r="2020" spans="1:7" x14ac:dyDescent="0.3">
      <c r="A2020" t="s">
        <v>24</v>
      </c>
      <c r="B2020" t="s">
        <v>23</v>
      </c>
      <c r="C2020" t="s">
        <v>17</v>
      </c>
      <c r="D2020">
        <v>13438</v>
      </c>
      <c r="E2020" t="s">
        <v>42</v>
      </c>
      <c r="F2020" t="s">
        <v>38</v>
      </c>
      <c r="G2020" t="s">
        <v>37</v>
      </c>
    </row>
    <row r="2021" spans="1:7" x14ac:dyDescent="0.3">
      <c r="A2021" t="s">
        <v>24</v>
      </c>
      <c r="B2021" t="s">
        <v>23</v>
      </c>
      <c r="C2021" t="s">
        <v>18</v>
      </c>
      <c r="D2021">
        <v>22</v>
      </c>
      <c r="E2021" t="s">
        <v>42</v>
      </c>
      <c r="F2021" t="s">
        <v>38</v>
      </c>
      <c r="G2021" t="s">
        <v>37</v>
      </c>
    </row>
    <row r="2022" spans="1:7" x14ac:dyDescent="0.3">
      <c r="A2022" t="s">
        <v>24</v>
      </c>
      <c r="B2022" t="s">
        <v>23</v>
      </c>
      <c r="C2022" t="s">
        <v>19</v>
      </c>
      <c r="D2022">
        <v>25576</v>
      </c>
      <c r="E2022" t="s">
        <v>42</v>
      </c>
      <c r="F2022" t="s">
        <v>38</v>
      </c>
      <c r="G2022" t="s">
        <v>37</v>
      </c>
    </row>
    <row r="2023" spans="1:7" x14ac:dyDescent="0.3">
      <c r="A2023" t="s">
        <v>24</v>
      </c>
      <c r="B2023" t="s">
        <v>23</v>
      </c>
      <c r="C2023" t="s">
        <v>20</v>
      </c>
      <c r="D2023">
        <v>32671</v>
      </c>
      <c r="E2023" t="s">
        <v>42</v>
      </c>
      <c r="F2023" t="s">
        <v>38</v>
      </c>
      <c r="G2023" t="s">
        <v>37</v>
      </c>
    </row>
    <row r="2024" spans="1:7" x14ac:dyDescent="0.3">
      <c r="A2024" t="s">
        <v>24</v>
      </c>
      <c r="B2024" t="s">
        <v>23</v>
      </c>
      <c r="C2024" t="s">
        <v>21</v>
      </c>
      <c r="D2024">
        <v>10378</v>
      </c>
      <c r="E2024" t="s">
        <v>42</v>
      </c>
      <c r="F2024" t="s">
        <v>38</v>
      </c>
      <c r="G2024" t="s">
        <v>37</v>
      </c>
    </row>
    <row r="2025" spans="1:7" x14ac:dyDescent="0.3">
      <c r="A2025" t="s">
        <v>24</v>
      </c>
      <c r="B2025" t="s">
        <v>23</v>
      </c>
      <c r="C2025" t="s">
        <v>22</v>
      </c>
      <c r="D2025">
        <v>407918</v>
      </c>
      <c r="E2025" t="s">
        <v>42</v>
      </c>
      <c r="F2025" t="s">
        <v>38</v>
      </c>
      <c r="G2025" t="s">
        <v>37</v>
      </c>
    </row>
    <row r="2026" spans="1:7" x14ac:dyDescent="0.3">
      <c r="A2026" t="s">
        <v>45</v>
      </c>
      <c r="B2026" t="s">
        <v>8</v>
      </c>
      <c r="C2026" t="s">
        <v>9</v>
      </c>
      <c r="D2026">
        <v>14019</v>
      </c>
      <c r="E2026" t="s">
        <v>42</v>
      </c>
      <c r="F2026" t="s">
        <v>38</v>
      </c>
      <c r="G2026" t="s">
        <v>37</v>
      </c>
    </row>
    <row r="2027" spans="1:7" x14ac:dyDescent="0.3">
      <c r="A2027" t="s">
        <v>45</v>
      </c>
      <c r="B2027" t="s">
        <v>8</v>
      </c>
      <c r="C2027" t="s">
        <v>13</v>
      </c>
      <c r="D2027">
        <v>2273</v>
      </c>
      <c r="E2027" t="s">
        <v>42</v>
      </c>
      <c r="F2027" t="s">
        <v>38</v>
      </c>
      <c r="G2027" t="s">
        <v>37</v>
      </c>
    </row>
    <row r="2028" spans="1:7" x14ac:dyDescent="0.3">
      <c r="A2028" t="s">
        <v>45</v>
      </c>
      <c r="B2028" t="s">
        <v>8</v>
      </c>
      <c r="C2028" t="s">
        <v>14</v>
      </c>
      <c r="D2028">
        <v>1852</v>
      </c>
      <c r="E2028" t="s">
        <v>42</v>
      </c>
      <c r="F2028" t="s">
        <v>38</v>
      </c>
      <c r="G2028" t="s">
        <v>37</v>
      </c>
    </row>
    <row r="2029" spans="1:7" x14ac:dyDescent="0.3">
      <c r="A2029" t="s">
        <v>45</v>
      </c>
      <c r="B2029" t="s">
        <v>8</v>
      </c>
      <c r="C2029" t="s">
        <v>15</v>
      </c>
      <c r="D2029">
        <v>513</v>
      </c>
      <c r="E2029" t="s">
        <v>42</v>
      </c>
      <c r="F2029" t="s">
        <v>38</v>
      </c>
      <c r="G2029" t="s">
        <v>37</v>
      </c>
    </row>
    <row r="2030" spans="1:7" x14ac:dyDescent="0.3">
      <c r="A2030" t="s">
        <v>45</v>
      </c>
      <c r="B2030" t="s">
        <v>8</v>
      </c>
      <c r="C2030" t="s">
        <v>16</v>
      </c>
      <c r="D2030">
        <v>1960</v>
      </c>
      <c r="E2030" t="s">
        <v>42</v>
      </c>
      <c r="F2030" t="s">
        <v>38</v>
      </c>
      <c r="G2030" t="s">
        <v>37</v>
      </c>
    </row>
    <row r="2031" spans="1:7" x14ac:dyDescent="0.3">
      <c r="A2031" t="s">
        <v>45</v>
      </c>
      <c r="B2031" t="s">
        <v>8</v>
      </c>
      <c r="C2031" t="s">
        <v>17</v>
      </c>
      <c r="D2031">
        <v>5828</v>
      </c>
      <c r="E2031" t="s">
        <v>42</v>
      </c>
      <c r="F2031" t="s">
        <v>38</v>
      </c>
      <c r="G2031" t="s">
        <v>37</v>
      </c>
    </row>
    <row r="2032" spans="1:7" x14ac:dyDescent="0.3">
      <c r="A2032" t="s">
        <v>45</v>
      </c>
      <c r="B2032" t="s">
        <v>8</v>
      </c>
      <c r="C2032" t="s">
        <v>18</v>
      </c>
      <c r="D2032">
        <v>0</v>
      </c>
      <c r="E2032" t="s">
        <v>42</v>
      </c>
      <c r="F2032" t="s">
        <v>38</v>
      </c>
      <c r="G2032" t="s">
        <v>37</v>
      </c>
    </row>
    <row r="2033" spans="1:7" x14ac:dyDescent="0.3">
      <c r="A2033" t="s">
        <v>45</v>
      </c>
      <c r="B2033" t="s">
        <v>8</v>
      </c>
      <c r="C2033" t="s">
        <v>19</v>
      </c>
      <c r="D2033">
        <v>8116</v>
      </c>
      <c r="E2033" t="s">
        <v>42</v>
      </c>
      <c r="F2033" t="s">
        <v>38</v>
      </c>
      <c r="G2033" t="s">
        <v>37</v>
      </c>
    </row>
    <row r="2034" spans="1:7" x14ac:dyDescent="0.3">
      <c r="A2034" t="s">
        <v>45</v>
      </c>
      <c r="B2034" t="s">
        <v>8</v>
      </c>
      <c r="C2034" t="s">
        <v>20</v>
      </c>
      <c r="D2034">
        <v>91</v>
      </c>
      <c r="E2034" t="s">
        <v>42</v>
      </c>
      <c r="F2034" t="s">
        <v>38</v>
      </c>
      <c r="G2034" t="s">
        <v>37</v>
      </c>
    </row>
    <row r="2035" spans="1:7" x14ac:dyDescent="0.3">
      <c r="A2035" t="s">
        <v>45</v>
      </c>
      <c r="B2035" t="s">
        <v>8</v>
      </c>
      <c r="C2035" t="s">
        <v>21</v>
      </c>
      <c r="D2035">
        <v>906</v>
      </c>
      <c r="E2035" t="s">
        <v>42</v>
      </c>
      <c r="F2035" t="s">
        <v>38</v>
      </c>
      <c r="G2035" t="s">
        <v>37</v>
      </c>
    </row>
    <row r="2036" spans="1:7" x14ac:dyDescent="0.3">
      <c r="A2036" t="s">
        <v>45</v>
      </c>
      <c r="B2036" t="s">
        <v>8</v>
      </c>
      <c r="C2036" t="s">
        <v>22</v>
      </c>
      <c r="D2036">
        <v>5204</v>
      </c>
      <c r="E2036" t="s">
        <v>42</v>
      </c>
      <c r="F2036" t="s">
        <v>38</v>
      </c>
      <c r="G2036" t="s">
        <v>37</v>
      </c>
    </row>
    <row r="2037" spans="1:7" x14ac:dyDescent="0.3">
      <c r="A2037" t="s">
        <v>45</v>
      </c>
      <c r="B2037" t="s">
        <v>23</v>
      </c>
      <c r="C2037" t="s">
        <v>9</v>
      </c>
      <c r="D2037">
        <v>1378046</v>
      </c>
      <c r="E2037" t="s">
        <v>42</v>
      </c>
      <c r="F2037" t="s">
        <v>38</v>
      </c>
      <c r="G2037" t="s">
        <v>37</v>
      </c>
    </row>
    <row r="2038" spans="1:7" x14ac:dyDescent="0.3">
      <c r="A2038" t="s">
        <v>45</v>
      </c>
      <c r="B2038" t="s">
        <v>23</v>
      </c>
      <c r="C2038" t="s">
        <v>13</v>
      </c>
      <c r="D2038">
        <v>68917</v>
      </c>
      <c r="E2038" t="s">
        <v>42</v>
      </c>
      <c r="F2038" t="s">
        <v>38</v>
      </c>
      <c r="G2038" t="s">
        <v>37</v>
      </c>
    </row>
    <row r="2039" spans="1:7" x14ac:dyDescent="0.3">
      <c r="A2039" t="s">
        <v>45</v>
      </c>
      <c r="B2039" t="s">
        <v>23</v>
      </c>
      <c r="C2039" t="s">
        <v>14</v>
      </c>
      <c r="D2039">
        <v>861566</v>
      </c>
      <c r="E2039" t="s">
        <v>42</v>
      </c>
      <c r="F2039" t="s">
        <v>38</v>
      </c>
      <c r="G2039" t="s">
        <v>37</v>
      </c>
    </row>
    <row r="2040" spans="1:7" x14ac:dyDescent="0.3">
      <c r="A2040" t="s">
        <v>45</v>
      </c>
      <c r="B2040" t="s">
        <v>23</v>
      </c>
      <c r="C2040" t="s">
        <v>15</v>
      </c>
      <c r="D2040">
        <v>9524</v>
      </c>
      <c r="E2040" t="s">
        <v>42</v>
      </c>
      <c r="F2040" t="s">
        <v>38</v>
      </c>
      <c r="G2040" t="s">
        <v>37</v>
      </c>
    </row>
    <row r="2041" spans="1:7" x14ac:dyDescent="0.3">
      <c r="A2041" t="s">
        <v>45</v>
      </c>
      <c r="B2041" t="s">
        <v>23</v>
      </c>
      <c r="C2041" t="s">
        <v>16</v>
      </c>
      <c r="D2041">
        <v>328167</v>
      </c>
      <c r="E2041" t="s">
        <v>42</v>
      </c>
      <c r="F2041" t="s">
        <v>38</v>
      </c>
      <c r="G2041" t="s">
        <v>37</v>
      </c>
    </row>
    <row r="2042" spans="1:7" x14ac:dyDescent="0.3">
      <c r="A2042" t="s">
        <v>45</v>
      </c>
      <c r="B2042" t="s">
        <v>23</v>
      </c>
      <c r="C2042" t="s">
        <v>17</v>
      </c>
      <c r="D2042">
        <v>39375</v>
      </c>
      <c r="E2042" t="s">
        <v>42</v>
      </c>
      <c r="F2042" t="s">
        <v>38</v>
      </c>
      <c r="G2042" t="s">
        <v>37</v>
      </c>
    </row>
    <row r="2043" spans="1:7" x14ac:dyDescent="0.3">
      <c r="A2043" t="s">
        <v>45</v>
      </c>
      <c r="B2043" t="s">
        <v>23</v>
      </c>
      <c r="C2043" t="s">
        <v>18</v>
      </c>
      <c r="D2043">
        <v>0</v>
      </c>
      <c r="E2043" t="s">
        <v>42</v>
      </c>
      <c r="F2043" t="s">
        <v>38</v>
      </c>
      <c r="G2043" t="s">
        <v>37</v>
      </c>
    </row>
    <row r="2044" spans="1:7" x14ac:dyDescent="0.3">
      <c r="A2044" t="s">
        <v>45</v>
      </c>
      <c r="B2044" t="s">
        <v>23</v>
      </c>
      <c r="C2044" t="s">
        <v>19</v>
      </c>
      <c r="D2044">
        <v>608156</v>
      </c>
      <c r="E2044" t="s">
        <v>42</v>
      </c>
      <c r="F2044" t="s">
        <v>38</v>
      </c>
      <c r="G2044" t="s">
        <v>37</v>
      </c>
    </row>
    <row r="2045" spans="1:7" x14ac:dyDescent="0.3">
      <c r="A2045" t="s">
        <v>45</v>
      </c>
      <c r="B2045" t="s">
        <v>23</v>
      </c>
      <c r="C2045" t="s">
        <v>20</v>
      </c>
      <c r="D2045">
        <v>26785</v>
      </c>
      <c r="E2045" t="s">
        <v>42</v>
      </c>
      <c r="F2045" t="s">
        <v>38</v>
      </c>
      <c r="G2045" t="s">
        <v>37</v>
      </c>
    </row>
    <row r="2046" spans="1:7" x14ac:dyDescent="0.3">
      <c r="A2046" t="s">
        <v>45</v>
      </c>
      <c r="B2046" t="s">
        <v>23</v>
      </c>
      <c r="C2046" t="s">
        <v>21</v>
      </c>
      <c r="D2046">
        <v>14352</v>
      </c>
      <c r="E2046" t="s">
        <v>42</v>
      </c>
      <c r="F2046" t="s">
        <v>38</v>
      </c>
      <c r="G2046" t="s">
        <v>37</v>
      </c>
    </row>
    <row r="2047" spans="1:7" x14ac:dyDescent="0.3">
      <c r="A2047" t="s">
        <v>45</v>
      </c>
      <c r="B2047" t="s">
        <v>23</v>
      </c>
      <c r="C2047" t="s">
        <v>22</v>
      </c>
      <c r="D2047">
        <v>20583</v>
      </c>
      <c r="E2047" t="s">
        <v>42</v>
      </c>
      <c r="F2047" t="s">
        <v>38</v>
      </c>
      <c r="G2047" t="s">
        <v>37</v>
      </c>
    </row>
    <row r="2048" spans="1:7" x14ac:dyDescent="0.3">
      <c r="A2048" t="s">
        <v>46</v>
      </c>
      <c r="B2048" t="s">
        <v>8</v>
      </c>
      <c r="C2048" t="s">
        <v>9</v>
      </c>
      <c r="D2048">
        <v>504</v>
      </c>
      <c r="E2048" t="s">
        <v>42</v>
      </c>
      <c r="F2048" t="s">
        <v>38</v>
      </c>
      <c r="G2048" t="s">
        <v>37</v>
      </c>
    </row>
    <row r="2049" spans="1:7" x14ac:dyDescent="0.3">
      <c r="A2049" t="s">
        <v>46</v>
      </c>
      <c r="B2049" t="s">
        <v>8</v>
      </c>
      <c r="C2049" t="s">
        <v>13</v>
      </c>
      <c r="D2049">
        <v>10</v>
      </c>
      <c r="E2049" t="s">
        <v>42</v>
      </c>
      <c r="F2049" t="s">
        <v>38</v>
      </c>
      <c r="G2049" t="s">
        <v>37</v>
      </c>
    </row>
    <row r="2050" spans="1:7" x14ac:dyDescent="0.3">
      <c r="A2050" t="s">
        <v>46</v>
      </c>
      <c r="B2050" t="s">
        <v>8</v>
      </c>
      <c r="C2050" t="s">
        <v>14</v>
      </c>
      <c r="D2050">
        <v>3410</v>
      </c>
      <c r="E2050" t="s">
        <v>42</v>
      </c>
      <c r="F2050" t="s">
        <v>38</v>
      </c>
      <c r="G2050" t="s">
        <v>37</v>
      </c>
    </row>
    <row r="2051" spans="1:7" x14ac:dyDescent="0.3">
      <c r="A2051" t="s">
        <v>46</v>
      </c>
      <c r="B2051" t="s">
        <v>8</v>
      </c>
      <c r="C2051" t="s">
        <v>15</v>
      </c>
      <c r="D2051">
        <v>13</v>
      </c>
      <c r="E2051" t="s">
        <v>42</v>
      </c>
      <c r="F2051" t="s">
        <v>38</v>
      </c>
      <c r="G2051" t="s">
        <v>37</v>
      </c>
    </row>
    <row r="2052" spans="1:7" x14ac:dyDescent="0.3">
      <c r="A2052" t="s">
        <v>46</v>
      </c>
      <c r="B2052" t="s">
        <v>8</v>
      </c>
      <c r="C2052" t="s">
        <v>16</v>
      </c>
      <c r="D2052">
        <v>89320</v>
      </c>
      <c r="E2052" t="s">
        <v>42</v>
      </c>
      <c r="F2052" t="s">
        <v>38</v>
      </c>
      <c r="G2052" t="s">
        <v>37</v>
      </c>
    </row>
    <row r="2053" spans="1:7" x14ac:dyDescent="0.3">
      <c r="A2053" t="s">
        <v>46</v>
      </c>
      <c r="B2053" t="s">
        <v>8</v>
      </c>
      <c r="C2053" t="s">
        <v>17</v>
      </c>
      <c r="D2053">
        <v>886</v>
      </c>
      <c r="E2053" t="s">
        <v>42</v>
      </c>
      <c r="F2053" t="s">
        <v>38</v>
      </c>
      <c r="G2053" t="s">
        <v>37</v>
      </c>
    </row>
    <row r="2054" spans="1:7" x14ac:dyDescent="0.3">
      <c r="A2054" t="s">
        <v>46</v>
      </c>
      <c r="B2054" t="s">
        <v>8</v>
      </c>
      <c r="C2054" t="s">
        <v>18</v>
      </c>
      <c r="D2054">
        <v>0</v>
      </c>
      <c r="E2054" t="s">
        <v>42</v>
      </c>
      <c r="F2054" t="s">
        <v>38</v>
      </c>
      <c r="G2054" t="s">
        <v>37</v>
      </c>
    </row>
    <row r="2055" spans="1:7" x14ac:dyDescent="0.3">
      <c r="A2055" t="s">
        <v>46</v>
      </c>
      <c r="B2055" t="s">
        <v>8</v>
      </c>
      <c r="C2055" t="s">
        <v>19</v>
      </c>
      <c r="D2055">
        <v>14</v>
      </c>
      <c r="E2055" t="s">
        <v>42</v>
      </c>
      <c r="F2055" t="s">
        <v>38</v>
      </c>
      <c r="G2055" t="s">
        <v>37</v>
      </c>
    </row>
    <row r="2056" spans="1:7" x14ac:dyDescent="0.3">
      <c r="A2056" t="s">
        <v>46</v>
      </c>
      <c r="B2056" t="s">
        <v>8</v>
      </c>
      <c r="C2056" t="s">
        <v>20</v>
      </c>
      <c r="D2056">
        <v>66</v>
      </c>
      <c r="E2056" t="s">
        <v>42</v>
      </c>
      <c r="F2056" t="s">
        <v>38</v>
      </c>
      <c r="G2056" t="s">
        <v>37</v>
      </c>
    </row>
    <row r="2057" spans="1:7" x14ac:dyDescent="0.3">
      <c r="A2057" t="s">
        <v>46</v>
      </c>
      <c r="B2057" t="s">
        <v>8</v>
      </c>
      <c r="C2057" t="s">
        <v>21</v>
      </c>
      <c r="D2057">
        <v>12</v>
      </c>
      <c r="E2057" t="s">
        <v>42</v>
      </c>
      <c r="F2057" t="s">
        <v>38</v>
      </c>
      <c r="G2057" t="s">
        <v>37</v>
      </c>
    </row>
    <row r="2058" spans="1:7" x14ac:dyDescent="0.3">
      <c r="A2058" t="s">
        <v>46</v>
      </c>
      <c r="B2058" t="s">
        <v>8</v>
      </c>
      <c r="C2058" t="s">
        <v>22</v>
      </c>
      <c r="D2058">
        <v>107</v>
      </c>
      <c r="E2058" t="s">
        <v>42</v>
      </c>
      <c r="F2058" t="s">
        <v>38</v>
      </c>
      <c r="G2058" t="s">
        <v>37</v>
      </c>
    </row>
    <row r="2059" spans="1:7" x14ac:dyDescent="0.3">
      <c r="A2059" t="s">
        <v>46</v>
      </c>
      <c r="B2059" t="s">
        <v>23</v>
      </c>
      <c r="C2059" t="s">
        <v>9</v>
      </c>
      <c r="D2059">
        <v>2243</v>
      </c>
      <c r="E2059" t="s">
        <v>42</v>
      </c>
      <c r="F2059" t="s">
        <v>38</v>
      </c>
      <c r="G2059" t="s">
        <v>37</v>
      </c>
    </row>
    <row r="2060" spans="1:7" x14ac:dyDescent="0.3">
      <c r="A2060" t="s">
        <v>46</v>
      </c>
      <c r="B2060" t="s">
        <v>23</v>
      </c>
      <c r="C2060" t="s">
        <v>13</v>
      </c>
      <c r="D2060">
        <v>2814</v>
      </c>
      <c r="E2060" t="s">
        <v>42</v>
      </c>
      <c r="F2060" t="s">
        <v>38</v>
      </c>
      <c r="G2060" t="s">
        <v>37</v>
      </c>
    </row>
    <row r="2061" spans="1:7" x14ac:dyDescent="0.3">
      <c r="A2061" t="s">
        <v>46</v>
      </c>
      <c r="B2061" t="s">
        <v>23</v>
      </c>
      <c r="C2061" t="s">
        <v>14</v>
      </c>
      <c r="D2061">
        <v>11404</v>
      </c>
      <c r="E2061" t="s">
        <v>42</v>
      </c>
      <c r="F2061" t="s">
        <v>38</v>
      </c>
      <c r="G2061" t="s">
        <v>37</v>
      </c>
    </row>
    <row r="2062" spans="1:7" x14ac:dyDescent="0.3">
      <c r="A2062" t="s">
        <v>46</v>
      </c>
      <c r="B2062" t="s">
        <v>23</v>
      </c>
      <c r="C2062" t="s">
        <v>15</v>
      </c>
      <c r="D2062">
        <v>339</v>
      </c>
      <c r="E2062" t="s">
        <v>42</v>
      </c>
      <c r="F2062" t="s">
        <v>38</v>
      </c>
      <c r="G2062" t="s">
        <v>37</v>
      </c>
    </row>
    <row r="2063" spans="1:7" x14ac:dyDescent="0.3">
      <c r="A2063" t="s">
        <v>46</v>
      </c>
      <c r="B2063" t="s">
        <v>23</v>
      </c>
      <c r="C2063" t="s">
        <v>16</v>
      </c>
      <c r="D2063">
        <v>2065055</v>
      </c>
      <c r="E2063" t="s">
        <v>42</v>
      </c>
      <c r="F2063" t="s">
        <v>38</v>
      </c>
      <c r="G2063" t="s">
        <v>37</v>
      </c>
    </row>
    <row r="2064" spans="1:7" x14ac:dyDescent="0.3">
      <c r="A2064" t="s">
        <v>46</v>
      </c>
      <c r="B2064" t="s">
        <v>23</v>
      </c>
      <c r="C2064" t="s">
        <v>17</v>
      </c>
      <c r="D2064">
        <v>495</v>
      </c>
      <c r="E2064" t="s">
        <v>42</v>
      </c>
      <c r="F2064" t="s">
        <v>38</v>
      </c>
      <c r="G2064" t="s">
        <v>37</v>
      </c>
    </row>
    <row r="2065" spans="1:7" x14ac:dyDescent="0.3">
      <c r="A2065" t="s">
        <v>46</v>
      </c>
      <c r="B2065" t="s">
        <v>23</v>
      </c>
      <c r="C2065" t="s">
        <v>18</v>
      </c>
      <c r="D2065">
        <v>22</v>
      </c>
      <c r="E2065" t="s">
        <v>42</v>
      </c>
      <c r="F2065" t="s">
        <v>38</v>
      </c>
      <c r="G2065" t="s">
        <v>37</v>
      </c>
    </row>
    <row r="2066" spans="1:7" x14ac:dyDescent="0.3">
      <c r="A2066" t="s">
        <v>46</v>
      </c>
      <c r="B2066" t="s">
        <v>23</v>
      </c>
      <c r="C2066" t="s">
        <v>19</v>
      </c>
      <c r="D2066">
        <v>1608</v>
      </c>
      <c r="E2066" t="s">
        <v>42</v>
      </c>
      <c r="F2066" t="s">
        <v>38</v>
      </c>
      <c r="G2066" t="s">
        <v>37</v>
      </c>
    </row>
    <row r="2067" spans="1:7" x14ac:dyDescent="0.3">
      <c r="A2067" t="s">
        <v>46</v>
      </c>
      <c r="B2067" t="s">
        <v>23</v>
      </c>
      <c r="C2067" t="s">
        <v>20</v>
      </c>
      <c r="D2067">
        <v>17906</v>
      </c>
      <c r="E2067" t="s">
        <v>42</v>
      </c>
      <c r="F2067" t="s">
        <v>38</v>
      </c>
      <c r="G2067" t="s">
        <v>37</v>
      </c>
    </row>
    <row r="2068" spans="1:7" x14ac:dyDescent="0.3">
      <c r="A2068" t="s">
        <v>46</v>
      </c>
      <c r="B2068" t="s">
        <v>23</v>
      </c>
      <c r="C2068" t="s">
        <v>21</v>
      </c>
      <c r="D2068">
        <v>806</v>
      </c>
      <c r="E2068" t="s">
        <v>42</v>
      </c>
      <c r="F2068" t="s">
        <v>38</v>
      </c>
      <c r="G2068" t="s">
        <v>37</v>
      </c>
    </row>
    <row r="2069" spans="1:7" x14ac:dyDescent="0.3">
      <c r="A2069" t="s">
        <v>46</v>
      </c>
      <c r="B2069" t="s">
        <v>23</v>
      </c>
      <c r="C2069" t="s">
        <v>22</v>
      </c>
      <c r="D2069">
        <v>1707</v>
      </c>
      <c r="E2069" t="s">
        <v>42</v>
      </c>
      <c r="F2069" t="s">
        <v>38</v>
      </c>
      <c r="G2069" t="s">
        <v>37</v>
      </c>
    </row>
    <row r="2070" spans="1:7" x14ac:dyDescent="0.3">
      <c r="A2070" t="s">
        <v>47</v>
      </c>
      <c r="B2070" t="s">
        <v>8</v>
      </c>
      <c r="C2070" t="s">
        <v>9</v>
      </c>
      <c r="D2070">
        <v>13916</v>
      </c>
      <c r="E2070" t="s">
        <v>42</v>
      </c>
      <c r="F2070" t="s">
        <v>38</v>
      </c>
      <c r="G2070" t="s">
        <v>37</v>
      </c>
    </row>
    <row r="2071" spans="1:7" x14ac:dyDescent="0.3">
      <c r="A2071" t="s">
        <v>47</v>
      </c>
      <c r="B2071" t="s">
        <v>8</v>
      </c>
      <c r="C2071" t="s">
        <v>13</v>
      </c>
      <c r="D2071">
        <v>1774</v>
      </c>
      <c r="E2071" t="s">
        <v>42</v>
      </c>
      <c r="F2071" t="s">
        <v>38</v>
      </c>
      <c r="G2071" t="s">
        <v>37</v>
      </c>
    </row>
    <row r="2072" spans="1:7" x14ac:dyDescent="0.3">
      <c r="A2072" t="s">
        <v>47</v>
      </c>
      <c r="B2072" t="s">
        <v>8</v>
      </c>
      <c r="C2072" t="s">
        <v>14</v>
      </c>
      <c r="D2072">
        <v>1581</v>
      </c>
      <c r="E2072" t="s">
        <v>42</v>
      </c>
      <c r="F2072" t="s">
        <v>38</v>
      </c>
      <c r="G2072" t="s">
        <v>37</v>
      </c>
    </row>
    <row r="2073" spans="1:7" x14ac:dyDescent="0.3">
      <c r="A2073" t="s">
        <v>47</v>
      </c>
      <c r="B2073" t="s">
        <v>8</v>
      </c>
      <c r="C2073" t="s">
        <v>15</v>
      </c>
      <c r="D2073">
        <v>471</v>
      </c>
      <c r="E2073" t="s">
        <v>42</v>
      </c>
      <c r="F2073" t="s">
        <v>38</v>
      </c>
      <c r="G2073" t="s">
        <v>37</v>
      </c>
    </row>
    <row r="2074" spans="1:7" x14ac:dyDescent="0.3">
      <c r="A2074" t="s">
        <v>47</v>
      </c>
      <c r="B2074" t="s">
        <v>8</v>
      </c>
      <c r="C2074" t="s">
        <v>16</v>
      </c>
      <c r="D2074">
        <v>1945</v>
      </c>
      <c r="E2074" t="s">
        <v>42</v>
      </c>
      <c r="F2074" t="s">
        <v>38</v>
      </c>
      <c r="G2074" t="s">
        <v>37</v>
      </c>
    </row>
    <row r="2075" spans="1:7" x14ac:dyDescent="0.3">
      <c r="A2075" t="s">
        <v>47</v>
      </c>
      <c r="B2075" t="s">
        <v>8</v>
      </c>
      <c r="C2075" t="s">
        <v>17</v>
      </c>
      <c r="D2075">
        <v>5782</v>
      </c>
      <c r="E2075" t="s">
        <v>42</v>
      </c>
      <c r="F2075" t="s">
        <v>38</v>
      </c>
      <c r="G2075" t="s">
        <v>37</v>
      </c>
    </row>
    <row r="2076" spans="1:7" x14ac:dyDescent="0.3">
      <c r="A2076" t="s">
        <v>47</v>
      </c>
      <c r="B2076" t="s">
        <v>8</v>
      </c>
      <c r="C2076" t="s">
        <v>18</v>
      </c>
      <c r="D2076">
        <v>0</v>
      </c>
      <c r="E2076" t="s">
        <v>42</v>
      </c>
      <c r="F2076" t="s">
        <v>38</v>
      </c>
      <c r="G2076" t="s">
        <v>37</v>
      </c>
    </row>
    <row r="2077" spans="1:7" x14ac:dyDescent="0.3">
      <c r="A2077" t="s">
        <v>47</v>
      </c>
      <c r="B2077" t="s">
        <v>8</v>
      </c>
      <c r="C2077" t="s">
        <v>19</v>
      </c>
      <c r="D2077">
        <v>223</v>
      </c>
      <c r="E2077" t="s">
        <v>42</v>
      </c>
      <c r="F2077" t="s">
        <v>38</v>
      </c>
      <c r="G2077" t="s">
        <v>37</v>
      </c>
    </row>
    <row r="2078" spans="1:7" x14ac:dyDescent="0.3">
      <c r="A2078" t="s">
        <v>47</v>
      </c>
      <c r="B2078" t="s">
        <v>8</v>
      </c>
      <c r="C2078" t="s">
        <v>20</v>
      </c>
      <c r="D2078">
        <v>90</v>
      </c>
      <c r="E2078" t="s">
        <v>42</v>
      </c>
      <c r="F2078" t="s">
        <v>38</v>
      </c>
      <c r="G2078" t="s">
        <v>37</v>
      </c>
    </row>
    <row r="2079" spans="1:7" x14ac:dyDescent="0.3">
      <c r="A2079" t="s">
        <v>47</v>
      </c>
      <c r="B2079" t="s">
        <v>8</v>
      </c>
      <c r="C2079" t="s">
        <v>21</v>
      </c>
      <c r="D2079">
        <v>899</v>
      </c>
      <c r="E2079" t="s">
        <v>42</v>
      </c>
      <c r="F2079" t="s">
        <v>38</v>
      </c>
      <c r="G2079" t="s">
        <v>37</v>
      </c>
    </row>
    <row r="2080" spans="1:7" x14ac:dyDescent="0.3">
      <c r="A2080" t="s">
        <v>47</v>
      </c>
      <c r="B2080" t="s">
        <v>8</v>
      </c>
      <c r="C2080" t="s">
        <v>22</v>
      </c>
      <c r="D2080">
        <v>5136</v>
      </c>
      <c r="E2080" t="s">
        <v>42</v>
      </c>
      <c r="F2080" t="s">
        <v>38</v>
      </c>
      <c r="G2080" t="s">
        <v>37</v>
      </c>
    </row>
    <row r="2081" spans="1:7" x14ac:dyDescent="0.3">
      <c r="A2081" t="s">
        <v>47</v>
      </c>
      <c r="B2081" t="s">
        <v>23</v>
      </c>
      <c r="C2081" t="s">
        <v>9</v>
      </c>
      <c r="D2081">
        <v>1367803</v>
      </c>
      <c r="E2081" t="s">
        <v>42</v>
      </c>
      <c r="F2081" t="s">
        <v>38</v>
      </c>
      <c r="G2081" t="s">
        <v>37</v>
      </c>
    </row>
    <row r="2082" spans="1:7" x14ac:dyDescent="0.3">
      <c r="A2082" t="s">
        <v>47</v>
      </c>
      <c r="B2082" t="s">
        <v>23</v>
      </c>
      <c r="C2082" t="s">
        <v>13</v>
      </c>
      <c r="D2082">
        <v>63180</v>
      </c>
      <c r="E2082" t="s">
        <v>42</v>
      </c>
      <c r="F2082" t="s">
        <v>38</v>
      </c>
      <c r="G2082" t="s">
        <v>37</v>
      </c>
    </row>
    <row r="2083" spans="1:7" x14ac:dyDescent="0.3">
      <c r="A2083" t="s">
        <v>47</v>
      </c>
      <c r="B2083" t="s">
        <v>23</v>
      </c>
      <c r="C2083" t="s">
        <v>14</v>
      </c>
      <c r="D2083">
        <v>843168</v>
      </c>
      <c r="E2083" t="s">
        <v>42</v>
      </c>
      <c r="F2083" t="s">
        <v>38</v>
      </c>
      <c r="G2083" t="s">
        <v>37</v>
      </c>
    </row>
    <row r="2084" spans="1:7" x14ac:dyDescent="0.3">
      <c r="A2084" t="s">
        <v>47</v>
      </c>
      <c r="B2084" t="s">
        <v>23</v>
      </c>
      <c r="C2084" t="s">
        <v>15</v>
      </c>
      <c r="D2084">
        <v>7516</v>
      </c>
      <c r="E2084" t="s">
        <v>42</v>
      </c>
      <c r="F2084" t="s">
        <v>38</v>
      </c>
      <c r="G2084" t="s">
        <v>37</v>
      </c>
    </row>
    <row r="2085" spans="1:7" x14ac:dyDescent="0.3">
      <c r="A2085" t="s">
        <v>47</v>
      </c>
      <c r="B2085" t="s">
        <v>23</v>
      </c>
      <c r="C2085" t="s">
        <v>16</v>
      </c>
      <c r="D2085">
        <v>325669</v>
      </c>
      <c r="E2085" t="s">
        <v>42</v>
      </c>
      <c r="F2085" t="s">
        <v>38</v>
      </c>
      <c r="G2085" t="s">
        <v>37</v>
      </c>
    </row>
    <row r="2086" spans="1:7" x14ac:dyDescent="0.3">
      <c r="A2086" t="s">
        <v>47</v>
      </c>
      <c r="B2086" t="s">
        <v>23</v>
      </c>
      <c r="C2086" t="s">
        <v>17</v>
      </c>
      <c r="D2086">
        <v>39073</v>
      </c>
      <c r="E2086" t="s">
        <v>42</v>
      </c>
      <c r="F2086" t="s">
        <v>38</v>
      </c>
      <c r="G2086" t="s">
        <v>37</v>
      </c>
    </row>
    <row r="2087" spans="1:7" x14ac:dyDescent="0.3">
      <c r="A2087" t="s">
        <v>47</v>
      </c>
      <c r="B2087" t="s">
        <v>23</v>
      </c>
      <c r="C2087" t="s">
        <v>18</v>
      </c>
      <c r="D2087">
        <v>0</v>
      </c>
      <c r="E2087" t="s">
        <v>42</v>
      </c>
      <c r="F2087" t="s">
        <v>38</v>
      </c>
      <c r="G2087" t="s">
        <v>37</v>
      </c>
    </row>
    <row r="2088" spans="1:7" x14ac:dyDescent="0.3">
      <c r="A2088" t="s">
        <v>47</v>
      </c>
      <c r="B2088" t="s">
        <v>23</v>
      </c>
      <c r="C2088" t="s">
        <v>19</v>
      </c>
      <c r="D2088">
        <v>24805</v>
      </c>
      <c r="E2088" t="s">
        <v>42</v>
      </c>
      <c r="F2088" t="s">
        <v>38</v>
      </c>
      <c r="G2088" t="s">
        <v>37</v>
      </c>
    </row>
    <row r="2089" spans="1:7" x14ac:dyDescent="0.3">
      <c r="A2089" t="s">
        <v>47</v>
      </c>
      <c r="B2089" t="s">
        <v>23</v>
      </c>
      <c r="C2089" t="s">
        <v>20</v>
      </c>
      <c r="D2089">
        <v>26328</v>
      </c>
      <c r="E2089" t="s">
        <v>42</v>
      </c>
      <c r="F2089" t="s">
        <v>38</v>
      </c>
      <c r="G2089" t="s">
        <v>37</v>
      </c>
    </row>
    <row r="2090" spans="1:7" x14ac:dyDescent="0.3">
      <c r="A2090" t="s">
        <v>47</v>
      </c>
      <c r="B2090" t="s">
        <v>23</v>
      </c>
      <c r="C2090" t="s">
        <v>21</v>
      </c>
      <c r="D2090">
        <v>14206</v>
      </c>
      <c r="E2090" t="s">
        <v>42</v>
      </c>
      <c r="F2090" t="s">
        <v>38</v>
      </c>
      <c r="G2090" t="s">
        <v>37</v>
      </c>
    </row>
    <row r="2091" spans="1:7" x14ac:dyDescent="0.3">
      <c r="A2091" t="s">
        <v>47</v>
      </c>
      <c r="B2091" t="s">
        <v>23</v>
      </c>
      <c r="C2091" t="s">
        <v>22</v>
      </c>
      <c r="D2091">
        <v>19744</v>
      </c>
      <c r="E2091" t="s">
        <v>42</v>
      </c>
      <c r="F2091" t="s">
        <v>38</v>
      </c>
      <c r="G2091" t="s">
        <v>37</v>
      </c>
    </row>
    <row r="2092" spans="1:7" x14ac:dyDescent="0.3">
      <c r="A2092" t="s">
        <v>48</v>
      </c>
      <c r="B2092" t="s">
        <v>8</v>
      </c>
      <c r="C2092" t="s">
        <v>9</v>
      </c>
      <c r="D2092">
        <v>138</v>
      </c>
      <c r="E2092" t="s">
        <v>42</v>
      </c>
      <c r="F2092" t="s">
        <v>38</v>
      </c>
      <c r="G2092" t="s">
        <v>37</v>
      </c>
    </row>
    <row r="2093" spans="1:7" x14ac:dyDescent="0.3">
      <c r="A2093" t="s">
        <v>48</v>
      </c>
      <c r="B2093" t="s">
        <v>8</v>
      </c>
      <c r="C2093" t="s">
        <v>13</v>
      </c>
      <c r="D2093">
        <v>25</v>
      </c>
      <c r="E2093" t="s">
        <v>42</v>
      </c>
      <c r="F2093" t="s">
        <v>38</v>
      </c>
      <c r="G2093" t="s">
        <v>37</v>
      </c>
    </row>
    <row r="2094" spans="1:7" x14ac:dyDescent="0.3">
      <c r="A2094" t="s">
        <v>48</v>
      </c>
      <c r="B2094" t="s">
        <v>8</v>
      </c>
      <c r="C2094" t="s">
        <v>14</v>
      </c>
      <c r="D2094">
        <v>42559</v>
      </c>
      <c r="E2094" t="s">
        <v>42</v>
      </c>
      <c r="F2094" t="s">
        <v>38</v>
      </c>
      <c r="G2094" t="s">
        <v>37</v>
      </c>
    </row>
    <row r="2095" spans="1:7" x14ac:dyDescent="0.3">
      <c r="A2095" t="s">
        <v>48</v>
      </c>
      <c r="B2095" t="s">
        <v>8</v>
      </c>
      <c r="C2095" t="s">
        <v>15</v>
      </c>
      <c r="D2095">
        <v>12</v>
      </c>
      <c r="E2095" t="s">
        <v>42</v>
      </c>
      <c r="F2095" t="s">
        <v>38</v>
      </c>
      <c r="G2095" t="s">
        <v>37</v>
      </c>
    </row>
    <row r="2096" spans="1:7" x14ac:dyDescent="0.3">
      <c r="A2096" t="s">
        <v>48</v>
      </c>
      <c r="B2096" t="s">
        <v>8</v>
      </c>
      <c r="C2096" t="s">
        <v>16</v>
      </c>
      <c r="D2096">
        <v>22883</v>
      </c>
      <c r="E2096" t="s">
        <v>42</v>
      </c>
      <c r="F2096" t="s">
        <v>38</v>
      </c>
      <c r="G2096" t="s">
        <v>37</v>
      </c>
    </row>
    <row r="2097" spans="1:7" x14ac:dyDescent="0.3">
      <c r="A2097" t="s">
        <v>48</v>
      </c>
      <c r="B2097" t="s">
        <v>8</v>
      </c>
      <c r="C2097" t="s">
        <v>17</v>
      </c>
      <c r="D2097">
        <v>329</v>
      </c>
      <c r="E2097" t="s">
        <v>42</v>
      </c>
      <c r="F2097" t="s">
        <v>38</v>
      </c>
      <c r="G2097" t="s">
        <v>37</v>
      </c>
    </row>
    <row r="2098" spans="1:7" x14ac:dyDescent="0.3">
      <c r="A2098" t="s">
        <v>48</v>
      </c>
      <c r="B2098" t="s">
        <v>8</v>
      </c>
      <c r="C2098" t="s">
        <v>18</v>
      </c>
      <c r="D2098">
        <v>0</v>
      </c>
      <c r="E2098" t="s">
        <v>42</v>
      </c>
      <c r="F2098" t="s">
        <v>38</v>
      </c>
      <c r="G2098" t="s">
        <v>37</v>
      </c>
    </row>
    <row r="2099" spans="1:7" x14ac:dyDescent="0.3">
      <c r="A2099" t="s">
        <v>48</v>
      </c>
      <c r="B2099" t="s">
        <v>8</v>
      </c>
      <c r="C2099" t="s">
        <v>19</v>
      </c>
      <c r="D2099">
        <v>8</v>
      </c>
      <c r="E2099" t="s">
        <v>42</v>
      </c>
      <c r="F2099" t="s">
        <v>38</v>
      </c>
      <c r="G2099" t="s">
        <v>37</v>
      </c>
    </row>
    <row r="2100" spans="1:7" x14ac:dyDescent="0.3">
      <c r="A2100" t="s">
        <v>48</v>
      </c>
      <c r="B2100" t="s">
        <v>8</v>
      </c>
      <c r="C2100" t="s">
        <v>20</v>
      </c>
      <c r="D2100">
        <v>23</v>
      </c>
      <c r="E2100" t="s">
        <v>42</v>
      </c>
      <c r="F2100" t="s">
        <v>38</v>
      </c>
      <c r="G2100" t="s">
        <v>37</v>
      </c>
    </row>
    <row r="2101" spans="1:7" x14ac:dyDescent="0.3">
      <c r="A2101" t="s">
        <v>48</v>
      </c>
      <c r="B2101" t="s">
        <v>8</v>
      </c>
      <c r="C2101" t="s">
        <v>21</v>
      </c>
      <c r="D2101">
        <v>13</v>
      </c>
      <c r="E2101" t="s">
        <v>42</v>
      </c>
      <c r="F2101" t="s">
        <v>38</v>
      </c>
      <c r="G2101" t="s">
        <v>37</v>
      </c>
    </row>
    <row r="2102" spans="1:7" x14ac:dyDescent="0.3">
      <c r="A2102" t="s">
        <v>48</v>
      </c>
      <c r="B2102" t="s">
        <v>8</v>
      </c>
      <c r="C2102" t="s">
        <v>22</v>
      </c>
      <c r="D2102">
        <v>148</v>
      </c>
      <c r="E2102" t="s">
        <v>42</v>
      </c>
      <c r="F2102" t="s">
        <v>38</v>
      </c>
      <c r="G2102" t="s">
        <v>37</v>
      </c>
    </row>
    <row r="2103" spans="1:7" x14ac:dyDescent="0.3">
      <c r="A2103" t="s">
        <v>48</v>
      </c>
      <c r="B2103" t="s">
        <v>23</v>
      </c>
      <c r="C2103" t="s">
        <v>9</v>
      </c>
      <c r="D2103">
        <v>2522</v>
      </c>
      <c r="E2103" t="s">
        <v>42</v>
      </c>
      <c r="F2103" t="s">
        <v>38</v>
      </c>
      <c r="G2103" t="s">
        <v>37</v>
      </c>
    </row>
    <row r="2104" spans="1:7" x14ac:dyDescent="0.3">
      <c r="A2104" t="s">
        <v>48</v>
      </c>
      <c r="B2104" t="s">
        <v>23</v>
      </c>
      <c r="C2104" t="s">
        <v>13</v>
      </c>
      <c r="D2104">
        <v>2213</v>
      </c>
      <c r="E2104" t="s">
        <v>42</v>
      </c>
      <c r="F2104" t="s">
        <v>38</v>
      </c>
      <c r="G2104" t="s">
        <v>37</v>
      </c>
    </row>
    <row r="2105" spans="1:7" x14ac:dyDescent="0.3">
      <c r="A2105" t="s">
        <v>48</v>
      </c>
      <c r="B2105" t="s">
        <v>23</v>
      </c>
      <c r="C2105" t="s">
        <v>14</v>
      </c>
      <c r="D2105">
        <v>3446628</v>
      </c>
      <c r="E2105" t="s">
        <v>42</v>
      </c>
      <c r="F2105" t="s">
        <v>38</v>
      </c>
      <c r="G2105" t="s">
        <v>37</v>
      </c>
    </row>
    <row r="2106" spans="1:7" x14ac:dyDescent="0.3">
      <c r="A2106" t="s">
        <v>48</v>
      </c>
      <c r="B2106" t="s">
        <v>23</v>
      </c>
      <c r="C2106" t="s">
        <v>15</v>
      </c>
      <c r="D2106">
        <v>3988</v>
      </c>
      <c r="E2106" t="s">
        <v>42</v>
      </c>
      <c r="F2106" t="s">
        <v>38</v>
      </c>
      <c r="G2106" t="s">
        <v>37</v>
      </c>
    </row>
    <row r="2107" spans="1:7" x14ac:dyDescent="0.3">
      <c r="A2107" t="s">
        <v>48</v>
      </c>
      <c r="B2107" t="s">
        <v>23</v>
      </c>
      <c r="C2107" t="s">
        <v>16</v>
      </c>
      <c r="D2107">
        <v>805068</v>
      </c>
      <c r="E2107" t="s">
        <v>42</v>
      </c>
      <c r="F2107" t="s">
        <v>38</v>
      </c>
      <c r="G2107" t="s">
        <v>37</v>
      </c>
    </row>
    <row r="2108" spans="1:7" x14ac:dyDescent="0.3">
      <c r="A2108" t="s">
        <v>48</v>
      </c>
      <c r="B2108" t="s">
        <v>23</v>
      </c>
      <c r="C2108" t="s">
        <v>17</v>
      </c>
      <c r="D2108">
        <v>387</v>
      </c>
      <c r="E2108" t="s">
        <v>42</v>
      </c>
      <c r="F2108" t="s">
        <v>38</v>
      </c>
      <c r="G2108" t="s">
        <v>37</v>
      </c>
    </row>
    <row r="2109" spans="1:7" x14ac:dyDescent="0.3">
      <c r="A2109" t="s">
        <v>48</v>
      </c>
      <c r="B2109" t="s">
        <v>23</v>
      </c>
      <c r="C2109" t="s">
        <v>18</v>
      </c>
      <c r="D2109">
        <v>6</v>
      </c>
      <c r="E2109" t="s">
        <v>42</v>
      </c>
      <c r="F2109" t="s">
        <v>38</v>
      </c>
      <c r="G2109" t="s">
        <v>37</v>
      </c>
    </row>
    <row r="2110" spans="1:7" x14ac:dyDescent="0.3">
      <c r="A2110" t="s">
        <v>48</v>
      </c>
      <c r="B2110" t="s">
        <v>23</v>
      </c>
      <c r="C2110" t="s">
        <v>19</v>
      </c>
      <c r="D2110">
        <v>6783</v>
      </c>
      <c r="E2110" t="s">
        <v>42</v>
      </c>
      <c r="F2110" t="s">
        <v>38</v>
      </c>
      <c r="G2110" t="s">
        <v>37</v>
      </c>
    </row>
    <row r="2111" spans="1:7" x14ac:dyDescent="0.3">
      <c r="A2111" t="s">
        <v>48</v>
      </c>
      <c r="B2111" t="s">
        <v>23</v>
      </c>
      <c r="C2111" t="s">
        <v>20</v>
      </c>
      <c r="D2111">
        <v>9204</v>
      </c>
      <c r="E2111" t="s">
        <v>42</v>
      </c>
      <c r="F2111" t="s">
        <v>38</v>
      </c>
      <c r="G2111" t="s">
        <v>37</v>
      </c>
    </row>
    <row r="2112" spans="1:7" x14ac:dyDescent="0.3">
      <c r="A2112" t="s">
        <v>48</v>
      </c>
      <c r="B2112" t="s">
        <v>23</v>
      </c>
      <c r="C2112" t="s">
        <v>21</v>
      </c>
      <c r="D2112">
        <v>4906</v>
      </c>
      <c r="E2112" t="s">
        <v>42</v>
      </c>
      <c r="F2112" t="s">
        <v>38</v>
      </c>
      <c r="G2112" t="s">
        <v>37</v>
      </c>
    </row>
    <row r="2113" spans="1:7" x14ac:dyDescent="0.3">
      <c r="A2113" t="s">
        <v>48</v>
      </c>
      <c r="B2113" t="s">
        <v>23</v>
      </c>
      <c r="C2113" t="s">
        <v>22</v>
      </c>
      <c r="D2113">
        <v>1738</v>
      </c>
      <c r="E2113" t="s">
        <v>42</v>
      </c>
      <c r="F2113" t="s">
        <v>38</v>
      </c>
      <c r="G2113" t="s">
        <v>37</v>
      </c>
    </row>
    <row r="2114" spans="1:7" x14ac:dyDescent="0.3">
      <c r="A2114" t="s">
        <v>49</v>
      </c>
      <c r="B2114" t="s">
        <v>8</v>
      </c>
      <c r="C2114" t="s">
        <v>9</v>
      </c>
      <c r="D2114">
        <v>20077</v>
      </c>
      <c r="E2114" t="s">
        <v>42</v>
      </c>
      <c r="F2114" t="s">
        <v>38</v>
      </c>
      <c r="G2114" t="s">
        <v>37</v>
      </c>
    </row>
    <row r="2115" spans="1:7" x14ac:dyDescent="0.3">
      <c r="A2115" t="s">
        <v>49</v>
      </c>
      <c r="B2115" t="s">
        <v>8</v>
      </c>
      <c r="C2115" t="s">
        <v>13</v>
      </c>
      <c r="D2115">
        <v>2560</v>
      </c>
      <c r="E2115" t="s">
        <v>42</v>
      </c>
      <c r="F2115" t="s">
        <v>38</v>
      </c>
      <c r="G2115" t="s">
        <v>37</v>
      </c>
    </row>
    <row r="2116" spans="1:7" x14ac:dyDescent="0.3">
      <c r="A2116" t="s">
        <v>49</v>
      </c>
      <c r="B2116" t="s">
        <v>8</v>
      </c>
      <c r="C2116" t="s">
        <v>14</v>
      </c>
      <c r="D2116">
        <v>2281</v>
      </c>
      <c r="E2116" t="s">
        <v>42</v>
      </c>
      <c r="F2116" t="s">
        <v>38</v>
      </c>
      <c r="G2116" t="s">
        <v>37</v>
      </c>
    </row>
    <row r="2117" spans="1:7" x14ac:dyDescent="0.3">
      <c r="A2117" t="s">
        <v>49</v>
      </c>
      <c r="B2117" t="s">
        <v>8</v>
      </c>
      <c r="C2117" t="s">
        <v>15</v>
      </c>
      <c r="D2117">
        <v>679</v>
      </c>
      <c r="E2117" t="s">
        <v>42</v>
      </c>
      <c r="F2117" t="s">
        <v>38</v>
      </c>
      <c r="G2117" t="s">
        <v>37</v>
      </c>
    </row>
    <row r="2118" spans="1:7" x14ac:dyDescent="0.3">
      <c r="A2118" t="s">
        <v>49</v>
      </c>
      <c r="B2118" t="s">
        <v>8</v>
      </c>
      <c r="C2118" t="s">
        <v>16</v>
      </c>
      <c r="D2118">
        <v>2806</v>
      </c>
      <c r="E2118" t="s">
        <v>42</v>
      </c>
      <c r="F2118" t="s">
        <v>38</v>
      </c>
      <c r="G2118" t="s">
        <v>37</v>
      </c>
    </row>
    <row r="2119" spans="1:7" x14ac:dyDescent="0.3">
      <c r="A2119" t="s">
        <v>49</v>
      </c>
      <c r="B2119" t="s">
        <v>8</v>
      </c>
      <c r="C2119" t="s">
        <v>17</v>
      </c>
      <c r="D2119">
        <v>8342</v>
      </c>
      <c r="E2119" t="s">
        <v>42</v>
      </c>
      <c r="F2119" t="s">
        <v>38</v>
      </c>
      <c r="G2119" t="s">
        <v>37</v>
      </c>
    </row>
    <row r="2120" spans="1:7" x14ac:dyDescent="0.3">
      <c r="A2120" t="s">
        <v>49</v>
      </c>
      <c r="B2120" t="s">
        <v>8</v>
      </c>
      <c r="C2120" t="s">
        <v>18</v>
      </c>
      <c r="D2120">
        <v>0</v>
      </c>
      <c r="E2120" t="s">
        <v>42</v>
      </c>
      <c r="F2120" t="s">
        <v>38</v>
      </c>
      <c r="G2120" t="s">
        <v>37</v>
      </c>
    </row>
    <row r="2121" spans="1:7" x14ac:dyDescent="0.3">
      <c r="A2121" t="s">
        <v>49</v>
      </c>
      <c r="B2121" t="s">
        <v>8</v>
      </c>
      <c r="C2121" t="s">
        <v>19</v>
      </c>
      <c r="D2121">
        <v>321</v>
      </c>
      <c r="E2121" t="s">
        <v>42</v>
      </c>
      <c r="F2121" t="s">
        <v>38</v>
      </c>
      <c r="G2121" t="s">
        <v>37</v>
      </c>
    </row>
    <row r="2122" spans="1:7" x14ac:dyDescent="0.3">
      <c r="A2122" t="s">
        <v>49</v>
      </c>
      <c r="B2122" t="s">
        <v>8</v>
      </c>
      <c r="C2122" t="s">
        <v>20</v>
      </c>
      <c r="D2122">
        <v>130</v>
      </c>
      <c r="E2122" t="s">
        <v>42</v>
      </c>
      <c r="F2122" t="s">
        <v>38</v>
      </c>
      <c r="G2122" t="s">
        <v>37</v>
      </c>
    </row>
    <row r="2123" spans="1:7" x14ac:dyDescent="0.3">
      <c r="A2123" t="s">
        <v>49</v>
      </c>
      <c r="B2123" t="s">
        <v>8</v>
      </c>
      <c r="C2123" t="s">
        <v>21</v>
      </c>
      <c r="D2123">
        <v>1297</v>
      </c>
      <c r="E2123" t="s">
        <v>42</v>
      </c>
      <c r="F2123" t="s">
        <v>38</v>
      </c>
      <c r="G2123" t="s">
        <v>37</v>
      </c>
    </row>
    <row r="2124" spans="1:7" x14ac:dyDescent="0.3">
      <c r="A2124" t="s">
        <v>49</v>
      </c>
      <c r="B2124" t="s">
        <v>8</v>
      </c>
      <c r="C2124" t="s">
        <v>22</v>
      </c>
      <c r="D2124">
        <v>7410</v>
      </c>
      <c r="E2124" t="s">
        <v>42</v>
      </c>
      <c r="F2124" t="s">
        <v>38</v>
      </c>
      <c r="G2124" t="s">
        <v>37</v>
      </c>
    </row>
    <row r="2125" spans="1:7" x14ac:dyDescent="0.3">
      <c r="A2125" t="s">
        <v>49</v>
      </c>
      <c r="B2125" t="s">
        <v>23</v>
      </c>
      <c r="C2125" t="s">
        <v>9</v>
      </c>
      <c r="D2125">
        <v>1973257</v>
      </c>
      <c r="E2125" t="s">
        <v>42</v>
      </c>
      <c r="F2125" t="s">
        <v>38</v>
      </c>
      <c r="G2125" t="s">
        <v>37</v>
      </c>
    </row>
    <row r="2126" spans="1:7" x14ac:dyDescent="0.3">
      <c r="A2126" t="s">
        <v>49</v>
      </c>
      <c r="B2126" t="s">
        <v>23</v>
      </c>
      <c r="C2126" t="s">
        <v>13</v>
      </c>
      <c r="D2126">
        <v>91147</v>
      </c>
      <c r="E2126" t="s">
        <v>42</v>
      </c>
      <c r="F2126" t="s">
        <v>38</v>
      </c>
      <c r="G2126" t="s">
        <v>37</v>
      </c>
    </row>
    <row r="2127" spans="1:7" x14ac:dyDescent="0.3">
      <c r="A2127" t="s">
        <v>49</v>
      </c>
      <c r="B2127" t="s">
        <v>23</v>
      </c>
      <c r="C2127" t="s">
        <v>14</v>
      </c>
      <c r="D2127">
        <v>1216394</v>
      </c>
      <c r="E2127" t="s">
        <v>42</v>
      </c>
      <c r="F2127" t="s">
        <v>38</v>
      </c>
      <c r="G2127" t="s">
        <v>37</v>
      </c>
    </row>
    <row r="2128" spans="1:7" x14ac:dyDescent="0.3">
      <c r="A2128" t="s">
        <v>49</v>
      </c>
      <c r="B2128" t="s">
        <v>23</v>
      </c>
      <c r="C2128" t="s">
        <v>15</v>
      </c>
      <c r="D2128">
        <v>10843</v>
      </c>
      <c r="E2128" t="s">
        <v>42</v>
      </c>
      <c r="F2128" t="s">
        <v>38</v>
      </c>
      <c r="G2128" t="s">
        <v>37</v>
      </c>
    </row>
    <row r="2129" spans="1:7" x14ac:dyDescent="0.3">
      <c r="A2129" t="s">
        <v>49</v>
      </c>
      <c r="B2129" t="s">
        <v>23</v>
      </c>
      <c r="C2129" t="s">
        <v>16</v>
      </c>
      <c r="D2129">
        <v>469825</v>
      </c>
      <c r="E2129" t="s">
        <v>42</v>
      </c>
      <c r="F2129" t="s">
        <v>38</v>
      </c>
      <c r="G2129" t="s">
        <v>37</v>
      </c>
    </row>
    <row r="2130" spans="1:7" x14ac:dyDescent="0.3">
      <c r="A2130" t="s">
        <v>49</v>
      </c>
      <c r="B2130" t="s">
        <v>23</v>
      </c>
      <c r="C2130" t="s">
        <v>17</v>
      </c>
      <c r="D2130">
        <v>56369</v>
      </c>
      <c r="E2130" t="s">
        <v>42</v>
      </c>
      <c r="F2130" t="s">
        <v>38</v>
      </c>
      <c r="G2130" t="s">
        <v>37</v>
      </c>
    </row>
    <row r="2131" spans="1:7" x14ac:dyDescent="0.3">
      <c r="A2131" t="s">
        <v>49</v>
      </c>
      <c r="B2131" t="s">
        <v>23</v>
      </c>
      <c r="C2131" t="s">
        <v>18</v>
      </c>
      <c r="D2131">
        <v>0</v>
      </c>
      <c r="E2131" t="s">
        <v>42</v>
      </c>
      <c r="F2131" t="s">
        <v>38</v>
      </c>
      <c r="G2131" t="s">
        <v>37</v>
      </c>
    </row>
    <row r="2132" spans="1:7" x14ac:dyDescent="0.3">
      <c r="A2132" t="s">
        <v>49</v>
      </c>
      <c r="B2132" t="s">
        <v>23</v>
      </c>
      <c r="C2132" t="s">
        <v>19</v>
      </c>
      <c r="D2132">
        <v>35784</v>
      </c>
      <c r="E2132" t="s">
        <v>42</v>
      </c>
      <c r="F2132" t="s">
        <v>38</v>
      </c>
      <c r="G2132" t="s">
        <v>37</v>
      </c>
    </row>
    <row r="2133" spans="1:7" x14ac:dyDescent="0.3">
      <c r="A2133" t="s">
        <v>49</v>
      </c>
      <c r="B2133" t="s">
        <v>23</v>
      </c>
      <c r="C2133" t="s">
        <v>20</v>
      </c>
      <c r="D2133">
        <v>37982</v>
      </c>
      <c r="E2133" t="s">
        <v>42</v>
      </c>
      <c r="F2133" t="s">
        <v>38</v>
      </c>
      <c r="G2133" t="s">
        <v>37</v>
      </c>
    </row>
    <row r="2134" spans="1:7" x14ac:dyDescent="0.3">
      <c r="A2134" t="s">
        <v>49</v>
      </c>
      <c r="B2134" t="s">
        <v>23</v>
      </c>
      <c r="C2134" t="s">
        <v>21</v>
      </c>
      <c r="D2134">
        <v>20494</v>
      </c>
      <c r="E2134" t="s">
        <v>42</v>
      </c>
      <c r="F2134" t="s">
        <v>38</v>
      </c>
      <c r="G2134" t="s">
        <v>37</v>
      </c>
    </row>
    <row r="2135" spans="1:7" x14ac:dyDescent="0.3">
      <c r="A2135" t="s">
        <v>49</v>
      </c>
      <c r="B2135" t="s">
        <v>23</v>
      </c>
      <c r="C2135" t="s">
        <v>22</v>
      </c>
      <c r="D2135">
        <v>28483</v>
      </c>
      <c r="E2135" t="s">
        <v>42</v>
      </c>
      <c r="F2135" t="s">
        <v>38</v>
      </c>
      <c r="G2135" t="s">
        <v>37</v>
      </c>
    </row>
    <row r="2136" spans="1:7" x14ac:dyDescent="0.3">
      <c r="A2136" t="s">
        <v>27</v>
      </c>
      <c r="B2136" t="s">
        <v>8</v>
      </c>
      <c r="C2136" t="s">
        <v>9</v>
      </c>
      <c r="D2136">
        <v>1816</v>
      </c>
      <c r="E2136" t="s">
        <v>42</v>
      </c>
      <c r="F2136" t="s">
        <v>38</v>
      </c>
      <c r="G2136" t="s">
        <v>37</v>
      </c>
    </row>
    <row r="2137" spans="1:7" x14ac:dyDescent="0.3">
      <c r="A2137" t="s">
        <v>27</v>
      </c>
      <c r="B2137" t="s">
        <v>8</v>
      </c>
      <c r="C2137" t="s">
        <v>13</v>
      </c>
      <c r="D2137">
        <v>446</v>
      </c>
      <c r="E2137" t="s">
        <v>42</v>
      </c>
      <c r="F2137" t="s">
        <v>38</v>
      </c>
      <c r="G2137" t="s">
        <v>37</v>
      </c>
    </row>
    <row r="2138" spans="1:7" x14ac:dyDescent="0.3">
      <c r="A2138" t="s">
        <v>27</v>
      </c>
      <c r="B2138" t="s">
        <v>8</v>
      </c>
      <c r="C2138" t="s">
        <v>14</v>
      </c>
      <c r="D2138">
        <v>128315</v>
      </c>
      <c r="E2138" t="s">
        <v>42</v>
      </c>
      <c r="F2138" t="s">
        <v>38</v>
      </c>
      <c r="G2138" t="s">
        <v>37</v>
      </c>
    </row>
    <row r="2139" spans="1:7" x14ac:dyDescent="0.3">
      <c r="A2139" t="s">
        <v>27</v>
      </c>
      <c r="B2139" t="s">
        <v>8</v>
      </c>
      <c r="C2139" t="s">
        <v>15</v>
      </c>
      <c r="D2139">
        <v>98</v>
      </c>
      <c r="E2139" t="s">
        <v>42</v>
      </c>
      <c r="F2139" t="s">
        <v>38</v>
      </c>
      <c r="G2139" t="s">
        <v>37</v>
      </c>
    </row>
    <row r="2140" spans="1:7" x14ac:dyDescent="0.3">
      <c r="A2140" t="s">
        <v>27</v>
      </c>
      <c r="B2140" t="s">
        <v>8</v>
      </c>
      <c r="C2140" t="s">
        <v>16</v>
      </c>
      <c r="D2140">
        <v>301949</v>
      </c>
      <c r="E2140" t="s">
        <v>42</v>
      </c>
      <c r="F2140" t="s">
        <v>38</v>
      </c>
      <c r="G2140" t="s">
        <v>37</v>
      </c>
    </row>
    <row r="2141" spans="1:7" x14ac:dyDescent="0.3">
      <c r="A2141" t="s">
        <v>27</v>
      </c>
      <c r="B2141" t="s">
        <v>8</v>
      </c>
      <c r="C2141" t="s">
        <v>17</v>
      </c>
      <c r="D2141">
        <v>3355</v>
      </c>
      <c r="E2141" t="s">
        <v>42</v>
      </c>
      <c r="F2141" t="s">
        <v>38</v>
      </c>
      <c r="G2141" t="s">
        <v>37</v>
      </c>
    </row>
    <row r="2142" spans="1:7" x14ac:dyDescent="0.3">
      <c r="A2142" t="s">
        <v>27</v>
      </c>
      <c r="B2142" t="s">
        <v>8</v>
      </c>
      <c r="C2142" t="s">
        <v>18</v>
      </c>
      <c r="D2142">
        <v>0</v>
      </c>
      <c r="E2142" t="s">
        <v>42</v>
      </c>
      <c r="F2142" t="s">
        <v>38</v>
      </c>
      <c r="G2142" t="s">
        <v>37</v>
      </c>
    </row>
    <row r="2143" spans="1:7" x14ac:dyDescent="0.3">
      <c r="A2143" t="s">
        <v>27</v>
      </c>
      <c r="B2143" t="s">
        <v>8</v>
      </c>
      <c r="C2143" t="s">
        <v>19</v>
      </c>
      <c r="D2143">
        <v>97</v>
      </c>
      <c r="E2143" t="s">
        <v>42</v>
      </c>
      <c r="F2143" t="s">
        <v>38</v>
      </c>
      <c r="G2143" t="s">
        <v>37</v>
      </c>
    </row>
    <row r="2144" spans="1:7" x14ac:dyDescent="0.3">
      <c r="A2144" t="s">
        <v>27</v>
      </c>
      <c r="B2144" t="s">
        <v>8</v>
      </c>
      <c r="C2144" t="s">
        <v>20</v>
      </c>
      <c r="D2144">
        <v>284</v>
      </c>
      <c r="E2144" t="s">
        <v>42</v>
      </c>
      <c r="F2144" t="s">
        <v>38</v>
      </c>
      <c r="G2144" t="s">
        <v>37</v>
      </c>
    </row>
    <row r="2145" spans="1:7" x14ac:dyDescent="0.3">
      <c r="A2145" t="s">
        <v>27</v>
      </c>
      <c r="B2145" t="s">
        <v>8</v>
      </c>
      <c r="C2145" t="s">
        <v>21</v>
      </c>
      <c r="D2145">
        <v>311</v>
      </c>
      <c r="E2145" t="s">
        <v>42</v>
      </c>
      <c r="F2145" t="s">
        <v>38</v>
      </c>
      <c r="G2145" t="s">
        <v>37</v>
      </c>
    </row>
    <row r="2146" spans="1:7" x14ac:dyDescent="0.3">
      <c r="A2146" t="s">
        <v>27</v>
      </c>
      <c r="B2146" t="s">
        <v>8</v>
      </c>
      <c r="C2146" t="s">
        <v>22</v>
      </c>
      <c r="D2146">
        <v>18808</v>
      </c>
      <c r="E2146" t="s">
        <v>42</v>
      </c>
      <c r="F2146" t="s">
        <v>38</v>
      </c>
      <c r="G2146" t="s">
        <v>37</v>
      </c>
    </row>
    <row r="2147" spans="1:7" x14ac:dyDescent="0.3">
      <c r="A2147" t="s">
        <v>27</v>
      </c>
      <c r="B2147" t="s">
        <v>23</v>
      </c>
      <c r="C2147" t="s">
        <v>9</v>
      </c>
      <c r="D2147">
        <v>45227</v>
      </c>
      <c r="E2147" t="s">
        <v>42</v>
      </c>
      <c r="F2147" t="s">
        <v>38</v>
      </c>
      <c r="G2147" t="s">
        <v>37</v>
      </c>
    </row>
    <row r="2148" spans="1:7" x14ac:dyDescent="0.3">
      <c r="A2148" t="s">
        <v>27</v>
      </c>
      <c r="B2148" t="s">
        <v>23</v>
      </c>
      <c r="C2148" t="s">
        <v>13</v>
      </c>
      <c r="D2148">
        <v>322588</v>
      </c>
      <c r="E2148" t="s">
        <v>42</v>
      </c>
      <c r="F2148" t="s">
        <v>38</v>
      </c>
      <c r="G2148" t="s">
        <v>37</v>
      </c>
    </row>
    <row r="2149" spans="1:7" x14ac:dyDescent="0.3">
      <c r="A2149" t="s">
        <v>27</v>
      </c>
      <c r="B2149" t="s">
        <v>23</v>
      </c>
      <c r="C2149" t="s">
        <v>14</v>
      </c>
      <c r="D2149">
        <v>9930960</v>
      </c>
      <c r="E2149" t="s">
        <v>42</v>
      </c>
      <c r="F2149" t="s">
        <v>38</v>
      </c>
      <c r="G2149" t="s">
        <v>37</v>
      </c>
    </row>
    <row r="2150" spans="1:7" x14ac:dyDescent="0.3">
      <c r="A2150" t="s">
        <v>27</v>
      </c>
      <c r="B2150" t="s">
        <v>23</v>
      </c>
      <c r="C2150" t="s">
        <v>15</v>
      </c>
      <c r="D2150">
        <v>24346</v>
      </c>
      <c r="E2150" t="s">
        <v>42</v>
      </c>
      <c r="F2150" t="s">
        <v>38</v>
      </c>
      <c r="G2150" t="s">
        <v>37</v>
      </c>
    </row>
    <row r="2151" spans="1:7" x14ac:dyDescent="0.3">
      <c r="A2151" t="s">
        <v>27</v>
      </c>
      <c r="B2151" t="s">
        <v>23</v>
      </c>
      <c r="C2151" t="s">
        <v>16</v>
      </c>
      <c r="D2151">
        <v>7839646</v>
      </c>
      <c r="E2151" t="s">
        <v>42</v>
      </c>
      <c r="F2151" t="s">
        <v>38</v>
      </c>
      <c r="G2151" t="s">
        <v>37</v>
      </c>
    </row>
    <row r="2152" spans="1:7" x14ac:dyDescent="0.3">
      <c r="A2152" t="s">
        <v>27</v>
      </c>
      <c r="B2152" t="s">
        <v>23</v>
      </c>
      <c r="C2152" t="s">
        <v>17</v>
      </c>
      <c r="D2152">
        <v>9136</v>
      </c>
      <c r="E2152" t="s">
        <v>42</v>
      </c>
      <c r="F2152" t="s">
        <v>38</v>
      </c>
      <c r="G2152" t="s">
        <v>37</v>
      </c>
    </row>
    <row r="2153" spans="1:7" x14ac:dyDescent="0.3">
      <c r="A2153" t="s">
        <v>27</v>
      </c>
      <c r="B2153" t="s">
        <v>23</v>
      </c>
      <c r="C2153" t="s">
        <v>18</v>
      </c>
      <c r="D2153">
        <v>74</v>
      </c>
      <c r="E2153" t="s">
        <v>42</v>
      </c>
      <c r="F2153" t="s">
        <v>38</v>
      </c>
      <c r="G2153" t="s">
        <v>37</v>
      </c>
    </row>
    <row r="2154" spans="1:7" x14ac:dyDescent="0.3">
      <c r="A2154" t="s">
        <v>27</v>
      </c>
      <c r="B2154" t="s">
        <v>23</v>
      </c>
      <c r="C2154" t="s">
        <v>19</v>
      </c>
      <c r="D2154">
        <v>61596</v>
      </c>
      <c r="E2154" t="s">
        <v>42</v>
      </c>
      <c r="F2154" t="s">
        <v>38</v>
      </c>
      <c r="G2154" t="s">
        <v>37</v>
      </c>
    </row>
    <row r="2155" spans="1:7" x14ac:dyDescent="0.3">
      <c r="A2155" t="s">
        <v>27</v>
      </c>
      <c r="B2155" t="s">
        <v>23</v>
      </c>
      <c r="C2155" t="s">
        <v>20</v>
      </c>
      <c r="D2155">
        <v>87886</v>
      </c>
      <c r="E2155" t="s">
        <v>42</v>
      </c>
      <c r="F2155" t="s">
        <v>38</v>
      </c>
      <c r="G2155" t="s">
        <v>37</v>
      </c>
    </row>
    <row r="2156" spans="1:7" x14ac:dyDescent="0.3">
      <c r="A2156" t="s">
        <v>27</v>
      </c>
      <c r="B2156" t="s">
        <v>23</v>
      </c>
      <c r="C2156" t="s">
        <v>21</v>
      </c>
      <c r="D2156">
        <v>24918</v>
      </c>
      <c r="E2156" t="s">
        <v>42</v>
      </c>
      <c r="F2156" t="s">
        <v>38</v>
      </c>
      <c r="G2156" t="s">
        <v>37</v>
      </c>
    </row>
    <row r="2157" spans="1:7" x14ac:dyDescent="0.3">
      <c r="A2157" t="s">
        <v>27</v>
      </c>
      <c r="B2157" t="s">
        <v>23</v>
      </c>
      <c r="C2157" t="s">
        <v>22</v>
      </c>
      <c r="D2157">
        <v>1105497</v>
      </c>
      <c r="E2157" t="s">
        <v>42</v>
      </c>
      <c r="F2157" t="s">
        <v>38</v>
      </c>
      <c r="G2157" t="s">
        <v>37</v>
      </c>
    </row>
    <row r="2158" spans="1:7" x14ac:dyDescent="0.3">
      <c r="A2158" t="s">
        <v>50</v>
      </c>
      <c r="B2158" t="s">
        <v>8</v>
      </c>
      <c r="C2158" t="s">
        <v>9</v>
      </c>
      <c r="D2158">
        <v>631</v>
      </c>
      <c r="E2158" t="s">
        <v>42</v>
      </c>
      <c r="F2158" t="s">
        <v>38</v>
      </c>
      <c r="G2158" t="s">
        <v>37</v>
      </c>
    </row>
    <row r="2159" spans="1:7" x14ac:dyDescent="0.3">
      <c r="A2159" t="s">
        <v>50</v>
      </c>
      <c r="B2159" t="s">
        <v>8</v>
      </c>
      <c r="C2159" t="s">
        <v>13</v>
      </c>
      <c r="D2159">
        <v>13</v>
      </c>
      <c r="E2159" t="s">
        <v>42</v>
      </c>
      <c r="F2159" t="s">
        <v>38</v>
      </c>
      <c r="G2159" t="s">
        <v>37</v>
      </c>
    </row>
    <row r="2160" spans="1:7" x14ac:dyDescent="0.3">
      <c r="A2160" t="s">
        <v>50</v>
      </c>
      <c r="B2160" t="s">
        <v>8</v>
      </c>
      <c r="C2160" t="s">
        <v>14</v>
      </c>
      <c r="D2160">
        <v>4265</v>
      </c>
      <c r="E2160" t="s">
        <v>42</v>
      </c>
      <c r="F2160" t="s">
        <v>38</v>
      </c>
      <c r="G2160" t="s">
        <v>37</v>
      </c>
    </row>
    <row r="2161" spans="1:7" x14ac:dyDescent="0.3">
      <c r="A2161" t="s">
        <v>50</v>
      </c>
      <c r="B2161" t="s">
        <v>8</v>
      </c>
      <c r="C2161" t="s">
        <v>15</v>
      </c>
      <c r="D2161">
        <v>16</v>
      </c>
      <c r="E2161" t="s">
        <v>42</v>
      </c>
      <c r="F2161" t="s">
        <v>38</v>
      </c>
      <c r="G2161" t="s">
        <v>37</v>
      </c>
    </row>
    <row r="2162" spans="1:7" x14ac:dyDescent="0.3">
      <c r="A2162" t="s">
        <v>50</v>
      </c>
      <c r="B2162" t="s">
        <v>8</v>
      </c>
      <c r="C2162" t="s">
        <v>16</v>
      </c>
      <c r="D2162">
        <v>111733</v>
      </c>
      <c r="E2162" t="s">
        <v>42</v>
      </c>
      <c r="F2162" t="s">
        <v>38</v>
      </c>
      <c r="G2162" t="s">
        <v>37</v>
      </c>
    </row>
    <row r="2163" spans="1:7" x14ac:dyDescent="0.3">
      <c r="A2163" t="s">
        <v>50</v>
      </c>
      <c r="B2163" t="s">
        <v>8</v>
      </c>
      <c r="C2163" t="s">
        <v>17</v>
      </c>
      <c r="D2163">
        <v>1108</v>
      </c>
      <c r="E2163" t="s">
        <v>42</v>
      </c>
      <c r="F2163" t="s">
        <v>38</v>
      </c>
      <c r="G2163" t="s">
        <v>37</v>
      </c>
    </row>
    <row r="2164" spans="1:7" x14ac:dyDescent="0.3">
      <c r="A2164" t="s">
        <v>50</v>
      </c>
      <c r="B2164" t="s">
        <v>8</v>
      </c>
      <c r="C2164" t="s">
        <v>18</v>
      </c>
      <c r="D2164">
        <v>0</v>
      </c>
      <c r="E2164" t="s">
        <v>42</v>
      </c>
      <c r="F2164" t="s">
        <v>38</v>
      </c>
      <c r="G2164" t="s">
        <v>37</v>
      </c>
    </row>
    <row r="2165" spans="1:7" x14ac:dyDescent="0.3">
      <c r="A2165" t="s">
        <v>50</v>
      </c>
      <c r="B2165" t="s">
        <v>8</v>
      </c>
      <c r="C2165" t="s">
        <v>19</v>
      </c>
      <c r="D2165">
        <v>18</v>
      </c>
      <c r="E2165" t="s">
        <v>42</v>
      </c>
      <c r="F2165" t="s">
        <v>38</v>
      </c>
      <c r="G2165" t="s">
        <v>37</v>
      </c>
    </row>
    <row r="2166" spans="1:7" x14ac:dyDescent="0.3">
      <c r="A2166" t="s">
        <v>50</v>
      </c>
      <c r="B2166" t="s">
        <v>8</v>
      </c>
      <c r="C2166" t="s">
        <v>20</v>
      </c>
      <c r="D2166">
        <v>83</v>
      </c>
      <c r="E2166" t="s">
        <v>42</v>
      </c>
      <c r="F2166" t="s">
        <v>38</v>
      </c>
      <c r="G2166" t="s">
        <v>37</v>
      </c>
    </row>
    <row r="2167" spans="1:7" x14ac:dyDescent="0.3">
      <c r="A2167" t="s">
        <v>50</v>
      </c>
      <c r="B2167" t="s">
        <v>8</v>
      </c>
      <c r="C2167" t="s">
        <v>21</v>
      </c>
      <c r="D2167">
        <v>15</v>
      </c>
      <c r="E2167" t="s">
        <v>42</v>
      </c>
      <c r="F2167" t="s">
        <v>38</v>
      </c>
      <c r="G2167" t="s">
        <v>37</v>
      </c>
    </row>
    <row r="2168" spans="1:7" x14ac:dyDescent="0.3">
      <c r="A2168" t="s">
        <v>50</v>
      </c>
      <c r="B2168" t="s">
        <v>8</v>
      </c>
      <c r="C2168" t="s">
        <v>22</v>
      </c>
      <c r="D2168">
        <v>134</v>
      </c>
      <c r="E2168" t="s">
        <v>42</v>
      </c>
      <c r="F2168" t="s">
        <v>38</v>
      </c>
      <c r="G2168" t="s">
        <v>37</v>
      </c>
    </row>
    <row r="2169" spans="1:7" x14ac:dyDescent="0.3">
      <c r="A2169" t="s">
        <v>50</v>
      </c>
      <c r="B2169" t="s">
        <v>23</v>
      </c>
      <c r="C2169" t="s">
        <v>9</v>
      </c>
      <c r="D2169">
        <v>2806</v>
      </c>
      <c r="E2169" t="s">
        <v>42</v>
      </c>
      <c r="F2169" t="s">
        <v>38</v>
      </c>
      <c r="G2169" t="s">
        <v>37</v>
      </c>
    </row>
    <row r="2170" spans="1:7" x14ac:dyDescent="0.3">
      <c r="A2170" t="s">
        <v>50</v>
      </c>
      <c r="B2170" t="s">
        <v>23</v>
      </c>
      <c r="C2170" t="s">
        <v>13</v>
      </c>
      <c r="D2170">
        <v>3521</v>
      </c>
      <c r="E2170" t="s">
        <v>42</v>
      </c>
      <c r="F2170" t="s">
        <v>38</v>
      </c>
      <c r="G2170" t="s">
        <v>37</v>
      </c>
    </row>
    <row r="2171" spans="1:7" x14ac:dyDescent="0.3">
      <c r="A2171" t="s">
        <v>50</v>
      </c>
      <c r="B2171" t="s">
        <v>23</v>
      </c>
      <c r="C2171" t="s">
        <v>14</v>
      </c>
      <c r="D2171">
        <v>14266</v>
      </c>
      <c r="E2171" t="s">
        <v>42</v>
      </c>
      <c r="F2171" t="s">
        <v>38</v>
      </c>
      <c r="G2171" t="s">
        <v>37</v>
      </c>
    </row>
    <row r="2172" spans="1:7" x14ac:dyDescent="0.3">
      <c r="A2172" t="s">
        <v>50</v>
      </c>
      <c r="B2172" t="s">
        <v>23</v>
      </c>
      <c r="C2172" t="s">
        <v>15</v>
      </c>
      <c r="D2172">
        <v>424</v>
      </c>
      <c r="E2172" t="s">
        <v>42</v>
      </c>
      <c r="F2172" t="s">
        <v>38</v>
      </c>
      <c r="G2172" t="s">
        <v>37</v>
      </c>
    </row>
    <row r="2173" spans="1:7" x14ac:dyDescent="0.3">
      <c r="A2173" t="s">
        <v>50</v>
      </c>
      <c r="B2173" t="s">
        <v>23</v>
      </c>
      <c r="C2173" t="s">
        <v>16</v>
      </c>
      <c r="D2173">
        <v>2583246</v>
      </c>
      <c r="E2173" t="s">
        <v>42</v>
      </c>
      <c r="F2173" t="s">
        <v>38</v>
      </c>
      <c r="G2173" t="s">
        <v>37</v>
      </c>
    </row>
    <row r="2174" spans="1:7" x14ac:dyDescent="0.3">
      <c r="A2174" t="s">
        <v>50</v>
      </c>
      <c r="B2174" t="s">
        <v>23</v>
      </c>
      <c r="C2174" t="s">
        <v>17</v>
      </c>
      <c r="D2174">
        <v>619</v>
      </c>
      <c r="E2174" t="s">
        <v>42</v>
      </c>
      <c r="F2174" t="s">
        <v>38</v>
      </c>
      <c r="G2174" t="s">
        <v>37</v>
      </c>
    </row>
    <row r="2175" spans="1:7" x14ac:dyDescent="0.3">
      <c r="A2175" t="s">
        <v>50</v>
      </c>
      <c r="B2175" t="s">
        <v>23</v>
      </c>
      <c r="C2175" t="s">
        <v>18</v>
      </c>
      <c r="D2175">
        <v>27</v>
      </c>
      <c r="E2175" t="s">
        <v>42</v>
      </c>
      <c r="F2175" t="s">
        <v>38</v>
      </c>
      <c r="G2175" t="s">
        <v>37</v>
      </c>
    </row>
    <row r="2176" spans="1:7" x14ac:dyDescent="0.3">
      <c r="A2176" t="s">
        <v>50</v>
      </c>
      <c r="B2176" t="s">
        <v>23</v>
      </c>
      <c r="C2176" t="s">
        <v>19</v>
      </c>
      <c r="D2176">
        <v>2011</v>
      </c>
      <c r="E2176" t="s">
        <v>42</v>
      </c>
      <c r="F2176" t="s">
        <v>38</v>
      </c>
      <c r="G2176" t="s">
        <v>37</v>
      </c>
    </row>
    <row r="2177" spans="1:7" x14ac:dyDescent="0.3">
      <c r="A2177" t="s">
        <v>50</v>
      </c>
      <c r="B2177" t="s">
        <v>23</v>
      </c>
      <c r="C2177" t="s">
        <v>20</v>
      </c>
      <c r="D2177">
        <v>22399</v>
      </c>
      <c r="E2177" t="s">
        <v>42</v>
      </c>
      <c r="F2177" t="s">
        <v>38</v>
      </c>
      <c r="G2177" t="s">
        <v>37</v>
      </c>
    </row>
    <row r="2178" spans="1:7" x14ac:dyDescent="0.3">
      <c r="A2178" t="s">
        <v>50</v>
      </c>
      <c r="B2178" t="s">
        <v>23</v>
      </c>
      <c r="C2178" t="s">
        <v>21</v>
      </c>
      <c r="D2178">
        <v>1008</v>
      </c>
      <c r="E2178" t="s">
        <v>42</v>
      </c>
      <c r="F2178" t="s">
        <v>38</v>
      </c>
      <c r="G2178" t="s">
        <v>37</v>
      </c>
    </row>
    <row r="2179" spans="1:7" x14ac:dyDescent="0.3">
      <c r="A2179" t="s">
        <v>50</v>
      </c>
      <c r="B2179" t="s">
        <v>23</v>
      </c>
      <c r="C2179" t="s">
        <v>22</v>
      </c>
      <c r="D2179">
        <v>2136</v>
      </c>
      <c r="E2179" t="s">
        <v>42</v>
      </c>
      <c r="F2179" t="s">
        <v>38</v>
      </c>
      <c r="G2179" t="s">
        <v>37</v>
      </c>
    </row>
    <row r="2180" spans="1:7" x14ac:dyDescent="0.3">
      <c r="A2180" t="s">
        <v>51</v>
      </c>
      <c r="B2180" t="s">
        <v>8</v>
      </c>
      <c r="C2180" t="s">
        <v>9</v>
      </c>
      <c r="D2180">
        <v>5</v>
      </c>
      <c r="E2180" t="s">
        <v>42</v>
      </c>
      <c r="F2180" t="s">
        <v>38</v>
      </c>
      <c r="G2180" t="s">
        <v>37</v>
      </c>
    </row>
    <row r="2181" spans="1:7" x14ac:dyDescent="0.3">
      <c r="A2181" t="s">
        <v>51</v>
      </c>
      <c r="B2181" t="s">
        <v>8</v>
      </c>
      <c r="C2181" t="s">
        <v>13</v>
      </c>
      <c r="D2181">
        <v>16099</v>
      </c>
      <c r="E2181" t="s">
        <v>42</v>
      </c>
      <c r="F2181" t="s">
        <v>38</v>
      </c>
      <c r="G2181" t="s">
        <v>37</v>
      </c>
    </row>
    <row r="2182" spans="1:7" x14ac:dyDescent="0.3">
      <c r="A2182" t="s">
        <v>51</v>
      </c>
      <c r="B2182" t="s">
        <v>8</v>
      </c>
      <c r="C2182" t="s">
        <v>14</v>
      </c>
      <c r="D2182">
        <v>20</v>
      </c>
      <c r="E2182" t="s">
        <v>42</v>
      </c>
      <c r="F2182" t="s">
        <v>38</v>
      </c>
      <c r="G2182" t="s">
        <v>37</v>
      </c>
    </row>
    <row r="2183" spans="1:7" x14ac:dyDescent="0.3">
      <c r="A2183" t="s">
        <v>51</v>
      </c>
      <c r="B2183" t="s">
        <v>8</v>
      </c>
      <c r="C2183" t="s">
        <v>15</v>
      </c>
      <c r="D2183">
        <v>21</v>
      </c>
      <c r="E2183" t="s">
        <v>42</v>
      </c>
      <c r="F2183" t="s">
        <v>38</v>
      </c>
      <c r="G2183" t="s">
        <v>37</v>
      </c>
    </row>
    <row r="2184" spans="1:7" x14ac:dyDescent="0.3">
      <c r="A2184" t="s">
        <v>51</v>
      </c>
      <c r="B2184" t="s">
        <v>8</v>
      </c>
      <c r="C2184" t="s">
        <v>16</v>
      </c>
      <c r="D2184">
        <v>26</v>
      </c>
      <c r="E2184" t="s">
        <v>42</v>
      </c>
      <c r="F2184" t="s">
        <v>38</v>
      </c>
      <c r="G2184" t="s">
        <v>37</v>
      </c>
    </row>
    <row r="2185" spans="1:7" x14ac:dyDescent="0.3">
      <c r="A2185" t="s">
        <v>51</v>
      </c>
      <c r="B2185" t="s">
        <v>8</v>
      </c>
      <c r="C2185" t="s">
        <v>17</v>
      </c>
      <c r="D2185">
        <v>44</v>
      </c>
      <c r="E2185" t="s">
        <v>42</v>
      </c>
      <c r="F2185" t="s">
        <v>38</v>
      </c>
      <c r="G2185" t="s">
        <v>37</v>
      </c>
    </row>
    <row r="2186" spans="1:7" x14ac:dyDescent="0.3">
      <c r="A2186" t="s">
        <v>51</v>
      </c>
      <c r="B2186" t="s">
        <v>8</v>
      </c>
      <c r="C2186" t="s">
        <v>18</v>
      </c>
      <c r="D2186">
        <v>0</v>
      </c>
      <c r="E2186" t="s">
        <v>42</v>
      </c>
      <c r="F2186" t="s">
        <v>38</v>
      </c>
      <c r="G2186" t="s">
        <v>37</v>
      </c>
    </row>
    <row r="2187" spans="1:7" x14ac:dyDescent="0.3">
      <c r="A2187" t="s">
        <v>51</v>
      </c>
      <c r="B2187" t="s">
        <v>8</v>
      </c>
      <c r="C2187" t="s">
        <v>19</v>
      </c>
      <c r="D2187">
        <v>67</v>
      </c>
      <c r="E2187" t="s">
        <v>42</v>
      </c>
      <c r="F2187" t="s">
        <v>38</v>
      </c>
      <c r="G2187" t="s">
        <v>37</v>
      </c>
    </row>
    <row r="2188" spans="1:7" x14ac:dyDescent="0.3">
      <c r="A2188" t="s">
        <v>51</v>
      </c>
      <c r="B2188" t="s">
        <v>8</v>
      </c>
      <c r="C2188" t="s">
        <v>20</v>
      </c>
      <c r="D2188">
        <v>2</v>
      </c>
      <c r="E2188" t="s">
        <v>42</v>
      </c>
      <c r="F2188" t="s">
        <v>38</v>
      </c>
      <c r="G2188" t="s">
        <v>37</v>
      </c>
    </row>
    <row r="2189" spans="1:7" x14ac:dyDescent="0.3">
      <c r="A2189" t="s">
        <v>51</v>
      </c>
      <c r="B2189" t="s">
        <v>8</v>
      </c>
      <c r="C2189" t="s">
        <v>21</v>
      </c>
      <c r="D2189">
        <v>9</v>
      </c>
      <c r="E2189" t="s">
        <v>42</v>
      </c>
      <c r="F2189" t="s">
        <v>38</v>
      </c>
      <c r="G2189" t="s">
        <v>37</v>
      </c>
    </row>
    <row r="2190" spans="1:7" x14ac:dyDescent="0.3">
      <c r="A2190" t="s">
        <v>51</v>
      </c>
      <c r="B2190" t="s">
        <v>8</v>
      </c>
      <c r="C2190" t="s">
        <v>22</v>
      </c>
      <c r="D2190">
        <v>1451</v>
      </c>
      <c r="E2190" t="s">
        <v>42</v>
      </c>
      <c r="F2190" t="s">
        <v>38</v>
      </c>
      <c r="G2190" t="s">
        <v>37</v>
      </c>
    </row>
    <row r="2191" spans="1:7" x14ac:dyDescent="0.3">
      <c r="A2191" t="s">
        <v>51</v>
      </c>
      <c r="B2191" t="s">
        <v>23</v>
      </c>
      <c r="C2191" t="s">
        <v>9</v>
      </c>
      <c r="D2191">
        <v>9161</v>
      </c>
      <c r="E2191" t="s">
        <v>42</v>
      </c>
      <c r="F2191" t="s">
        <v>38</v>
      </c>
      <c r="G2191" t="s">
        <v>37</v>
      </c>
    </row>
    <row r="2192" spans="1:7" x14ac:dyDescent="0.3">
      <c r="A2192" t="s">
        <v>51</v>
      </c>
      <c r="B2192" t="s">
        <v>23</v>
      </c>
      <c r="C2192" t="s">
        <v>13</v>
      </c>
      <c r="D2192">
        <v>2329852</v>
      </c>
      <c r="E2192" t="s">
        <v>42</v>
      </c>
      <c r="F2192" t="s">
        <v>38</v>
      </c>
      <c r="G2192" t="s">
        <v>37</v>
      </c>
    </row>
    <row r="2193" spans="1:7" x14ac:dyDescent="0.3">
      <c r="A2193" t="s">
        <v>51</v>
      </c>
      <c r="B2193" t="s">
        <v>23</v>
      </c>
      <c r="C2193" t="s">
        <v>14</v>
      </c>
      <c r="D2193">
        <v>188548</v>
      </c>
      <c r="E2193" t="s">
        <v>42</v>
      </c>
      <c r="F2193" t="s">
        <v>38</v>
      </c>
      <c r="G2193" t="s">
        <v>37</v>
      </c>
    </row>
    <row r="2194" spans="1:7" x14ac:dyDescent="0.3">
      <c r="A2194" t="s">
        <v>51</v>
      </c>
      <c r="B2194" t="s">
        <v>23</v>
      </c>
      <c r="C2194" t="s">
        <v>15</v>
      </c>
      <c r="D2194">
        <v>5649</v>
      </c>
      <c r="E2194" t="s">
        <v>42</v>
      </c>
      <c r="F2194" t="s">
        <v>38</v>
      </c>
      <c r="G2194" t="s">
        <v>37</v>
      </c>
    </row>
    <row r="2195" spans="1:7" x14ac:dyDescent="0.3">
      <c r="A2195" t="s">
        <v>51</v>
      </c>
      <c r="B2195" t="s">
        <v>23</v>
      </c>
      <c r="C2195" t="s">
        <v>16</v>
      </c>
      <c r="D2195">
        <v>9776</v>
      </c>
      <c r="E2195" t="s">
        <v>42</v>
      </c>
      <c r="F2195" t="s">
        <v>38</v>
      </c>
      <c r="G2195" t="s">
        <v>37</v>
      </c>
    </row>
    <row r="2196" spans="1:7" x14ac:dyDescent="0.3">
      <c r="A2196" t="s">
        <v>51</v>
      </c>
      <c r="B2196" t="s">
        <v>23</v>
      </c>
      <c r="C2196" t="s">
        <v>17</v>
      </c>
      <c r="D2196">
        <v>500</v>
      </c>
      <c r="E2196" t="s">
        <v>42</v>
      </c>
      <c r="F2196" t="s">
        <v>38</v>
      </c>
      <c r="G2196" t="s">
        <v>37</v>
      </c>
    </row>
    <row r="2197" spans="1:7" x14ac:dyDescent="0.3">
      <c r="A2197" t="s">
        <v>51</v>
      </c>
      <c r="B2197" t="s">
        <v>23</v>
      </c>
      <c r="C2197" t="s">
        <v>18</v>
      </c>
      <c r="D2197">
        <v>0</v>
      </c>
      <c r="E2197" t="s">
        <v>42</v>
      </c>
      <c r="F2197" t="s">
        <v>38</v>
      </c>
      <c r="G2197" t="s">
        <v>37</v>
      </c>
    </row>
    <row r="2198" spans="1:7" x14ac:dyDescent="0.3">
      <c r="A2198" t="s">
        <v>51</v>
      </c>
      <c r="B2198" t="s">
        <v>23</v>
      </c>
      <c r="C2198" t="s">
        <v>19</v>
      </c>
      <c r="D2198">
        <v>48666</v>
      </c>
      <c r="E2198" t="s">
        <v>42</v>
      </c>
      <c r="F2198" t="s">
        <v>38</v>
      </c>
      <c r="G2198" t="s">
        <v>37</v>
      </c>
    </row>
    <row r="2199" spans="1:7" x14ac:dyDescent="0.3">
      <c r="A2199" t="s">
        <v>51</v>
      </c>
      <c r="B2199" t="s">
        <v>23</v>
      </c>
      <c r="C2199" t="s">
        <v>20</v>
      </c>
      <c r="D2199">
        <v>4807</v>
      </c>
      <c r="E2199" t="s">
        <v>42</v>
      </c>
      <c r="F2199" t="s">
        <v>38</v>
      </c>
      <c r="G2199" t="s">
        <v>37</v>
      </c>
    </row>
    <row r="2200" spans="1:7" x14ac:dyDescent="0.3">
      <c r="A2200" t="s">
        <v>51</v>
      </c>
      <c r="B2200" t="s">
        <v>23</v>
      </c>
      <c r="C2200" t="s">
        <v>21</v>
      </c>
      <c r="D2200">
        <v>3858</v>
      </c>
      <c r="E2200" t="s">
        <v>42</v>
      </c>
      <c r="F2200" t="s">
        <v>38</v>
      </c>
      <c r="G2200" t="s">
        <v>37</v>
      </c>
    </row>
    <row r="2201" spans="1:7" x14ac:dyDescent="0.3">
      <c r="A2201" t="s">
        <v>51</v>
      </c>
      <c r="B2201" t="s">
        <v>23</v>
      </c>
      <c r="C2201" t="s">
        <v>22</v>
      </c>
      <c r="D2201">
        <v>83180</v>
      </c>
      <c r="E2201" t="s">
        <v>42</v>
      </c>
      <c r="F2201" t="s">
        <v>38</v>
      </c>
      <c r="G2201" t="s">
        <v>37</v>
      </c>
    </row>
    <row r="2202" spans="1:7" x14ac:dyDescent="0.3">
      <c r="A2202" t="s">
        <v>52</v>
      </c>
      <c r="B2202" t="s">
        <v>8</v>
      </c>
      <c r="C2202" t="s">
        <v>9</v>
      </c>
      <c r="D2202">
        <v>13462</v>
      </c>
      <c r="E2202" t="s">
        <v>42</v>
      </c>
      <c r="F2202" t="s">
        <v>38</v>
      </c>
      <c r="G2202" t="s">
        <v>37</v>
      </c>
    </row>
    <row r="2203" spans="1:7" x14ac:dyDescent="0.3">
      <c r="A2203" t="s">
        <v>52</v>
      </c>
      <c r="B2203" t="s">
        <v>8</v>
      </c>
      <c r="C2203" t="s">
        <v>13</v>
      </c>
      <c r="D2203">
        <v>1716</v>
      </c>
      <c r="E2203" t="s">
        <v>42</v>
      </c>
      <c r="F2203" t="s">
        <v>38</v>
      </c>
      <c r="G2203" t="s">
        <v>37</v>
      </c>
    </row>
    <row r="2204" spans="1:7" x14ac:dyDescent="0.3">
      <c r="A2204" t="s">
        <v>52</v>
      </c>
      <c r="B2204" t="s">
        <v>8</v>
      </c>
      <c r="C2204" t="s">
        <v>14</v>
      </c>
      <c r="D2204">
        <v>1530</v>
      </c>
      <c r="E2204" t="s">
        <v>42</v>
      </c>
      <c r="F2204" t="s">
        <v>38</v>
      </c>
      <c r="G2204" t="s">
        <v>37</v>
      </c>
    </row>
    <row r="2205" spans="1:7" x14ac:dyDescent="0.3">
      <c r="A2205" t="s">
        <v>52</v>
      </c>
      <c r="B2205" t="s">
        <v>8</v>
      </c>
      <c r="C2205" t="s">
        <v>15</v>
      </c>
      <c r="D2205">
        <v>455</v>
      </c>
      <c r="E2205" t="s">
        <v>42</v>
      </c>
      <c r="F2205" t="s">
        <v>38</v>
      </c>
      <c r="G2205" t="s">
        <v>37</v>
      </c>
    </row>
    <row r="2206" spans="1:7" x14ac:dyDescent="0.3">
      <c r="A2206" t="s">
        <v>52</v>
      </c>
      <c r="B2206" t="s">
        <v>8</v>
      </c>
      <c r="C2206" t="s">
        <v>16</v>
      </c>
      <c r="D2206">
        <v>1881</v>
      </c>
      <c r="E2206" t="s">
        <v>42</v>
      </c>
      <c r="F2206" t="s">
        <v>38</v>
      </c>
      <c r="G2206" t="s">
        <v>37</v>
      </c>
    </row>
    <row r="2207" spans="1:7" x14ac:dyDescent="0.3">
      <c r="A2207" t="s">
        <v>52</v>
      </c>
      <c r="B2207" t="s">
        <v>8</v>
      </c>
      <c r="C2207" t="s">
        <v>17</v>
      </c>
      <c r="D2207">
        <v>5593</v>
      </c>
      <c r="E2207" t="s">
        <v>42</v>
      </c>
      <c r="F2207" t="s">
        <v>38</v>
      </c>
      <c r="G2207" t="s">
        <v>37</v>
      </c>
    </row>
    <row r="2208" spans="1:7" x14ac:dyDescent="0.3">
      <c r="A2208" t="s">
        <v>52</v>
      </c>
      <c r="B2208" t="s">
        <v>8</v>
      </c>
      <c r="C2208" t="s">
        <v>18</v>
      </c>
      <c r="D2208">
        <v>0</v>
      </c>
      <c r="E2208" t="s">
        <v>42</v>
      </c>
      <c r="F2208" t="s">
        <v>38</v>
      </c>
      <c r="G2208" t="s">
        <v>37</v>
      </c>
    </row>
    <row r="2209" spans="1:7" x14ac:dyDescent="0.3">
      <c r="A2209" t="s">
        <v>52</v>
      </c>
      <c r="B2209" t="s">
        <v>8</v>
      </c>
      <c r="C2209" t="s">
        <v>19</v>
      </c>
      <c r="D2209">
        <v>215</v>
      </c>
      <c r="E2209" t="s">
        <v>42</v>
      </c>
      <c r="F2209" t="s">
        <v>38</v>
      </c>
      <c r="G2209" t="s">
        <v>37</v>
      </c>
    </row>
    <row r="2210" spans="1:7" x14ac:dyDescent="0.3">
      <c r="A2210" t="s">
        <v>52</v>
      </c>
      <c r="B2210" t="s">
        <v>8</v>
      </c>
      <c r="C2210" t="s">
        <v>20</v>
      </c>
      <c r="D2210">
        <v>87</v>
      </c>
      <c r="E2210" t="s">
        <v>42</v>
      </c>
      <c r="F2210" t="s">
        <v>38</v>
      </c>
      <c r="G2210" t="s">
        <v>37</v>
      </c>
    </row>
    <row r="2211" spans="1:7" x14ac:dyDescent="0.3">
      <c r="A2211" t="s">
        <v>52</v>
      </c>
      <c r="B2211" t="s">
        <v>8</v>
      </c>
      <c r="C2211" t="s">
        <v>21</v>
      </c>
      <c r="D2211">
        <v>869</v>
      </c>
      <c r="E2211" t="s">
        <v>42</v>
      </c>
      <c r="F2211" t="s">
        <v>38</v>
      </c>
      <c r="G2211" t="s">
        <v>37</v>
      </c>
    </row>
    <row r="2212" spans="1:7" x14ac:dyDescent="0.3">
      <c r="A2212" t="s">
        <v>52</v>
      </c>
      <c r="B2212" t="s">
        <v>8</v>
      </c>
      <c r="C2212" t="s">
        <v>22</v>
      </c>
      <c r="D2212">
        <v>4969</v>
      </c>
      <c r="E2212" t="s">
        <v>42</v>
      </c>
      <c r="F2212" t="s">
        <v>38</v>
      </c>
      <c r="G2212" t="s">
        <v>37</v>
      </c>
    </row>
    <row r="2213" spans="1:7" x14ac:dyDescent="0.3">
      <c r="A2213" t="s">
        <v>52</v>
      </c>
      <c r="B2213" t="s">
        <v>23</v>
      </c>
      <c r="C2213" t="s">
        <v>9</v>
      </c>
      <c r="D2213">
        <v>1323108</v>
      </c>
      <c r="E2213" t="s">
        <v>42</v>
      </c>
      <c r="F2213" t="s">
        <v>38</v>
      </c>
      <c r="G2213" t="s">
        <v>37</v>
      </c>
    </row>
    <row r="2214" spans="1:7" x14ac:dyDescent="0.3">
      <c r="A2214" t="s">
        <v>52</v>
      </c>
      <c r="B2214" t="s">
        <v>23</v>
      </c>
      <c r="C2214" t="s">
        <v>13</v>
      </c>
      <c r="D2214">
        <v>61116</v>
      </c>
      <c r="E2214" t="s">
        <v>42</v>
      </c>
      <c r="F2214" t="s">
        <v>38</v>
      </c>
      <c r="G2214" t="s">
        <v>37</v>
      </c>
    </row>
    <row r="2215" spans="1:7" x14ac:dyDescent="0.3">
      <c r="A2215" t="s">
        <v>52</v>
      </c>
      <c r="B2215" t="s">
        <v>23</v>
      </c>
      <c r="C2215" t="s">
        <v>14</v>
      </c>
      <c r="D2215">
        <v>815616</v>
      </c>
      <c r="E2215" t="s">
        <v>42</v>
      </c>
      <c r="F2215" t="s">
        <v>38</v>
      </c>
      <c r="G2215" t="s">
        <v>37</v>
      </c>
    </row>
    <row r="2216" spans="1:7" x14ac:dyDescent="0.3">
      <c r="A2216" t="s">
        <v>52</v>
      </c>
      <c r="B2216" t="s">
        <v>23</v>
      </c>
      <c r="C2216" t="s">
        <v>15</v>
      </c>
      <c r="D2216">
        <v>7270</v>
      </c>
      <c r="E2216" t="s">
        <v>42</v>
      </c>
      <c r="F2216" t="s">
        <v>38</v>
      </c>
      <c r="G2216" t="s">
        <v>37</v>
      </c>
    </row>
    <row r="2217" spans="1:7" x14ac:dyDescent="0.3">
      <c r="A2217" t="s">
        <v>52</v>
      </c>
      <c r="B2217" t="s">
        <v>23</v>
      </c>
      <c r="C2217" t="s">
        <v>16</v>
      </c>
      <c r="D2217">
        <v>315027</v>
      </c>
      <c r="E2217" t="s">
        <v>42</v>
      </c>
      <c r="F2217" t="s">
        <v>38</v>
      </c>
      <c r="G2217" t="s">
        <v>37</v>
      </c>
    </row>
    <row r="2218" spans="1:7" x14ac:dyDescent="0.3">
      <c r="A2218" t="s">
        <v>52</v>
      </c>
      <c r="B2218" t="s">
        <v>23</v>
      </c>
      <c r="C2218" t="s">
        <v>17</v>
      </c>
      <c r="D2218">
        <v>37796</v>
      </c>
      <c r="E2218" t="s">
        <v>42</v>
      </c>
      <c r="F2218" t="s">
        <v>38</v>
      </c>
      <c r="G2218" t="s">
        <v>37</v>
      </c>
    </row>
    <row r="2219" spans="1:7" x14ac:dyDescent="0.3">
      <c r="A2219" t="s">
        <v>52</v>
      </c>
      <c r="B2219" t="s">
        <v>23</v>
      </c>
      <c r="C2219" t="s">
        <v>18</v>
      </c>
      <c r="D2219">
        <v>0</v>
      </c>
      <c r="E2219" t="s">
        <v>42</v>
      </c>
      <c r="F2219" t="s">
        <v>38</v>
      </c>
      <c r="G2219" t="s">
        <v>37</v>
      </c>
    </row>
    <row r="2220" spans="1:7" x14ac:dyDescent="0.3">
      <c r="A2220" t="s">
        <v>52</v>
      </c>
      <c r="B2220" t="s">
        <v>23</v>
      </c>
      <c r="C2220" t="s">
        <v>19</v>
      </c>
      <c r="D2220">
        <v>23994</v>
      </c>
      <c r="E2220" t="s">
        <v>42</v>
      </c>
      <c r="F2220" t="s">
        <v>38</v>
      </c>
      <c r="G2220" t="s">
        <v>37</v>
      </c>
    </row>
    <row r="2221" spans="1:7" x14ac:dyDescent="0.3">
      <c r="A2221" t="s">
        <v>52</v>
      </c>
      <c r="B2221" t="s">
        <v>23</v>
      </c>
      <c r="C2221" t="s">
        <v>20</v>
      </c>
      <c r="D2221">
        <v>25468</v>
      </c>
      <c r="E2221" t="s">
        <v>42</v>
      </c>
      <c r="F2221" t="s">
        <v>38</v>
      </c>
      <c r="G2221" t="s">
        <v>37</v>
      </c>
    </row>
    <row r="2222" spans="1:7" x14ac:dyDescent="0.3">
      <c r="A2222" t="s">
        <v>52</v>
      </c>
      <c r="B2222" t="s">
        <v>23</v>
      </c>
      <c r="C2222" t="s">
        <v>21</v>
      </c>
      <c r="D2222">
        <v>13742</v>
      </c>
      <c r="E2222" t="s">
        <v>42</v>
      </c>
      <c r="F2222" t="s">
        <v>38</v>
      </c>
      <c r="G2222" t="s">
        <v>37</v>
      </c>
    </row>
    <row r="2223" spans="1:7" x14ac:dyDescent="0.3">
      <c r="A2223" t="s">
        <v>52</v>
      </c>
      <c r="B2223" t="s">
        <v>23</v>
      </c>
      <c r="C2223" t="s">
        <v>22</v>
      </c>
      <c r="D2223">
        <v>19099</v>
      </c>
      <c r="E2223" t="s">
        <v>42</v>
      </c>
      <c r="F2223" t="s">
        <v>38</v>
      </c>
      <c r="G2223" t="s">
        <v>37</v>
      </c>
    </row>
    <row r="2224" spans="1:7" x14ac:dyDescent="0.3">
      <c r="A2224" t="s">
        <v>53</v>
      </c>
      <c r="B2224" t="s">
        <v>8</v>
      </c>
      <c r="C2224" t="s">
        <v>9</v>
      </c>
      <c r="D2224">
        <v>579</v>
      </c>
      <c r="E2224" t="s">
        <v>42</v>
      </c>
      <c r="F2224" t="s">
        <v>38</v>
      </c>
      <c r="G2224" t="s">
        <v>37</v>
      </c>
    </row>
    <row r="2225" spans="1:7" x14ac:dyDescent="0.3">
      <c r="A2225" t="s">
        <v>53</v>
      </c>
      <c r="B2225" t="s">
        <v>8</v>
      </c>
      <c r="C2225" t="s">
        <v>13</v>
      </c>
      <c r="D2225">
        <v>12</v>
      </c>
      <c r="E2225" t="s">
        <v>42</v>
      </c>
      <c r="F2225" t="s">
        <v>38</v>
      </c>
      <c r="G2225" t="s">
        <v>37</v>
      </c>
    </row>
    <row r="2226" spans="1:7" x14ac:dyDescent="0.3">
      <c r="A2226" t="s">
        <v>53</v>
      </c>
      <c r="B2226" t="s">
        <v>8</v>
      </c>
      <c r="C2226" t="s">
        <v>14</v>
      </c>
      <c r="D2226">
        <v>3915</v>
      </c>
      <c r="E2226" t="s">
        <v>42</v>
      </c>
      <c r="F2226" t="s">
        <v>38</v>
      </c>
      <c r="G2226" t="s">
        <v>37</v>
      </c>
    </row>
    <row r="2227" spans="1:7" x14ac:dyDescent="0.3">
      <c r="A2227" t="s">
        <v>53</v>
      </c>
      <c r="B2227" t="s">
        <v>8</v>
      </c>
      <c r="C2227" t="s">
        <v>15</v>
      </c>
      <c r="D2227">
        <v>15</v>
      </c>
      <c r="E2227" t="s">
        <v>42</v>
      </c>
      <c r="F2227" t="s">
        <v>38</v>
      </c>
      <c r="G2227" t="s">
        <v>37</v>
      </c>
    </row>
    <row r="2228" spans="1:7" x14ac:dyDescent="0.3">
      <c r="A2228" t="s">
        <v>53</v>
      </c>
      <c r="B2228" t="s">
        <v>8</v>
      </c>
      <c r="C2228" t="s">
        <v>16</v>
      </c>
      <c r="D2228">
        <v>102561</v>
      </c>
      <c r="E2228" t="s">
        <v>42</v>
      </c>
      <c r="F2228" t="s">
        <v>38</v>
      </c>
      <c r="G2228" t="s">
        <v>37</v>
      </c>
    </row>
    <row r="2229" spans="1:7" x14ac:dyDescent="0.3">
      <c r="A2229" t="s">
        <v>53</v>
      </c>
      <c r="B2229" t="s">
        <v>8</v>
      </c>
      <c r="C2229" t="s">
        <v>17</v>
      </c>
      <c r="D2229">
        <v>1017</v>
      </c>
      <c r="E2229" t="s">
        <v>42</v>
      </c>
      <c r="F2229" t="s">
        <v>38</v>
      </c>
      <c r="G2229" t="s">
        <v>37</v>
      </c>
    </row>
    <row r="2230" spans="1:7" x14ac:dyDescent="0.3">
      <c r="A2230" t="s">
        <v>53</v>
      </c>
      <c r="B2230" t="s">
        <v>8</v>
      </c>
      <c r="C2230" t="s">
        <v>18</v>
      </c>
      <c r="D2230">
        <v>0</v>
      </c>
      <c r="E2230" t="s">
        <v>42</v>
      </c>
      <c r="F2230" t="s">
        <v>38</v>
      </c>
      <c r="G2230" t="s">
        <v>37</v>
      </c>
    </row>
    <row r="2231" spans="1:7" x14ac:dyDescent="0.3">
      <c r="A2231" t="s">
        <v>53</v>
      </c>
      <c r="B2231" t="s">
        <v>8</v>
      </c>
      <c r="C2231" t="s">
        <v>19</v>
      </c>
      <c r="D2231">
        <v>16</v>
      </c>
      <c r="E2231" t="s">
        <v>42</v>
      </c>
      <c r="F2231" t="s">
        <v>38</v>
      </c>
      <c r="G2231" t="s">
        <v>37</v>
      </c>
    </row>
    <row r="2232" spans="1:7" x14ac:dyDescent="0.3">
      <c r="A2232" t="s">
        <v>53</v>
      </c>
      <c r="B2232" t="s">
        <v>8</v>
      </c>
      <c r="C2232" t="s">
        <v>20</v>
      </c>
      <c r="D2232">
        <v>76</v>
      </c>
      <c r="E2232" t="s">
        <v>42</v>
      </c>
      <c r="F2232" t="s">
        <v>38</v>
      </c>
      <c r="G2232" t="s">
        <v>37</v>
      </c>
    </row>
    <row r="2233" spans="1:7" x14ac:dyDescent="0.3">
      <c r="A2233" t="s">
        <v>53</v>
      </c>
      <c r="B2233" t="s">
        <v>8</v>
      </c>
      <c r="C2233" t="s">
        <v>21</v>
      </c>
      <c r="D2233">
        <v>14</v>
      </c>
      <c r="E2233" t="s">
        <v>42</v>
      </c>
      <c r="F2233" t="s">
        <v>38</v>
      </c>
      <c r="G2233" t="s">
        <v>37</v>
      </c>
    </row>
    <row r="2234" spans="1:7" x14ac:dyDescent="0.3">
      <c r="A2234" t="s">
        <v>53</v>
      </c>
      <c r="B2234" t="s">
        <v>8</v>
      </c>
      <c r="C2234" t="s">
        <v>22</v>
      </c>
      <c r="D2234">
        <v>123</v>
      </c>
      <c r="E2234" t="s">
        <v>42</v>
      </c>
      <c r="F2234" t="s">
        <v>38</v>
      </c>
      <c r="G2234" t="s">
        <v>37</v>
      </c>
    </row>
    <row r="2235" spans="1:7" x14ac:dyDescent="0.3">
      <c r="A2235" t="s">
        <v>53</v>
      </c>
      <c r="B2235" t="s">
        <v>23</v>
      </c>
      <c r="C2235" t="s">
        <v>9</v>
      </c>
      <c r="D2235">
        <v>2576</v>
      </c>
      <c r="E2235" t="s">
        <v>42</v>
      </c>
      <c r="F2235" t="s">
        <v>38</v>
      </c>
      <c r="G2235" t="s">
        <v>37</v>
      </c>
    </row>
    <row r="2236" spans="1:7" x14ac:dyDescent="0.3">
      <c r="A2236" t="s">
        <v>53</v>
      </c>
      <c r="B2236" t="s">
        <v>23</v>
      </c>
      <c r="C2236" t="s">
        <v>13</v>
      </c>
      <c r="D2236">
        <v>3232</v>
      </c>
      <c r="E2236" t="s">
        <v>42</v>
      </c>
      <c r="F2236" t="s">
        <v>38</v>
      </c>
      <c r="G2236" t="s">
        <v>37</v>
      </c>
    </row>
    <row r="2237" spans="1:7" x14ac:dyDescent="0.3">
      <c r="A2237" t="s">
        <v>53</v>
      </c>
      <c r="B2237" t="s">
        <v>23</v>
      </c>
      <c r="C2237" t="s">
        <v>14</v>
      </c>
      <c r="D2237">
        <v>13095</v>
      </c>
      <c r="E2237" t="s">
        <v>42</v>
      </c>
      <c r="F2237" t="s">
        <v>38</v>
      </c>
      <c r="G2237" t="s">
        <v>37</v>
      </c>
    </row>
    <row r="2238" spans="1:7" x14ac:dyDescent="0.3">
      <c r="A2238" t="s">
        <v>53</v>
      </c>
      <c r="B2238" t="s">
        <v>23</v>
      </c>
      <c r="C2238" t="s">
        <v>15</v>
      </c>
      <c r="D2238">
        <v>389</v>
      </c>
      <c r="E2238" t="s">
        <v>42</v>
      </c>
      <c r="F2238" t="s">
        <v>38</v>
      </c>
      <c r="G2238" t="s">
        <v>37</v>
      </c>
    </row>
    <row r="2239" spans="1:7" x14ac:dyDescent="0.3">
      <c r="A2239" t="s">
        <v>53</v>
      </c>
      <c r="B2239" t="s">
        <v>23</v>
      </c>
      <c r="C2239" t="s">
        <v>16</v>
      </c>
      <c r="D2239">
        <v>2371189</v>
      </c>
      <c r="E2239" t="s">
        <v>42</v>
      </c>
      <c r="F2239" t="s">
        <v>38</v>
      </c>
      <c r="G2239" t="s">
        <v>37</v>
      </c>
    </row>
    <row r="2240" spans="1:7" x14ac:dyDescent="0.3">
      <c r="A2240" t="s">
        <v>53</v>
      </c>
      <c r="B2240" t="s">
        <v>23</v>
      </c>
      <c r="C2240" t="s">
        <v>17</v>
      </c>
      <c r="D2240">
        <v>568</v>
      </c>
      <c r="E2240" t="s">
        <v>42</v>
      </c>
      <c r="F2240" t="s">
        <v>38</v>
      </c>
      <c r="G2240" t="s">
        <v>37</v>
      </c>
    </row>
    <row r="2241" spans="1:7" x14ac:dyDescent="0.3">
      <c r="A2241" t="s">
        <v>53</v>
      </c>
      <c r="B2241" t="s">
        <v>23</v>
      </c>
      <c r="C2241" t="s">
        <v>18</v>
      </c>
      <c r="D2241">
        <v>25</v>
      </c>
      <c r="E2241" t="s">
        <v>42</v>
      </c>
      <c r="F2241" t="s">
        <v>38</v>
      </c>
      <c r="G2241" t="s">
        <v>37</v>
      </c>
    </row>
    <row r="2242" spans="1:7" x14ac:dyDescent="0.3">
      <c r="A2242" t="s">
        <v>53</v>
      </c>
      <c r="B2242" t="s">
        <v>23</v>
      </c>
      <c r="C2242" t="s">
        <v>19</v>
      </c>
      <c r="D2242">
        <v>1846</v>
      </c>
      <c r="E2242" t="s">
        <v>42</v>
      </c>
      <c r="F2242" t="s">
        <v>38</v>
      </c>
      <c r="G2242" t="s">
        <v>37</v>
      </c>
    </row>
    <row r="2243" spans="1:7" x14ac:dyDescent="0.3">
      <c r="A2243" t="s">
        <v>53</v>
      </c>
      <c r="B2243" t="s">
        <v>23</v>
      </c>
      <c r="C2243" t="s">
        <v>20</v>
      </c>
      <c r="D2243">
        <v>20560</v>
      </c>
      <c r="E2243" t="s">
        <v>42</v>
      </c>
      <c r="F2243" t="s">
        <v>38</v>
      </c>
      <c r="G2243" t="s">
        <v>37</v>
      </c>
    </row>
    <row r="2244" spans="1:7" x14ac:dyDescent="0.3">
      <c r="A2244" t="s">
        <v>53</v>
      </c>
      <c r="B2244" t="s">
        <v>23</v>
      </c>
      <c r="C2244" t="s">
        <v>21</v>
      </c>
      <c r="D2244">
        <v>926</v>
      </c>
      <c r="E2244" t="s">
        <v>42</v>
      </c>
      <c r="F2244" t="s">
        <v>38</v>
      </c>
      <c r="G2244" t="s">
        <v>37</v>
      </c>
    </row>
    <row r="2245" spans="1:7" x14ac:dyDescent="0.3">
      <c r="A2245" t="s">
        <v>53</v>
      </c>
      <c r="B2245" t="s">
        <v>23</v>
      </c>
      <c r="C2245" t="s">
        <v>22</v>
      </c>
      <c r="D2245">
        <v>1960</v>
      </c>
      <c r="E2245" t="s">
        <v>42</v>
      </c>
      <c r="F2245" t="s">
        <v>38</v>
      </c>
      <c r="G2245" t="s">
        <v>37</v>
      </c>
    </row>
    <row r="2246" spans="1:7" x14ac:dyDescent="0.3">
      <c r="A2246" t="s">
        <v>33</v>
      </c>
      <c r="B2246" t="s">
        <v>8</v>
      </c>
      <c r="C2246" t="s">
        <v>9</v>
      </c>
      <c r="D2246">
        <v>5906</v>
      </c>
      <c r="E2246" t="s">
        <v>42</v>
      </c>
      <c r="F2246" t="s">
        <v>38</v>
      </c>
      <c r="G2246" t="s">
        <v>37</v>
      </c>
    </row>
    <row r="2247" spans="1:7" x14ac:dyDescent="0.3">
      <c r="A2247" t="s">
        <v>33</v>
      </c>
      <c r="B2247" t="s">
        <v>8</v>
      </c>
      <c r="C2247" t="s">
        <v>13</v>
      </c>
      <c r="D2247">
        <v>578</v>
      </c>
      <c r="E2247" t="s">
        <v>42</v>
      </c>
      <c r="F2247" t="s">
        <v>38</v>
      </c>
      <c r="G2247" t="s">
        <v>37</v>
      </c>
    </row>
    <row r="2248" spans="1:7" x14ac:dyDescent="0.3">
      <c r="A2248" t="s">
        <v>33</v>
      </c>
      <c r="B2248" t="s">
        <v>8</v>
      </c>
      <c r="C2248" t="s">
        <v>14</v>
      </c>
      <c r="D2248">
        <v>11521</v>
      </c>
      <c r="E2248" t="s">
        <v>42</v>
      </c>
      <c r="F2248" t="s">
        <v>38</v>
      </c>
      <c r="G2248" t="s">
        <v>37</v>
      </c>
    </row>
    <row r="2249" spans="1:7" x14ac:dyDescent="0.3">
      <c r="A2249" t="s">
        <v>33</v>
      </c>
      <c r="B2249" t="s">
        <v>8</v>
      </c>
      <c r="C2249" t="s">
        <v>15</v>
      </c>
      <c r="D2249">
        <v>186</v>
      </c>
      <c r="E2249" t="s">
        <v>42</v>
      </c>
      <c r="F2249" t="s">
        <v>38</v>
      </c>
      <c r="G2249" t="s">
        <v>37</v>
      </c>
    </row>
    <row r="2250" spans="1:7" x14ac:dyDescent="0.3">
      <c r="A2250" t="s">
        <v>33</v>
      </c>
      <c r="B2250" t="s">
        <v>8</v>
      </c>
      <c r="C2250" t="s">
        <v>16</v>
      </c>
      <c r="D2250">
        <v>289663</v>
      </c>
      <c r="E2250" t="s">
        <v>42</v>
      </c>
      <c r="F2250" t="s">
        <v>38</v>
      </c>
      <c r="G2250" t="s">
        <v>37</v>
      </c>
    </row>
    <row r="2251" spans="1:7" x14ac:dyDescent="0.3">
      <c r="A2251" t="s">
        <v>33</v>
      </c>
      <c r="B2251" t="s">
        <v>8</v>
      </c>
      <c r="C2251" t="s">
        <v>17</v>
      </c>
      <c r="D2251">
        <v>4642</v>
      </c>
      <c r="E2251" t="s">
        <v>42</v>
      </c>
      <c r="F2251" t="s">
        <v>38</v>
      </c>
      <c r="G2251" t="s">
        <v>37</v>
      </c>
    </row>
    <row r="2252" spans="1:7" x14ac:dyDescent="0.3">
      <c r="A2252" t="s">
        <v>33</v>
      </c>
      <c r="B2252" t="s">
        <v>8</v>
      </c>
      <c r="C2252" t="s">
        <v>18</v>
      </c>
      <c r="D2252">
        <v>0</v>
      </c>
      <c r="E2252" t="s">
        <v>42</v>
      </c>
      <c r="F2252" t="s">
        <v>38</v>
      </c>
      <c r="G2252" t="s">
        <v>37</v>
      </c>
    </row>
    <row r="2253" spans="1:7" x14ac:dyDescent="0.3">
      <c r="A2253" t="s">
        <v>33</v>
      </c>
      <c r="B2253" t="s">
        <v>8</v>
      </c>
      <c r="C2253" t="s">
        <v>19</v>
      </c>
      <c r="D2253">
        <v>114</v>
      </c>
      <c r="E2253" t="s">
        <v>42</v>
      </c>
      <c r="F2253" t="s">
        <v>38</v>
      </c>
      <c r="G2253" t="s">
        <v>37</v>
      </c>
    </row>
    <row r="2254" spans="1:7" x14ac:dyDescent="0.3">
      <c r="A2254" t="s">
        <v>33</v>
      </c>
      <c r="B2254" t="s">
        <v>8</v>
      </c>
      <c r="C2254" t="s">
        <v>20</v>
      </c>
      <c r="D2254">
        <v>242</v>
      </c>
      <c r="E2254" t="s">
        <v>42</v>
      </c>
      <c r="F2254" t="s">
        <v>38</v>
      </c>
      <c r="G2254" t="s">
        <v>37</v>
      </c>
    </row>
    <row r="2255" spans="1:7" x14ac:dyDescent="0.3">
      <c r="A2255" t="s">
        <v>33</v>
      </c>
      <c r="B2255" t="s">
        <v>8</v>
      </c>
      <c r="C2255" t="s">
        <v>21</v>
      </c>
      <c r="D2255">
        <v>315</v>
      </c>
      <c r="E2255" t="s">
        <v>42</v>
      </c>
      <c r="F2255" t="s">
        <v>38</v>
      </c>
      <c r="G2255" t="s">
        <v>37</v>
      </c>
    </row>
    <row r="2256" spans="1:7" x14ac:dyDescent="0.3">
      <c r="A2256" t="s">
        <v>33</v>
      </c>
      <c r="B2256" t="s">
        <v>8</v>
      </c>
      <c r="C2256" t="s">
        <v>22</v>
      </c>
      <c r="D2256">
        <v>1924</v>
      </c>
      <c r="E2256" t="s">
        <v>42</v>
      </c>
      <c r="F2256" t="s">
        <v>38</v>
      </c>
      <c r="G2256" t="s">
        <v>37</v>
      </c>
    </row>
    <row r="2257" spans="1:7" x14ac:dyDescent="0.3">
      <c r="A2257" t="s">
        <v>33</v>
      </c>
      <c r="B2257" t="s">
        <v>23</v>
      </c>
      <c r="C2257" t="s">
        <v>9</v>
      </c>
      <c r="D2257">
        <v>427334</v>
      </c>
      <c r="E2257" t="s">
        <v>42</v>
      </c>
      <c r="F2257" t="s">
        <v>38</v>
      </c>
      <c r="G2257" t="s">
        <v>37</v>
      </c>
    </row>
    <row r="2258" spans="1:7" x14ac:dyDescent="0.3">
      <c r="A2258" t="s">
        <v>33</v>
      </c>
      <c r="B2258" t="s">
        <v>23</v>
      </c>
      <c r="C2258" t="s">
        <v>13</v>
      </c>
      <c r="D2258">
        <v>28512</v>
      </c>
      <c r="E2258" t="s">
        <v>42</v>
      </c>
      <c r="F2258" t="s">
        <v>38</v>
      </c>
      <c r="G2258" t="s">
        <v>37</v>
      </c>
    </row>
    <row r="2259" spans="1:7" x14ac:dyDescent="0.3">
      <c r="A2259" t="s">
        <v>33</v>
      </c>
      <c r="B2259" t="s">
        <v>23</v>
      </c>
      <c r="C2259" t="s">
        <v>14</v>
      </c>
      <c r="D2259">
        <v>295857</v>
      </c>
      <c r="E2259" t="s">
        <v>42</v>
      </c>
      <c r="F2259" t="s">
        <v>38</v>
      </c>
      <c r="G2259" t="s">
        <v>37</v>
      </c>
    </row>
    <row r="2260" spans="1:7" x14ac:dyDescent="0.3">
      <c r="A2260" t="s">
        <v>33</v>
      </c>
      <c r="B2260" t="s">
        <v>23</v>
      </c>
      <c r="C2260" t="s">
        <v>15</v>
      </c>
      <c r="D2260">
        <v>3405</v>
      </c>
      <c r="E2260" t="s">
        <v>42</v>
      </c>
      <c r="F2260" t="s">
        <v>38</v>
      </c>
      <c r="G2260" t="s">
        <v>37</v>
      </c>
    </row>
    <row r="2261" spans="1:7" x14ac:dyDescent="0.3">
      <c r="A2261" t="s">
        <v>33</v>
      </c>
      <c r="B2261" t="s">
        <v>23</v>
      </c>
      <c r="C2261" t="s">
        <v>16</v>
      </c>
      <c r="D2261">
        <v>6783150</v>
      </c>
      <c r="E2261" t="s">
        <v>42</v>
      </c>
      <c r="F2261" t="s">
        <v>38</v>
      </c>
      <c r="G2261" t="s">
        <v>37</v>
      </c>
    </row>
    <row r="2262" spans="1:7" x14ac:dyDescent="0.3">
      <c r="A2262" t="s">
        <v>33</v>
      </c>
      <c r="B2262" t="s">
        <v>23</v>
      </c>
      <c r="C2262" t="s">
        <v>17</v>
      </c>
      <c r="D2262">
        <v>13602</v>
      </c>
      <c r="E2262" t="s">
        <v>42</v>
      </c>
      <c r="F2262" t="s">
        <v>38</v>
      </c>
      <c r="G2262" t="s">
        <v>37</v>
      </c>
    </row>
    <row r="2263" spans="1:7" x14ac:dyDescent="0.3">
      <c r="A2263" t="s">
        <v>33</v>
      </c>
      <c r="B2263" t="s">
        <v>23</v>
      </c>
      <c r="C2263" t="s">
        <v>18</v>
      </c>
      <c r="D2263">
        <v>70</v>
      </c>
      <c r="E2263" t="s">
        <v>42</v>
      </c>
      <c r="F2263" t="s">
        <v>38</v>
      </c>
      <c r="G2263" t="s">
        <v>37</v>
      </c>
    </row>
    <row r="2264" spans="1:7" x14ac:dyDescent="0.3">
      <c r="A2264" t="s">
        <v>33</v>
      </c>
      <c r="B2264" t="s">
        <v>23</v>
      </c>
      <c r="C2264" t="s">
        <v>19</v>
      </c>
      <c r="D2264">
        <v>12821</v>
      </c>
      <c r="E2264" t="s">
        <v>42</v>
      </c>
      <c r="F2264" t="s">
        <v>38</v>
      </c>
      <c r="G2264" t="s">
        <v>37</v>
      </c>
    </row>
    <row r="2265" spans="1:7" x14ac:dyDescent="0.3">
      <c r="A2265" t="s">
        <v>33</v>
      </c>
      <c r="B2265" t="s">
        <v>23</v>
      </c>
      <c r="C2265" t="s">
        <v>20</v>
      </c>
      <c r="D2265">
        <v>66034</v>
      </c>
      <c r="E2265" t="s">
        <v>42</v>
      </c>
      <c r="F2265" t="s">
        <v>38</v>
      </c>
      <c r="G2265" t="s">
        <v>37</v>
      </c>
    </row>
    <row r="2266" spans="1:7" x14ac:dyDescent="0.3">
      <c r="A2266" t="s">
        <v>33</v>
      </c>
      <c r="B2266" t="s">
        <v>23</v>
      </c>
      <c r="C2266" t="s">
        <v>21</v>
      </c>
      <c r="D2266">
        <v>6972</v>
      </c>
      <c r="E2266" t="s">
        <v>42</v>
      </c>
      <c r="F2266" t="s">
        <v>38</v>
      </c>
      <c r="G2266" t="s">
        <v>37</v>
      </c>
    </row>
    <row r="2267" spans="1:7" x14ac:dyDescent="0.3">
      <c r="A2267" t="s">
        <v>33</v>
      </c>
      <c r="B2267" t="s">
        <v>23</v>
      </c>
      <c r="C2267" t="s">
        <v>22</v>
      </c>
      <c r="D2267">
        <v>11589</v>
      </c>
      <c r="E2267" t="s">
        <v>42</v>
      </c>
      <c r="F2267" t="s">
        <v>38</v>
      </c>
      <c r="G2267" t="s">
        <v>37</v>
      </c>
    </row>
    <row r="2268" spans="1:7" x14ac:dyDescent="0.3">
      <c r="A2268" t="s">
        <v>54</v>
      </c>
      <c r="B2268" t="s">
        <v>8</v>
      </c>
      <c r="C2268" t="s">
        <v>9</v>
      </c>
      <c r="D2268">
        <v>16577</v>
      </c>
      <c r="E2268" t="s">
        <v>42</v>
      </c>
      <c r="F2268" t="s">
        <v>38</v>
      </c>
      <c r="G2268" t="s">
        <v>37</v>
      </c>
    </row>
    <row r="2269" spans="1:7" x14ac:dyDescent="0.3">
      <c r="A2269" t="s">
        <v>54</v>
      </c>
      <c r="B2269" t="s">
        <v>8</v>
      </c>
      <c r="C2269" t="s">
        <v>13</v>
      </c>
      <c r="D2269">
        <v>2114</v>
      </c>
      <c r="E2269" t="s">
        <v>42</v>
      </c>
      <c r="F2269" t="s">
        <v>38</v>
      </c>
      <c r="G2269" t="s">
        <v>37</v>
      </c>
    </row>
    <row r="2270" spans="1:7" x14ac:dyDescent="0.3">
      <c r="A2270" t="s">
        <v>54</v>
      </c>
      <c r="B2270" t="s">
        <v>8</v>
      </c>
      <c r="C2270" t="s">
        <v>14</v>
      </c>
      <c r="D2270">
        <v>1884</v>
      </c>
      <c r="E2270" t="s">
        <v>42</v>
      </c>
      <c r="F2270" t="s">
        <v>38</v>
      </c>
      <c r="G2270" t="s">
        <v>37</v>
      </c>
    </row>
    <row r="2271" spans="1:7" x14ac:dyDescent="0.3">
      <c r="A2271" t="s">
        <v>54</v>
      </c>
      <c r="B2271" t="s">
        <v>8</v>
      </c>
      <c r="C2271" t="s">
        <v>15</v>
      </c>
      <c r="D2271">
        <v>561</v>
      </c>
      <c r="E2271" t="s">
        <v>42</v>
      </c>
      <c r="F2271" t="s">
        <v>38</v>
      </c>
      <c r="G2271" t="s">
        <v>37</v>
      </c>
    </row>
    <row r="2272" spans="1:7" x14ac:dyDescent="0.3">
      <c r="A2272" t="s">
        <v>54</v>
      </c>
      <c r="B2272" t="s">
        <v>8</v>
      </c>
      <c r="C2272" t="s">
        <v>16</v>
      </c>
      <c r="D2272">
        <v>2317</v>
      </c>
      <c r="E2272" t="s">
        <v>42</v>
      </c>
      <c r="F2272" t="s">
        <v>38</v>
      </c>
      <c r="G2272" t="s">
        <v>37</v>
      </c>
    </row>
    <row r="2273" spans="1:7" x14ac:dyDescent="0.3">
      <c r="A2273" t="s">
        <v>54</v>
      </c>
      <c r="B2273" t="s">
        <v>8</v>
      </c>
      <c r="C2273" t="s">
        <v>17</v>
      </c>
      <c r="D2273">
        <v>6888</v>
      </c>
      <c r="E2273" t="s">
        <v>42</v>
      </c>
      <c r="F2273" t="s">
        <v>38</v>
      </c>
      <c r="G2273" t="s">
        <v>37</v>
      </c>
    </row>
    <row r="2274" spans="1:7" x14ac:dyDescent="0.3">
      <c r="A2274" t="s">
        <v>54</v>
      </c>
      <c r="B2274" t="s">
        <v>8</v>
      </c>
      <c r="C2274" t="s">
        <v>18</v>
      </c>
      <c r="D2274">
        <v>0</v>
      </c>
      <c r="E2274" t="s">
        <v>42</v>
      </c>
      <c r="F2274" t="s">
        <v>38</v>
      </c>
      <c r="G2274" t="s">
        <v>37</v>
      </c>
    </row>
    <row r="2275" spans="1:7" x14ac:dyDescent="0.3">
      <c r="A2275" t="s">
        <v>54</v>
      </c>
      <c r="B2275" t="s">
        <v>8</v>
      </c>
      <c r="C2275" t="s">
        <v>19</v>
      </c>
      <c r="D2275">
        <v>265</v>
      </c>
      <c r="E2275" t="s">
        <v>42</v>
      </c>
      <c r="F2275" t="s">
        <v>38</v>
      </c>
      <c r="G2275" t="s">
        <v>37</v>
      </c>
    </row>
    <row r="2276" spans="1:7" x14ac:dyDescent="0.3">
      <c r="A2276" t="s">
        <v>54</v>
      </c>
      <c r="B2276" t="s">
        <v>8</v>
      </c>
      <c r="C2276" t="s">
        <v>20</v>
      </c>
      <c r="D2276">
        <v>107</v>
      </c>
      <c r="E2276" t="s">
        <v>42</v>
      </c>
      <c r="F2276" t="s">
        <v>38</v>
      </c>
      <c r="G2276" t="s">
        <v>37</v>
      </c>
    </row>
    <row r="2277" spans="1:7" x14ac:dyDescent="0.3">
      <c r="A2277" t="s">
        <v>54</v>
      </c>
      <c r="B2277" t="s">
        <v>8</v>
      </c>
      <c r="C2277" t="s">
        <v>21</v>
      </c>
      <c r="D2277">
        <v>1071</v>
      </c>
      <c r="E2277" t="s">
        <v>42</v>
      </c>
      <c r="F2277" t="s">
        <v>38</v>
      </c>
      <c r="G2277" t="s">
        <v>37</v>
      </c>
    </row>
    <row r="2278" spans="1:7" x14ac:dyDescent="0.3">
      <c r="A2278" t="s">
        <v>54</v>
      </c>
      <c r="B2278" t="s">
        <v>8</v>
      </c>
      <c r="C2278" t="s">
        <v>22</v>
      </c>
      <c r="D2278">
        <v>6118</v>
      </c>
      <c r="E2278" t="s">
        <v>42</v>
      </c>
      <c r="F2278" t="s">
        <v>38</v>
      </c>
      <c r="G2278" t="s">
        <v>37</v>
      </c>
    </row>
    <row r="2279" spans="1:7" x14ac:dyDescent="0.3">
      <c r="A2279" t="s">
        <v>54</v>
      </c>
      <c r="B2279" t="s">
        <v>23</v>
      </c>
      <c r="C2279" t="s">
        <v>9</v>
      </c>
      <c r="D2279">
        <v>1629295</v>
      </c>
      <c r="E2279" t="s">
        <v>42</v>
      </c>
      <c r="F2279" t="s">
        <v>38</v>
      </c>
      <c r="G2279" t="s">
        <v>37</v>
      </c>
    </row>
    <row r="2280" spans="1:7" x14ac:dyDescent="0.3">
      <c r="A2280" t="s">
        <v>54</v>
      </c>
      <c r="B2280" t="s">
        <v>23</v>
      </c>
      <c r="C2280" t="s">
        <v>13</v>
      </c>
      <c r="D2280">
        <v>75259</v>
      </c>
      <c r="E2280" t="s">
        <v>42</v>
      </c>
      <c r="F2280" t="s">
        <v>38</v>
      </c>
      <c r="G2280" t="s">
        <v>37</v>
      </c>
    </row>
    <row r="2281" spans="1:7" x14ac:dyDescent="0.3">
      <c r="A2281" t="s">
        <v>54</v>
      </c>
      <c r="B2281" t="s">
        <v>23</v>
      </c>
      <c r="C2281" t="s">
        <v>14</v>
      </c>
      <c r="D2281">
        <v>1004362</v>
      </c>
      <c r="E2281" t="s">
        <v>42</v>
      </c>
      <c r="F2281" t="s">
        <v>38</v>
      </c>
      <c r="G2281" t="s">
        <v>37</v>
      </c>
    </row>
    <row r="2282" spans="1:7" x14ac:dyDescent="0.3">
      <c r="A2282" t="s">
        <v>54</v>
      </c>
      <c r="B2282" t="s">
        <v>23</v>
      </c>
      <c r="C2282" t="s">
        <v>15</v>
      </c>
      <c r="D2282">
        <v>8953</v>
      </c>
      <c r="E2282" t="s">
        <v>42</v>
      </c>
      <c r="F2282" t="s">
        <v>38</v>
      </c>
      <c r="G2282" t="s">
        <v>37</v>
      </c>
    </row>
    <row r="2283" spans="1:7" x14ac:dyDescent="0.3">
      <c r="A2283" t="s">
        <v>54</v>
      </c>
      <c r="B2283" t="s">
        <v>23</v>
      </c>
      <c r="C2283" t="s">
        <v>16</v>
      </c>
      <c r="D2283">
        <v>387929</v>
      </c>
      <c r="E2283" t="s">
        <v>42</v>
      </c>
      <c r="F2283" t="s">
        <v>38</v>
      </c>
      <c r="G2283" t="s">
        <v>37</v>
      </c>
    </row>
    <row r="2284" spans="1:7" x14ac:dyDescent="0.3">
      <c r="A2284" t="s">
        <v>54</v>
      </c>
      <c r="B2284" t="s">
        <v>23</v>
      </c>
      <c r="C2284" t="s">
        <v>17</v>
      </c>
      <c r="D2284">
        <v>46543</v>
      </c>
      <c r="E2284" t="s">
        <v>42</v>
      </c>
      <c r="F2284" t="s">
        <v>38</v>
      </c>
      <c r="G2284" t="s">
        <v>37</v>
      </c>
    </row>
    <row r="2285" spans="1:7" x14ac:dyDescent="0.3">
      <c r="A2285" t="s">
        <v>54</v>
      </c>
      <c r="B2285" t="s">
        <v>23</v>
      </c>
      <c r="C2285" t="s">
        <v>18</v>
      </c>
      <c r="D2285">
        <v>0</v>
      </c>
      <c r="E2285" t="s">
        <v>42</v>
      </c>
      <c r="F2285" t="s">
        <v>38</v>
      </c>
      <c r="G2285" t="s">
        <v>37</v>
      </c>
    </row>
    <row r="2286" spans="1:7" x14ac:dyDescent="0.3">
      <c r="A2286" t="s">
        <v>54</v>
      </c>
      <c r="B2286" t="s">
        <v>23</v>
      </c>
      <c r="C2286" t="s">
        <v>19</v>
      </c>
      <c r="D2286">
        <v>29547</v>
      </c>
      <c r="E2286" t="s">
        <v>42</v>
      </c>
      <c r="F2286" t="s">
        <v>38</v>
      </c>
      <c r="G2286" t="s">
        <v>37</v>
      </c>
    </row>
    <row r="2287" spans="1:7" x14ac:dyDescent="0.3">
      <c r="A2287" t="s">
        <v>54</v>
      </c>
      <c r="B2287" t="s">
        <v>23</v>
      </c>
      <c r="C2287" t="s">
        <v>20</v>
      </c>
      <c r="D2287">
        <v>31361</v>
      </c>
      <c r="E2287" t="s">
        <v>42</v>
      </c>
      <c r="F2287" t="s">
        <v>38</v>
      </c>
      <c r="G2287" t="s">
        <v>37</v>
      </c>
    </row>
    <row r="2288" spans="1:7" x14ac:dyDescent="0.3">
      <c r="A2288" t="s">
        <v>54</v>
      </c>
      <c r="B2288" t="s">
        <v>23</v>
      </c>
      <c r="C2288" t="s">
        <v>21</v>
      </c>
      <c r="D2288">
        <v>16922</v>
      </c>
      <c r="E2288" t="s">
        <v>42</v>
      </c>
      <c r="F2288" t="s">
        <v>38</v>
      </c>
      <c r="G2288" t="s">
        <v>37</v>
      </c>
    </row>
    <row r="2289" spans="1:7" x14ac:dyDescent="0.3">
      <c r="A2289" t="s">
        <v>54</v>
      </c>
      <c r="B2289" t="s">
        <v>23</v>
      </c>
      <c r="C2289" t="s">
        <v>22</v>
      </c>
      <c r="D2289">
        <v>23518</v>
      </c>
      <c r="E2289" t="s">
        <v>42</v>
      </c>
      <c r="F2289" t="s">
        <v>38</v>
      </c>
      <c r="G2289" t="s">
        <v>37</v>
      </c>
    </row>
    <row r="2290" spans="1:7" x14ac:dyDescent="0.3">
      <c r="A2290" t="s">
        <v>55</v>
      </c>
      <c r="B2290" t="s">
        <v>8</v>
      </c>
      <c r="C2290" t="s">
        <v>9</v>
      </c>
      <c r="D2290">
        <v>24211</v>
      </c>
      <c r="E2290" t="s">
        <v>42</v>
      </c>
      <c r="F2290" t="s">
        <v>38</v>
      </c>
      <c r="G2290" t="s">
        <v>37</v>
      </c>
    </row>
    <row r="2291" spans="1:7" x14ac:dyDescent="0.3">
      <c r="A2291" t="s">
        <v>55</v>
      </c>
      <c r="B2291" t="s">
        <v>8</v>
      </c>
      <c r="C2291" t="s">
        <v>13</v>
      </c>
      <c r="D2291">
        <v>3087</v>
      </c>
      <c r="E2291" t="s">
        <v>42</v>
      </c>
      <c r="F2291" t="s">
        <v>38</v>
      </c>
      <c r="G2291" t="s">
        <v>37</v>
      </c>
    </row>
    <row r="2292" spans="1:7" x14ac:dyDescent="0.3">
      <c r="A2292" t="s">
        <v>55</v>
      </c>
      <c r="B2292" t="s">
        <v>8</v>
      </c>
      <c r="C2292" t="s">
        <v>14</v>
      </c>
      <c r="D2292">
        <v>2751</v>
      </c>
      <c r="E2292" t="s">
        <v>42</v>
      </c>
      <c r="F2292" t="s">
        <v>38</v>
      </c>
      <c r="G2292" t="s">
        <v>37</v>
      </c>
    </row>
    <row r="2293" spans="1:7" x14ac:dyDescent="0.3">
      <c r="A2293" t="s">
        <v>55</v>
      </c>
      <c r="B2293" t="s">
        <v>8</v>
      </c>
      <c r="C2293" t="s">
        <v>15</v>
      </c>
      <c r="D2293">
        <v>819</v>
      </c>
      <c r="E2293" t="s">
        <v>42</v>
      </c>
      <c r="F2293" t="s">
        <v>38</v>
      </c>
      <c r="G2293" t="s">
        <v>37</v>
      </c>
    </row>
    <row r="2294" spans="1:7" x14ac:dyDescent="0.3">
      <c r="A2294" t="s">
        <v>55</v>
      </c>
      <c r="B2294" t="s">
        <v>8</v>
      </c>
      <c r="C2294" t="s">
        <v>16</v>
      </c>
      <c r="D2294">
        <v>3384</v>
      </c>
      <c r="E2294" t="s">
        <v>42</v>
      </c>
      <c r="F2294" t="s">
        <v>38</v>
      </c>
      <c r="G2294" t="s">
        <v>37</v>
      </c>
    </row>
    <row r="2295" spans="1:7" x14ac:dyDescent="0.3">
      <c r="A2295" t="s">
        <v>55</v>
      </c>
      <c r="B2295" t="s">
        <v>8</v>
      </c>
      <c r="C2295" t="s">
        <v>17</v>
      </c>
      <c r="D2295">
        <v>10060</v>
      </c>
      <c r="E2295" t="s">
        <v>42</v>
      </c>
      <c r="F2295" t="s">
        <v>38</v>
      </c>
      <c r="G2295" t="s">
        <v>37</v>
      </c>
    </row>
    <row r="2296" spans="1:7" x14ac:dyDescent="0.3">
      <c r="A2296" t="s">
        <v>55</v>
      </c>
      <c r="B2296" t="s">
        <v>8</v>
      </c>
      <c r="C2296" t="s">
        <v>18</v>
      </c>
      <c r="D2296">
        <v>0</v>
      </c>
      <c r="E2296" t="s">
        <v>42</v>
      </c>
      <c r="F2296" t="s">
        <v>38</v>
      </c>
      <c r="G2296" t="s">
        <v>37</v>
      </c>
    </row>
    <row r="2297" spans="1:7" x14ac:dyDescent="0.3">
      <c r="A2297" t="s">
        <v>55</v>
      </c>
      <c r="B2297" t="s">
        <v>8</v>
      </c>
      <c r="C2297" t="s">
        <v>19</v>
      </c>
      <c r="D2297">
        <v>387</v>
      </c>
      <c r="E2297" t="s">
        <v>42</v>
      </c>
      <c r="F2297" t="s">
        <v>38</v>
      </c>
      <c r="G2297" t="s">
        <v>37</v>
      </c>
    </row>
    <row r="2298" spans="1:7" x14ac:dyDescent="0.3">
      <c r="A2298" t="s">
        <v>55</v>
      </c>
      <c r="B2298" t="s">
        <v>8</v>
      </c>
      <c r="C2298" t="s">
        <v>20</v>
      </c>
      <c r="D2298">
        <v>156</v>
      </c>
      <c r="E2298" t="s">
        <v>42</v>
      </c>
      <c r="F2298" t="s">
        <v>38</v>
      </c>
      <c r="G2298" t="s">
        <v>37</v>
      </c>
    </row>
    <row r="2299" spans="1:7" x14ac:dyDescent="0.3">
      <c r="A2299" t="s">
        <v>55</v>
      </c>
      <c r="B2299" t="s">
        <v>8</v>
      </c>
      <c r="C2299" t="s">
        <v>21</v>
      </c>
      <c r="D2299">
        <v>1564</v>
      </c>
      <c r="E2299" t="s">
        <v>42</v>
      </c>
      <c r="F2299" t="s">
        <v>38</v>
      </c>
      <c r="G2299" t="s">
        <v>37</v>
      </c>
    </row>
    <row r="2300" spans="1:7" x14ac:dyDescent="0.3">
      <c r="A2300" t="s">
        <v>55</v>
      </c>
      <c r="B2300" t="s">
        <v>8</v>
      </c>
      <c r="C2300" t="s">
        <v>22</v>
      </c>
      <c r="D2300">
        <v>8936</v>
      </c>
      <c r="E2300" t="s">
        <v>42</v>
      </c>
      <c r="F2300" t="s">
        <v>38</v>
      </c>
      <c r="G2300" t="s">
        <v>37</v>
      </c>
    </row>
    <row r="2301" spans="1:7" x14ac:dyDescent="0.3">
      <c r="A2301" t="s">
        <v>55</v>
      </c>
      <c r="B2301" t="s">
        <v>23</v>
      </c>
      <c r="C2301" t="s">
        <v>9</v>
      </c>
      <c r="D2301">
        <v>2379575</v>
      </c>
      <c r="E2301" t="s">
        <v>42</v>
      </c>
      <c r="F2301" t="s">
        <v>38</v>
      </c>
      <c r="G2301" t="s">
        <v>37</v>
      </c>
    </row>
    <row r="2302" spans="1:7" x14ac:dyDescent="0.3">
      <c r="A2302" t="s">
        <v>55</v>
      </c>
      <c r="B2302" t="s">
        <v>23</v>
      </c>
      <c r="C2302" t="s">
        <v>13</v>
      </c>
      <c r="D2302">
        <v>109915</v>
      </c>
      <c r="E2302" t="s">
        <v>42</v>
      </c>
      <c r="F2302" t="s">
        <v>38</v>
      </c>
      <c r="G2302" t="s">
        <v>37</v>
      </c>
    </row>
    <row r="2303" spans="1:7" x14ac:dyDescent="0.3">
      <c r="A2303" t="s">
        <v>55</v>
      </c>
      <c r="B2303" t="s">
        <v>23</v>
      </c>
      <c r="C2303" t="s">
        <v>14</v>
      </c>
      <c r="D2303">
        <v>1466864</v>
      </c>
      <c r="E2303" t="s">
        <v>42</v>
      </c>
      <c r="F2303" t="s">
        <v>38</v>
      </c>
      <c r="G2303" t="s">
        <v>37</v>
      </c>
    </row>
    <row r="2304" spans="1:7" x14ac:dyDescent="0.3">
      <c r="A2304" t="s">
        <v>55</v>
      </c>
      <c r="B2304" t="s">
        <v>23</v>
      </c>
      <c r="C2304" t="s">
        <v>15</v>
      </c>
      <c r="D2304">
        <v>13076</v>
      </c>
      <c r="E2304" t="s">
        <v>42</v>
      </c>
      <c r="F2304" t="s">
        <v>38</v>
      </c>
      <c r="G2304" t="s">
        <v>37</v>
      </c>
    </row>
    <row r="2305" spans="1:7" x14ac:dyDescent="0.3">
      <c r="A2305" t="s">
        <v>55</v>
      </c>
      <c r="B2305" t="s">
        <v>23</v>
      </c>
      <c r="C2305" t="s">
        <v>16</v>
      </c>
      <c r="D2305">
        <v>566568</v>
      </c>
      <c r="E2305" t="s">
        <v>42</v>
      </c>
      <c r="F2305" t="s">
        <v>38</v>
      </c>
      <c r="G2305" t="s">
        <v>37</v>
      </c>
    </row>
    <row r="2306" spans="1:7" x14ac:dyDescent="0.3">
      <c r="A2306" t="s">
        <v>55</v>
      </c>
      <c r="B2306" t="s">
        <v>23</v>
      </c>
      <c r="C2306" t="s">
        <v>17</v>
      </c>
      <c r="D2306">
        <v>67976</v>
      </c>
      <c r="E2306" t="s">
        <v>42</v>
      </c>
      <c r="F2306" t="s">
        <v>38</v>
      </c>
      <c r="G2306" t="s">
        <v>37</v>
      </c>
    </row>
    <row r="2307" spans="1:7" x14ac:dyDescent="0.3">
      <c r="A2307" t="s">
        <v>55</v>
      </c>
      <c r="B2307" t="s">
        <v>23</v>
      </c>
      <c r="C2307" t="s">
        <v>18</v>
      </c>
      <c r="D2307">
        <v>0</v>
      </c>
      <c r="E2307" t="s">
        <v>42</v>
      </c>
      <c r="F2307" t="s">
        <v>38</v>
      </c>
      <c r="G2307" t="s">
        <v>37</v>
      </c>
    </row>
    <row r="2308" spans="1:7" x14ac:dyDescent="0.3">
      <c r="A2308" t="s">
        <v>55</v>
      </c>
      <c r="B2308" t="s">
        <v>23</v>
      </c>
      <c r="C2308" t="s">
        <v>19</v>
      </c>
      <c r="D2308">
        <v>43153</v>
      </c>
      <c r="E2308" t="s">
        <v>42</v>
      </c>
      <c r="F2308" t="s">
        <v>38</v>
      </c>
      <c r="G2308" t="s">
        <v>37</v>
      </c>
    </row>
    <row r="2309" spans="1:7" x14ac:dyDescent="0.3">
      <c r="A2309" t="s">
        <v>55</v>
      </c>
      <c r="B2309" t="s">
        <v>23</v>
      </c>
      <c r="C2309" t="s">
        <v>20</v>
      </c>
      <c r="D2309">
        <v>45803</v>
      </c>
      <c r="E2309" t="s">
        <v>42</v>
      </c>
      <c r="F2309" t="s">
        <v>38</v>
      </c>
      <c r="G2309" t="s">
        <v>37</v>
      </c>
    </row>
    <row r="2310" spans="1:7" x14ac:dyDescent="0.3">
      <c r="A2310" t="s">
        <v>55</v>
      </c>
      <c r="B2310" t="s">
        <v>23</v>
      </c>
      <c r="C2310" t="s">
        <v>21</v>
      </c>
      <c r="D2310">
        <v>24715</v>
      </c>
      <c r="E2310" t="s">
        <v>42</v>
      </c>
      <c r="F2310" t="s">
        <v>38</v>
      </c>
      <c r="G2310" t="s">
        <v>37</v>
      </c>
    </row>
    <row r="2311" spans="1:7" x14ac:dyDescent="0.3">
      <c r="A2311" t="s">
        <v>55</v>
      </c>
      <c r="B2311" t="s">
        <v>23</v>
      </c>
      <c r="C2311" t="s">
        <v>22</v>
      </c>
      <c r="D2311">
        <v>34348</v>
      </c>
      <c r="E2311" t="s">
        <v>42</v>
      </c>
      <c r="F2311" t="s">
        <v>38</v>
      </c>
      <c r="G2311" t="s">
        <v>37</v>
      </c>
    </row>
    <row r="2312" spans="1:7" x14ac:dyDescent="0.3">
      <c r="A2312" t="s">
        <v>56</v>
      </c>
      <c r="B2312" t="s">
        <v>8</v>
      </c>
      <c r="C2312" t="s">
        <v>9</v>
      </c>
      <c r="D2312">
        <v>4285</v>
      </c>
      <c r="E2312" t="s">
        <v>42</v>
      </c>
      <c r="F2312" t="s">
        <v>38</v>
      </c>
      <c r="G2312" t="s">
        <v>37</v>
      </c>
    </row>
    <row r="2313" spans="1:7" x14ac:dyDescent="0.3">
      <c r="A2313" t="s">
        <v>56</v>
      </c>
      <c r="B2313" t="s">
        <v>8</v>
      </c>
      <c r="C2313" t="s">
        <v>13</v>
      </c>
      <c r="D2313">
        <v>4390</v>
      </c>
      <c r="E2313" t="s">
        <v>42</v>
      </c>
      <c r="F2313" t="s">
        <v>38</v>
      </c>
      <c r="G2313" t="s">
        <v>37</v>
      </c>
    </row>
    <row r="2314" spans="1:7" x14ac:dyDescent="0.3">
      <c r="A2314" t="s">
        <v>56</v>
      </c>
      <c r="B2314" t="s">
        <v>8</v>
      </c>
      <c r="C2314" t="s">
        <v>14</v>
      </c>
      <c r="D2314">
        <v>492</v>
      </c>
      <c r="E2314" t="s">
        <v>42</v>
      </c>
      <c r="F2314" t="s">
        <v>38</v>
      </c>
      <c r="G2314" t="s">
        <v>37</v>
      </c>
    </row>
    <row r="2315" spans="1:7" x14ac:dyDescent="0.3">
      <c r="A2315" t="s">
        <v>56</v>
      </c>
      <c r="B2315" t="s">
        <v>8</v>
      </c>
      <c r="C2315" t="s">
        <v>15</v>
      </c>
      <c r="D2315">
        <v>150</v>
      </c>
      <c r="E2315" t="s">
        <v>42</v>
      </c>
      <c r="F2315" t="s">
        <v>38</v>
      </c>
      <c r="G2315" t="s">
        <v>37</v>
      </c>
    </row>
    <row r="2316" spans="1:7" x14ac:dyDescent="0.3">
      <c r="A2316" t="s">
        <v>56</v>
      </c>
      <c r="B2316" t="s">
        <v>8</v>
      </c>
      <c r="C2316" t="s">
        <v>16</v>
      </c>
      <c r="D2316">
        <v>605</v>
      </c>
      <c r="E2316" t="s">
        <v>42</v>
      </c>
      <c r="F2316" t="s">
        <v>38</v>
      </c>
      <c r="G2316" t="s">
        <v>37</v>
      </c>
    </row>
    <row r="2317" spans="1:7" x14ac:dyDescent="0.3">
      <c r="A2317" t="s">
        <v>56</v>
      </c>
      <c r="B2317" t="s">
        <v>8</v>
      </c>
      <c r="C2317" t="s">
        <v>17</v>
      </c>
      <c r="D2317">
        <v>1790</v>
      </c>
      <c r="E2317" t="s">
        <v>42</v>
      </c>
      <c r="F2317" t="s">
        <v>38</v>
      </c>
      <c r="G2317" t="s">
        <v>37</v>
      </c>
    </row>
    <row r="2318" spans="1:7" x14ac:dyDescent="0.3">
      <c r="A2318" t="s">
        <v>56</v>
      </c>
      <c r="B2318" t="s">
        <v>8</v>
      </c>
      <c r="C2318" t="s">
        <v>18</v>
      </c>
      <c r="D2318">
        <v>0</v>
      </c>
      <c r="E2318" t="s">
        <v>42</v>
      </c>
      <c r="F2318" t="s">
        <v>38</v>
      </c>
      <c r="G2318" t="s">
        <v>37</v>
      </c>
    </row>
    <row r="2319" spans="1:7" x14ac:dyDescent="0.3">
      <c r="A2319" t="s">
        <v>56</v>
      </c>
      <c r="B2319" t="s">
        <v>8</v>
      </c>
      <c r="C2319" t="s">
        <v>19</v>
      </c>
      <c r="D2319">
        <v>84</v>
      </c>
      <c r="E2319" t="s">
        <v>42</v>
      </c>
      <c r="F2319" t="s">
        <v>38</v>
      </c>
      <c r="G2319" t="s">
        <v>37</v>
      </c>
    </row>
    <row r="2320" spans="1:7" x14ac:dyDescent="0.3">
      <c r="A2320" t="s">
        <v>56</v>
      </c>
      <c r="B2320" t="s">
        <v>8</v>
      </c>
      <c r="C2320" t="s">
        <v>20</v>
      </c>
      <c r="D2320">
        <v>28</v>
      </c>
      <c r="E2320" t="s">
        <v>42</v>
      </c>
      <c r="F2320" t="s">
        <v>38</v>
      </c>
      <c r="G2320" t="s">
        <v>37</v>
      </c>
    </row>
    <row r="2321" spans="1:7" x14ac:dyDescent="0.3">
      <c r="A2321" t="s">
        <v>56</v>
      </c>
      <c r="B2321" t="s">
        <v>8</v>
      </c>
      <c r="C2321" t="s">
        <v>21</v>
      </c>
      <c r="D2321">
        <v>279</v>
      </c>
      <c r="E2321" t="s">
        <v>42</v>
      </c>
      <c r="F2321" t="s">
        <v>38</v>
      </c>
      <c r="G2321" t="s">
        <v>37</v>
      </c>
    </row>
    <row r="2322" spans="1:7" x14ac:dyDescent="0.3">
      <c r="A2322" t="s">
        <v>56</v>
      </c>
      <c r="B2322" t="s">
        <v>8</v>
      </c>
      <c r="C2322" t="s">
        <v>22</v>
      </c>
      <c r="D2322">
        <v>1927</v>
      </c>
      <c r="E2322" t="s">
        <v>42</v>
      </c>
      <c r="F2322" t="s">
        <v>38</v>
      </c>
      <c r="G2322" t="s">
        <v>37</v>
      </c>
    </row>
    <row r="2323" spans="1:7" x14ac:dyDescent="0.3">
      <c r="A2323" t="s">
        <v>56</v>
      </c>
      <c r="B2323" t="s">
        <v>23</v>
      </c>
      <c r="C2323" t="s">
        <v>9</v>
      </c>
      <c r="D2323">
        <v>423256</v>
      </c>
      <c r="E2323" t="s">
        <v>42</v>
      </c>
      <c r="F2323" t="s">
        <v>38</v>
      </c>
      <c r="G2323" t="s">
        <v>37</v>
      </c>
    </row>
    <row r="2324" spans="1:7" x14ac:dyDescent="0.3">
      <c r="A2324" t="s">
        <v>56</v>
      </c>
      <c r="B2324" t="s">
        <v>23</v>
      </c>
      <c r="C2324" t="s">
        <v>13</v>
      </c>
      <c r="D2324">
        <v>575640</v>
      </c>
      <c r="E2324" t="s">
        <v>42</v>
      </c>
      <c r="F2324" t="s">
        <v>38</v>
      </c>
      <c r="G2324" t="s">
        <v>37</v>
      </c>
    </row>
    <row r="2325" spans="1:7" x14ac:dyDescent="0.3">
      <c r="A2325" t="s">
        <v>56</v>
      </c>
      <c r="B2325" t="s">
        <v>23</v>
      </c>
      <c r="C2325" t="s">
        <v>14</v>
      </c>
      <c r="D2325">
        <v>304574</v>
      </c>
      <c r="E2325" t="s">
        <v>42</v>
      </c>
      <c r="F2325" t="s">
        <v>38</v>
      </c>
      <c r="G2325" t="s">
        <v>37</v>
      </c>
    </row>
    <row r="2326" spans="1:7" x14ac:dyDescent="0.3">
      <c r="A2326" t="s">
        <v>56</v>
      </c>
      <c r="B2326" t="s">
        <v>23</v>
      </c>
      <c r="C2326" t="s">
        <v>15</v>
      </c>
      <c r="D2326">
        <v>3662</v>
      </c>
      <c r="E2326" t="s">
        <v>42</v>
      </c>
      <c r="F2326" t="s">
        <v>38</v>
      </c>
      <c r="G2326" t="s">
        <v>37</v>
      </c>
    </row>
    <row r="2327" spans="1:7" x14ac:dyDescent="0.3">
      <c r="A2327" t="s">
        <v>56</v>
      </c>
      <c r="B2327" t="s">
        <v>23</v>
      </c>
      <c r="C2327" t="s">
        <v>16</v>
      </c>
      <c r="D2327">
        <v>102589</v>
      </c>
      <c r="E2327" t="s">
        <v>42</v>
      </c>
      <c r="F2327" t="s">
        <v>38</v>
      </c>
      <c r="G2327" t="s">
        <v>37</v>
      </c>
    </row>
    <row r="2328" spans="1:7" x14ac:dyDescent="0.3">
      <c r="A2328" t="s">
        <v>56</v>
      </c>
      <c r="B2328" t="s">
        <v>23</v>
      </c>
      <c r="C2328" t="s">
        <v>17</v>
      </c>
      <c r="D2328">
        <v>12148</v>
      </c>
      <c r="E2328" t="s">
        <v>42</v>
      </c>
      <c r="F2328" t="s">
        <v>38</v>
      </c>
      <c r="G2328" t="s">
        <v>37</v>
      </c>
    </row>
    <row r="2329" spans="1:7" x14ac:dyDescent="0.3">
      <c r="A2329" t="s">
        <v>56</v>
      </c>
      <c r="B2329" t="s">
        <v>23</v>
      </c>
      <c r="C2329" t="s">
        <v>18</v>
      </c>
      <c r="D2329">
        <v>0</v>
      </c>
      <c r="E2329" t="s">
        <v>42</v>
      </c>
      <c r="F2329" t="s">
        <v>38</v>
      </c>
      <c r="G2329" t="s">
        <v>37</v>
      </c>
    </row>
    <row r="2330" spans="1:7" x14ac:dyDescent="0.3">
      <c r="A2330" t="s">
        <v>56</v>
      </c>
      <c r="B2330" t="s">
        <v>23</v>
      </c>
      <c r="C2330" t="s">
        <v>19</v>
      </c>
      <c r="D2330">
        <v>19254</v>
      </c>
      <c r="E2330" t="s">
        <v>42</v>
      </c>
      <c r="F2330" t="s">
        <v>38</v>
      </c>
      <c r="G2330" t="s">
        <v>37</v>
      </c>
    </row>
    <row r="2331" spans="1:7" x14ac:dyDescent="0.3">
      <c r="A2331" t="s">
        <v>56</v>
      </c>
      <c r="B2331" t="s">
        <v>23</v>
      </c>
      <c r="C2331" t="s">
        <v>20</v>
      </c>
      <c r="D2331">
        <v>9252</v>
      </c>
      <c r="E2331" t="s">
        <v>42</v>
      </c>
      <c r="F2331" t="s">
        <v>38</v>
      </c>
      <c r="G2331" t="s">
        <v>37</v>
      </c>
    </row>
    <row r="2332" spans="1:7" x14ac:dyDescent="0.3">
      <c r="A2332" t="s">
        <v>56</v>
      </c>
      <c r="B2332" t="s">
        <v>23</v>
      </c>
      <c r="C2332" t="s">
        <v>21</v>
      </c>
      <c r="D2332">
        <v>5294</v>
      </c>
      <c r="E2332" t="s">
        <v>42</v>
      </c>
      <c r="F2332" t="s">
        <v>38</v>
      </c>
      <c r="G2332" t="s">
        <v>37</v>
      </c>
    </row>
    <row r="2333" spans="1:7" x14ac:dyDescent="0.3">
      <c r="A2333" t="s">
        <v>56</v>
      </c>
      <c r="B2333" t="s">
        <v>23</v>
      </c>
      <c r="C2333" t="s">
        <v>22</v>
      </c>
      <c r="D2333">
        <v>25935</v>
      </c>
      <c r="E2333" t="s">
        <v>42</v>
      </c>
      <c r="F2333" t="s">
        <v>38</v>
      </c>
      <c r="G2333" t="s">
        <v>37</v>
      </c>
    </row>
    <row r="2334" spans="1:7" x14ac:dyDescent="0.3">
      <c r="A2334" t="s">
        <v>41</v>
      </c>
      <c r="B2334" t="s">
        <v>8</v>
      </c>
      <c r="C2334" t="s">
        <v>9</v>
      </c>
      <c r="D2334">
        <v>0</v>
      </c>
      <c r="E2334" t="s">
        <v>42</v>
      </c>
      <c r="F2334" t="s">
        <v>39</v>
      </c>
      <c r="G2334" t="s">
        <v>40</v>
      </c>
    </row>
    <row r="2335" spans="1:7" x14ac:dyDescent="0.3">
      <c r="A2335" t="s">
        <v>41</v>
      </c>
      <c r="B2335" t="s">
        <v>8</v>
      </c>
      <c r="C2335" t="s">
        <v>13</v>
      </c>
      <c r="D2335">
        <v>2</v>
      </c>
      <c r="E2335" t="s">
        <v>42</v>
      </c>
      <c r="F2335" t="s">
        <v>39</v>
      </c>
      <c r="G2335" t="s">
        <v>40</v>
      </c>
    </row>
    <row r="2336" spans="1:7" x14ac:dyDescent="0.3">
      <c r="A2336" t="s">
        <v>41</v>
      </c>
      <c r="B2336" t="s">
        <v>8</v>
      </c>
      <c r="C2336" t="s">
        <v>14</v>
      </c>
      <c r="D2336">
        <v>0</v>
      </c>
      <c r="E2336" t="s">
        <v>42</v>
      </c>
      <c r="F2336" t="s">
        <v>39</v>
      </c>
      <c r="G2336" t="s">
        <v>40</v>
      </c>
    </row>
    <row r="2337" spans="1:7" x14ac:dyDescent="0.3">
      <c r="A2337" t="s">
        <v>41</v>
      </c>
      <c r="B2337" t="s">
        <v>8</v>
      </c>
      <c r="C2337" t="s">
        <v>15</v>
      </c>
      <c r="D2337">
        <v>1177</v>
      </c>
      <c r="E2337" t="s">
        <v>42</v>
      </c>
      <c r="F2337" t="s">
        <v>39</v>
      </c>
      <c r="G2337" t="s">
        <v>40</v>
      </c>
    </row>
    <row r="2338" spans="1:7" x14ac:dyDescent="0.3">
      <c r="A2338" t="s">
        <v>41</v>
      </c>
      <c r="B2338" t="s">
        <v>8</v>
      </c>
      <c r="C2338" t="s">
        <v>16</v>
      </c>
      <c r="D2338">
        <v>0</v>
      </c>
      <c r="E2338" t="s">
        <v>42</v>
      </c>
      <c r="F2338" t="s">
        <v>39</v>
      </c>
      <c r="G2338" t="s">
        <v>40</v>
      </c>
    </row>
    <row r="2339" spans="1:7" x14ac:dyDescent="0.3">
      <c r="A2339" t="s">
        <v>41</v>
      </c>
      <c r="B2339" t="s">
        <v>8</v>
      </c>
      <c r="C2339" t="s">
        <v>17</v>
      </c>
      <c r="D2339">
        <v>2</v>
      </c>
      <c r="E2339" t="s">
        <v>42</v>
      </c>
      <c r="F2339" t="s">
        <v>39</v>
      </c>
      <c r="G2339" t="s">
        <v>40</v>
      </c>
    </row>
    <row r="2340" spans="1:7" x14ac:dyDescent="0.3">
      <c r="A2340" t="s">
        <v>41</v>
      </c>
      <c r="B2340" t="s">
        <v>8</v>
      </c>
      <c r="C2340" t="s">
        <v>18</v>
      </c>
      <c r="D2340">
        <v>0</v>
      </c>
      <c r="E2340" t="s">
        <v>42</v>
      </c>
      <c r="F2340" t="s">
        <v>39</v>
      </c>
      <c r="G2340" t="s">
        <v>40</v>
      </c>
    </row>
    <row r="2341" spans="1:7" x14ac:dyDescent="0.3">
      <c r="A2341" t="s">
        <v>41</v>
      </c>
      <c r="B2341" t="s">
        <v>8</v>
      </c>
      <c r="C2341" t="s">
        <v>19</v>
      </c>
      <c r="D2341">
        <v>0</v>
      </c>
      <c r="E2341" t="s">
        <v>42</v>
      </c>
      <c r="F2341" t="s">
        <v>39</v>
      </c>
      <c r="G2341" t="s">
        <v>40</v>
      </c>
    </row>
    <row r="2342" spans="1:7" x14ac:dyDescent="0.3">
      <c r="A2342" t="s">
        <v>41</v>
      </c>
      <c r="B2342" t="s">
        <v>8</v>
      </c>
      <c r="C2342" t="s">
        <v>20</v>
      </c>
      <c r="D2342">
        <v>0</v>
      </c>
      <c r="E2342" t="s">
        <v>42</v>
      </c>
      <c r="F2342" t="s">
        <v>39</v>
      </c>
      <c r="G2342" t="s">
        <v>40</v>
      </c>
    </row>
    <row r="2343" spans="1:7" x14ac:dyDescent="0.3">
      <c r="A2343" t="s">
        <v>41</v>
      </c>
      <c r="B2343" t="s">
        <v>8</v>
      </c>
      <c r="C2343" t="s">
        <v>21</v>
      </c>
      <c r="D2343">
        <v>0</v>
      </c>
      <c r="E2343" t="s">
        <v>42</v>
      </c>
      <c r="F2343" t="s">
        <v>39</v>
      </c>
      <c r="G2343" t="s">
        <v>40</v>
      </c>
    </row>
    <row r="2344" spans="1:7" x14ac:dyDescent="0.3">
      <c r="A2344" t="s">
        <v>41</v>
      </c>
      <c r="B2344" t="s">
        <v>8</v>
      </c>
      <c r="C2344" t="s">
        <v>22</v>
      </c>
      <c r="D2344">
        <v>75</v>
      </c>
      <c r="E2344" t="s">
        <v>42</v>
      </c>
      <c r="F2344" t="s">
        <v>39</v>
      </c>
      <c r="G2344" t="s">
        <v>40</v>
      </c>
    </row>
    <row r="2345" spans="1:7" x14ac:dyDescent="0.3">
      <c r="A2345" t="s">
        <v>41</v>
      </c>
      <c r="B2345" t="s">
        <v>23</v>
      </c>
      <c r="C2345" t="s">
        <v>9</v>
      </c>
      <c r="D2345">
        <v>465</v>
      </c>
      <c r="E2345" t="s">
        <v>42</v>
      </c>
      <c r="F2345" t="s">
        <v>39</v>
      </c>
      <c r="G2345" t="s">
        <v>40</v>
      </c>
    </row>
    <row r="2346" spans="1:7" x14ac:dyDescent="0.3">
      <c r="A2346" t="s">
        <v>41</v>
      </c>
      <c r="B2346" t="s">
        <v>23</v>
      </c>
      <c r="C2346" t="s">
        <v>13</v>
      </c>
      <c r="D2346">
        <v>6115</v>
      </c>
      <c r="E2346" t="s">
        <v>42</v>
      </c>
      <c r="F2346" t="s">
        <v>39</v>
      </c>
      <c r="G2346" t="s">
        <v>40</v>
      </c>
    </row>
    <row r="2347" spans="1:7" x14ac:dyDescent="0.3">
      <c r="A2347" t="s">
        <v>41</v>
      </c>
      <c r="B2347" t="s">
        <v>23</v>
      </c>
      <c r="C2347" t="s">
        <v>14</v>
      </c>
      <c r="D2347">
        <v>3387</v>
      </c>
      <c r="E2347" t="s">
        <v>42</v>
      </c>
      <c r="F2347" t="s">
        <v>39</v>
      </c>
      <c r="G2347" t="s">
        <v>40</v>
      </c>
    </row>
    <row r="2348" spans="1:7" x14ac:dyDescent="0.3">
      <c r="A2348" t="s">
        <v>41</v>
      </c>
      <c r="B2348" t="s">
        <v>23</v>
      </c>
      <c r="C2348" t="s">
        <v>15</v>
      </c>
      <c r="D2348">
        <v>41941</v>
      </c>
      <c r="E2348" t="s">
        <v>42</v>
      </c>
      <c r="F2348" t="s">
        <v>39</v>
      </c>
      <c r="G2348" t="s">
        <v>40</v>
      </c>
    </row>
    <row r="2349" spans="1:7" x14ac:dyDescent="0.3">
      <c r="A2349" t="s">
        <v>41</v>
      </c>
      <c r="B2349" t="s">
        <v>23</v>
      </c>
      <c r="C2349" t="s">
        <v>16</v>
      </c>
      <c r="D2349">
        <v>3382</v>
      </c>
      <c r="E2349" t="s">
        <v>42</v>
      </c>
      <c r="F2349" t="s">
        <v>39</v>
      </c>
      <c r="G2349" t="s">
        <v>40</v>
      </c>
    </row>
    <row r="2350" spans="1:7" x14ac:dyDescent="0.3">
      <c r="A2350" t="s">
        <v>41</v>
      </c>
      <c r="B2350" t="s">
        <v>23</v>
      </c>
      <c r="C2350" t="s">
        <v>17</v>
      </c>
      <c r="D2350">
        <v>874</v>
      </c>
      <c r="E2350" t="s">
        <v>42</v>
      </c>
      <c r="F2350" t="s">
        <v>39</v>
      </c>
      <c r="G2350" t="s">
        <v>40</v>
      </c>
    </row>
    <row r="2351" spans="1:7" x14ac:dyDescent="0.3">
      <c r="A2351" t="s">
        <v>41</v>
      </c>
      <c r="B2351" t="s">
        <v>23</v>
      </c>
      <c r="C2351" t="s">
        <v>18</v>
      </c>
      <c r="D2351">
        <v>1</v>
      </c>
      <c r="E2351" t="s">
        <v>42</v>
      </c>
      <c r="F2351" t="s">
        <v>39</v>
      </c>
      <c r="G2351" t="s">
        <v>40</v>
      </c>
    </row>
    <row r="2352" spans="1:7" x14ac:dyDescent="0.3">
      <c r="A2352" t="s">
        <v>41</v>
      </c>
      <c r="B2352" t="s">
        <v>23</v>
      </c>
      <c r="C2352" t="s">
        <v>19</v>
      </c>
      <c r="D2352">
        <v>2784</v>
      </c>
      <c r="E2352" t="s">
        <v>42</v>
      </c>
      <c r="F2352" t="s">
        <v>39</v>
      </c>
      <c r="G2352" t="s">
        <v>40</v>
      </c>
    </row>
    <row r="2353" spans="1:7" x14ac:dyDescent="0.3">
      <c r="A2353" t="s">
        <v>41</v>
      </c>
      <c r="B2353" t="s">
        <v>23</v>
      </c>
      <c r="C2353" t="s">
        <v>20</v>
      </c>
      <c r="D2353">
        <v>573</v>
      </c>
      <c r="E2353" t="s">
        <v>42</v>
      </c>
      <c r="F2353" t="s">
        <v>39</v>
      </c>
      <c r="G2353" t="s">
        <v>40</v>
      </c>
    </row>
    <row r="2354" spans="1:7" x14ac:dyDescent="0.3">
      <c r="A2354" t="s">
        <v>41</v>
      </c>
      <c r="B2354" t="s">
        <v>23</v>
      </c>
      <c r="C2354" t="s">
        <v>21</v>
      </c>
      <c r="D2354">
        <v>37</v>
      </c>
      <c r="E2354" t="s">
        <v>42</v>
      </c>
      <c r="F2354" t="s">
        <v>39</v>
      </c>
      <c r="G2354" t="s">
        <v>40</v>
      </c>
    </row>
    <row r="2355" spans="1:7" x14ac:dyDescent="0.3">
      <c r="A2355" t="s">
        <v>41</v>
      </c>
      <c r="B2355" t="s">
        <v>23</v>
      </c>
      <c r="C2355" t="s">
        <v>22</v>
      </c>
      <c r="D2355">
        <v>4120</v>
      </c>
      <c r="E2355" t="s">
        <v>42</v>
      </c>
      <c r="F2355" t="s">
        <v>39</v>
      </c>
      <c r="G2355" t="s">
        <v>40</v>
      </c>
    </row>
    <row r="2356" spans="1:7" x14ac:dyDescent="0.3">
      <c r="A2356" t="s">
        <v>43</v>
      </c>
      <c r="B2356" t="s">
        <v>8</v>
      </c>
      <c r="C2356" t="s">
        <v>9</v>
      </c>
      <c r="D2356">
        <v>0</v>
      </c>
      <c r="E2356" t="s">
        <v>42</v>
      </c>
      <c r="F2356" t="s">
        <v>39</v>
      </c>
      <c r="G2356" t="s">
        <v>40</v>
      </c>
    </row>
    <row r="2357" spans="1:7" x14ac:dyDescent="0.3">
      <c r="A2357" t="s">
        <v>43</v>
      </c>
      <c r="B2357" t="s">
        <v>8</v>
      </c>
      <c r="C2357" t="s">
        <v>13</v>
      </c>
      <c r="D2357">
        <v>0</v>
      </c>
      <c r="E2357" t="s">
        <v>42</v>
      </c>
      <c r="F2357" t="s">
        <v>39</v>
      </c>
      <c r="G2357" t="s">
        <v>40</v>
      </c>
    </row>
    <row r="2358" spans="1:7" x14ac:dyDescent="0.3">
      <c r="A2358" t="s">
        <v>43</v>
      </c>
      <c r="B2358" t="s">
        <v>8</v>
      </c>
      <c r="C2358" t="s">
        <v>14</v>
      </c>
      <c r="D2358">
        <v>18</v>
      </c>
      <c r="E2358" t="s">
        <v>42</v>
      </c>
      <c r="F2358" t="s">
        <v>39</v>
      </c>
      <c r="G2358" t="s">
        <v>40</v>
      </c>
    </row>
    <row r="2359" spans="1:7" x14ac:dyDescent="0.3">
      <c r="A2359" t="s">
        <v>43</v>
      </c>
      <c r="B2359" t="s">
        <v>8</v>
      </c>
      <c r="C2359" t="s">
        <v>15</v>
      </c>
      <c r="D2359">
        <v>0</v>
      </c>
      <c r="E2359" t="s">
        <v>42</v>
      </c>
      <c r="F2359" t="s">
        <v>39</v>
      </c>
      <c r="G2359" t="s">
        <v>40</v>
      </c>
    </row>
    <row r="2360" spans="1:7" x14ac:dyDescent="0.3">
      <c r="A2360" t="s">
        <v>43</v>
      </c>
      <c r="B2360" t="s">
        <v>8</v>
      </c>
      <c r="C2360" t="s">
        <v>16</v>
      </c>
      <c r="D2360">
        <v>0</v>
      </c>
      <c r="E2360" t="s">
        <v>42</v>
      </c>
      <c r="F2360" t="s">
        <v>39</v>
      </c>
      <c r="G2360" t="s">
        <v>40</v>
      </c>
    </row>
    <row r="2361" spans="1:7" x14ac:dyDescent="0.3">
      <c r="A2361" t="s">
        <v>43</v>
      </c>
      <c r="B2361" t="s">
        <v>8</v>
      </c>
      <c r="C2361" t="s">
        <v>17</v>
      </c>
      <c r="D2361">
        <v>0</v>
      </c>
      <c r="E2361" t="s">
        <v>42</v>
      </c>
      <c r="F2361" t="s">
        <v>39</v>
      </c>
      <c r="G2361" t="s">
        <v>40</v>
      </c>
    </row>
    <row r="2362" spans="1:7" x14ac:dyDescent="0.3">
      <c r="A2362" t="s">
        <v>43</v>
      </c>
      <c r="B2362" t="s">
        <v>8</v>
      </c>
      <c r="C2362" t="s">
        <v>18</v>
      </c>
      <c r="D2362">
        <v>0</v>
      </c>
      <c r="E2362" t="s">
        <v>42</v>
      </c>
      <c r="F2362" t="s">
        <v>39</v>
      </c>
      <c r="G2362" t="s">
        <v>40</v>
      </c>
    </row>
    <row r="2363" spans="1:7" x14ac:dyDescent="0.3">
      <c r="A2363" t="s">
        <v>43</v>
      </c>
      <c r="B2363" t="s">
        <v>8</v>
      </c>
      <c r="C2363" t="s">
        <v>19</v>
      </c>
      <c r="D2363">
        <v>0</v>
      </c>
      <c r="E2363" t="s">
        <v>42</v>
      </c>
      <c r="F2363" t="s">
        <v>39</v>
      </c>
      <c r="G2363" t="s">
        <v>40</v>
      </c>
    </row>
    <row r="2364" spans="1:7" x14ac:dyDescent="0.3">
      <c r="A2364" t="s">
        <v>43</v>
      </c>
      <c r="B2364" t="s">
        <v>8</v>
      </c>
      <c r="C2364" t="s">
        <v>20</v>
      </c>
      <c r="D2364">
        <v>0</v>
      </c>
      <c r="E2364" t="s">
        <v>42</v>
      </c>
      <c r="F2364" t="s">
        <v>39</v>
      </c>
      <c r="G2364" t="s">
        <v>40</v>
      </c>
    </row>
    <row r="2365" spans="1:7" x14ac:dyDescent="0.3">
      <c r="A2365" t="s">
        <v>43</v>
      </c>
      <c r="B2365" t="s">
        <v>8</v>
      </c>
      <c r="C2365" t="s">
        <v>21</v>
      </c>
      <c r="D2365">
        <v>0</v>
      </c>
      <c r="E2365" t="s">
        <v>42</v>
      </c>
      <c r="F2365" t="s">
        <v>39</v>
      </c>
      <c r="G2365" t="s">
        <v>40</v>
      </c>
    </row>
    <row r="2366" spans="1:7" x14ac:dyDescent="0.3">
      <c r="A2366" t="s">
        <v>43</v>
      </c>
      <c r="B2366" t="s">
        <v>8</v>
      </c>
      <c r="C2366" t="s">
        <v>22</v>
      </c>
      <c r="D2366">
        <v>5</v>
      </c>
      <c r="E2366" t="s">
        <v>42</v>
      </c>
      <c r="F2366" t="s">
        <v>39</v>
      </c>
      <c r="G2366" t="s">
        <v>40</v>
      </c>
    </row>
    <row r="2367" spans="1:7" x14ac:dyDescent="0.3">
      <c r="A2367" t="s">
        <v>43</v>
      </c>
      <c r="B2367" t="s">
        <v>23</v>
      </c>
      <c r="C2367" t="s">
        <v>9</v>
      </c>
      <c r="D2367">
        <v>19</v>
      </c>
      <c r="E2367" t="s">
        <v>42</v>
      </c>
      <c r="F2367" t="s">
        <v>39</v>
      </c>
      <c r="G2367" t="s">
        <v>40</v>
      </c>
    </row>
    <row r="2368" spans="1:7" x14ac:dyDescent="0.3">
      <c r="A2368" t="s">
        <v>43</v>
      </c>
      <c r="B2368" t="s">
        <v>23</v>
      </c>
      <c r="C2368" t="s">
        <v>13</v>
      </c>
      <c r="D2368">
        <v>9</v>
      </c>
      <c r="E2368" t="s">
        <v>42</v>
      </c>
      <c r="F2368" t="s">
        <v>39</v>
      </c>
      <c r="G2368" t="s">
        <v>40</v>
      </c>
    </row>
    <row r="2369" spans="1:7" x14ac:dyDescent="0.3">
      <c r="A2369" t="s">
        <v>43</v>
      </c>
      <c r="B2369" t="s">
        <v>23</v>
      </c>
      <c r="C2369" t="s">
        <v>14</v>
      </c>
      <c r="D2369">
        <v>10059</v>
      </c>
      <c r="E2369" t="s">
        <v>42</v>
      </c>
      <c r="F2369" t="s">
        <v>39</v>
      </c>
      <c r="G2369" t="s">
        <v>40</v>
      </c>
    </row>
    <row r="2370" spans="1:7" x14ac:dyDescent="0.3">
      <c r="A2370" t="s">
        <v>43</v>
      </c>
      <c r="B2370" t="s">
        <v>23</v>
      </c>
      <c r="C2370" t="s">
        <v>15</v>
      </c>
      <c r="D2370">
        <v>4</v>
      </c>
      <c r="E2370" t="s">
        <v>42</v>
      </c>
      <c r="F2370" t="s">
        <v>39</v>
      </c>
      <c r="G2370" t="s">
        <v>40</v>
      </c>
    </row>
    <row r="2371" spans="1:7" x14ac:dyDescent="0.3">
      <c r="A2371" t="s">
        <v>43</v>
      </c>
      <c r="B2371" t="s">
        <v>23</v>
      </c>
      <c r="C2371" t="s">
        <v>16</v>
      </c>
      <c r="D2371">
        <v>2533</v>
      </c>
      <c r="E2371" t="s">
        <v>42</v>
      </c>
      <c r="F2371" t="s">
        <v>39</v>
      </c>
      <c r="G2371" t="s">
        <v>40</v>
      </c>
    </row>
    <row r="2372" spans="1:7" x14ac:dyDescent="0.3">
      <c r="A2372" t="s">
        <v>43</v>
      </c>
      <c r="B2372" t="s">
        <v>23</v>
      </c>
      <c r="C2372" t="s">
        <v>17</v>
      </c>
      <c r="D2372">
        <v>2</v>
      </c>
      <c r="E2372" t="s">
        <v>42</v>
      </c>
      <c r="F2372" t="s">
        <v>39</v>
      </c>
      <c r="G2372" t="s">
        <v>40</v>
      </c>
    </row>
    <row r="2373" spans="1:7" x14ac:dyDescent="0.3">
      <c r="A2373" t="s">
        <v>43</v>
      </c>
      <c r="B2373" t="s">
        <v>23</v>
      </c>
      <c r="C2373" t="s">
        <v>18</v>
      </c>
      <c r="D2373">
        <v>0</v>
      </c>
      <c r="E2373" t="s">
        <v>42</v>
      </c>
      <c r="F2373" t="s">
        <v>39</v>
      </c>
      <c r="G2373" t="s">
        <v>40</v>
      </c>
    </row>
    <row r="2374" spans="1:7" x14ac:dyDescent="0.3">
      <c r="A2374" t="s">
        <v>43</v>
      </c>
      <c r="B2374" t="s">
        <v>23</v>
      </c>
      <c r="C2374" t="s">
        <v>19</v>
      </c>
      <c r="D2374">
        <v>1</v>
      </c>
      <c r="E2374" t="s">
        <v>42</v>
      </c>
      <c r="F2374" t="s">
        <v>39</v>
      </c>
      <c r="G2374" t="s">
        <v>40</v>
      </c>
    </row>
    <row r="2375" spans="1:7" x14ac:dyDescent="0.3">
      <c r="A2375" t="s">
        <v>43</v>
      </c>
      <c r="B2375" t="s">
        <v>23</v>
      </c>
      <c r="C2375" t="s">
        <v>20</v>
      </c>
      <c r="D2375">
        <v>19</v>
      </c>
      <c r="E2375" t="s">
        <v>42</v>
      </c>
      <c r="F2375" t="s">
        <v>39</v>
      </c>
      <c r="G2375" t="s">
        <v>40</v>
      </c>
    </row>
    <row r="2376" spans="1:7" x14ac:dyDescent="0.3">
      <c r="A2376" t="s">
        <v>43</v>
      </c>
      <c r="B2376" t="s">
        <v>23</v>
      </c>
      <c r="C2376" t="s">
        <v>21</v>
      </c>
      <c r="D2376">
        <v>3</v>
      </c>
      <c r="E2376" t="s">
        <v>42</v>
      </c>
      <c r="F2376" t="s">
        <v>39</v>
      </c>
      <c r="G2376" t="s">
        <v>40</v>
      </c>
    </row>
    <row r="2377" spans="1:7" x14ac:dyDescent="0.3">
      <c r="A2377" t="s">
        <v>43</v>
      </c>
      <c r="B2377" t="s">
        <v>23</v>
      </c>
      <c r="C2377" t="s">
        <v>22</v>
      </c>
      <c r="D2377">
        <v>19</v>
      </c>
      <c r="E2377" t="s">
        <v>42</v>
      </c>
      <c r="F2377" t="s">
        <v>39</v>
      </c>
      <c r="G2377" t="s">
        <v>40</v>
      </c>
    </row>
    <row r="2378" spans="1:7" x14ac:dyDescent="0.3">
      <c r="A2378" t="s">
        <v>44</v>
      </c>
      <c r="B2378" t="s">
        <v>8</v>
      </c>
      <c r="C2378" t="s">
        <v>9</v>
      </c>
      <c r="D2378">
        <v>0</v>
      </c>
      <c r="E2378" t="s">
        <v>42</v>
      </c>
      <c r="F2378" t="s">
        <v>39</v>
      </c>
      <c r="G2378" t="s">
        <v>40</v>
      </c>
    </row>
    <row r="2379" spans="1:7" x14ac:dyDescent="0.3">
      <c r="A2379" t="s">
        <v>44</v>
      </c>
      <c r="B2379" t="s">
        <v>8</v>
      </c>
      <c r="C2379" t="s">
        <v>13</v>
      </c>
      <c r="D2379">
        <v>0</v>
      </c>
      <c r="E2379" t="s">
        <v>42</v>
      </c>
      <c r="F2379" t="s">
        <v>39</v>
      </c>
      <c r="G2379" t="s">
        <v>40</v>
      </c>
    </row>
    <row r="2380" spans="1:7" x14ac:dyDescent="0.3">
      <c r="A2380" t="s">
        <v>44</v>
      </c>
      <c r="B2380" t="s">
        <v>8</v>
      </c>
      <c r="C2380" t="s">
        <v>14</v>
      </c>
      <c r="D2380">
        <v>90</v>
      </c>
      <c r="E2380" t="s">
        <v>42</v>
      </c>
      <c r="F2380" t="s">
        <v>39</v>
      </c>
      <c r="G2380" t="s">
        <v>40</v>
      </c>
    </row>
    <row r="2381" spans="1:7" x14ac:dyDescent="0.3">
      <c r="A2381" t="s">
        <v>44</v>
      </c>
      <c r="B2381" t="s">
        <v>8</v>
      </c>
      <c r="C2381" t="s">
        <v>15</v>
      </c>
      <c r="D2381">
        <v>0</v>
      </c>
      <c r="E2381" t="s">
        <v>42</v>
      </c>
      <c r="F2381" t="s">
        <v>39</v>
      </c>
      <c r="G2381" t="s">
        <v>40</v>
      </c>
    </row>
    <row r="2382" spans="1:7" x14ac:dyDescent="0.3">
      <c r="A2382" t="s">
        <v>44</v>
      </c>
      <c r="B2382" t="s">
        <v>8</v>
      </c>
      <c r="C2382" t="s">
        <v>16</v>
      </c>
      <c r="D2382">
        <v>5</v>
      </c>
      <c r="E2382" t="s">
        <v>42</v>
      </c>
      <c r="F2382" t="s">
        <v>39</v>
      </c>
      <c r="G2382" t="s">
        <v>40</v>
      </c>
    </row>
    <row r="2383" spans="1:7" x14ac:dyDescent="0.3">
      <c r="A2383" t="s">
        <v>44</v>
      </c>
      <c r="B2383" t="s">
        <v>8</v>
      </c>
      <c r="C2383" t="s">
        <v>17</v>
      </c>
      <c r="D2383">
        <v>2</v>
      </c>
      <c r="E2383" t="s">
        <v>42</v>
      </c>
      <c r="F2383" t="s">
        <v>39</v>
      </c>
      <c r="G2383" t="s">
        <v>40</v>
      </c>
    </row>
    <row r="2384" spans="1:7" x14ac:dyDescent="0.3">
      <c r="A2384" t="s">
        <v>44</v>
      </c>
      <c r="B2384" t="s">
        <v>8</v>
      </c>
      <c r="C2384" t="s">
        <v>18</v>
      </c>
      <c r="D2384">
        <v>0</v>
      </c>
      <c r="E2384" t="s">
        <v>42</v>
      </c>
      <c r="F2384" t="s">
        <v>39</v>
      </c>
      <c r="G2384" t="s">
        <v>40</v>
      </c>
    </row>
    <row r="2385" spans="1:7" x14ac:dyDescent="0.3">
      <c r="A2385" t="s">
        <v>44</v>
      </c>
      <c r="B2385" t="s">
        <v>8</v>
      </c>
      <c r="C2385" t="s">
        <v>19</v>
      </c>
      <c r="D2385">
        <v>0</v>
      </c>
      <c r="E2385" t="s">
        <v>42</v>
      </c>
      <c r="F2385" t="s">
        <v>39</v>
      </c>
      <c r="G2385" t="s">
        <v>40</v>
      </c>
    </row>
    <row r="2386" spans="1:7" x14ac:dyDescent="0.3">
      <c r="A2386" t="s">
        <v>44</v>
      </c>
      <c r="B2386" t="s">
        <v>8</v>
      </c>
      <c r="C2386" t="s">
        <v>20</v>
      </c>
      <c r="D2386">
        <v>0</v>
      </c>
      <c r="E2386" t="s">
        <v>42</v>
      </c>
      <c r="F2386" t="s">
        <v>39</v>
      </c>
      <c r="G2386" t="s">
        <v>40</v>
      </c>
    </row>
    <row r="2387" spans="1:7" x14ac:dyDescent="0.3">
      <c r="A2387" t="s">
        <v>44</v>
      </c>
      <c r="B2387" t="s">
        <v>8</v>
      </c>
      <c r="C2387" t="s">
        <v>21</v>
      </c>
      <c r="D2387">
        <v>0</v>
      </c>
      <c r="E2387" t="s">
        <v>42</v>
      </c>
      <c r="F2387" t="s">
        <v>39</v>
      </c>
      <c r="G2387" t="s">
        <v>40</v>
      </c>
    </row>
    <row r="2388" spans="1:7" x14ac:dyDescent="0.3">
      <c r="A2388" t="s">
        <v>44</v>
      </c>
      <c r="B2388" t="s">
        <v>8</v>
      </c>
      <c r="C2388" t="s">
        <v>22</v>
      </c>
      <c r="D2388">
        <v>24</v>
      </c>
      <c r="E2388" t="s">
        <v>42</v>
      </c>
      <c r="F2388" t="s">
        <v>39</v>
      </c>
      <c r="G2388" t="s">
        <v>40</v>
      </c>
    </row>
    <row r="2389" spans="1:7" x14ac:dyDescent="0.3">
      <c r="A2389" t="s">
        <v>44</v>
      </c>
      <c r="B2389" t="s">
        <v>23</v>
      </c>
      <c r="C2389" t="s">
        <v>9</v>
      </c>
      <c r="D2389">
        <v>97</v>
      </c>
      <c r="E2389" t="s">
        <v>42</v>
      </c>
      <c r="F2389" t="s">
        <v>39</v>
      </c>
      <c r="G2389" t="s">
        <v>40</v>
      </c>
    </row>
    <row r="2390" spans="1:7" x14ac:dyDescent="0.3">
      <c r="A2390" t="s">
        <v>44</v>
      </c>
      <c r="B2390" t="s">
        <v>23</v>
      </c>
      <c r="C2390" t="s">
        <v>13</v>
      </c>
      <c r="D2390">
        <v>45</v>
      </c>
      <c r="E2390" t="s">
        <v>42</v>
      </c>
      <c r="F2390" t="s">
        <v>39</v>
      </c>
      <c r="G2390" t="s">
        <v>40</v>
      </c>
    </row>
    <row r="2391" spans="1:7" x14ac:dyDescent="0.3">
      <c r="A2391" t="s">
        <v>44</v>
      </c>
      <c r="B2391" t="s">
        <v>23</v>
      </c>
      <c r="C2391" t="s">
        <v>14</v>
      </c>
      <c r="D2391">
        <v>50552</v>
      </c>
      <c r="E2391" t="s">
        <v>42</v>
      </c>
      <c r="F2391" t="s">
        <v>39</v>
      </c>
      <c r="G2391" t="s">
        <v>40</v>
      </c>
    </row>
    <row r="2392" spans="1:7" x14ac:dyDescent="0.3">
      <c r="A2392" t="s">
        <v>44</v>
      </c>
      <c r="B2392" t="s">
        <v>23</v>
      </c>
      <c r="C2392" t="s">
        <v>15</v>
      </c>
      <c r="D2392">
        <v>20</v>
      </c>
      <c r="E2392" t="s">
        <v>42</v>
      </c>
      <c r="F2392" t="s">
        <v>39</v>
      </c>
      <c r="G2392" t="s">
        <v>40</v>
      </c>
    </row>
    <row r="2393" spans="1:7" x14ac:dyDescent="0.3">
      <c r="A2393" t="s">
        <v>44</v>
      </c>
      <c r="B2393" t="s">
        <v>23</v>
      </c>
      <c r="C2393" t="s">
        <v>16</v>
      </c>
      <c r="D2393">
        <v>12729</v>
      </c>
      <c r="E2393" t="s">
        <v>42</v>
      </c>
      <c r="F2393" t="s">
        <v>39</v>
      </c>
      <c r="G2393" t="s">
        <v>40</v>
      </c>
    </row>
    <row r="2394" spans="1:7" x14ac:dyDescent="0.3">
      <c r="A2394" t="s">
        <v>44</v>
      </c>
      <c r="B2394" t="s">
        <v>23</v>
      </c>
      <c r="C2394" t="s">
        <v>17</v>
      </c>
      <c r="D2394">
        <v>9</v>
      </c>
      <c r="E2394" t="s">
        <v>42</v>
      </c>
      <c r="F2394" t="s">
        <v>39</v>
      </c>
      <c r="G2394" t="s">
        <v>40</v>
      </c>
    </row>
    <row r="2395" spans="1:7" x14ac:dyDescent="0.3">
      <c r="A2395" t="s">
        <v>44</v>
      </c>
      <c r="B2395" t="s">
        <v>23</v>
      </c>
      <c r="C2395" t="s">
        <v>18</v>
      </c>
      <c r="D2395">
        <v>0</v>
      </c>
      <c r="E2395" t="s">
        <v>42</v>
      </c>
      <c r="F2395" t="s">
        <v>39</v>
      </c>
      <c r="G2395" t="s">
        <v>40</v>
      </c>
    </row>
    <row r="2396" spans="1:7" x14ac:dyDescent="0.3">
      <c r="A2396" t="s">
        <v>44</v>
      </c>
      <c r="B2396" t="s">
        <v>23</v>
      </c>
      <c r="C2396" t="s">
        <v>19</v>
      </c>
      <c r="D2396">
        <v>5</v>
      </c>
      <c r="E2396" t="s">
        <v>42</v>
      </c>
      <c r="F2396" t="s">
        <v>39</v>
      </c>
      <c r="G2396" t="s">
        <v>40</v>
      </c>
    </row>
    <row r="2397" spans="1:7" x14ac:dyDescent="0.3">
      <c r="A2397" t="s">
        <v>44</v>
      </c>
      <c r="B2397" t="s">
        <v>23</v>
      </c>
      <c r="C2397" t="s">
        <v>20</v>
      </c>
      <c r="D2397">
        <v>96</v>
      </c>
      <c r="E2397" t="s">
        <v>42</v>
      </c>
      <c r="F2397" t="s">
        <v>39</v>
      </c>
      <c r="G2397" t="s">
        <v>40</v>
      </c>
    </row>
    <row r="2398" spans="1:7" x14ac:dyDescent="0.3">
      <c r="A2398" t="s">
        <v>44</v>
      </c>
      <c r="B2398" t="s">
        <v>23</v>
      </c>
      <c r="C2398" t="s">
        <v>21</v>
      </c>
      <c r="D2398">
        <v>15</v>
      </c>
      <c r="E2398" t="s">
        <v>42</v>
      </c>
      <c r="F2398" t="s">
        <v>39</v>
      </c>
      <c r="G2398" t="s">
        <v>40</v>
      </c>
    </row>
    <row r="2399" spans="1:7" x14ac:dyDescent="0.3">
      <c r="A2399" t="s">
        <v>44</v>
      </c>
      <c r="B2399" t="s">
        <v>23</v>
      </c>
      <c r="C2399" t="s">
        <v>22</v>
      </c>
      <c r="D2399">
        <v>94</v>
      </c>
      <c r="E2399" t="s">
        <v>42</v>
      </c>
      <c r="F2399" t="s">
        <v>39</v>
      </c>
      <c r="G2399" t="s">
        <v>40</v>
      </c>
    </row>
    <row r="2400" spans="1:7" x14ac:dyDescent="0.3">
      <c r="A2400" t="s">
        <v>24</v>
      </c>
      <c r="B2400" t="s">
        <v>8</v>
      </c>
      <c r="C2400" t="s">
        <v>9</v>
      </c>
      <c r="D2400">
        <v>28</v>
      </c>
      <c r="E2400" t="s">
        <v>42</v>
      </c>
      <c r="F2400" t="s">
        <v>39</v>
      </c>
      <c r="G2400" t="s">
        <v>40</v>
      </c>
    </row>
    <row r="2401" spans="1:7" x14ac:dyDescent="0.3">
      <c r="A2401" t="s">
        <v>24</v>
      </c>
      <c r="B2401" t="s">
        <v>8</v>
      </c>
      <c r="C2401" t="s">
        <v>13</v>
      </c>
      <c r="D2401">
        <v>4</v>
      </c>
      <c r="E2401" t="s">
        <v>42</v>
      </c>
      <c r="F2401" t="s">
        <v>39</v>
      </c>
      <c r="G2401" t="s">
        <v>40</v>
      </c>
    </row>
    <row r="2402" spans="1:7" x14ac:dyDescent="0.3">
      <c r="A2402" t="s">
        <v>24</v>
      </c>
      <c r="B2402" t="s">
        <v>8</v>
      </c>
      <c r="C2402" t="s">
        <v>14</v>
      </c>
      <c r="D2402">
        <v>16</v>
      </c>
      <c r="E2402" t="s">
        <v>42</v>
      </c>
      <c r="F2402" t="s">
        <v>39</v>
      </c>
      <c r="G2402" t="s">
        <v>40</v>
      </c>
    </row>
    <row r="2403" spans="1:7" x14ac:dyDescent="0.3">
      <c r="A2403" t="s">
        <v>24</v>
      </c>
      <c r="B2403" t="s">
        <v>8</v>
      </c>
      <c r="C2403" t="s">
        <v>15</v>
      </c>
      <c r="D2403">
        <v>3</v>
      </c>
      <c r="E2403" t="s">
        <v>42</v>
      </c>
      <c r="F2403" t="s">
        <v>39</v>
      </c>
      <c r="G2403" t="s">
        <v>40</v>
      </c>
    </row>
    <row r="2404" spans="1:7" x14ac:dyDescent="0.3">
      <c r="A2404" t="s">
        <v>24</v>
      </c>
      <c r="B2404" t="s">
        <v>8</v>
      </c>
      <c r="C2404" t="s">
        <v>16</v>
      </c>
      <c r="D2404">
        <v>373</v>
      </c>
      <c r="E2404" t="s">
        <v>42</v>
      </c>
      <c r="F2404" t="s">
        <v>39</v>
      </c>
      <c r="G2404" t="s">
        <v>40</v>
      </c>
    </row>
    <row r="2405" spans="1:7" x14ac:dyDescent="0.3">
      <c r="A2405" t="s">
        <v>24</v>
      </c>
      <c r="B2405" t="s">
        <v>8</v>
      </c>
      <c r="C2405" t="s">
        <v>17</v>
      </c>
      <c r="D2405">
        <v>8</v>
      </c>
      <c r="E2405" t="s">
        <v>42</v>
      </c>
      <c r="F2405" t="s">
        <v>39</v>
      </c>
      <c r="G2405" t="s">
        <v>40</v>
      </c>
    </row>
    <row r="2406" spans="1:7" x14ac:dyDescent="0.3">
      <c r="A2406" t="s">
        <v>24</v>
      </c>
      <c r="B2406" t="s">
        <v>8</v>
      </c>
      <c r="C2406" t="s">
        <v>18</v>
      </c>
      <c r="D2406">
        <v>0</v>
      </c>
      <c r="E2406" t="s">
        <v>42</v>
      </c>
      <c r="F2406" t="s">
        <v>39</v>
      </c>
      <c r="G2406" t="s">
        <v>40</v>
      </c>
    </row>
    <row r="2407" spans="1:7" x14ac:dyDescent="0.3">
      <c r="A2407" t="s">
        <v>24</v>
      </c>
      <c r="B2407" t="s">
        <v>8</v>
      </c>
      <c r="C2407" t="s">
        <v>19</v>
      </c>
      <c r="D2407">
        <v>0</v>
      </c>
      <c r="E2407" t="s">
        <v>42</v>
      </c>
      <c r="F2407" t="s">
        <v>39</v>
      </c>
      <c r="G2407" t="s">
        <v>40</v>
      </c>
    </row>
    <row r="2408" spans="1:7" x14ac:dyDescent="0.3">
      <c r="A2408" t="s">
        <v>24</v>
      </c>
      <c r="B2408" t="s">
        <v>8</v>
      </c>
      <c r="C2408" t="s">
        <v>20</v>
      </c>
      <c r="D2408">
        <v>0</v>
      </c>
      <c r="E2408" t="s">
        <v>42</v>
      </c>
      <c r="F2408" t="s">
        <v>39</v>
      </c>
      <c r="G2408" t="s">
        <v>40</v>
      </c>
    </row>
    <row r="2409" spans="1:7" x14ac:dyDescent="0.3">
      <c r="A2409" t="s">
        <v>24</v>
      </c>
      <c r="B2409" t="s">
        <v>8</v>
      </c>
      <c r="C2409" t="s">
        <v>21</v>
      </c>
      <c r="D2409">
        <v>0</v>
      </c>
      <c r="E2409" t="s">
        <v>42</v>
      </c>
      <c r="F2409" t="s">
        <v>39</v>
      </c>
      <c r="G2409" t="s">
        <v>40</v>
      </c>
    </row>
    <row r="2410" spans="1:7" x14ac:dyDescent="0.3">
      <c r="A2410" t="s">
        <v>24</v>
      </c>
      <c r="B2410" t="s">
        <v>8</v>
      </c>
      <c r="C2410" t="s">
        <v>22</v>
      </c>
      <c r="D2410">
        <v>462</v>
      </c>
      <c r="E2410" t="s">
        <v>42</v>
      </c>
      <c r="F2410" t="s">
        <v>39</v>
      </c>
      <c r="G2410" t="s">
        <v>40</v>
      </c>
    </row>
    <row r="2411" spans="1:7" x14ac:dyDescent="0.3">
      <c r="A2411" t="s">
        <v>24</v>
      </c>
      <c r="B2411" t="s">
        <v>23</v>
      </c>
      <c r="C2411" t="s">
        <v>9</v>
      </c>
      <c r="D2411">
        <v>5463</v>
      </c>
      <c r="E2411" t="s">
        <v>42</v>
      </c>
      <c r="F2411" t="s">
        <v>39</v>
      </c>
      <c r="G2411" t="s">
        <v>40</v>
      </c>
    </row>
    <row r="2412" spans="1:7" x14ac:dyDescent="0.3">
      <c r="A2412" t="s">
        <v>24</v>
      </c>
      <c r="B2412" t="s">
        <v>23</v>
      </c>
      <c r="C2412" t="s">
        <v>13</v>
      </c>
      <c r="D2412">
        <v>1116</v>
      </c>
      <c r="E2412" t="s">
        <v>42</v>
      </c>
      <c r="F2412" t="s">
        <v>39</v>
      </c>
      <c r="G2412" t="s">
        <v>40</v>
      </c>
    </row>
    <row r="2413" spans="1:7" x14ac:dyDescent="0.3">
      <c r="A2413" t="s">
        <v>24</v>
      </c>
      <c r="B2413" t="s">
        <v>23</v>
      </c>
      <c r="C2413" t="s">
        <v>14</v>
      </c>
      <c r="D2413">
        <v>9104</v>
      </c>
      <c r="E2413" t="s">
        <v>42</v>
      </c>
      <c r="F2413" t="s">
        <v>39</v>
      </c>
      <c r="G2413" t="s">
        <v>40</v>
      </c>
    </row>
    <row r="2414" spans="1:7" x14ac:dyDescent="0.3">
      <c r="A2414" t="s">
        <v>24</v>
      </c>
      <c r="B2414" t="s">
        <v>23</v>
      </c>
      <c r="C2414" t="s">
        <v>15</v>
      </c>
      <c r="D2414">
        <v>41</v>
      </c>
      <c r="E2414" t="s">
        <v>42</v>
      </c>
      <c r="F2414" t="s">
        <v>39</v>
      </c>
      <c r="G2414" t="s">
        <v>40</v>
      </c>
    </row>
    <row r="2415" spans="1:7" x14ac:dyDescent="0.3">
      <c r="A2415" t="s">
        <v>24</v>
      </c>
      <c r="B2415" t="s">
        <v>23</v>
      </c>
      <c r="C2415" t="s">
        <v>16</v>
      </c>
      <c r="D2415">
        <v>38484</v>
      </c>
      <c r="E2415" t="s">
        <v>42</v>
      </c>
      <c r="F2415" t="s">
        <v>39</v>
      </c>
      <c r="G2415" t="s">
        <v>40</v>
      </c>
    </row>
    <row r="2416" spans="1:7" x14ac:dyDescent="0.3">
      <c r="A2416" t="s">
        <v>24</v>
      </c>
      <c r="B2416" t="s">
        <v>23</v>
      </c>
      <c r="C2416" t="s">
        <v>17</v>
      </c>
      <c r="D2416">
        <v>148</v>
      </c>
      <c r="E2416" t="s">
        <v>42</v>
      </c>
      <c r="F2416" t="s">
        <v>39</v>
      </c>
      <c r="G2416" t="s">
        <v>40</v>
      </c>
    </row>
    <row r="2417" spans="1:7" x14ac:dyDescent="0.3">
      <c r="A2417" t="s">
        <v>24</v>
      </c>
      <c r="B2417" t="s">
        <v>23</v>
      </c>
      <c r="C2417" t="s">
        <v>18</v>
      </c>
      <c r="D2417">
        <v>0</v>
      </c>
      <c r="E2417" t="s">
        <v>42</v>
      </c>
      <c r="F2417" t="s">
        <v>39</v>
      </c>
      <c r="G2417" t="s">
        <v>40</v>
      </c>
    </row>
    <row r="2418" spans="1:7" x14ac:dyDescent="0.3">
      <c r="A2418" t="s">
        <v>24</v>
      </c>
      <c r="B2418" t="s">
        <v>23</v>
      </c>
      <c r="C2418" t="s">
        <v>19</v>
      </c>
      <c r="D2418">
        <v>35</v>
      </c>
      <c r="E2418" t="s">
        <v>42</v>
      </c>
      <c r="F2418" t="s">
        <v>39</v>
      </c>
      <c r="G2418" t="s">
        <v>40</v>
      </c>
    </row>
    <row r="2419" spans="1:7" x14ac:dyDescent="0.3">
      <c r="A2419" t="s">
        <v>24</v>
      </c>
      <c r="B2419" t="s">
        <v>23</v>
      </c>
      <c r="C2419" t="s">
        <v>20</v>
      </c>
      <c r="D2419">
        <v>320</v>
      </c>
      <c r="E2419" t="s">
        <v>42</v>
      </c>
      <c r="F2419" t="s">
        <v>39</v>
      </c>
      <c r="G2419" t="s">
        <v>40</v>
      </c>
    </row>
    <row r="2420" spans="1:7" x14ac:dyDescent="0.3">
      <c r="A2420" t="s">
        <v>24</v>
      </c>
      <c r="B2420" t="s">
        <v>23</v>
      </c>
      <c r="C2420" t="s">
        <v>21</v>
      </c>
      <c r="D2420">
        <v>27</v>
      </c>
      <c r="E2420" t="s">
        <v>42</v>
      </c>
      <c r="F2420" t="s">
        <v>39</v>
      </c>
      <c r="G2420" t="s">
        <v>40</v>
      </c>
    </row>
    <row r="2421" spans="1:7" x14ac:dyDescent="0.3">
      <c r="A2421" t="s">
        <v>24</v>
      </c>
      <c r="B2421" t="s">
        <v>23</v>
      </c>
      <c r="C2421" t="s">
        <v>22</v>
      </c>
      <c r="D2421">
        <v>9918</v>
      </c>
      <c r="E2421" t="s">
        <v>42</v>
      </c>
      <c r="F2421" t="s">
        <v>39</v>
      </c>
      <c r="G2421" t="s">
        <v>40</v>
      </c>
    </row>
    <row r="2422" spans="1:7" x14ac:dyDescent="0.3">
      <c r="A2422" t="s">
        <v>45</v>
      </c>
      <c r="B2422" t="s">
        <v>8</v>
      </c>
      <c r="C2422" t="s">
        <v>9</v>
      </c>
      <c r="D2422">
        <v>107</v>
      </c>
      <c r="E2422" t="s">
        <v>42</v>
      </c>
      <c r="F2422" t="s">
        <v>39</v>
      </c>
      <c r="G2422" t="s">
        <v>40</v>
      </c>
    </row>
    <row r="2423" spans="1:7" x14ac:dyDescent="0.3">
      <c r="A2423" t="s">
        <v>45</v>
      </c>
      <c r="B2423" t="s">
        <v>8</v>
      </c>
      <c r="C2423" t="s">
        <v>13</v>
      </c>
      <c r="D2423">
        <v>24</v>
      </c>
      <c r="E2423" t="s">
        <v>42</v>
      </c>
      <c r="F2423" t="s">
        <v>39</v>
      </c>
      <c r="G2423" t="s">
        <v>40</v>
      </c>
    </row>
    <row r="2424" spans="1:7" x14ac:dyDescent="0.3">
      <c r="A2424" t="s">
        <v>45</v>
      </c>
      <c r="B2424" t="s">
        <v>8</v>
      </c>
      <c r="C2424" t="s">
        <v>14</v>
      </c>
      <c r="D2424">
        <v>0</v>
      </c>
      <c r="E2424" t="s">
        <v>42</v>
      </c>
      <c r="F2424" t="s">
        <v>39</v>
      </c>
      <c r="G2424" t="s">
        <v>40</v>
      </c>
    </row>
    <row r="2425" spans="1:7" x14ac:dyDescent="0.3">
      <c r="A2425" t="s">
        <v>45</v>
      </c>
      <c r="B2425" t="s">
        <v>8</v>
      </c>
      <c r="C2425" t="s">
        <v>15</v>
      </c>
      <c r="D2425">
        <v>10</v>
      </c>
      <c r="E2425" t="s">
        <v>42</v>
      </c>
      <c r="F2425" t="s">
        <v>39</v>
      </c>
      <c r="G2425" t="s">
        <v>40</v>
      </c>
    </row>
    <row r="2426" spans="1:7" x14ac:dyDescent="0.3">
      <c r="A2426" t="s">
        <v>45</v>
      </c>
      <c r="B2426" t="s">
        <v>8</v>
      </c>
      <c r="C2426" t="s">
        <v>16</v>
      </c>
      <c r="D2426">
        <v>8</v>
      </c>
      <c r="E2426" t="s">
        <v>42</v>
      </c>
      <c r="F2426" t="s">
        <v>39</v>
      </c>
      <c r="G2426" t="s">
        <v>40</v>
      </c>
    </row>
    <row r="2427" spans="1:7" x14ac:dyDescent="0.3">
      <c r="A2427" t="s">
        <v>45</v>
      </c>
      <c r="B2427" t="s">
        <v>8</v>
      </c>
      <c r="C2427" t="s">
        <v>17</v>
      </c>
      <c r="D2427">
        <v>26</v>
      </c>
      <c r="E2427" t="s">
        <v>42</v>
      </c>
      <c r="F2427" t="s">
        <v>39</v>
      </c>
      <c r="G2427" t="s">
        <v>40</v>
      </c>
    </row>
    <row r="2428" spans="1:7" x14ac:dyDescent="0.3">
      <c r="A2428" t="s">
        <v>45</v>
      </c>
      <c r="B2428" t="s">
        <v>8</v>
      </c>
      <c r="C2428" t="s">
        <v>18</v>
      </c>
      <c r="D2428">
        <v>0</v>
      </c>
      <c r="E2428" t="s">
        <v>42</v>
      </c>
      <c r="F2428" t="s">
        <v>39</v>
      </c>
      <c r="G2428" t="s">
        <v>40</v>
      </c>
    </row>
    <row r="2429" spans="1:7" x14ac:dyDescent="0.3">
      <c r="A2429" t="s">
        <v>45</v>
      </c>
      <c r="B2429" t="s">
        <v>8</v>
      </c>
      <c r="C2429" t="s">
        <v>19</v>
      </c>
      <c r="D2429">
        <v>2</v>
      </c>
      <c r="E2429" t="s">
        <v>42</v>
      </c>
      <c r="F2429" t="s">
        <v>39</v>
      </c>
      <c r="G2429" t="s">
        <v>40</v>
      </c>
    </row>
    <row r="2430" spans="1:7" x14ac:dyDescent="0.3">
      <c r="A2430" t="s">
        <v>45</v>
      </c>
      <c r="B2430" t="s">
        <v>8</v>
      </c>
      <c r="C2430" t="s">
        <v>20</v>
      </c>
      <c r="D2430">
        <v>0</v>
      </c>
      <c r="E2430" t="s">
        <v>42</v>
      </c>
      <c r="F2430" t="s">
        <v>39</v>
      </c>
      <c r="G2430" t="s">
        <v>40</v>
      </c>
    </row>
    <row r="2431" spans="1:7" x14ac:dyDescent="0.3">
      <c r="A2431" t="s">
        <v>45</v>
      </c>
      <c r="B2431" t="s">
        <v>8</v>
      </c>
      <c r="C2431" t="s">
        <v>21</v>
      </c>
      <c r="D2431">
        <v>0</v>
      </c>
      <c r="E2431" t="s">
        <v>42</v>
      </c>
      <c r="F2431" t="s">
        <v>39</v>
      </c>
      <c r="G2431" t="s">
        <v>40</v>
      </c>
    </row>
    <row r="2432" spans="1:7" x14ac:dyDescent="0.3">
      <c r="A2432" t="s">
        <v>45</v>
      </c>
      <c r="B2432" t="s">
        <v>8</v>
      </c>
      <c r="C2432" t="s">
        <v>22</v>
      </c>
      <c r="D2432">
        <v>294</v>
      </c>
      <c r="E2432" t="s">
        <v>42</v>
      </c>
      <c r="F2432" t="s">
        <v>39</v>
      </c>
      <c r="G2432" t="s">
        <v>40</v>
      </c>
    </row>
    <row r="2433" spans="1:7" x14ac:dyDescent="0.3">
      <c r="A2433" t="s">
        <v>45</v>
      </c>
      <c r="B2433" t="s">
        <v>23</v>
      </c>
      <c r="C2433" t="s">
        <v>9</v>
      </c>
      <c r="D2433">
        <v>20370</v>
      </c>
      <c r="E2433" t="s">
        <v>42</v>
      </c>
      <c r="F2433" t="s">
        <v>39</v>
      </c>
      <c r="G2433" t="s">
        <v>40</v>
      </c>
    </row>
    <row r="2434" spans="1:7" x14ac:dyDescent="0.3">
      <c r="A2434" t="s">
        <v>45</v>
      </c>
      <c r="B2434" t="s">
        <v>23</v>
      </c>
      <c r="C2434" t="s">
        <v>13</v>
      </c>
      <c r="D2434">
        <v>402</v>
      </c>
      <c r="E2434" t="s">
        <v>42</v>
      </c>
      <c r="F2434" t="s">
        <v>39</v>
      </c>
      <c r="G2434" t="s">
        <v>40</v>
      </c>
    </row>
    <row r="2435" spans="1:7" x14ac:dyDescent="0.3">
      <c r="A2435" t="s">
        <v>45</v>
      </c>
      <c r="B2435" t="s">
        <v>23</v>
      </c>
      <c r="C2435" t="s">
        <v>14</v>
      </c>
      <c r="D2435">
        <v>1497</v>
      </c>
      <c r="E2435" t="s">
        <v>42</v>
      </c>
      <c r="F2435" t="s">
        <v>39</v>
      </c>
      <c r="G2435" t="s">
        <v>40</v>
      </c>
    </row>
    <row r="2436" spans="1:7" x14ac:dyDescent="0.3">
      <c r="A2436" t="s">
        <v>45</v>
      </c>
      <c r="B2436" t="s">
        <v>23</v>
      </c>
      <c r="C2436" t="s">
        <v>15</v>
      </c>
      <c r="D2436">
        <v>41</v>
      </c>
      <c r="E2436" t="s">
        <v>42</v>
      </c>
      <c r="F2436" t="s">
        <v>39</v>
      </c>
      <c r="G2436" t="s">
        <v>40</v>
      </c>
    </row>
    <row r="2437" spans="1:7" x14ac:dyDescent="0.3">
      <c r="A2437" t="s">
        <v>45</v>
      </c>
      <c r="B2437" t="s">
        <v>23</v>
      </c>
      <c r="C2437" t="s">
        <v>16</v>
      </c>
      <c r="D2437">
        <v>3493</v>
      </c>
      <c r="E2437" t="s">
        <v>42</v>
      </c>
      <c r="F2437" t="s">
        <v>39</v>
      </c>
      <c r="G2437" t="s">
        <v>40</v>
      </c>
    </row>
    <row r="2438" spans="1:7" x14ac:dyDescent="0.3">
      <c r="A2438" t="s">
        <v>45</v>
      </c>
      <c r="B2438" t="s">
        <v>23</v>
      </c>
      <c r="C2438" t="s">
        <v>17</v>
      </c>
      <c r="D2438">
        <v>479</v>
      </c>
      <c r="E2438" t="s">
        <v>42</v>
      </c>
      <c r="F2438" t="s">
        <v>39</v>
      </c>
      <c r="G2438" t="s">
        <v>40</v>
      </c>
    </row>
    <row r="2439" spans="1:7" x14ac:dyDescent="0.3">
      <c r="A2439" t="s">
        <v>45</v>
      </c>
      <c r="B2439" t="s">
        <v>23</v>
      </c>
      <c r="C2439" t="s">
        <v>18</v>
      </c>
      <c r="D2439">
        <v>0</v>
      </c>
      <c r="E2439" t="s">
        <v>42</v>
      </c>
      <c r="F2439" t="s">
        <v>39</v>
      </c>
      <c r="G2439" t="s">
        <v>40</v>
      </c>
    </row>
    <row r="2440" spans="1:7" x14ac:dyDescent="0.3">
      <c r="A2440" t="s">
        <v>45</v>
      </c>
      <c r="B2440" t="s">
        <v>23</v>
      </c>
      <c r="C2440" t="s">
        <v>19</v>
      </c>
      <c r="D2440">
        <v>1264</v>
      </c>
      <c r="E2440" t="s">
        <v>42</v>
      </c>
      <c r="F2440" t="s">
        <v>39</v>
      </c>
      <c r="G2440" t="s">
        <v>40</v>
      </c>
    </row>
    <row r="2441" spans="1:7" x14ac:dyDescent="0.3">
      <c r="A2441" t="s">
        <v>45</v>
      </c>
      <c r="B2441" t="s">
        <v>23</v>
      </c>
      <c r="C2441" t="s">
        <v>20</v>
      </c>
      <c r="D2441">
        <v>324</v>
      </c>
      <c r="E2441" t="s">
        <v>42</v>
      </c>
      <c r="F2441" t="s">
        <v>39</v>
      </c>
      <c r="G2441" t="s">
        <v>40</v>
      </c>
    </row>
    <row r="2442" spans="1:7" x14ac:dyDescent="0.3">
      <c r="A2442" t="s">
        <v>45</v>
      </c>
      <c r="B2442" t="s">
        <v>23</v>
      </c>
      <c r="C2442" t="s">
        <v>21</v>
      </c>
      <c r="D2442">
        <v>58</v>
      </c>
      <c r="E2442" t="s">
        <v>42</v>
      </c>
      <c r="F2442" t="s">
        <v>39</v>
      </c>
      <c r="G2442" t="s">
        <v>40</v>
      </c>
    </row>
    <row r="2443" spans="1:7" x14ac:dyDescent="0.3">
      <c r="A2443" t="s">
        <v>45</v>
      </c>
      <c r="B2443" t="s">
        <v>23</v>
      </c>
      <c r="C2443" t="s">
        <v>22</v>
      </c>
      <c r="D2443">
        <v>341</v>
      </c>
      <c r="E2443" t="s">
        <v>42</v>
      </c>
      <c r="F2443" t="s">
        <v>39</v>
      </c>
      <c r="G2443" t="s">
        <v>40</v>
      </c>
    </row>
    <row r="2444" spans="1:7" x14ac:dyDescent="0.3">
      <c r="A2444" t="s">
        <v>46</v>
      </c>
      <c r="B2444" t="s">
        <v>8</v>
      </c>
      <c r="C2444" t="s">
        <v>9</v>
      </c>
      <c r="D2444">
        <v>0</v>
      </c>
      <c r="E2444" t="s">
        <v>42</v>
      </c>
      <c r="F2444" t="s">
        <v>39</v>
      </c>
      <c r="G2444" t="s">
        <v>40</v>
      </c>
    </row>
    <row r="2445" spans="1:7" x14ac:dyDescent="0.3">
      <c r="A2445" t="s">
        <v>46</v>
      </c>
      <c r="B2445" t="s">
        <v>8</v>
      </c>
      <c r="C2445" t="s">
        <v>13</v>
      </c>
      <c r="D2445">
        <v>0</v>
      </c>
      <c r="E2445" t="s">
        <v>42</v>
      </c>
      <c r="F2445" t="s">
        <v>39</v>
      </c>
      <c r="G2445" t="s">
        <v>40</v>
      </c>
    </row>
    <row r="2446" spans="1:7" x14ac:dyDescent="0.3">
      <c r="A2446" t="s">
        <v>46</v>
      </c>
      <c r="B2446" t="s">
        <v>8</v>
      </c>
      <c r="C2446" t="s">
        <v>14</v>
      </c>
      <c r="D2446">
        <v>0</v>
      </c>
      <c r="E2446" t="s">
        <v>42</v>
      </c>
      <c r="F2446" t="s">
        <v>39</v>
      </c>
      <c r="G2446" t="s">
        <v>40</v>
      </c>
    </row>
    <row r="2447" spans="1:7" x14ac:dyDescent="0.3">
      <c r="A2447" t="s">
        <v>46</v>
      </c>
      <c r="B2447" t="s">
        <v>8</v>
      </c>
      <c r="C2447" t="s">
        <v>15</v>
      </c>
      <c r="D2447">
        <v>0</v>
      </c>
      <c r="E2447" t="s">
        <v>42</v>
      </c>
      <c r="F2447" t="s">
        <v>39</v>
      </c>
      <c r="G2447" t="s">
        <v>40</v>
      </c>
    </row>
    <row r="2448" spans="1:7" x14ac:dyDescent="0.3">
      <c r="A2448" t="s">
        <v>46</v>
      </c>
      <c r="B2448" t="s">
        <v>8</v>
      </c>
      <c r="C2448" t="s">
        <v>16</v>
      </c>
      <c r="D2448">
        <v>369</v>
      </c>
      <c r="E2448" t="s">
        <v>42</v>
      </c>
      <c r="F2448" t="s">
        <v>39</v>
      </c>
      <c r="G2448" t="s">
        <v>40</v>
      </c>
    </row>
    <row r="2449" spans="1:7" x14ac:dyDescent="0.3">
      <c r="A2449" t="s">
        <v>46</v>
      </c>
      <c r="B2449" t="s">
        <v>8</v>
      </c>
      <c r="C2449" t="s">
        <v>17</v>
      </c>
      <c r="D2449">
        <v>1</v>
      </c>
      <c r="E2449" t="s">
        <v>42</v>
      </c>
      <c r="F2449" t="s">
        <v>39</v>
      </c>
      <c r="G2449" t="s">
        <v>40</v>
      </c>
    </row>
    <row r="2450" spans="1:7" x14ac:dyDescent="0.3">
      <c r="A2450" t="s">
        <v>46</v>
      </c>
      <c r="B2450" t="s">
        <v>8</v>
      </c>
      <c r="C2450" t="s">
        <v>18</v>
      </c>
      <c r="D2450">
        <v>0</v>
      </c>
      <c r="E2450" t="s">
        <v>42</v>
      </c>
      <c r="F2450" t="s">
        <v>39</v>
      </c>
      <c r="G2450" t="s">
        <v>40</v>
      </c>
    </row>
    <row r="2451" spans="1:7" x14ac:dyDescent="0.3">
      <c r="A2451" t="s">
        <v>46</v>
      </c>
      <c r="B2451" t="s">
        <v>8</v>
      </c>
      <c r="C2451" t="s">
        <v>19</v>
      </c>
      <c r="D2451">
        <v>0</v>
      </c>
      <c r="E2451" t="s">
        <v>42</v>
      </c>
      <c r="F2451" t="s">
        <v>39</v>
      </c>
      <c r="G2451" t="s">
        <v>40</v>
      </c>
    </row>
    <row r="2452" spans="1:7" x14ac:dyDescent="0.3">
      <c r="A2452" t="s">
        <v>46</v>
      </c>
      <c r="B2452" t="s">
        <v>8</v>
      </c>
      <c r="C2452" t="s">
        <v>20</v>
      </c>
      <c r="D2452">
        <v>0</v>
      </c>
      <c r="E2452" t="s">
        <v>42</v>
      </c>
      <c r="F2452" t="s">
        <v>39</v>
      </c>
      <c r="G2452" t="s">
        <v>40</v>
      </c>
    </row>
    <row r="2453" spans="1:7" x14ac:dyDescent="0.3">
      <c r="A2453" t="s">
        <v>46</v>
      </c>
      <c r="B2453" t="s">
        <v>8</v>
      </c>
      <c r="C2453" t="s">
        <v>21</v>
      </c>
      <c r="D2453">
        <v>0</v>
      </c>
      <c r="E2453" t="s">
        <v>42</v>
      </c>
      <c r="F2453" t="s">
        <v>39</v>
      </c>
      <c r="G2453" t="s">
        <v>40</v>
      </c>
    </row>
    <row r="2454" spans="1:7" x14ac:dyDescent="0.3">
      <c r="A2454" t="s">
        <v>46</v>
      </c>
      <c r="B2454" t="s">
        <v>8</v>
      </c>
      <c r="C2454" t="s">
        <v>22</v>
      </c>
      <c r="D2454">
        <v>5</v>
      </c>
      <c r="E2454" t="s">
        <v>42</v>
      </c>
      <c r="F2454" t="s">
        <v>39</v>
      </c>
      <c r="G2454" t="s">
        <v>40</v>
      </c>
    </row>
    <row r="2455" spans="1:7" x14ac:dyDescent="0.3">
      <c r="A2455" t="s">
        <v>46</v>
      </c>
      <c r="B2455" t="s">
        <v>23</v>
      </c>
      <c r="C2455" t="s">
        <v>9</v>
      </c>
      <c r="D2455">
        <v>24</v>
      </c>
      <c r="E2455" t="s">
        <v>42</v>
      </c>
      <c r="F2455" t="s">
        <v>39</v>
      </c>
      <c r="G2455" t="s">
        <v>40</v>
      </c>
    </row>
    <row r="2456" spans="1:7" x14ac:dyDescent="0.3">
      <c r="A2456" t="s">
        <v>46</v>
      </c>
      <c r="B2456" t="s">
        <v>23</v>
      </c>
      <c r="C2456" t="s">
        <v>13</v>
      </c>
      <c r="D2456">
        <v>26</v>
      </c>
      <c r="E2456" t="s">
        <v>42</v>
      </c>
      <c r="F2456" t="s">
        <v>39</v>
      </c>
      <c r="G2456" t="s">
        <v>40</v>
      </c>
    </row>
    <row r="2457" spans="1:7" x14ac:dyDescent="0.3">
      <c r="A2457" t="s">
        <v>46</v>
      </c>
      <c r="B2457" t="s">
        <v>23</v>
      </c>
      <c r="C2457" t="s">
        <v>14</v>
      </c>
      <c r="D2457">
        <v>63</v>
      </c>
      <c r="E2457" t="s">
        <v>42</v>
      </c>
      <c r="F2457" t="s">
        <v>39</v>
      </c>
      <c r="G2457" t="s">
        <v>40</v>
      </c>
    </row>
    <row r="2458" spans="1:7" x14ac:dyDescent="0.3">
      <c r="A2458" t="s">
        <v>46</v>
      </c>
      <c r="B2458" t="s">
        <v>23</v>
      </c>
      <c r="C2458" t="s">
        <v>15</v>
      </c>
      <c r="D2458">
        <v>5</v>
      </c>
      <c r="E2458" t="s">
        <v>42</v>
      </c>
      <c r="F2458" t="s">
        <v>39</v>
      </c>
      <c r="G2458" t="s">
        <v>40</v>
      </c>
    </row>
    <row r="2459" spans="1:7" x14ac:dyDescent="0.3">
      <c r="A2459" t="s">
        <v>46</v>
      </c>
      <c r="B2459" t="s">
        <v>23</v>
      </c>
      <c r="C2459" t="s">
        <v>16</v>
      </c>
      <c r="D2459">
        <v>35127</v>
      </c>
      <c r="E2459" t="s">
        <v>42</v>
      </c>
      <c r="F2459" t="s">
        <v>39</v>
      </c>
      <c r="G2459" t="s">
        <v>40</v>
      </c>
    </row>
    <row r="2460" spans="1:7" x14ac:dyDescent="0.3">
      <c r="A2460" t="s">
        <v>46</v>
      </c>
      <c r="B2460" t="s">
        <v>23</v>
      </c>
      <c r="C2460" t="s">
        <v>17</v>
      </c>
      <c r="D2460">
        <v>6</v>
      </c>
      <c r="E2460" t="s">
        <v>42</v>
      </c>
      <c r="F2460" t="s">
        <v>39</v>
      </c>
      <c r="G2460" t="s">
        <v>40</v>
      </c>
    </row>
    <row r="2461" spans="1:7" x14ac:dyDescent="0.3">
      <c r="A2461" t="s">
        <v>46</v>
      </c>
      <c r="B2461" t="s">
        <v>23</v>
      </c>
      <c r="C2461" t="s">
        <v>18</v>
      </c>
      <c r="D2461">
        <v>0</v>
      </c>
      <c r="E2461" t="s">
        <v>42</v>
      </c>
      <c r="F2461" t="s">
        <v>39</v>
      </c>
      <c r="G2461" t="s">
        <v>40</v>
      </c>
    </row>
    <row r="2462" spans="1:7" x14ac:dyDescent="0.3">
      <c r="A2462" t="s">
        <v>46</v>
      </c>
      <c r="B2462" t="s">
        <v>23</v>
      </c>
      <c r="C2462" t="s">
        <v>19</v>
      </c>
      <c r="D2462">
        <v>3</v>
      </c>
      <c r="E2462" t="s">
        <v>42</v>
      </c>
      <c r="F2462" t="s">
        <v>39</v>
      </c>
      <c r="G2462" t="s">
        <v>40</v>
      </c>
    </row>
    <row r="2463" spans="1:7" x14ac:dyDescent="0.3">
      <c r="A2463" t="s">
        <v>46</v>
      </c>
      <c r="B2463" t="s">
        <v>23</v>
      </c>
      <c r="C2463" t="s">
        <v>20</v>
      </c>
      <c r="D2463">
        <v>165</v>
      </c>
      <c r="E2463" t="s">
        <v>42</v>
      </c>
      <c r="F2463" t="s">
        <v>39</v>
      </c>
      <c r="G2463" t="s">
        <v>40</v>
      </c>
    </row>
    <row r="2464" spans="1:7" x14ac:dyDescent="0.3">
      <c r="A2464" t="s">
        <v>46</v>
      </c>
      <c r="B2464" t="s">
        <v>23</v>
      </c>
      <c r="C2464" t="s">
        <v>21</v>
      </c>
      <c r="D2464">
        <v>1</v>
      </c>
      <c r="E2464" t="s">
        <v>42</v>
      </c>
      <c r="F2464" t="s">
        <v>39</v>
      </c>
      <c r="G2464" t="s">
        <v>40</v>
      </c>
    </row>
    <row r="2465" spans="1:7" x14ac:dyDescent="0.3">
      <c r="A2465" t="s">
        <v>46</v>
      </c>
      <c r="B2465" t="s">
        <v>23</v>
      </c>
      <c r="C2465" t="s">
        <v>22</v>
      </c>
      <c r="D2465">
        <v>50</v>
      </c>
      <c r="E2465" t="s">
        <v>42</v>
      </c>
      <c r="F2465" t="s">
        <v>39</v>
      </c>
      <c r="G2465" t="s">
        <v>40</v>
      </c>
    </row>
    <row r="2466" spans="1:7" x14ac:dyDescent="0.3">
      <c r="A2466" t="s">
        <v>47</v>
      </c>
      <c r="B2466" t="s">
        <v>8</v>
      </c>
      <c r="C2466" t="s">
        <v>9</v>
      </c>
      <c r="D2466">
        <v>106</v>
      </c>
      <c r="E2466" t="s">
        <v>42</v>
      </c>
      <c r="F2466" t="s">
        <v>39</v>
      </c>
      <c r="G2466" t="s">
        <v>40</v>
      </c>
    </row>
    <row r="2467" spans="1:7" x14ac:dyDescent="0.3">
      <c r="A2467" t="s">
        <v>47</v>
      </c>
      <c r="B2467" t="s">
        <v>8</v>
      </c>
      <c r="C2467" t="s">
        <v>13</v>
      </c>
      <c r="D2467">
        <v>14</v>
      </c>
      <c r="E2467" t="s">
        <v>42</v>
      </c>
      <c r="F2467" t="s">
        <v>39</v>
      </c>
      <c r="G2467" t="s">
        <v>40</v>
      </c>
    </row>
    <row r="2468" spans="1:7" x14ac:dyDescent="0.3">
      <c r="A2468" t="s">
        <v>47</v>
      </c>
      <c r="B2468" t="s">
        <v>8</v>
      </c>
      <c r="C2468" t="s">
        <v>14</v>
      </c>
      <c r="D2468">
        <v>0</v>
      </c>
      <c r="E2468" t="s">
        <v>42</v>
      </c>
      <c r="F2468" t="s">
        <v>39</v>
      </c>
      <c r="G2468" t="s">
        <v>40</v>
      </c>
    </row>
    <row r="2469" spans="1:7" x14ac:dyDescent="0.3">
      <c r="A2469" t="s">
        <v>47</v>
      </c>
      <c r="B2469" t="s">
        <v>8</v>
      </c>
      <c r="C2469" t="s">
        <v>15</v>
      </c>
      <c r="D2469">
        <v>10</v>
      </c>
      <c r="E2469" t="s">
        <v>42</v>
      </c>
      <c r="F2469" t="s">
        <v>39</v>
      </c>
      <c r="G2469" t="s">
        <v>40</v>
      </c>
    </row>
    <row r="2470" spans="1:7" x14ac:dyDescent="0.3">
      <c r="A2470" t="s">
        <v>47</v>
      </c>
      <c r="B2470" t="s">
        <v>8</v>
      </c>
      <c r="C2470" t="s">
        <v>16</v>
      </c>
      <c r="D2470">
        <v>8</v>
      </c>
      <c r="E2470" t="s">
        <v>42</v>
      </c>
      <c r="F2470" t="s">
        <v>39</v>
      </c>
      <c r="G2470" t="s">
        <v>40</v>
      </c>
    </row>
    <row r="2471" spans="1:7" x14ac:dyDescent="0.3">
      <c r="A2471" t="s">
        <v>47</v>
      </c>
      <c r="B2471" t="s">
        <v>8</v>
      </c>
      <c r="C2471" t="s">
        <v>17</v>
      </c>
      <c r="D2471">
        <v>26</v>
      </c>
      <c r="E2471" t="s">
        <v>42</v>
      </c>
      <c r="F2471" t="s">
        <v>39</v>
      </c>
      <c r="G2471" t="s">
        <v>40</v>
      </c>
    </row>
    <row r="2472" spans="1:7" x14ac:dyDescent="0.3">
      <c r="A2472" t="s">
        <v>47</v>
      </c>
      <c r="B2472" t="s">
        <v>8</v>
      </c>
      <c r="C2472" t="s">
        <v>18</v>
      </c>
      <c r="D2472">
        <v>0</v>
      </c>
      <c r="E2472" t="s">
        <v>42</v>
      </c>
      <c r="F2472" t="s">
        <v>39</v>
      </c>
      <c r="G2472" t="s">
        <v>40</v>
      </c>
    </row>
    <row r="2473" spans="1:7" x14ac:dyDescent="0.3">
      <c r="A2473" t="s">
        <v>47</v>
      </c>
      <c r="B2473" t="s">
        <v>8</v>
      </c>
      <c r="C2473" t="s">
        <v>19</v>
      </c>
      <c r="D2473">
        <v>0</v>
      </c>
      <c r="E2473" t="s">
        <v>42</v>
      </c>
      <c r="F2473" t="s">
        <v>39</v>
      </c>
      <c r="G2473" t="s">
        <v>40</v>
      </c>
    </row>
    <row r="2474" spans="1:7" x14ac:dyDescent="0.3">
      <c r="A2474" t="s">
        <v>47</v>
      </c>
      <c r="B2474" t="s">
        <v>8</v>
      </c>
      <c r="C2474" t="s">
        <v>20</v>
      </c>
      <c r="D2474">
        <v>0</v>
      </c>
      <c r="E2474" t="s">
        <v>42</v>
      </c>
      <c r="F2474" t="s">
        <v>39</v>
      </c>
      <c r="G2474" t="s">
        <v>40</v>
      </c>
    </row>
    <row r="2475" spans="1:7" x14ac:dyDescent="0.3">
      <c r="A2475" t="s">
        <v>47</v>
      </c>
      <c r="B2475" t="s">
        <v>8</v>
      </c>
      <c r="C2475" t="s">
        <v>21</v>
      </c>
      <c r="D2475">
        <v>0</v>
      </c>
      <c r="E2475" t="s">
        <v>42</v>
      </c>
      <c r="F2475" t="s">
        <v>39</v>
      </c>
      <c r="G2475" t="s">
        <v>40</v>
      </c>
    </row>
    <row r="2476" spans="1:7" x14ac:dyDescent="0.3">
      <c r="A2476" t="s">
        <v>47</v>
      </c>
      <c r="B2476" t="s">
        <v>8</v>
      </c>
      <c r="C2476" t="s">
        <v>22</v>
      </c>
      <c r="D2476">
        <v>290</v>
      </c>
      <c r="E2476" t="s">
        <v>42</v>
      </c>
      <c r="F2476" t="s">
        <v>39</v>
      </c>
      <c r="G2476" t="s">
        <v>40</v>
      </c>
    </row>
    <row r="2477" spans="1:7" x14ac:dyDescent="0.3">
      <c r="A2477" t="s">
        <v>47</v>
      </c>
      <c r="B2477" t="s">
        <v>23</v>
      </c>
      <c r="C2477" t="s">
        <v>9</v>
      </c>
      <c r="D2477">
        <v>20216</v>
      </c>
      <c r="E2477" t="s">
        <v>42</v>
      </c>
      <c r="F2477" t="s">
        <v>39</v>
      </c>
      <c r="G2477" t="s">
        <v>40</v>
      </c>
    </row>
    <row r="2478" spans="1:7" x14ac:dyDescent="0.3">
      <c r="A2478" t="s">
        <v>47</v>
      </c>
      <c r="B2478" t="s">
        <v>23</v>
      </c>
      <c r="C2478" t="s">
        <v>13</v>
      </c>
      <c r="D2478">
        <v>372</v>
      </c>
      <c r="E2478" t="s">
        <v>42</v>
      </c>
      <c r="F2478" t="s">
        <v>39</v>
      </c>
      <c r="G2478" t="s">
        <v>40</v>
      </c>
    </row>
    <row r="2479" spans="1:7" x14ac:dyDescent="0.3">
      <c r="A2479" t="s">
        <v>47</v>
      </c>
      <c r="B2479" t="s">
        <v>23</v>
      </c>
      <c r="C2479" t="s">
        <v>14</v>
      </c>
      <c r="D2479">
        <v>1477</v>
      </c>
      <c r="E2479" t="s">
        <v>42</v>
      </c>
      <c r="F2479" t="s">
        <v>39</v>
      </c>
      <c r="G2479" t="s">
        <v>40</v>
      </c>
    </row>
    <row r="2480" spans="1:7" x14ac:dyDescent="0.3">
      <c r="A2480" t="s">
        <v>47</v>
      </c>
      <c r="B2480" t="s">
        <v>23</v>
      </c>
      <c r="C2480" t="s">
        <v>15</v>
      </c>
      <c r="D2480">
        <v>32</v>
      </c>
      <c r="E2480" t="s">
        <v>42</v>
      </c>
      <c r="F2480" t="s">
        <v>39</v>
      </c>
      <c r="G2480" t="s">
        <v>40</v>
      </c>
    </row>
    <row r="2481" spans="1:7" x14ac:dyDescent="0.3">
      <c r="A2481" t="s">
        <v>47</v>
      </c>
      <c r="B2481" t="s">
        <v>23</v>
      </c>
      <c r="C2481" t="s">
        <v>16</v>
      </c>
      <c r="D2481">
        <v>3466</v>
      </c>
      <c r="E2481" t="s">
        <v>42</v>
      </c>
      <c r="F2481" t="s">
        <v>39</v>
      </c>
      <c r="G2481" t="s">
        <v>40</v>
      </c>
    </row>
    <row r="2482" spans="1:7" x14ac:dyDescent="0.3">
      <c r="A2482" t="s">
        <v>47</v>
      </c>
      <c r="B2482" t="s">
        <v>23</v>
      </c>
      <c r="C2482" t="s">
        <v>17</v>
      </c>
      <c r="D2482">
        <v>476</v>
      </c>
      <c r="E2482" t="s">
        <v>42</v>
      </c>
      <c r="F2482" t="s">
        <v>39</v>
      </c>
      <c r="G2482" t="s">
        <v>40</v>
      </c>
    </row>
    <row r="2483" spans="1:7" x14ac:dyDescent="0.3">
      <c r="A2483" t="s">
        <v>47</v>
      </c>
      <c r="B2483" t="s">
        <v>23</v>
      </c>
      <c r="C2483" t="s">
        <v>18</v>
      </c>
      <c r="D2483">
        <v>0</v>
      </c>
      <c r="E2483" t="s">
        <v>42</v>
      </c>
      <c r="F2483" t="s">
        <v>39</v>
      </c>
      <c r="G2483" t="s">
        <v>40</v>
      </c>
    </row>
    <row r="2484" spans="1:7" x14ac:dyDescent="0.3">
      <c r="A2484" t="s">
        <v>47</v>
      </c>
      <c r="B2484" t="s">
        <v>23</v>
      </c>
      <c r="C2484" t="s">
        <v>19</v>
      </c>
      <c r="D2484">
        <v>44</v>
      </c>
      <c r="E2484" t="s">
        <v>42</v>
      </c>
      <c r="F2484" t="s">
        <v>39</v>
      </c>
      <c r="G2484" t="s">
        <v>40</v>
      </c>
    </row>
    <row r="2485" spans="1:7" x14ac:dyDescent="0.3">
      <c r="A2485" t="s">
        <v>47</v>
      </c>
      <c r="B2485" t="s">
        <v>23</v>
      </c>
      <c r="C2485" t="s">
        <v>20</v>
      </c>
      <c r="D2485">
        <v>318</v>
      </c>
      <c r="E2485" t="s">
        <v>42</v>
      </c>
      <c r="F2485" t="s">
        <v>39</v>
      </c>
      <c r="G2485" t="s">
        <v>40</v>
      </c>
    </row>
    <row r="2486" spans="1:7" x14ac:dyDescent="0.3">
      <c r="A2486" t="s">
        <v>47</v>
      </c>
      <c r="B2486" t="s">
        <v>23</v>
      </c>
      <c r="C2486" t="s">
        <v>21</v>
      </c>
      <c r="D2486">
        <v>58</v>
      </c>
      <c r="E2486" t="s">
        <v>42</v>
      </c>
      <c r="F2486" t="s">
        <v>39</v>
      </c>
      <c r="G2486" t="s">
        <v>40</v>
      </c>
    </row>
    <row r="2487" spans="1:7" x14ac:dyDescent="0.3">
      <c r="A2487" t="s">
        <v>47</v>
      </c>
      <c r="B2487" t="s">
        <v>23</v>
      </c>
      <c r="C2487" t="s">
        <v>22</v>
      </c>
      <c r="D2487">
        <v>323</v>
      </c>
      <c r="E2487" t="s">
        <v>42</v>
      </c>
      <c r="F2487" t="s">
        <v>39</v>
      </c>
      <c r="G2487" t="s">
        <v>40</v>
      </c>
    </row>
    <row r="2488" spans="1:7" x14ac:dyDescent="0.3">
      <c r="A2488" t="s">
        <v>48</v>
      </c>
      <c r="B2488" t="s">
        <v>8</v>
      </c>
      <c r="C2488" t="s">
        <v>9</v>
      </c>
      <c r="D2488">
        <v>0</v>
      </c>
      <c r="E2488" t="s">
        <v>42</v>
      </c>
      <c r="F2488" t="s">
        <v>39</v>
      </c>
      <c r="G2488" t="s">
        <v>40</v>
      </c>
    </row>
    <row r="2489" spans="1:7" x14ac:dyDescent="0.3">
      <c r="A2489" t="s">
        <v>48</v>
      </c>
      <c r="B2489" t="s">
        <v>8</v>
      </c>
      <c r="C2489" t="s">
        <v>13</v>
      </c>
      <c r="D2489">
        <v>0</v>
      </c>
      <c r="E2489" t="s">
        <v>42</v>
      </c>
      <c r="F2489" t="s">
        <v>39</v>
      </c>
      <c r="G2489" t="s">
        <v>40</v>
      </c>
    </row>
    <row r="2490" spans="1:7" x14ac:dyDescent="0.3">
      <c r="A2490" t="s">
        <v>48</v>
      </c>
      <c r="B2490" t="s">
        <v>8</v>
      </c>
      <c r="C2490" t="s">
        <v>14</v>
      </c>
      <c r="D2490">
        <v>28</v>
      </c>
      <c r="E2490" t="s">
        <v>42</v>
      </c>
      <c r="F2490" t="s">
        <v>39</v>
      </c>
      <c r="G2490" t="s">
        <v>40</v>
      </c>
    </row>
    <row r="2491" spans="1:7" x14ac:dyDescent="0.3">
      <c r="A2491" t="s">
        <v>48</v>
      </c>
      <c r="B2491" t="s">
        <v>8</v>
      </c>
      <c r="C2491" t="s">
        <v>15</v>
      </c>
      <c r="D2491">
        <v>0</v>
      </c>
      <c r="E2491" t="s">
        <v>42</v>
      </c>
      <c r="F2491" t="s">
        <v>39</v>
      </c>
      <c r="G2491" t="s">
        <v>40</v>
      </c>
    </row>
    <row r="2492" spans="1:7" x14ac:dyDescent="0.3">
      <c r="A2492" t="s">
        <v>48</v>
      </c>
      <c r="B2492" t="s">
        <v>8</v>
      </c>
      <c r="C2492" t="s">
        <v>16</v>
      </c>
      <c r="D2492">
        <v>95</v>
      </c>
      <c r="E2492" t="s">
        <v>42</v>
      </c>
      <c r="F2492" t="s">
        <v>39</v>
      </c>
      <c r="G2492" t="s">
        <v>40</v>
      </c>
    </row>
    <row r="2493" spans="1:7" x14ac:dyDescent="0.3">
      <c r="A2493" t="s">
        <v>48</v>
      </c>
      <c r="B2493" t="s">
        <v>8</v>
      </c>
      <c r="C2493" t="s">
        <v>17</v>
      </c>
      <c r="D2493">
        <v>0</v>
      </c>
      <c r="E2493" t="s">
        <v>42</v>
      </c>
      <c r="F2493" t="s">
        <v>39</v>
      </c>
      <c r="G2493" t="s">
        <v>40</v>
      </c>
    </row>
    <row r="2494" spans="1:7" x14ac:dyDescent="0.3">
      <c r="A2494" t="s">
        <v>48</v>
      </c>
      <c r="B2494" t="s">
        <v>8</v>
      </c>
      <c r="C2494" t="s">
        <v>18</v>
      </c>
      <c r="D2494">
        <v>0</v>
      </c>
      <c r="E2494" t="s">
        <v>42</v>
      </c>
      <c r="F2494" t="s">
        <v>39</v>
      </c>
      <c r="G2494" t="s">
        <v>40</v>
      </c>
    </row>
    <row r="2495" spans="1:7" x14ac:dyDescent="0.3">
      <c r="A2495" t="s">
        <v>48</v>
      </c>
      <c r="B2495" t="s">
        <v>8</v>
      </c>
      <c r="C2495" t="s">
        <v>19</v>
      </c>
      <c r="D2495">
        <v>0</v>
      </c>
      <c r="E2495" t="s">
        <v>42</v>
      </c>
      <c r="F2495" t="s">
        <v>39</v>
      </c>
      <c r="G2495" t="s">
        <v>40</v>
      </c>
    </row>
    <row r="2496" spans="1:7" x14ac:dyDescent="0.3">
      <c r="A2496" t="s">
        <v>48</v>
      </c>
      <c r="B2496" t="s">
        <v>8</v>
      </c>
      <c r="C2496" t="s">
        <v>20</v>
      </c>
      <c r="D2496">
        <v>0</v>
      </c>
      <c r="E2496" t="s">
        <v>42</v>
      </c>
      <c r="F2496" t="s">
        <v>39</v>
      </c>
      <c r="G2496" t="s">
        <v>40</v>
      </c>
    </row>
    <row r="2497" spans="1:7" x14ac:dyDescent="0.3">
      <c r="A2497" t="s">
        <v>48</v>
      </c>
      <c r="B2497" t="s">
        <v>8</v>
      </c>
      <c r="C2497" t="s">
        <v>21</v>
      </c>
      <c r="D2497">
        <v>0</v>
      </c>
      <c r="E2497" t="s">
        <v>42</v>
      </c>
      <c r="F2497" t="s">
        <v>39</v>
      </c>
      <c r="G2497" t="s">
        <v>40</v>
      </c>
    </row>
    <row r="2498" spans="1:7" x14ac:dyDescent="0.3">
      <c r="A2498" t="s">
        <v>48</v>
      </c>
      <c r="B2498" t="s">
        <v>8</v>
      </c>
      <c r="C2498" t="s">
        <v>22</v>
      </c>
      <c r="D2498">
        <v>9</v>
      </c>
      <c r="E2498" t="s">
        <v>42</v>
      </c>
      <c r="F2498" t="s">
        <v>39</v>
      </c>
      <c r="G2498" t="s">
        <v>40</v>
      </c>
    </row>
    <row r="2499" spans="1:7" x14ac:dyDescent="0.3">
      <c r="A2499" t="s">
        <v>48</v>
      </c>
      <c r="B2499" t="s">
        <v>23</v>
      </c>
      <c r="C2499" t="s">
        <v>9</v>
      </c>
      <c r="D2499">
        <v>36</v>
      </c>
      <c r="E2499" t="s">
        <v>42</v>
      </c>
      <c r="F2499" t="s">
        <v>39</v>
      </c>
      <c r="G2499" t="s">
        <v>40</v>
      </c>
    </row>
    <row r="2500" spans="1:7" x14ac:dyDescent="0.3">
      <c r="A2500" t="s">
        <v>48</v>
      </c>
      <c r="B2500" t="s">
        <v>23</v>
      </c>
      <c r="C2500" t="s">
        <v>13</v>
      </c>
      <c r="D2500">
        <v>21</v>
      </c>
      <c r="E2500" t="s">
        <v>42</v>
      </c>
      <c r="F2500" t="s">
        <v>39</v>
      </c>
      <c r="G2500" t="s">
        <v>40</v>
      </c>
    </row>
    <row r="2501" spans="1:7" x14ac:dyDescent="0.3">
      <c r="A2501" t="s">
        <v>48</v>
      </c>
      <c r="B2501" t="s">
        <v>23</v>
      </c>
      <c r="C2501" t="s">
        <v>14</v>
      </c>
      <c r="D2501">
        <v>15851</v>
      </c>
      <c r="E2501" t="s">
        <v>42</v>
      </c>
      <c r="F2501" t="s">
        <v>39</v>
      </c>
      <c r="G2501" t="s">
        <v>40</v>
      </c>
    </row>
    <row r="2502" spans="1:7" x14ac:dyDescent="0.3">
      <c r="A2502" t="s">
        <v>48</v>
      </c>
      <c r="B2502" t="s">
        <v>23</v>
      </c>
      <c r="C2502" t="s">
        <v>15</v>
      </c>
      <c r="D2502">
        <v>8</v>
      </c>
      <c r="E2502" t="s">
        <v>42</v>
      </c>
      <c r="F2502" t="s">
        <v>39</v>
      </c>
      <c r="G2502" t="s">
        <v>40</v>
      </c>
    </row>
    <row r="2503" spans="1:7" x14ac:dyDescent="0.3">
      <c r="A2503" t="s">
        <v>48</v>
      </c>
      <c r="B2503" t="s">
        <v>23</v>
      </c>
      <c r="C2503" t="s">
        <v>16</v>
      </c>
      <c r="D2503">
        <v>12841</v>
      </c>
      <c r="E2503" t="s">
        <v>42</v>
      </c>
      <c r="F2503" t="s">
        <v>39</v>
      </c>
      <c r="G2503" t="s">
        <v>40</v>
      </c>
    </row>
    <row r="2504" spans="1:7" x14ac:dyDescent="0.3">
      <c r="A2504" t="s">
        <v>48</v>
      </c>
      <c r="B2504" t="s">
        <v>23</v>
      </c>
      <c r="C2504" t="s">
        <v>17</v>
      </c>
      <c r="D2504">
        <v>4</v>
      </c>
      <c r="E2504" t="s">
        <v>42</v>
      </c>
      <c r="F2504" t="s">
        <v>39</v>
      </c>
      <c r="G2504" t="s">
        <v>40</v>
      </c>
    </row>
    <row r="2505" spans="1:7" x14ac:dyDescent="0.3">
      <c r="A2505" t="s">
        <v>48</v>
      </c>
      <c r="B2505" t="s">
        <v>23</v>
      </c>
      <c r="C2505" t="s">
        <v>18</v>
      </c>
      <c r="D2505">
        <v>0</v>
      </c>
      <c r="E2505" t="s">
        <v>42</v>
      </c>
      <c r="F2505" t="s">
        <v>39</v>
      </c>
      <c r="G2505" t="s">
        <v>40</v>
      </c>
    </row>
    <row r="2506" spans="1:7" x14ac:dyDescent="0.3">
      <c r="A2506" t="s">
        <v>48</v>
      </c>
      <c r="B2506" t="s">
        <v>23</v>
      </c>
      <c r="C2506" t="s">
        <v>19</v>
      </c>
      <c r="D2506">
        <v>2</v>
      </c>
      <c r="E2506" t="s">
        <v>42</v>
      </c>
      <c r="F2506" t="s">
        <v>39</v>
      </c>
      <c r="G2506" t="s">
        <v>40</v>
      </c>
    </row>
    <row r="2507" spans="1:7" x14ac:dyDescent="0.3">
      <c r="A2507" t="s">
        <v>48</v>
      </c>
      <c r="B2507" t="s">
        <v>23</v>
      </c>
      <c r="C2507" t="s">
        <v>20</v>
      </c>
      <c r="D2507">
        <v>72</v>
      </c>
      <c r="E2507" t="s">
        <v>42</v>
      </c>
      <c r="F2507" t="s">
        <v>39</v>
      </c>
      <c r="G2507" t="s">
        <v>40</v>
      </c>
    </row>
    <row r="2508" spans="1:7" x14ac:dyDescent="0.3">
      <c r="A2508" t="s">
        <v>48</v>
      </c>
      <c r="B2508" t="s">
        <v>23</v>
      </c>
      <c r="C2508" t="s">
        <v>21</v>
      </c>
      <c r="D2508">
        <v>5</v>
      </c>
      <c r="E2508" t="s">
        <v>42</v>
      </c>
      <c r="F2508" t="s">
        <v>39</v>
      </c>
      <c r="G2508" t="s">
        <v>40</v>
      </c>
    </row>
    <row r="2509" spans="1:7" x14ac:dyDescent="0.3">
      <c r="A2509" t="s">
        <v>48</v>
      </c>
      <c r="B2509" t="s">
        <v>23</v>
      </c>
      <c r="C2509" t="s">
        <v>22</v>
      </c>
      <c r="D2509">
        <v>42</v>
      </c>
      <c r="E2509" t="s">
        <v>42</v>
      </c>
      <c r="F2509" t="s">
        <v>39</v>
      </c>
      <c r="G2509" t="s">
        <v>40</v>
      </c>
    </row>
    <row r="2510" spans="1:7" x14ac:dyDescent="0.3">
      <c r="A2510" t="s">
        <v>49</v>
      </c>
      <c r="B2510" t="s">
        <v>8</v>
      </c>
      <c r="C2510" t="s">
        <v>9</v>
      </c>
      <c r="D2510">
        <v>153</v>
      </c>
      <c r="E2510" t="s">
        <v>42</v>
      </c>
      <c r="F2510" t="s">
        <v>39</v>
      </c>
      <c r="G2510" t="s">
        <v>40</v>
      </c>
    </row>
    <row r="2511" spans="1:7" x14ac:dyDescent="0.3">
      <c r="A2511" t="s">
        <v>49</v>
      </c>
      <c r="B2511" t="s">
        <v>8</v>
      </c>
      <c r="C2511" t="s">
        <v>13</v>
      </c>
      <c r="D2511">
        <v>21</v>
      </c>
      <c r="E2511" t="s">
        <v>42</v>
      </c>
      <c r="F2511" t="s">
        <v>39</v>
      </c>
      <c r="G2511" t="s">
        <v>40</v>
      </c>
    </row>
    <row r="2512" spans="1:7" x14ac:dyDescent="0.3">
      <c r="A2512" t="s">
        <v>49</v>
      </c>
      <c r="B2512" t="s">
        <v>8</v>
      </c>
      <c r="C2512" t="s">
        <v>14</v>
      </c>
      <c r="D2512">
        <v>0</v>
      </c>
      <c r="E2512" t="s">
        <v>42</v>
      </c>
      <c r="F2512" t="s">
        <v>39</v>
      </c>
      <c r="G2512" t="s">
        <v>40</v>
      </c>
    </row>
    <row r="2513" spans="1:7" x14ac:dyDescent="0.3">
      <c r="A2513" t="s">
        <v>49</v>
      </c>
      <c r="B2513" t="s">
        <v>8</v>
      </c>
      <c r="C2513" t="s">
        <v>15</v>
      </c>
      <c r="D2513">
        <v>14</v>
      </c>
      <c r="E2513" t="s">
        <v>42</v>
      </c>
      <c r="F2513" t="s">
        <v>39</v>
      </c>
      <c r="G2513" t="s">
        <v>40</v>
      </c>
    </row>
    <row r="2514" spans="1:7" x14ac:dyDescent="0.3">
      <c r="A2514" t="s">
        <v>49</v>
      </c>
      <c r="B2514" t="s">
        <v>8</v>
      </c>
      <c r="C2514" t="s">
        <v>16</v>
      </c>
      <c r="D2514">
        <v>11</v>
      </c>
      <c r="E2514" t="s">
        <v>42</v>
      </c>
      <c r="F2514" t="s">
        <v>39</v>
      </c>
      <c r="G2514" t="s">
        <v>40</v>
      </c>
    </row>
    <row r="2515" spans="1:7" x14ac:dyDescent="0.3">
      <c r="A2515" t="s">
        <v>49</v>
      </c>
      <c r="B2515" t="s">
        <v>8</v>
      </c>
      <c r="C2515" t="s">
        <v>17</v>
      </c>
      <c r="D2515">
        <v>37</v>
      </c>
      <c r="E2515" t="s">
        <v>42</v>
      </c>
      <c r="F2515" t="s">
        <v>39</v>
      </c>
      <c r="G2515" t="s">
        <v>40</v>
      </c>
    </row>
    <row r="2516" spans="1:7" x14ac:dyDescent="0.3">
      <c r="A2516" t="s">
        <v>49</v>
      </c>
      <c r="B2516" t="s">
        <v>8</v>
      </c>
      <c r="C2516" t="s">
        <v>18</v>
      </c>
      <c r="D2516">
        <v>0</v>
      </c>
      <c r="E2516" t="s">
        <v>42</v>
      </c>
      <c r="F2516" t="s">
        <v>39</v>
      </c>
      <c r="G2516" t="s">
        <v>40</v>
      </c>
    </row>
    <row r="2517" spans="1:7" x14ac:dyDescent="0.3">
      <c r="A2517" t="s">
        <v>49</v>
      </c>
      <c r="B2517" t="s">
        <v>8</v>
      </c>
      <c r="C2517" t="s">
        <v>19</v>
      </c>
      <c r="D2517">
        <v>0</v>
      </c>
      <c r="E2517" t="s">
        <v>42</v>
      </c>
      <c r="F2517" t="s">
        <v>39</v>
      </c>
      <c r="G2517" t="s">
        <v>40</v>
      </c>
    </row>
    <row r="2518" spans="1:7" x14ac:dyDescent="0.3">
      <c r="A2518" t="s">
        <v>49</v>
      </c>
      <c r="B2518" t="s">
        <v>8</v>
      </c>
      <c r="C2518" t="s">
        <v>20</v>
      </c>
      <c r="D2518">
        <v>0</v>
      </c>
      <c r="E2518" t="s">
        <v>42</v>
      </c>
      <c r="F2518" t="s">
        <v>39</v>
      </c>
      <c r="G2518" t="s">
        <v>40</v>
      </c>
    </row>
    <row r="2519" spans="1:7" x14ac:dyDescent="0.3">
      <c r="A2519" t="s">
        <v>49</v>
      </c>
      <c r="B2519" t="s">
        <v>8</v>
      </c>
      <c r="C2519" t="s">
        <v>21</v>
      </c>
      <c r="D2519">
        <v>0</v>
      </c>
      <c r="E2519" t="s">
        <v>42</v>
      </c>
      <c r="F2519" t="s">
        <v>39</v>
      </c>
      <c r="G2519" t="s">
        <v>40</v>
      </c>
    </row>
    <row r="2520" spans="1:7" x14ac:dyDescent="0.3">
      <c r="A2520" t="s">
        <v>49</v>
      </c>
      <c r="B2520" t="s">
        <v>8</v>
      </c>
      <c r="C2520" t="s">
        <v>22</v>
      </c>
      <c r="D2520">
        <v>419</v>
      </c>
      <c r="E2520" t="s">
        <v>42</v>
      </c>
      <c r="F2520" t="s">
        <v>39</v>
      </c>
      <c r="G2520" t="s">
        <v>40</v>
      </c>
    </row>
    <row r="2521" spans="1:7" x14ac:dyDescent="0.3">
      <c r="A2521" t="s">
        <v>49</v>
      </c>
      <c r="B2521" t="s">
        <v>23</v>
      </c>
      <c r="C2521" t="s">
        <v>9</v>
      </c>
      <c r="D2521">
        <v>29164</v>
      </c>
      <c r="E2521" t="s">
        <v>42</v>
      </c>
      <c r="F2521" t="s">
        <v>39</v>
      </c>
      <c r="G2521" t="s">
        <v>40</v>
      </c>
    </row>
    <row r="2522" spans="1:7" x14ac:dyDescent="0.3">
      <c r="A2522" t="s">
        <v>49</v>
      </c>
      <c r="B2522" t="s">
        <v>23</v>
      </c>
      <c r="C2522" t="s">
        <v>13</v>
      </c>
      <c r="D2522">
        <v>537</v>
      </c>
      <c r="E2522" t="s">
        <v>42</v>
      </c>
      <c r="F2522" t="s">
        <v>39</v>
      </c>
      <c r="G2522" t="s">
        <v>40</v>
      </c>
    </row>
    <row r="2523" spans="1:7" x14ac:dyDescent="0.3">
      <c r="A2523" t="s">
        <v>49</v>
      </c>
      <c r="B2523" t="s">
        <v>23</v>
      </c>
      <c r="C2523" t="s">
        <v>14</v>
      </c>
      <c r="D2523">
        <v>2131</v>
      </c>
      <c r="E2523" t="s">
        <v>42</v>
      </c>
      <c r="F2523" t="s">
        <v>39</v>
      </c>
      <c r="G2523" t="s">
        <v>40</v>
      </c>
    </row>
    <row r="2524" spans="1:7" x14ac:dyDescent="0.3">
      <c r="A2524" t="s">
        <v>49</v>
      </c>
      <c r="B2524" t="s">
        <v>23</v>
      </c>
      <c r="C2524" t="s">
        <v>15</v>
      </c>
      <c r="D2524">
        <v>47</v>
      </c>
      <c r="E2524" t="s">
        <v>42</v>
      </c>
      <c r="F2524" t="s">
        <v>39</v>
      </c>
      <c r="G2524" t="s">
        <v>40</v>
      </c>
    </row>
    <row r="2525" spans="1:7" x14ac:dyDescent="0.3">
      <c r="A2525" t="s">
        <v>49</v>
      </c>
      <c r="B2525" t="s">
        <v>23</v>
      </c>
      <c r="C2525" t="s">
        <v>16</v>
      </c>
      <c r="D2525">
        <v>5001</v>
      </c>
      <c r="E2525" t="s">
        <v>42</v>
      </c>
      <c r="F2525" t="s">
        <v>39</v>
      </c>
      <c r="G2525" t="s">
        <v>40</v>
      </c>
    </row>
    <row r="2526" spans="1:7" x14ac:dyDescent="0.3">
      <c r="A2526" t="s">
        <v>49</v>
      </c>
      <c r="B2526" t="s">
        <v>23</v>
      </c>
      <c r="C2526" t="s">
        <v>17</v>
      </c>
      <c r="D2526">
        <v>686</v>
      </c>
      <c r="E2526" t="s">
        <v>42</v>
      </c>
      <c r="F2526" t="s">
        <v>39</v>
      </c>
      <c r="G2526" t="s">
        <v>40</v>
      </c>
    </row>
    <row r="2527" spans="1:7" x14ac:dyDescent="0.3">
      <c r="A2527" t="s">
        <v>49</v>
      </c>
      <c r="B2527" t="s">
        <v>23</v>
      </c>
      <c r="C2527" t="s">
        <v>18</v>
      </c>
      <c r="D2527">
        <v>0</v>
      </c>
      <c r="E2527" t="s">
        <v>42</v>
      </c>
      <c r="F2527" t="s">
        <v>39</v>
      </c>
      <c r="G2527" t="s">
        <v>40</v>
      </c>
    </row>
    <row r="2528" spans="1:7" x14ac:dyDescent="0.3">
      <c r="A2528" t="s">
        <v>49</v>
      </c>
      <c r="B2528" t="s">
        <v>23</v>
      </c>
      <c r="C2528" t="s">
        <v>19</v>
      </c>
      <c r="D2528">
        <v>63</v>
      </c>
      <c r="E2528" t="s">
        <v>42</v>
      </c>
      <c r="F2528" t="s">
        <v>39</v>
      </c>
      <c r="G2528" t="s">
        <v>40</v>
      </c>
    </row>
    <row r="2529" spans="1:7" x14ac:dyDescent="0.3">
      <c r="A2529" t="s">
        <v>49</v>
      </c>
      <c r="B2529" t="s">
        <v>23</v>
      </c>
      <c r="C2529" t="s">
        <v>20</v>
      </c>
      <c r="D2529">
        <v>458</v>
      </c>
      <c r="E2529" t="s">
        <v>42</v>
      </c>
      <c r="F2529" t="s">
        <v>39</v>
      </c>
      <c r="G2529" t="s">
        <v>40</v>
      </c>
    </row>
    <row r="2530" spans="1:7" x14ac:dyDescent="0.3">
      <c r="A2530" t="s">
        <v>49</v>
      </c>
      <c r="B2530" t="s">
        <v>23</v>
      </c>
      <c r="C2530" t="s">
        <v>21</v>
      </c>
      <c r="D2530">
        <v>83</v>
      </c>
      <c r="E2530" t="s">
        <v>42</v>
      </c>
      <c r="F2530" t="s">
        <v>39</v>
      </c>
      <c r="G2530" t="s">
        <v>40</v>
      </c>
    </row>
    <row r="2531" spans="1:7" x14ac:dyDescent="0.3">
      <c r="A2531" t="s">
        <v>49</v>
      </c>
      <c r="B2531" t="s">
        <v>23</v>
      </c>
      <c r="C2531" t="s">
        <v>22</v>
      </c>
      <c r="D2531">
        <v>466</v>
      </c>
      <c r="E2531" t="s">
        <v>42</v>
      </c>
      <c r="F2531" t="s">
        <v>39</v>
      </c>
      <c r="G2531" t="s">
        <v>40</v>
      </c>
    </row>
    <row r="2532" spans="1:7" x14ac:dyDescent="0.3">
      <c r="A2532" t="s">
        <v>27</v>
      </c>
      <c r="B2532" t="s">
        <v>8</v>
      </c>
      <c r="C2532" t="s">
        <v>9</v>
      </c>
      <c r="D2532">
        <v>1</v>
      </c>
      <c r="E2532" t="s">
        <v>42</v>
      </c>
      <c r="F2532" t="s">
        <v>39</v>
      </c>
      <c r="G2532" t="s">
        <v>40</v>
      </c>
    </row>
    <row r="2533" spans="1:7" x14ac:dyDescent="0.3">
      <c r="A2533" t="s">
        <v>27</v>
      </c>
      <c r="B2533" t="s">
        <v>8</v>
      </c>
      <c r="C2533" t="s">
        <v>13</v>
      </c>
      <c r="D2533">
        <v>2</v>
      </c>
      <c r="E2533" t="s">
        <v>42</v>
      </c>
      <c r="F2533" t="s">
        <v>39</v>
      </c>
      <c r="G2533" t="s">
        <v>40</v>
      </c>
    </row>
    <row r="2534" spans="1:7" x14ac:dyDescent="0.3">
      <c r="A2534" t="s">
        <v>27</v>
      </c>
      <c r="B2534" t="s">
        <v>8</v>
      </c>
      <c r="C2534" t="s">
        <v>14</v>
      </c>
      <c r="D2534">
        <v>80</v>
      </c>
      <c r="E2534" t="s">
        <v>42</v>
      </c>
      <c r="F2534" t="s">
        <v>39</v>
      </c>
      <c r="G2534" t="s">
        <v>40</v>
      </c>
    </row>
    <row r="2535" spans="1:7" x14ac:dyDescent="0.3">
      <c r="A2535" t="s">
        <v>27</v>
      </c>
      <c r="B2535" t="s">
        <v>8</v>
      </c>
      <c r="C2535" t="s">
        <v>15</v>
      </c>
      <c r="D2535">
        <v>2</v>
      </c>
      <c r="E2535" t="s">
        <v>42</v>
      </c>
      <c r="F2535" t="s">
        <v>39</v>
      </c>
      <c r="G2535" t="s">
        <v>40</v>
      </c>
    </row>
    <row r="2536" spans="1:7" x14ac:dyDescent="0.3">
      <c r="A2536" t="s">
        <v>27</v>
      </c>
      <c r="B2536" t="s">
        <v>8</v>
      </c>
      <c r="C2536" t="s">
        <v>16</v>
      </c>
      <c r="D2536">
        <v>1249</v>
      </c>
      <c r="E2536" t="s">
        <v>42</v>
      </c>
      <c r="F2536" t="s">
        <v>39</v>
      </c>
      <c r="G2536" t="s">
        <v>40</v>
      </c>
    </row>
    <row r="2537" spans="1:7" x14ac:dyDescent="0.3">
      <c r="A2537" t="s">
        <v>27</v>
      </c>
      <c r="B2537" t="s">
        <v>8</v>
      </c>
      <c r="C2537" t="s">
        <v>17</v>
      </c>
      <c r="D2537">
        <v>6</v>
      </c>
      <c r="E2537" t="s">
        <v>42</v>
      </c>
      <c r="F2537" t="s">
        <v>39</v>
      </c>
      <c r="G2537" t="s">
        <v>40</v>
      </c>
    </row>
    <row r="2538" spans="1:7" x14ac:dyDescent="0.3">
      <c r="A2538" t="s">
        <v>27</v>
      </c>
      <c r="B2538" t="s">
        <v>8</v>
      </c>
      <c r="C2538" t="s">
        <v>18</v>
      </c>
      <c r="D2538">
        <v>0</v>
      </c>
      <c r="E2538" t="s">
        <v>42</v>
      </c>
      <c r="F2538" t="s">
        <v>39</v>
      </c>
      <c r="G2538" t="s">
        <v>40</v>
      </c>
    </row>
    <row r="2539" spans="1:7" x14ac:dyDescent="0.3">
      <c r="A2539" t="s">
        <v>27</v>
      </c>
      <c r="B2539" t="s">
        <v>8</v>
      </c>
      <c r="C2539" t="s">
        <v>19</v>
      </c>
      <c r="D2539">
        <v>0</v>
      </c>
      <c r="E2539" t="s">
        <v>42</v>
      </c>
      <c r="F2539" t="s">
        <v>39</v>
      </c>
      <c r="G2539" t="s">
        <v>40</v>
      </c>
    </row>
    <row r="2540" spans="1:7" x14ac:dyDescent="0.3">
      <c r="A2540" t="s">
        <v>27</v>
      </c>
      <c r="B2540" t="s">
        <v>8</v>
      </c>
      <c r="C2540" t="s">
        <v>20</v>
      </c>
      <c r="D2540">
        <v>0</v>
      </c>
      <c r="E2540" t="s">
        <v>42</v>
      </c>
      <c r="F2540" t="s">
        <v>39</v>
      </c>
      <c r="G2540" t="s">
        <v>40</v>
      </c>
    </row>
    <row r="2541" spans="1:7" x14ac:dyDescent="0.3">
      <c r="A2541" t="s">
        <v>27</v>
      </c>
      <c r="B2541" t="s">
        <v>8</v>
      </c>
      <c r="C2541" t="s">
        <v>21</v>
      </c>
      <c r="D2541">
        <v>0</v>
      </c>
      <c r="E2541" t="s">
        <v>42</v>
      </c>
      <c r="F2541" t="s">
        <v>39</v>
      </c>
      <c r="G2541" t="s">
        <v>40</v>
      </c>
    </row>
    <row r="2542" spans="1:7" x14ac:dyDescent="0.3">
      <c r="A2542" t="s">
        <v>27</v>
      </c>
      <c r="B2542" t="s">
        <v>8</v>
      </c>
      <c r="C2542" t="s">
        <v>22</v>
      </c>
      <c r="D2542">
        <v>1068</v>
      </c>
      <c r="E2542" t="s">
        <v>42</v>
      </c>
      <c r="F2542" t="s">
        <v>39</v>
      </c>
      <c r="G2542" t="s">
        <v>40</v>
      </c>
    </row>
    <row r="2543" spans="1:7" x14ac:dyDescent="0.3">
      <c r="A2543" t="s">
        <v>27</v>
      </c>
      <c r="B2543" t="s">
        <v>23</v>
      </c>
      <c r="C2543" t="s">
        <v>9</v>
      </c>
      <c r="D2543">
        <v>361</v>
      </c>
      <c r="E2543" t="s">
        <v>42</v>
      </c>
      <c r="F2543" t="s">
        <v>39</v>
      </c>
      <c r="G2543" t="s">
        <v>40</v>
      </c>
    </row>
    <row r="2544" spans="1:7" x14ac:dyDescent="0.3">
      <c r="A2544" t="s">
        <v>27</v>
      </c>
      <c r="B2544" t="s">
        <v>23</v>
      </c>
      <c r="C2544" t="s">
        <v>13</v>
      </c>
      <c r="D2544">
        <v>2821</v>
      </c>
      <c r="E2544" t="s">
        <v>42</v>
      </c>
      <c r="F2544" t="s">
        <v>39</v>
      </c>
      <c r="G2544" t="s">
        <v>40</v>
      </c>
    </row>
    <row r="2545" spans="1:7" x14ac:dyDescent="0.3">
      <c r="A2545" t="s">
        <v>27</v>
      </c>
      <c r="B2545" t="s">
        <v>23</v>
      </c>
      <c r="C2545" t="s">
        <v>14</v>
      </c>
      <c r="D2545">
        <v>45084</v>
      </c>
      <c r="E2545" t="s">
        <v>42</v>
      </c>
      <c r="F2545" t="s">
        <v>39</v>
      </c>
      <c r="G2545" t="s">
        <v>40</v>
      </c>
    </row>
    <row r="2546" spans="1:7" x14ac:dyDescent="0.3">
      <c r="A2546" t="s">
        <v>27</v>
      </c>
      <c r="B2546" t="s">
        <v>23</v>
      </c>
      <c r="C2546" t="s">
        <v>15</v>
      </c>
      <c r="D2546">
        <v>99</v>
      </c>
      <c r="E2546" t="s">
        <v>42</v>
      </c>
      <c r="F2546" t="s">
        <v>39</v>
      </c>
      <c r="G2546" t="s">
        <v>40</v>
      </c>
    </row>
    <row r="2547" spans="1:7" x14ac:dyDescent="0.3">
      <c r="A2547" t="s">
        <v>27</v>
      </c>
      <c r="B2547" t="s">
        <v>23</v>
      </c>
      <c r="C2547" t="s">
        <v>16</v>
      </c>
      <c r="D2547">
        <v>130234</v>
      </c>
      <c r="E2547" t="s">
        <v>42</v>
      </c>
      <c r="F2547" t="s">
        <v>39</v>
      </c>
      <c r="G2547" t="s">
        <v>40</v>
      </c>
    </row>
    <row r="2548" spans="1:7" x14ac:dyDescent="0.3">
      <c r="A2548" t="s">
        <v>27</v>
      </c>
      <c r="B2548" t="s">
        <v>23</v>
      </c>
      <c r="C2548" t="s">
        <v>17</v>
      </c>
      <c r="D2548">
        <v>69</v>
      </c>
      <c r="E2548" t="s">
        <v>42</v>
      </c>
      <c r="F2548" t="s">
        <v>39</v>
      </c>
      <c r="G2548" t="s">
        <v>40</v>
      </c>
    </row>
    <row r="2549" spans="1:7" x14ac:dyDescent="0.3">
      <c r="A2549" t="s">
        <v>27</v>
      </c>
      <c r="B2549" t="s">
        <v>23</v>
      </c>
      <c r="C2549" t="s">
        <v>18</v>
      </c>
      <c r="D2549">
        <v>0</v>
      </c>
      <c r="E2549" t="s">
        <v>42</v>
      </c>
      <c r="F2549" t="s">
        <v>39</v>
      </c>
      <c r="G2549" t="s">
        <v>40</v>
      </c>
    </row>
    <row r="2550" spans="1:7" x14ac:dyDescent="0.3">
      <c r="A2550" t="s">
        <v>27</v>
      </c>
      <c r="B2550" t="s">
        <v>23</v>
      </c>
      <c r="C2550" t="s">
        <v>19</v>
      </c>
      <c r="D2550">
        <v>70</v>
      </c>
      <c r="E2550" t="s">
        <v>42</v>
      </c>
      <c r="F2550" t="s">
        <v>39</v>
      </c>
      <c r="G2550" t="s">
        <v>40</v>
      </c>
    </row>
    <row r="2551" spans="1:7" x14ac:dyDescent="0.3">
      <c r="A2551" t="s">
        <v>27</v>
      </c>
      <c r="B2551" t="s">
        <v>23</v>
      </c>
      <c r="C2551" t="s">
        <v>20</v>
      </c>
      <c r="D2551">
        <v>790</v>
      </c>
      <c r="E2551" t="s">
        <v>42</v>
      </c>
      <c r="F2551" t="s">
        <v>39</v>
      </c>
      <c r="G2551" t="s">
        <v>40</v>
      </c>
    </row>
    <row r="2552" spans="1:7" x14ac:dyDescent="0.3">
      <c r="A2552" t="s">
        <v>27</v>
      </c>
      <c r="B2552" t="s">
        <v>23</v>
      </c>
      <c r="C2552" t="s">
        <v>21</v>
      </c>
      <c r="D2552">
        <v>39</v>
      </c>
      <c r="E2552" t="s">
        <v>42</v>
      </c>
      <c r="F2552" t="s">
        <v>39</v>
      </c>
      <c r="G2552" t="s">
        <v>40</v>
      </c>
    </row>
    <row r="2553" spans="1:7" x14ac:dyDescent="0.3">
      <c r="A2553" t="s">
        <v>27</v>
      </c>
      <c r="B2553" t="s">
        <v>23</v>
      </c>
      <c r="C2553" t="s">
        <v>22</v>
      </c>
      <c r="D2553">
        <v>26994</v>
      </c>
      <c r="E2553" t="s">
        <v>42</v>
      </c>
      <c r="F2553" t="s">
        <v>39</v>
      </c>
      <c r="G2553" t="s">
        <v>40</v>
      </c>
    </row>
    <row r="2554" spans="1:7" x14ac:dyDescent="0.3">
      <c r="A2554" t="s">
        <v>50</v>
      </c>
      <c r="B2554" t="s">
        <v>8</v>
      </c>
      <c r="C2554" t="s">
        <v>9</v>
      </c>
      <c r="D2554">
        <v>0</v>
      </c>
      <c r="E2554" t="s">
        <v>42</v>
      </c>
      <c r="F2554" t="s">
        <v>39</v>
      </c>
      <c r="G2554" t="s">
        <v>40</v>
      </c>
    </row>
    <row r="2555" spans="1:7" x14ac:dyDescent="0.3">
      <c r="A2555" t="s">
        <v>50</v>
      </c>
      <c r="B2555" t="s">
        <v>8</v>
      </c>
      <c r="C2555" t="s">
        <v>13</v>
      </c>
      <c r="D2555">
        <v>0</v>
      </c>
      <c r="E2555" t="s">
        <v>42</v>
      </c>
      <c r="F2555" t="s">
        <v>39</v>
      </c>
      <c r="G2555" t="s">
        <v>40</v>
      </c>
    </row>
    <row r="2556" spans="1:7" x14ac:dyDescent="0.3">
      <c r="A2556" t="s">
        <v>50</v>
      </c>
      <c r="B2556" t="s">
        <v>8</v>
      </c>
      <c r="C2556" t="s">
        <v>14</v>
      </c>
      <c r="D2556">
        <v>0</v>
      </c>
      <c r="E2556" t="s">
        <v>42</v>
      </c>
      <c r="F2556" t="s">
        <v>39</v>
      </c>
      <c r="G2556" t="s">
        <v>40</v>
      </c>
    </row>
    <row r="2557" spans="1:7" x14ac:dyDescent="0.3">
      <c r="A2557" t="s">
        <v>50</v>
      </c>
      <c r="B2557" t="s">
        <v>8</v>
      </c>
      <c r="C2557" t="s">
        <v>15</v>
      </c>
      <c r="D2557">
        <v>0</v>
      </c>
      <c r="E2557" t="s">
        <v>42</v>
      </c>
      <c r="F2557" t="s">
        <v>39</v>
      </c>
      <c r="G2557" t="s">
        <v>40</v>
      </c>
    </row>
    <row r="2558" spans="1:7" x14ac:dyDescent="0.3">
      <c r="A2558" t="s">
        <v>50</v>
      </c>
      <c r="B2558" t="s">
        <v>8</v>
      </c>
      <c r="C2558" t="s">
        <v>16</v>
      </c>
      <c r="D2558">
        <v>462</v>
      </c>
      <c r="E2558" t="s">
        <v>42</v>
      </c>
      <c r="F2558" t="s">
        <v>39</v>
      </c>
      <c r="G2558" t="s">
        <v>40</v>
      </c>
    </row>
    <row r="2559" spans="1:7" x14ac:dyDescent="0.3">
      <c r="A2559" t="s">
        <v>50</v>
      </c>
      <c r="B2559" t="s">
        <v>8</v>
      </c>
      <c r="C2559" t="s">
        <v>17</v>
      </c>
      <c r="D2559">
        <v>1</v>
      </c>
      <c r="E2559" t="s">
        <v>42</v>
      </c>
      <c r="F2559" t="s">
        <v>39</v>
      </c>
      <c r="G2559" t="s">
        <v>40</v>
      </c>
    </row>
    <row r="2560" spans="1:7" x14ac:dyDescent="0.3">
      <c r="A2560" t="s">
        <v>50</v>
      </c>
      <c r="B2560" t="s">
        <v>8</v>
      </c>
      <c r="C2560" t="s">
        <v>18</v>
      </c>
      <c r="D2560">
        <v>0</v>
      </c>
      <c r="E2560" t="s">
        <v>42</v>
      </c>
      <c r="F2560" t="s">
        <v>39</v>
      </c>
      <c r="G2560" t="s">
        <v>40</v>
      </c>
    </row>
    <row r="2561" spans="1:7" x14ac:dyDescent="0.3">
      <c r="A2561" t="s">
        <v>50</v>
      </c>
      <c r="B2561" t="s">
        <v>8</v>
      </c>
      <c r="C2561" t="s">
        <v>19</v>
      </c>
      <c r="D2561">
        <v>0</v>
      </c>
      <c r="E2561" t="s">
        <v>42</v>
      </c>
      <c r="F2561" t="s">
        <v>39</v>
      </c>
      <c r="G2561" t="s">
        <v>40</v>
      </c>
    </row>
    <row r="2562" spans="1:7" x14ac:dyDescent="0.3">
      <c r="A2562" t="s">
        <v>50</v>
      </c>
      <c r="B2562" t="s">
        <v>8</v>
      </c>
      <c r="C2562" t="s">
        <v>20</v>
      </c>
      <c r="D2562">
        <v>0</v>
      </c>
      <c r="E2562" t="s">
        <v>42</v>
      </c>
      <c r="F2562" t="s">
        <v>39</v>
      </c>
      <c r="G2562" t="s">
        <v>40</v>
      </c>
    </row>
    <row r="2563" spans="1:7" x14ac:dyDescent="0.3">
      <c r="A2563" t="s">
        <v>50</v>
      </c>
      <c r="B2563" t="s">
        <v>8</v>
      </c>
      <c r="C2563" t="s">
        <v>21</v>
      </c>
      <c r="D2563">
        <v>0</v>
      </c>
      <c r="E2563" t="s">
        <v>42</v>
      </c>
      <c r="F2563" t="s">
        <v>39</v>
      </c>
      <c r="G2563" t="s">
        <v>40</v>
      </c>
    </row>
    <row r="2564" spans="1:7" x14ac:dyDescent="0.3">
      <c r="A2564" t="s">
        <v>50</v>
      </c>
      <c r="B2564" t="s">
        <v>8</v>
      </c>
      <c r="C2564" t="s">
        <v>22</v>
      </c>
      <c r="D2564">
        <v>6</v>
      </c>
      <c r="E2564" t="s">
        <v>42</v>
      </c>
      <c r="F2564" t="s">
        <v>39</v>
      </c>
      <c r="G2564" t="s">
        <v>40</v>
      </c>
    </row>
    <row r="2565" spans="1:7" x14ac:dyDescent="0.3">
      <c r="A2565" t="s">
        <v>50</v>
      </c>
      <c r="B2565" t="s">
        <v>23</v>
      </c>
      <c r="C2565" t="s">
        <v>9</v>
      </c>
      <c r="D2565">
        <v>30</v>
      </c>
      <c r="E2565" t="s">
        <v>42</v>
      </c>
      <c r="F2565" t="s">
        <v>39</v>
      </c>
      <c r="G2565" t="s">
        <v>40</v>
      </c>
    </row>
    <row r="2566" spans="1:7" x14ac:dyDescent="0.3">
      <c r="A2566" t="s">
        <v>50</v>
      </c>
      <c r="B2566" t="s">
        <v>23</v>
      </c>
      <c r="C2566" t="s">
        <v>13</v>
      </c>
      <c r="D2566">
        <v>33</v>
      </c>
      <c r="E2566" t="s">
        <v>42</v>
      </c>
      <c r="F2566" t="s">
        <v>39</v>
      </c>
      <c r="G2566" t="s">
        <v>40</v>
      </c>
    </row>
    <row r="2567" spans="1:7" x14ac:dyDescent="0.3">
      <c r="A2567" t="s">
        <v>50</v>
      </c>
      <c r="B2567" t="s">
        <v>23</v>
      </c>
      <c r="C2567" t="s">
        <v>14</v>
      </c>
      <c r="D2567">
        <v>79</v>
      </c>
      <c r="E2567" t="s">
        <v>42</v>
      </c>
      <c r="F2567" t="s">
        <v>39</v>
      </c>
      <c r="G2567" t="s">
        <v>40</v>
      </c>
    </row>
    <row r="2568" spans="1:7" x14ac:dyDescent="0.3">
      <c r="A2568" t="s">
        <v>50</v>
      </c>
      <c r="B2568" t="s">
        <v>23</v>
      </c>
      <c r="C2568" t="s">
        <v>15</v>
      </c>
      <c r="D2568">
        <v>6</v>
      </c>
      <c r="E2568" t="s">
        <v>42</v>
      </c>
      <c r="F2568" t="s">
        <v>39</v>
      </c>
      <c r="G2568" t="s">
        <v>40</v>
      </c>
    </row>
    <row r="2569" spans="1:7" x14ac:dyDescent="0.3">
      <c r="A2569" t="s">
        <v>50</v>
      </c>
      <c r="B2569" t="s">
        <v>23</v>
      </c>
      <c r="C2569" t="s">
        <v>16</v>
      </c>
      <c r="D2569">
        <v>43942</v>
      </c>
      <c r="E2569" t="s">
        <v>42</v>
      </c>
      <c r="F2569" t="s">
        <v>39</v>
      </c>
      <c r="G2569" t="s">
        <v>40</v>
      </c>
    </row>
    <row r="2570" spans="1:7" x14ac:dyDescent="0.3">
      <c r="A2570" t="s">
        <v>50</v>
      </c>
      <c r="B2570" t="s">
        <v>23</v>
      </c>
      <c r="C2570" t="s">
        <v>17</v>
      </c>
      <c r="D2570">
        <v>7</v>
      </c>
      <c r="E2570" t="s">
        <v>42</v>
      </c>
      <c r="F2570" t="s">
        <v>39</v>
      </c>
      <c r="G2570" t="s">
        <v>40</v>
      </c>
    </row>
    <row r="2571" spans="1:7" x14ac:dyDescent="0.3">
      <c r="A2571" t="s">
        <v>50</v>
      </c>
      <c r="B2571" t="s">
        <v>23</v>
      </c>
      <c r="C2571" t="s">
        <v>18</v>
      </c>
      <c r="D2571">
        <v>0</v>
      </c>
      <c r="E2571" t="s">
        <v>42</v>
      </c>
      <c r="F2571" t="s">
        <v>39</v>
      </c>
      <c r="G2571" t="s">
        <v>40</v>
      </c>
    </row>
    <row r="2572" spans="1:7" x14ac:dyDescent="0.3">
      <c r="A2572" t="s">
        <v>50</v>
      </c>
      <c r="B2572" t="s">
        <v>23</v>
      </c>
      <c r="C2572" t="s">
        <v>19</v>
      </c>
      <c r="D2572">
        <v>4</v>
      </c>
      <c r="E2572" t="s">
        <v>42</v>
      </c>
      <c r="F2572" t="s">
        <v>39</v>
      </c>
      <c r="G2572" t="s">
        <v>40</v>
      </c>
    </row>
    <row r="2573" spans="1:7" x14ac:dyDescent="0.3">
      <c r="A2573" t="s">
        <v>50</v>
      </c>
      <c r="B2573" t="s">
        <v>23</v>
      </c>
      <c r="C2573" t="s">
        <v>20</v>
      </c>
      <c r="D2573">
        <v>207</v>
      </c>
      <c r="E2573" t="s">
        <v>42</v>
      </c>
      <c r="F2573" t="s">
        <v>39</v>
      </c>
      <c r="G2573" t="s">
        <v>40</v>
      </c>
    </row>
    <row r="2574" spans="1:7" x14ac:dyDescent="0.3">
      <c r="A2574" t="s">
        <v>50</v>
      </c>
      <c r="B2574" t="s">
        <v>23</v>
      </c>
      <c r="C2574" t="s">
        <v>21</v>
      </c>
      <c r="D2574">
        <v>2</v>
      </c>
      <c r="E2574" t="s">
        <v>42</v>
      </c>
      <c r="F2574" t="s">
        <v>39</v>
      </c>
      <c r="G2574" t="s">
        <v>40</v>
      </c>
    </row>
    <row r="2575" spans="1:7" x14ac:dyDescent="0.3">
      <c r="A2575" t="s">
        <v>50</v>
      </c>
      <c r="B2575" t="s">
        <v>23</v>
      </c>
      <c r="C2575" t="s">
        <v>22</v>
      </c>
      <c r="D2575">
        <v>63</v>
      </c>
      <c r="E2575" t="s">
        <v>42</v>
      </c>
      <c r="F2575" t="s">
        <v>39</v>
      </c>
      <c r="G2575" t="s">
        <v>40</v>
      </c>
    </row>
    <row r="2576" spans="1:7" x14ac:dyDescent="0.3">
      <c r="A2576" t="s">
        <v>51</v>
      </c>
      <c r="B2576" t="s">
        <v>8</v>
      </c>
      <c r="C2576" t="s">
        <v>9</v>
      </c>
      <c r="D2576">
        <v>0</v>
      </c>
      <c r="E2576" t="s">
        <v>42</v>
      </c>
      <c r="F2576" t="s">
        <v>39</v>
      </c>
      <c r="G2576" t="s">
        <v>40</v>
      </c>
    </row>
    <row r="2577" spans="1:7" x14ac:dyDescent="0.3">
      <c r="A2577" t="s">
        <v>51</v>
      </c>
      <c r="B2577" t="s">
        <v>8</v>
      </c>
      <c r="C2577" t="s">
        <v>13</v>
      </c>
      <c r="D2577">
        <v>71</v>
      </c>
      <c r="E2577" t="s">
        <v>42</v>
      </c>
      <c r="F2577" t="s">
        <v>39</v>
      </c>
      <c r="G2577" t="s">
        <v>40</v>
      </c>
    </row>
    <row r="2578" spans="1:7" x14ac:dyDescent="0.3">
      <c r="A2578" t="s">
        <v>51</v>
      </c>
      <c r="B2578" t="s">
        <v>8</v>
      </c>
      <c r="C2578" t="s">
        <v>14</v>
      </c>
      <c r="D2578">
        <v>0</v>
      </c>
      <c r="E2578" t="s">
        <v>42</v>
      </c>
      <c r="F2578" t="s">
        <v>39</v>
      </c>
      <c r="G2578" t="s">
        <v>40</v>
      </c>
    </row>
    <row r="2579" spans="1:7" x14ac:dyDescent="0.3">
      <c r="A2579" t="s">
        <v>51</v>
      </c>
      <c r="B2579" t="s">
        <v>8</v>
      </c>
      <c r="C2579" t="s">
        <v>15</v>
      </c>
      <c r="D2579">
        <v>0</v>
      </c>
      <c r="E2579" t="s">
        <v>42</v>
      </c>
      <c r="F2579" t="s">
        <v>39</v>
      </c>
      <c r="G2579" t="s">
        <v>40</v>
      </c>
    </row>
    <row r="2580" spans="1:7" x14ac:dyDescent="0.3">
      <c r="A2580" t="s">
        <v>51</v>
      </c>
      <c r="B2580" t="s">
        <v>8</v>
      </c>
      <c r="C2580" t="s">
        <v>16</v>
      </c>
      <c r="D2580">
        <v>0</v>
      </c>
      <c r="E2580" t="s">
        <v>42</v>
      </c>
      <c r="F2580" t="s">
        <v>39</v>
      </c>
      <c r="G2580" t="s">
        <v>40</v>
      </c>
    </row>
    <row r="2581" spans="1:7" x14ac:dyDescent="0.3">
      <c r="A2581" t="s">
        <v>51</v>
      </c>
      <c r="B2581" t="s">
        <v>8</v>
      </c>
      <c r="C2581" t="s">
        <v>17</v>
      </c>
      <c r="D2581">
        <v>0</v>
      </c>
      <c r="E2581" t="s">
        <v>42</v>
      </c>
      <c r="F2581" t="s">
        <v>39</v>
      </c>
      <c r="G2581" t="s">
        <v>40</v>
      </c>
    </row>
    <row r="2582" spans="1:7" x14ac:dyDescent="0.3">
      <c r="A2582" t="s">
        <v>51</v>
      </c>
      <c r="B2582" t="s">
        <v>8</v>
      </c>
      <c r="C2582" t="s">
        <v>18</v>
      </c>
      <c r="D2582">
        <v>0</v>
      </c>
      <c r="E2582" t="s">
        <v>42</v>
      </c>
      <c r="F2582" t="s">
        <v>39</v>
      </c>
      <c r="G2582" t="s">
        <v>40</v>
      </c>
    </row>
    <row r="2583" spans="1:7" x14ac:dyDescent="0.3">
      <c r="A2583" t="s">
        <v>51</v>
      </c>
      <c r="B2583" t="s">
        <v>8</v>
      </c>
      <c r="C2583" t="s">
        <v>19</v>
      </c>
      <c r="D2583">
        <v>0</v>
      </c>
      <c r="E2583" t="s">
        <v>42</v>
      </c>
      <c r="F2583" t="s">
        <v>39</v>
      </c>
      <c r="G2583" t="s">
        <v>40</v>
      </c>
    </row>
    <row r="2584" spans="1:7" x14ac:dyDescent="0.3">
      <c r="A2584" t="s">
        <v>51</v>
      </c>
      <c r="B2584" t="s">
        <v>8</v>
      </c>
      <c r="C2584" t="s">
        <v>20</v>
      </c>
      <c r="D2584">
        <v>0</v>
      </c>
      <c r="E2584" t="s">
        <v>42</v>
      </c>
      <c r="F2584" t="s">
        <v>39</v>
      </c>
      <c r="G2584" t="s">
        <v>40</v>
      </c>
    </row>
    <row r="2585" spans="1:7" x14ac:dyDescent="0.3">
      <c r="A2585" t="s">
        <v>51</v>
      </c>
      <c r="B2585" t="s">
        <v>8</v>
      </c>
      <c r="C2585" t="s">
        <v>21</v>
      </c>
      <c r="D2585">
        <v>0</v>
      </c>
      <c r="E2585" t="s">
        <v>42</v>
      </c>
      <c r="F2585" t="s">
        <v>39</v>
      </c>
      <c r="G2585" t="s">
        <v>40</v>
      </c>
    </row>
    <row r="2586" spans="1:7" x14ac:dyDescent="0.3">
      <c r="A2586" t="s">
        <v>51</v>
      </c>
      <c r="B2586" t="s">
        <v>8</v>
      </c>
      <c r="C2586" t="s">
        <v>22</v>
      </c>
      <c r="D2586">
        <v>89</v>
      </c>
      <c r="E2586" t="s">
        <v>42</v>
      </c>
      <c r="F2586" t="s">
        <v>39</v>
      </c>
      <c r="G2586" t="s">
        <v>40</v>
      </c>
    </row>
    <row r="2587" spans="1:7" x14ac:dyDescent="0.3">
      <c r="A2587" t="s">
        <v>51</v>
      </c>
      <c r="B2587" t="s">
        <v>23</v>
      </c>
      <c r="C2587" t="s">
        <v>9</v>
      </c>
      <c r="D2587">
        <v>51</v>
      </c>
      <c r="E2587" t="s">
        <v>42</v>
      </c>
      <c r="F2587" t="s">
        <v>39</v>
      </c>
      <c r="G2587" t="s">
        <v>40</v>
      </c>
    </row>
    <row r="2588" spans="1:7" x14ac:dyDescent="0.3">
      <c r="A2588" t="s">
        <v>51</v>
      </c>
      <c r="B2588" t="s">
        <v>23</v>
      </c>
      <c r="C2588" t="s">
        <v>13</v>
      </c>
      <c r="D2588">
        <v>22794</v>
      </c>
      <c r="E2588" t="s">
        <v>42</v>
      </c>
      <c r="F2588" t="s">
        <v>39</v>
      </c>
      <c r="G2588" t="s">
        <v>40</v>
      </c>
    </row>
    <row r="2589" spans="1:7" x14ac:dyDescent="0.3">
      <c r="A2589" t="s">
        <v>51</v>
      </c>
      <c r="B2589" t="s">
        <v>23</v>
      </c>
      <c r="C2589" t="s">
        <v>14</v>
      </c>
      <c r="D2589">
        <v>186</v>
      </c>
      <c r="E2589" t="s">
        <v>42</v>
      </c>
      <c r="F2589" t="s">
        <v>39</v>
      </c>
      <c r="G2589" t="s">
        <v>40</v>
      </c>
    </row>
    <row r="2590" spans="1:7" x14ac:dyDescent="0.3">
      <c r="A2590" t="s">
        <v>51</v>
      </c>
      <c r="B2590" t="s">
        <v>23</v>
      </c>
      <c r="C2590" t="s">
        <v>15</v>
      </c>
      <c r="D2590">
        <v>28</v>
      </c>
      <c r="E2590" t="s">
        <v>42</v>
      </c>
      <c r="F2590" t="s">
        <v>39</v>
      </c>
      <c r="G2590" t="s">
        <v>40</v>
      </c>
    </row>
    <row r="2591" spans="1:7" x14ac:dyDescent="0.3">
      <c r="A2591" t="s">
        <v>51</v>
      </c>
      <c r="B2591" t="s">
        <v>23</v>
      </c>
      <c r="C2591" t="s">
        <v>16</v>
      </c>
      <c r="D2591">
        <v>64</v>
      </c>
      <c r="E2591" t="s">
        <v>42</v>
      </c>
      <c r="F2591" t="s">
        <v>39</v>
      </c>
      <c r="G2591" t="s">
        <v>40</v>
      </c>
    </row>
    <row r="2592" spans="1:7" x14ac:dyDescent="0.3">
      <c r="A2592" t="s">
        <v>51</v>
      </c>
      <c r="B2592" t="s">
        <v>23</v>
      </c>
      <c r="C2592" t="s">
        <v>17</v>
      </c>
      <c r="D2592">
        <v>3</v>
      </c>
      <c r="E2592" t="s">
        <v>42</v>
      </c>
      <c r="F2592" t="s">
        <v>39</v>
      </c>
      <c r="G2592" t="s">
        <v>40</v>
      </c>
    </row>
    <row r="2593" spans="1:7" x14ac:dyDescent="0.3">
      <c r="A2593" t="s">
        <v>51</v>
      </c>
      <c r="B2593" t="s">
        <v>23</v>
      </c>
      <c r="C2593" t="s">
        <v>18</v>
      </c>
      <c r="D2593">
        <v>0</v>
      </c>
      <c r="E2593" t="s">
        <v>42</v>
      </c>
      <c r="F2593" t="s">
        <v>39</v>
      </c>
      <c r="G2593" t="s">
        <v>40</v>
      </c>
    </row>
    <row r="2594" spans="1:7" x14ac:dyDescent="0.3">
      <c r="A2594" t="s">
        <v>51</v>
      </c>
      <c r="B2594" t="s">
        <v>23</v>
      </c>
      <c r="C2594" t="s">
        <v>19</v>
      </c>
      <c r="D2594">
        <v>74</v>
      </c>
      <c r="E2594" t="s">
        <v>42</v>
      </c>
      <c r="F2594" t="s">
        <v>39</v>
      </c>
      <c r="G2594" t="s">
        <v>40</v>
      </c>
    </row>
    <row r="2595" spans="1:7" x14ac:dyDescent="0.3">
      <c r="A2595" t="s">
        <v>51</v>
      </c>
      <c r="B2595" t="s">
        <v>23</v>
      </c>
      <c r="C2595" t="s">
        <v>20</v>
      </c>
      <c r="D2595">
        <v>68</v>
      </c>
      <c r="E2595" t="s">
        <v>42</v>
      </c>
      <c r="F2595" t="s">
        <v>39</v>
      </c>
      <c r="G2595" t="s">
        <v>40</v>
      </c>
    </row>
    <row r="2596" spans="1:7" x14ac:dyDescent="0.3">
      <c r="A2596" t="s">
        <v>51</v>
      </c>
      <c r="B2596" t="s">
        <v>23</v>
      </c>
      <c r="C2596" t="s">
        <v>21</v>
      </c>
      <c r="D2596">
        <v>4</v>
      </c>
      <c r="E2596" t="s">
        <v>42</v>
      </c>
      <c r="F2596" t="s">
        <v>39</v>
      </c>
      <c r="G2596" t="s">
        <v>40</v>
      </c>
    </row>
    <row r="2597" spans="1:7" x14ac:dyDescent="0.3">
      <c r="A2597" t="s">
        <v>51</v>
      </c>
      <c r="B2597" t="s">
        <v>23</v>
      </c>
      <c r="C2597" t="s">
        <v>22</v>
      </c>
      <c r="D2597">
        <v>1441</v>
      </c>
      <c r="E2597" t="s">
        <v>42</v>
      </c>
      <c r="F2597" t="s">
        <v>39</v>
      </c>
      <c r="G2597" t="s">
        <v>40</v>
      </c>
    </row>
    <row r="2598" spans="1:7" x14ac:dyDescent="0.3">
      <c r="A2598" t="s">
        <v>52</v>
      </c>
      <c r="B2598" t="s">
        <v>8</v>
      </c>
      <c r="C2598" t="s">
        <v>9</v>
      </c>
      <c r="D2598">
        <v>102</v>
      </c>
      <c r="E2598" t="s">
        <v>42</v>
      </c>
      <c r="F2598" t="s">
        <v>39</v>
      </c>
      <c r="G2598" t="s">
        <v>40</v>
      </c>
    </row>
    <row r="2599" spans="1:7" x14ac:dyDescent="0.3">
      <c r="A2599" t="s">
        <v>52</v>
      </c>
      <c r="B2599" t="s">
        <v>8</v>
      </c>
      <c r="C2599" t="s">
        <v>13</v>
      </c>
      <c r="D2599">
        <v>14</v>
      </c>
      <c r="E2599" t="s">
        <v>42</v>
      </c>
      <c r="F2599" t="s">
        <v>39</v>
      </c>
      <c r="G2599" t="s">
        <v>40</v>
      </c>
    </row>
    <row r="2600" spans="1:7" x14ac:dyDescent="0.3">
      <c r="A2600" t="s">
        <v>52</v>
      </c>
      <c r="B2600" t="s">
        <v>8</v>
      </c>
      <c r="C2600" t="s">
        <v>14</v>
      </c>
      <c r="D2600">
        <v>0</v>
      </c>
      <c r="E2600" t="s">
        <v>42</v>
      </c>
      <c r="F2600" t="s">
        <v>39</v>
      </c>
      <c r="G2600" t="s">
        <v>40</v>
      </c>
    </row>
    <row r="2601" spans="1:7" x14ac:dyDescent="0.3">
      <c r="A2601" t="s">
        <v>52</v>
      </c>
      <c r="B2601" t="s">
        <v>8</v>
      </c>
      <c r="C2601" t="s">
        <v>15</v>
      </c>
      <c r="D2601">
        <v>10</v>
      </c>
      <c r="E2601" t="s">
        <v>42</v>
      </c>
      <c r="F2601" t="s">
        <v>39</v>
      </c>
      <c r="G2601" t="s">
        <v>40</v>
      </c>
    </row>
    <row r="2602" spans="1:7" x14ac:dyDescent="0.3">
      <c r="A2602" t="s">
        <v>52</v>
      </c>
      <c r="B2602" t="s">
        <v>8</v>
      </c>
      <c r="C2602" t="s">
        <v>16</v>
      </c>
      <c r="D2602">
        <v>7</v>
      </c>
      <c r="E2602" t="s">
        <v>42</v>
      </c>
      <c r="F2602" t="s">
        <v>39</v>
      </c>
      <c r="G2602" t="s">
        <v>40</v>
      </c>
    </row>
    <row r="2603" spans="1:7" x14ac:dyDescent="0.3">
      <c r="A2603" t="s">
        <v>52</v>
      </c>
      <c r="B2603" t="s">
        <v>8</v>
      </c>
      <c r="C2603" t="s">
        <v>17</v>
      </c>
      <c r="D2603">
        <v>25</v>
      </c>
      <c r="E2603" t="s">
        <v>42</v>
      </c>
      <c r="F2603" t="s">
        <v>39</v>
      </c>
      <c r="G2603" t="s">
        <v>40</v>
      </c>
    </row>
    <row r="2604" spans="1:7" x14ac:dyDescent="0.3">
      <c r="A2604" t="s">
        <v>52</v>
      </c>
      <c r="B2604" t="s">
        <v>8</v>
      </c>
      <c r="C2604" t="s">
        <v>18</v>
      </c>
      <c r="D2604">
        <v>0</v>
      </c>
      <c r="E2604" t="s">
        <v>42</v>
      </c>
      <c r="F2604" t="s">
        <v>39</v>
      </c>
      <c r="G2604" t="s">
        <v>40</v>
      </c>
    </row>
    <row r="2605" spans="1:7" x14ac:dyDescent="0.3">
      <c r="A2605" t="s">
        <v>52</v>
      </c>
      <c r="B2605" t="s">
        <v>8</v>
      </c>
      <c r="C2605" t="s">
        <v>19</v>
      </c>
      <c r="D2605">
        <v>0</v>
      </c>
      <c r="E2605" t="s">
        <v>42</v>
      </c>
      <c r="F2605" t="s">
        <v>39</v>
      </c>
      <c r="G2605" t="s">
        <v>40</v>
      </c>
    </row>
    <row r="2606" spans="1:7" x14ac:dyDescent="0.3">
      <c r="A2606" t="s">
        <v>52</v>
      </c>
      <c r="B2606" t="s">
        <v>8</v>
      </c>
      <c r="C2606" t="s">
        <v>20</v>
      </c>
      <c r="D2606">
        <v>0</v>
      </c>
      <c r="E2606" t="s">
        <v>42</v>
      </c>
      <c r="F2606" t="s">
        <v>39</v>
      </c>
      <c r="G2606" t="s">
        <v>40</v>
      </c>
    </row>
    <row r="2607" spans="1:7" x14ac:dyDescent="0.3">
      <c r="A2607" t="s">
        <v>52</v>
      </c>
      <c r="B2607" t="s">
        <v>8</v>
      </c>
      <c r="C2607" t="s">
        <v>21</v>
      </c>
      <c r="D2607">
        <v>0</v>
      </c>
      <c r="E2607" t="s">
        <v>42</v>
      </c>
      <c r="F2607" t="s">
        <v>39</v>
      </c>
      <c r="G2607" t="s">
        <v>40</v>
      </c>
    </row>
    <row r="2608" spans="1:7" x14ac:dyDescent="0.3">
      <c r="A2608" t="s">
        <v>52</v>
      </c>
      <c r="B2608" t="s">
        <v>8</v>
      </c>
      <c r="C2608" t="s">
        <v>22</v>
      </c>
      <c r="D2608">
        <v>281</v>
      </c>
      <c r="E2608" t="s">
        <v>42</v>
      </c>
      <c r="F2608" t="s">
        <v>39</v>
      </c>
      <c r="G2608" t="s">
        <v>40</v>
      </c>
    </row>
    <row r="2609" spans="1:7" x14ac:dyDescent="0.3">
      <c r="A2609" t="s">
        <v>52</v>
      </c>
      <c r="B2609" t="s">
        <v>23</v>
      </c>
      <c r="C2609" t="s">
        <v>9</v>
      </c>
      <c r="D2609">
        <v>19555</v>
      </c>
      <c r="E2609" t="s">
        <v>42</v>
      </c>
      <c r="F2609" t="s">
        <v>39</v>
      </c>
      <c r="G2609" t="s">
        <v>40</v>
      </c>
    </row>
    <row r="2610" spans="1:7" x14ac:dyDescent="0.3">
      <c r="A2610" t="s">
        <v>52</v>
      </c>
      <c r="B2610" t="s">
        <v>23</v>
      </c>
      <c r="C2610" t="s">
        <v>13</v>
      </c>
      <c r="D2610">
        <v>360</v>
      </c>
      <c r="E2610" t="s">
        <v>42</v>
      </c>
      <c r="F2610" t="s">
        <v>39</v>
      </c>
      <c r="G2610" t="s">
        <v>40</v>
      </c>
    </row>
    <row r="2611" spans="1:7" x14ac:dyDescent="0.3">
      <c r="A2611" t="s">
        <v>52</v>
      </c>
      <c r="B2611" t="s">
        <v>23</v>
      </c>
      <c r="C2611" t="s">
        <v>14</v>
      </c>
      <c r="D2611">
        <v>1429</v>
      </c>
      <c r="E2611" t="s">
        <v>42</v>
      </c>
      <c r="F2611" t="s">
        <v>39</v>
      </c>
      <c r="G2611" t="s">
        <v>40</v>
      </c>
    </row>
    <row r="2612" spans="1:7" x14ac:dyDescent="0.3">
      <c r="A2612" t="s">
        <v>52</v>
      </c>
      <c r="B2612" t="s">
        <v>23</v>
      </c>
      <c r="C2612" t="s">
        <v>15</v>
      </c>
      <c r="D2612">
        <v>31</v>
      </c>
      <c r="E2612" t="s">
        <v>42</v>
      </c>
      <c r="F2612" t="s">
        <v>39</v>
      </c>
      <c r="G2612" t="s">
        <v>40</v>
      </c>
    </row>
    <row r="2613" spans="1:7" x14ac:dyDescent="0.3">
      <c r="A2613" t="s">
        <v>52</v>
      </c>
      <c r="B2613" t="s">
        <v>23</v>
      </c>
      <c r="C2613" t="s">
        <v>16</v>
      </c>
      <c r="D2613">
        <v>3353</v>
      </c>
      <c r="E2613" t="s">
        <v>42</v>
      </c>
      <c r="F2613" t="s">
        <v>39</v>
      </c>
      <c r="G2613" t="s">
        <v>40</v>
      </c>
    </row>
    <row r="2614" spans="1:7" x14ac:dyDescent="0.3">
      <c r="A2614" t="s">
        <v>52</v>
      </c>
      <c r="B2614" t="s">
        <v>23</v>
      </c>
      <c r="C2614" t="s">
        <v>17</v>
      </c>
      <c r="D2614">
        <v>460</v>
      </c>
      <c r="E2614" t="s">
        <v>42</v>
      </c>
      <c r="F2614" t="s">
        <v>39</v>
      </c>
      <c r="G2614" t="s">
        <v>40</v>
      </c>
    </row>
    <row r="2615" spans="1:7" x14ac:dyDescent="0.3">
      <c r="A2615" t="s">
        <v>52</v>
      </c>
      <c r="B2615" t="s">
        <v>23</v>
      </c>
      <c r="C2615" t="s">
        <v>18</v>
      </c>
      <c r="D2615">
        <v>0</v>
      </c>
      <c r="E2615" t="s">
        <v>42</v>
      </c>
      <c r="F2615" t="s">
        <v>39</v>
      </c>
      <c r="G2615" t="s">
        <v>40</v>
      </c>
    </row>
    <row r="2616" spans="1:7" x14ac:dyDescent="0.3">
      <c r="A2616" t="s">
        <v>52</v>
      </c>
      <c r="B2616" t="s">
        <v>23</v>
      </c>
      <c r="C2616" t="s">
        <v>19</v>
      </c>
      <c r="D2616">
        <v>42</v>
      </c>
      <c r="E2616" t="s">
        <v>42</v>
      </c>
      <c r="F2616" t="s">
        <v>39</v>
      </c>
      <c r="G2616" t="s">
        <v>40</v>
      </c>
    </row>
    <row r="2617" spans="1:7" x14ac:dyDescent="0.3">
      <c r="A2617" t="s">
        <v>52</v>
      </c>
      <c r="B2617" t="s">
        <v>23</v>
      </c>
      <c r="C2617" t="s">
        <v>20</v>
      </c>
      <c r="D2617">
        <v>307</v>
      </c>
      <c r="E2617" t="s">
        <v>42</v>
      </c>
      <c r="F2617" t="s">
        <v>39</v>
      </c>
      <c r="G2617" t="s">
        <v>40</v>
      </c>
    </row>
    <row r="2618" spans="1:7" x14ac:dyDescent="0.3">
      <c r="A2618" t="s">
        <v>52</v>
      </c>
      <c r="B2618" t="s">
        <v>23</v>
      </c>
      <c r="C2618" t="s">
        <v>21</v>
      </c>
      <c r="D2618">
        <v>56</v>
      </c>
      <c r="E2618" t="s">
        <v>42</v>
      </c>
      <c r="F2618" t="s">
        <v>39</v>
      </c>
      <c r="G2618" t="s">
        <v>40</v>
      </c>
    </row>
    <row r="2619" spans="1:7" x14ac:dyDescent="0.3">
      <c r="A2619" t="s">
        <v>52</v>
      </c>
      <c r="B2619" t="s">
        <v>23</v>
      </c>
      <c r="C2619" t="s">
        <v>22</v>
      </c>
      <c r="D2619">
        <v>312</v>
      </c>
      <c r="E2619" t="s">
        <v>42</v>
      </c>
      <c r="F2619" t="s">
        <v>39</v>
      </c>
      <c r="G2619" t="s">
        <v>40</v>
      </c>
    </row>
    <row r="2620" spans="1:7" x14ac:dyDescent="0.3">
      <c r="A2620" t="s">
        <v>53</v>
      </c>
      <c r="B2620" t="s">
        <v>8</v>
      </c>
      <c r="C2620" t="s">
        <v>9</v>
      </c>
      <c r="D2620">
        <v>0</v>
      </c>
      <c r="E2620" t="s">
        <v>42</v>
      </c>
      <c r="F2620" t="s">
        <v>39</v>
      </c>
      <c r="G2620" t="s">
        <v>40</v>
      </c>
    </row>
    <row r="2621" spans="1:7" x14ac:dyDescent="0.3">
      <c r="A2621" t="s">
        <v>53</v>
      </c>
      <c r="B2621" t="s">
        <v>8</v>
      </c>
      <c r="C2621" t="s">
        <v>13</v>
      </c>
      <c r="D2621">
        <v>0</v>
      </c>
      <c r="E2621" t="s">
        <v>42</v>
      </c>
      <c r="F2621" t="s">
        <v>39</v>
      </c>
      <c r="G2621" t="s">
        <v>40</v>
      </c>
    </row>
    <row r="2622" spans="1:7" x14ac:dyDescent="0.3">
      <c r="A2622" t="s">
        <v>53</v>
      </c>
      <c r="B2622" t="s">
        <v>8</v>
      </c>
      <c r="C2622" t="s">
        <v>14</v>
      </c>
      <c r="D2622">
        <v>0</v>
      </c>
      <c r="E2622" t="s">
        <v>42</v>
      </c>
      <c r="F2622" t="s">
        <v>39</v>
      </c>
      <c r="G2622" t="s">
        <v>40</v>
      </c>
    </row>
    <row r="2623" spans="1:7" x14ac:dyDescent="0.3">
      <c r="A2623" t="s">
        <v>53</v>
      </c>
      <c r="B2623" t="s">
        <v>8</v>
      </c>
      <c r="C2623" t="s">
        <v>15</v>
      </c>
      <c r="D2623">
        <v>0</v>
      </c>
      <c r="E2623" t="s">
        <v>42</v>
      </c>
      <c r="F2623" t="s">
        <v>39</v>
      </c>
      <c r="G2623" t="s">
        <v>40</v>
      </c>
    </row>
    <row r="2624" spans="1:7" x14ac:dyDescent="0.3">
      <c r="A2624" t="s">
        <v>53</v>
      </c>
      <c r="B2624" t="s">
        <v>8</v>
      </c>
      <c r="C2624" t="s">
        <v>16</v>
      </c>
      <c r="D2624">
        <v>424</v>
      </c>
      <c r="E2624" t="s">
        <v>42</v>
      </c>
      <c r="F2624" t="s">
        <v>39</v>
      </c>
      <c r="G2624" t="s">
        <v>40</v>
      </c>
    </row>
    <row r="2625" spans="1:7" x14ac:dyDescent="0.3">
      <c r="A2625" t="s">
        <v>53</v>
      </c>
      <c r="B2625" t="s">
        <v>8</v>
      </c>
      <c r="C2625" t="s">
        <v>17</v>
      </c>
      <c r="D2625">
        <v>1</v>
      </c>
      <c r="E2625" t="s">
        <v>42</v>
      </c>
      <c r="F2625" t="s">
        <v>39</v>
      </c>
      <c r="G2625" t="s">
        <v>40</v>
      </c>
    </row>
    <row r="2626" spans="1:7" x14ac:dyDescent="0.3">
      <c r="A2626" t="s">
        <v>53</v>
      </c>
      <c r="B2626" t="s">
        <v>8</v>
      </c>
      <c r="C2626" t="s">
        <v>18</v>
      </c>
      <c r="D2626">
        <v>0</v>
      </c>
      <c r="E2626" t="s">
        <v>42</v>
      </c>
      <c r="F2626" t="s">
        <v>39</v>
      </c>
      <c r="G2626" t="s">
        <v>40</v>
      </c>
    </row>
    <row r="2627" spans="1:7" x14ac:dyDescent="0.3">
      <c r="A2627" t="s">
        <v>53</v>
      </c>
      <c r="B2627" t="s">
        <v>8</v>
      </c>
      <c r="C2627" t="s">
        <v>19</v>
      </c>
      <c r="D2627">
        <v>0</v>
      </c>
      <c r="E2627" t="s">
        <v>42</v>
      </c>
      <c r="F2627" t="s">
        <v>39</v>
      </c>
      <c r="G2627" t="s">
        <v>40</v>
      </c>
    </row>
    <row r="2628" spans="1:7" x14ac:dyDescent="0.3">
      <c r="A2628" t="s">
        <v>53</v>
      </c>
      <c r="B2628" t="s">
        <v>8</v>
      </c>
      <c r="C2628" t="s">
        <v>20</v>
      </c>
      <c r="D2628">
        <v>0</v>
      </c>
      <c r="E2628" t="s">
        <v>42</v>
      </c>
      <c r="F2628" t="s">
        <v>39</v>
      </c>
      <c r="G2628" t="s">
        <v>40</v>
      </c>
    </row>
    <row r="2629" spans="1:7" x14ac:dyDescent="0.3">
      <c r="A2629" t="s">
        <v>53</v>
      </c>
      <c r="B2629" t="s">
        <v>8</v>
      </c>
      <c r="C2629" t="s">
        <v>21</v>
      </c>
      <c r="D2629">
        <v>0</v>
      </c>
      <c r="E2629" t="s">
        <v>42</v>
      </c>
      <c r="F2629" t="s">
        <v>39</v>
      </c>
      <c r="G2629" t="s">
        <v>40</v>
      </c>
    </row>
    <row r="2630" spans="1:7" x14ac:dyDescent="0.3">
      <c r="A2630" t="s">
        <v>53</v>
      </c>
      <c r="B2630" t="s">
        <v>8</v>
      </c>
      <c r="C2630" t="s">
        <v>22</v>
      </c>
      <c r="D2630">
        <v>5</v>
      </c>
      <c r="E2630" t="s">
        <v>42</v>
      </c>
      <c r="F2630" t="s">
        <v>39</v>
      </c>
      <c r="G2630" t="s">
        <v>40</v>
      </c>
    </row>
    <row r="2631" spans="1:7" x14ac:dyDescent="0.3">
      <c r="A2631" t="s">
        <v>53</v>
      </c>
      <c r="B2631" t="s">
        <v>23</v>
      </c>
      <c r="C2631" t="s">
        <v>9</v>
      </c>
      <c r="D2631">
        <v>27</v>
      </c>
      <c r="E2631" t="s">
        <v>42</v>
      </c>
      <c r="F2631" t="s">
        <v>39</v>
      </c>
      <c r="G2631" t="s">
        <v>40</v>
      </c>
    </row>
    <row r="2632" spans="1:7" x14ac:dyDescent="0.3">
      <c r="A2632" t="s">
        <v>53</v>
      </c>
      <c r="B2632" t="s">
        <v>23</v>
      </c>
      <c r="C2632" t="s">
        <v>13</v>
      </c>
      <c r="D2632">
        <v>30</v>
      </c>
      <c r="E2632" t="s">
        <v>42</v>
      </c>
      <c r="F2632" t="s">
        <v>39</v>
      </c>
      <c r="G2632" t="s">
        <v>40</v>
      </c>
    </row>
    <row r="2633" spans="1:7" x14ac:dyDescent="0.3">
      <c r="A2633" t="s">
        <v>53</v>
      </c>
      <c r="B2633" t="s">
        <v>23</v>
      </c>
      <c r="C2633" t="s">
        <v>14</v>
      </c>
      <c r="D2633">
        <v>72</v>
      </c>
      <c r="E2633" t="s">
        <v>42</v>
      </c>
      <c r="F2633" t="s">
        <v>39</v>
      </c>
      <c r="G2633" t="s">
        <v>40</v>
      </c>
    </row>
    <row r="2634" spans="1:7" x14ac:dyDescent="0.3">
      <c r="A2634" t="s">
        <v>53</v>
      </c>
      <c r="B2634" t="s">
        <v>23</v>
      </c>
      <c r="C2634" t="s">
        <v>15</v>
      </c>
      <c r="D2634">
        <v>6</v>
      </c>
      <c r="E2634" t="s">
        <v>42</v>
      </c>
      <c r="F2634" t="s">
        <v>39</v>
      </c>
      <c r="G2634" t="s">
        <v>40</v>
      </c>
    </row>
    <row r="2635" spans="1:7" x14ac:dyDescent="0.3">
      <c r="A2635" t="s">
        <v>53</v>
      </c>
      <c r="B2635" t="s">
        <v>23</v>
      </c>
      <c r="C2635" t="s">
        <v>16</v>
      </c>
      <c r="D2635">
        <v>40335</v>
      </c>
      <c r="E2635" t="s">
        <v>42</v>
      </c>
      <c r="F2635" t="s">
        <v>39</v>
      </c>
      <c r="G2635" t="s">
        <v>40</v>
      </c>
    </row>
    <row r="2636" spans="1:7" x14ac:dyDescent="0.3">
      <c r="A2636" t="s">
        <v>53</v>
      </c>
      <c r="B2636" t="s">
        <v>23</v>
      </c>
      <c r="C2636" t="s">
        <v>17</v>
      </c>
      <c r="D2636">
        <v>7</v>
      </c>
      <c r="E2636" t="s">
        <v>42</v>
      </c>
      <c r="F2636" t="s">
        <v>39</v>
      </c>
      <c r="G2636" t="s">
        <v>40</v>
      </c>
    </row>
    <row r="2637" spans="1:7" x14ac:dyDescent="0.3">
      <c r="A2637" t="s">
        <v>53</v>
      </c>
      <c r="B2637" t="s">
        <v>23</v>
      </c>
      <c r="C2637" t="s">
        <v>18</v>
      </c>
      <c r="D2637">
        <v>0</v>
      </c>
      <c r="E2637" t="s">
        <v>42</v>
      </c>
      <c r="F2637" t="s">
        <v>39</v>
      </c>
      <c r="G2637" t="s">
        <v>40</v>
      </c>
    </row>
    <row r="2638" spans="1:7" x14ac:dyDescent="0.3">
      <c r="A2638" t="s">
        <v>53</v>
      </c>
      <c r="B2638" t="s">
        <v>23</v>
      </c>
      <c r="C2638" t="s">
        <v>19</v>
      </c>
      <c r="D2638">
        <v>4</v>
      </c>
      <c r="E2638" t="s">
        <v>42</v>
      </c>
      <c r="F2638" t="s">
        <v>39</v>
      </c>
      <c r="G2638" t="s">
        <v>40</v>
      </c>
    </row>
    <row r="2639" spans="1:7" x14ac:dyDescent="0.3">
      <c r="A2639" t="s">
        <v>53</v>
      </c>
      <c r="B2639" t="s">
        <v>23</v>
      </c>
      <c r="C2639" t="s">
        <v>20</v>
      </c>
      <c r="D2639">
        <v>190</v>
      </c>
      <c r="E2639" t="s">
        <v>42</v>
      </c>
      <c r="F2639" t="s">
        <v>39</v>
      </c>
      <c r="G2639" t="s">
        <v>40</v>
      </c>
    </row>
    <row r="2640" spans="1:7" x14ac:dyDescent="0.3">
      <c r="A2640" t="s">
        <v>53</v>
      </c>
      <c r="B2640" t="s">
        <v>23</v>
      </c>
      <c r="C2640" t="s">
        <v>21</v>
      </c>
      <c r="D2640">
        <v>2</v>
      </c>
      <c r="E2640" t="s">
        <v>42</v>
      </c>
      <c r="F2640" t="s">
        <v>39</v>
      </c>
      <c r="G2640" t="s">
        <v>40</v>
      </c>
    </row>
    <row r="2641" spans="1:7" x14ac:dyDescent="0.3">
      <c r="A2641" t="s">
        <v>53</v>
      </c>
      <c r="B2641" t="s">
        <v>23</v>
      </c>
      <c r="C2641" t="s">
        <v>22</v>
      </c>
      <c r="D2641">
        <v>58</v>
      </c>
      <c r="E2641" t="s">
        <v>42</v>
      </c>
      <c r="F2641" t="s">
        <v>39</v>
      </c>
      <c r="G2641" t="s">
        <v>40</v>
      </c>
    </row>
    <row r="2642" spans="1:7" x14ac:dyDescent="0.3">
      <c r="A2642" t="s">
        <v>33</v>
      </c>
      <c r="B2642" t="s">
        <v>8</v>
      </c>
      <c r="C2642" t="s">
        <v>9</v>
      </c>
      <c r="D2642">
        <v>34</v>
      </c>
      <c r="E2642" t="s">
        <v>42</v>
      </c>
      <c r="F2642" t="s">
        <v>39</v>
      </c>
      <c r="G2642" t="s">
        <v>40</v>
      </c>
    </row>
    <row r="2643" spans="1:7" x14ac:dyDescent="0.3">
      <c r="A2643" t="s">
        <v>33</v>
      </c>
      <c r="B2643" t="s">
        <v>8</v>
      </c>
      <c r="C2643" t="s">
        <v>13</v>
      </c>
      <c r="D2643">
        <v>5</v>
      </c>
      <c r="E2643" t="s">
        <v>42</v>
      </c>
      <c r="F2643" t="s">
        <v>39</v>
      </c>
      <c r="G2643" t="s">
        <v>40</v>
      </c>
    </row>
    <row r="2644" spans="1:7" x14ac:dyDescent="0.3">
      <c r="A2644" t="s">
        <v>33</v>
      </c>
      <c r="B2644" t="s">
        <v>8</v>
      </c>
      <c r="C2644" t="s">
        <v>14</v>
      </c>
      <c r="D2644">
        <v>1</v>
      </c>
      <c r="E2644" t="s">
        <v>42</v>
      </c>
      <c r="F2644" t="s">
        <v>39</v>
      </c>
      <c r="G2644" t="s">
        <v>40</v>
      </c>
    </row>
    <row r="2645" spans="1:7" x14ac:dyDescent="0.3">
      <c r="A2645" t="s">
        <v>33</v>
      </c>
      <c r="B2645" t="s">
        <v>8</v>
      </c>
      <c r="C2645" t="s">
        <v>15</v>
      </c>
      <c r="D2645">
        <v>4</v>
      </c>
      <c r="E2645" t="s">
        <v>42</v>
      </c>
      <c r="F2645" t="s">
        <v>39</v>
      </c>
      <c r="G2645" t="s">
        <v>40</v>
      </c>
    </row>
    <row r="2646" spans="1:7" x14ac:dyDescent="0.3">
      <c r="A2646" t="s">
        <v>33</v>
      </c>
      <c r="B2646" t="s">
        <v>8</v>
      </c>
      <c r="C2646" t="s">
        <v>16</v>
      </c>
      <c r="D2646">
        <v>1198</v>
      </c>
      <c r="E2646" t="s">
        <v>42</v>
      </c>
      <c r="F2646" t="s">
        <v>39</v>
      </c>
      <c r="G2646" t="s">
        <v>40</v>
      </c>
    </row>
    <row r="2647" spans="1:7" x14ac:dyDescent="0.3">
      <c r="A2647" t="s">
        <v>33</v>
      </c>
      <c r="B2647" t="s">
        <v>8</v>
      </c>
      <c r="C2647" t="s">
        <v>17</v>
      </c>
      <c r="D2647">
        <v>11</v>
      </c>
      <c r="E2647" t="s">
        <v>42</v>
      </c>
      <c r="F2647" t="s">
        <v>39</v>
      </c>
      <c r="G2647" t="s">
        <v>40</v>
      </c>
    </row>
    <row r="2648" spans="1:7" x14ac:dyDescent="0.3">
      <c r="A2648" t="s">
        <v>33</v>
      </c>
      <c r="B2648" t="s">
        <v>8</v>
      </c>
      <c r="C2648" t="s">
        <v>18</v>
      </c>
      <c r="D2648">
        <v>0</v>
      </c>
      <c r="E2648" t="s">
        <v>42</v>
      </c>
      <c r="F2648" t="s">
        <v>39</v>
      </c>
      <c r="G2648" t="s">
        <v>40</v>
      </c>
    </row>
    <row r="2649" spans="1:7" x14ac:dyDescent="0.3">
      <c r="A2649" t="s">
        <v>33</v>
      </c>
      <c r="B2649" t="s">
        <v>8</v>
      </c>
      <c r="C2649" t="s">
        <v>19</v>
      </c>
      <c r="D2649">
        <v>0</v>
      </c>
      <c r="E2649" t="s">
        <v>42</v>
      </c>
      <c r="F2649" t="s">
        <v>39</v>
      </c>
      <c r="G2649" t="s">
        <v>40</v>
      </c>
    </row>
    <row r="2650" spans="1:7" x14ac:dyDescent="0.3">
      <c r="A2650" t="s">
        <v>33</v>
      </c>
      <c r="B2650" t="s">
        <v>8</v>
      </c>
      <c r="C2650" t="s">
        <v>20</v>
      </c>
      <c r="D2650">
        <v>0</v>
      </c>
      <c r="E2650" t="s">
        <v>42</v>
      </c>
      <c r="F2650" t="s">
        <v>39</v>
      </c>
      <c r="G2650" t="s">
        <v>40</v>
      </c>
    </row>
    <row r="2651" spans="1:7" x14ac:dyDescent="0.3">
      <c r="A2651" t="s">
        <v>33</v>
      </c>
      <c r="B2651" t="s">
        <v>8</v>
      </c>
      <c r="C2651" t="s">
        <v>21</v>
      </c>
      <c r="D2651">
        <v>0</v>
      </c>
      <c r="E2651" t="s">
        <v>42</v>
      </c>
      <c r="F2651" t="s">
        <v>39</v>
      </c>
      <c r="G2651" t="s">
        <v>40</v>
      </c>
    </row>
    <row r="2652" spans="1:7" x14ac:dyDescent="0.3">
      <c r="A2652" t="s">
        <v>33</v>
      </c>
      <c r="B2652" t="s">
        <v>8</v>
      </c>
      <c r="C2652" t="s">
        <v>22</v>
      </c>
      <c r="D2652">
        <v>104</v>
      </c>
      <c r="E2652" t="s">
        <v>42</v>
      </c>
      <c r="F2652" t="s">
        <v>39</v>
      </c>
      <c r="G2652" t="s">
        <v>40</v>
      </c>
    </row>
    <row r="2653" spans="1:7" x14ac:dyDescent="0.3">
      <c r="A2653" t="s">
        <v>33</v>
      </c>
      <c r="B2653" t="s">
        <v>23</v>
      </c>
      <c r="C2653" t="s">
        <v>9</v>
      </c>
      <c r="D2653">
        <v>6286</v>
      </c>
      <c r="E2653" t="s">
        <v>42</v>
      </c>
      <c r="F2653" t="s">
        <v>39</v>
      </c>
      <c r="G2653" t="s">
        <v>40</v>
      </c>
    </row>
    <row r="2654" spans="1:7" x14ac:dyDescent="0.3">
      <c r="A2654" t="s">
        <v>33</v>
      </c>
      <c r="B2654" t="s">
        <v>23</v>
      </c>
      <c r="C2654" t="s">
        <v>13</v>
      </c>
      <c r="D2654">
        <v>200</v>
      </c>
      <c r="E2654" t="s">
        <v>42</v>
      </c>
      <c r="F2654" t="s">
        <v>39</v>
      </c>
      <c r="G2654" t="s">
        <v>40</v>
      </c>
    </row>
    <row r="2655" spans="1:7" x14ac:dyDescent="0.3">
      <c r="A2655" t="s">
        <v>33</v>
      </c>
      <c r="B2655" t="s">
        <v>23</v>
      </c>
      <c r="C2655" t="s">
        <v>14</v>
      </c>
      <c r="D2655">
        <v>657</v>
      </c>
      <c r="E2655" t="s">
        <v>42</v>
      </c>
      <c r="F2655" t="s">
        <v>39</v>
      </c>
      <c r="G2655" t="s">
        <v>40</v>
      </c>
    </row>
    <row r="2656" spans="1:7" x14ac:dyDescent="0.3">
      <c r="A2656" t="s">
        <v>33</v>
      </c>
      <c r="B2656" t="s">
        <v>23</v>
      </c>
      <c r="C2656" t="s">
        <v>15</v>
      </c>
      <c r="D2656">
        <v>26</v>
      </c>
      <c r="E2656" t="s">
        <v>42</v>
      </c>
      <c r="F2656" t="s">
        <v>39</v>
      </c>
      <c r="G2656" t="s">
        <v>40</v>
      </c>
    </row>
    <row r="2657" spans="1:7" x14ac:dyDescent="0.3">
      <c r="A2657" t="s">
        <v>33</v>
      </c>
      <c r="B2657" t="s">
        <v>23</v>
      </c>
      <c r="C2657" t="s">
        <v>16</v>
      </c>
      <c r="D2657">
        <v>114748</v>
      </c>
      <c r="E2657" t="s">
        <v>42</v>
      </c>
      <c r="F2657" t="s">
        <v>39</v>
      </c>
      <c r="G2657" t="s">
        <v>40</v>
      </c>
    </row>
    <row r="2658" spans="1:7" x14ac:dyDescent="0.3">
      <c r="A2658" t="s">
        <v>33</v>
      </c>
      <c r="B2658" t="s">
        <v>23</v>
      </c>
      <c r="C2658" t="s">
        <v>17</v>
      </c>
      <c r="D2658">
        <v>165</v>
      </c>
      <c r="E2658" t="s">
        <v>42</v>
      </c>
      <c r="F2658" t="s">
        <v>39</v>
      </c>
      <c r="G2658" t="s">
        <v>40</v>
      </c>
    </row>
    <row r="2659" spans="1:7" x14ac:dyDescent="0.3">
      <c r="A2659" t="s">
        <v>33</v>
      </c>
      <c r="B2659" t="s">
        <v>23</v>
      </c>
      <c r="C2659" t="s">
        <v>18</v>
      </c>
      <c r="D2659">
        <v>0</v>
      </c>
      <c r="E2659" t="s">
        <v>42</v>
      </c>
      <c r="F2659" t="s">
        <v>39</v>
      </c>
      <c r="G2659" t="s">
        <v>40</v>
      </c>
    </row>
    <row r="2660" spans="1:7" x14ac:dyDescent="0.3">
      <c r="A2660" t="s">
        <v>33</v>
      </c>
      <c r="B2660" t="s">
        <v>23</v>
      </c>
      <c r="C2660" t="s">
        <v>19</v>
      </c>
      <c r="D2660">
        <v>24</v>
      </c>
      <c r="E2660" t="s">
        <v>42</v>
      </c>
      <c r="F2660" t="s">
        <v>39</v>
      </c>
      <c r="G2660" t="s">
        <v>40</v>
      </c>
    </row>
    <row r="2661" spans="1:7" x14ac:dyDescent="0.3">
      <c r="A2661" t="s">
        <v>33</v>
      </c>
      <c r="B2661" t="s">
        <v>23</v>
      </c>
      <c r="C2661" t="s">
        <v>20</v>
      </c>
      <c r="D2661">
        <v>633</v>
      </c>
      <c r="E2661" t="s">
        <v>42</v>
      </c>
      <c r="F2661" t="s">
        <v>39</v>
      </c>
      <c r="G2661" t="s">
        <v>40</v>
      </c>
    </row>
    <row r="2662" spans="1:7" x14ac:dyDescent="0.3">
      <c r="A2662" t="s">
        <v>33</v>
      </c>
      <c r="B2662" t="s">
        <v>23</v>
      </c>
      <c r="C2662" t="s">
        <v>21</v>
      </c>
      <c r="D2662">
        <v>22</v>
      </c>
      <c r="E2662" t="s">
        <v>42</v>
      </c>
      <c r="F2662" t="s">
        <v>39</v>
      </c>
      <c r="G2662" t="s">
        <v>40</v>
      </c>
    </row>
    <row r="2663" spans="1:7" x14ac:dyDescent="0.3">
      <c r="A2663" t="s">
        <v>33</v>
      </c>
      <c r="B2663" t="s">
        <v>23</v>
      </c>
      <c r="C2663" t="s">
        <v>22</v>
      </c>
      <c r="D2663">
        <v>262</v>
      </c>
      <c r="E2663" t="s">
        <v>42</v>
      </c>
      <c r="F2663" t="s">
        <v>39</v>
      </c>
      <c r="G2663" t="s">
        <v>40</v>
      </c>
    </row>
    <row r="2664" spans="1:7" x14ac:dyDescent="0.3">
      <c r="A2664" t="s">
        <v>54</v>
      </c>
      <c r="B2664" t="s">
        <v>8</v>
      </c>
      <c r="C2664" t="s">
        <v>9</v>
      </c>
      <c r="D2664">
        <v>126</v>
      </c>
      <c r="E2664" t="s">
        <v>42</v>
      </c>
      <c r="F2664" t="s">
        <v>39</v>
      </c>
      <c r="G2664" t="s">
        <v>40</v>
      </c>
    </row>
    <row r="2665" spans="1:7" x14ac:dyDescent="0.3">
      <c r="A2665" t="s">
        <v>54</v>
      </c>
      <c r="B2665" t="s">
        <v>8</v>
      </c>
      <c r="C2665" t="s">
        <v>13</v>
      </c>
      <c r="D2665">
        <v>17</v>
      </c>
      <c r="E2665" t="s">
        <v>42</v>
      </c>
      <c r="F2665" t="s">
        <v>39</v>
      </c>
      <c r="G2665" t="s">
        <v>40</v>
      </c>
    </row>
    <row r="2666" spans="1:7" x14ac:dyDescent="0.3">
      <c r="A2666" t="s">
        <v>54</v>
      </c>
      <c r="B2666" t="s">
        <v>8</v>
      </c>
      <c r="C2666" t="s">
        <v>14</v>
      </c>
      <c r="D2666">
        <v>0</v>
      </c>
      <c r="E2666" t="s">
        <v>42</v>
      </c>
      <c r="F2666" t="s">
        <v>39</v>
      </c>
      <c r="G2666" t="s">
        <v>40</v>
      </c>
    </row>
    <row r="2667" spans="1:7" x14ac:dyDescent="0.3">
      <c r="A2667" t="s">
        <v>54</v>
      </c>
      <c r="B2667" t="s">
        <v>8</v>
      </c>
      <c r="C2667" t="s">
        <v>15</v>
      </c>
      <c r="D2667">
        <v>12</v>
      </c>
      <c r="E2667" t="s">
        <v>42</v>
      </c>
      <c r="F2667" t="s">
        <v>39</v>
      </c>
      <c r="G2667" t="s">
        <v>40</v>
      </c>
    </row>
    <row r="2668" spans="1:7" x14ac:dyDescent="0.3">
      <c r="A2668" t="s">
        <v>54</v>
      </c>
      <c r="B2668" t="s">
        <v>8</v>
      </c>
      <c r="C2668" t="s">
        <v>16</v>
      </c>
      <c r="D2668">
        <v>9</v>
      </c>
      <c r="E2668" t="s">
        <v>42</v>
      </c>
      <c r="F2668" t="s">
        <v>39</v>
      </c>
      <c r="G2668" t="s">
        <v>40</v>
      </c>
    </row>
    <row r="2669" spans="1:7" x14ac:dyDescent="0.3">
      <c r="A2669" t="s">
        <v>54</v>
      </c>
      <c r="B2669" t="s">
        <v>8</v>
      </c>
      <c r="C2669" t="s">
        <v>17</v>
      </c>
      <c r="D2669">
        <v>30</v>
      </c>
      <c r="E2669" t="s">
        <v>42</v>
      </c>
      <c r="F2669" t="s">
        <v>39</v>
      </c>
      <c r="G2669" t="s">
        <v>40</v>
      </c>
    </row>
    <row r="2670" spans="1:7" x14ac:dyDescent="0.3">
      <c r="A2670" t="s">
        <v>54</v>
      </c>
      <c r="B2670" t="s">
        <v>8</v>
      </c>
      <c r="C2670" t="s">
        <v>18</v>
      </c>
      <c r="D2670">
        <v>0</v>
      </c>
      <c r="E2670" t="s">
        <v>42</v>
      </c>
      <c r="F2670" t="s">
        <v>39</v>
      </c>
      <c r="G2670" t="s">
        <v>40</v>
      </c>
    </row>
    <row r="2671" spans="1:7" x14ac:dyDescent="0.3">
      <c r="A2671" t="s">
        <v>54</v>
      </c>
      <c r="B2671" t="s">
        <v>8</v>
      </c>
      <c r="C2671" t="s">
        <v>19</v>
      </c>
      <c r="D2671">
        <v>0</v>
      </c>
      <c r="E2671" t="s">
        <v>42</v>
      </c>
      <c r="F2671" t="s">
        <v>39</v>
      </c>
      <c r="G2671" t="s">
        <v>40</v>
      </c>
    </row>
    <row r="2672" spans="1:7" x14ac:dyDescent="0.3">
      <c r="A2672" t="s">
        <v>54</v>
      </c>
      <c r="B2672" t="s">
        <v>8</v>
      </c>
      <c r="C2672" t="s">
        <v>20</v>
      </c>
      <c r="D2672">
        <v>0</v>
      </c>
      <c r="E2672" t="s">
        <v>42</v>
      </c>
      <c r="F2672" t="s">
        <v>39</v>
      </c>
      <c r="G2672" t="s">
        <v>40</v>
      </c>
    </row>
    <row r="2673" spans="1:7" x14ac:dyDescent="0.3">
      <c r="A2673" t="s">
        <v>54</v>
      </c>
      <c r="B2673" t="s">
        <v>8</v>
      </c>
      <c r="C2673" t="s">
        <v>21</v>
      </c>
      <c r="D2673">
        <v>0</v>
      </c>
      <c r="E2673" t="s">
        <v>42</v>
      </c>
      <c r="F2673" t="s">
        <v>39</v>
      </c>
      <c r="G2673" t="s">
        <v>40</v>
      </c>
    </row>
    <row r="2674" spans="1:7" x14ac:dyDescent="0.3">
      <c r="A2674" t="s">
        <v>54</v>
      </c>
      <c r="B2674" t="s">
        <v>8</v>
      </c>
      <c r="C2674" t="s">
        <v>22</v>
      </c>
      <c r="D2674">
        <v>346</v>
      </c>
      <c r="E2674" t="s">
        <v>42</v>
      </c>
      <c r="F2674" t="s">
        <v>39</v>
      </c>
      <c r="G2674" t="s">
        <v>40</v>
      </c>
    </row>
    <row r="2675" spans="1:7" x14ac:dyDescent="0.3">
      <c r="A2675" t="s">
        <v>54</v>
      </c>
      <c r="B2675" t="s">
        <v>23</v>
      </c>
      <c r="C2675" t="s">
        <v>9</v>
      </c>
      <c r="D2675">
        <v>24080</v>
      </c>
      <c r="E2675" t="s">
        <v>42</v>
      </c>
      <c r="F2675" t="s">
        <v>39</v>
      </c>
      <c r="G2675" t="s">
        <v>40</v>
      </c>
    </row>
    <row r="2676" spans="1:7" x14ac:dyDescent="0.3">
      <c r="A2676" t="s">
        <v>54</v>
      </c>
      <c r="B2676" t="s">
        <v>23</v>
      </c>
      <c r="C2676" t="s">
        <v>13</v>
      </c>
      <c r="D2676">
        <v>444</v>
      </c>
      <c r="E2676" t="s">
        <v>42</v>
      </c>
      <c r="F2676" t="s">
        <v>39</v>
      </c>
      <c r="G2676" t="s">
        <v>40</v>
      </c>
    </row>
    <row r="2677" spans="1:7" x14ac:dyDescent="0.3">
      <c r="A2677" t="s">
        <v>54</v>
      </c>
      <c r="B2677" t="s">
        <v>23</v>
      </c>
      <c r="C2677" t="s">
        <v>14</v>
      </c>
      <c r="D2677">
        <v>1760</v>
      </c>
      <c r="E2677" t="s">
        <v>42</v>
      </c>
      <c r="F2677" t="s">
        <v>39</v>
      </c>
      <c r="G2677" t="s">
        <v>40</v>
      </c>
    </row>
    <row r="2678" spans="1:7" x14ac:dyDescent="0.3">
      <c r="A2678" t="s">
        <v>54</v>
      </c>
      <c r="B2678" t="s">
        <v>23</v>
      </c>
      <c r="C2678" t="s">
        <v>15</v>
      </c>
      <c r="D2678">
        <v>39</v>
      </c>
      <c r="E2678" t="s">
        <v>42</v>
      </c>
      <c r="F2678" t="s">
        <v>39</v>
      </c>
      <c r="G2678" t="s">
        <v>40</v>
      </c>
    </row>
    <row r="2679" spans="1:7" x14ac:dyDescent="0.3">
      <c r="A2679" t="s">
        <v>54</v>
      </c>
      <c r="B2679" t="s">
        <v>23</v>
      </c>
      <c r="C2679" t="s">
        <v>16</v>
      </c>
      <c r="D2679">
        <v>4129</v>
      </c>
      <c r="E2679" t="s">
        <v>42</v>
      </c>
      <c r="F2679" t="s">
        <v>39</v>
      </c>
      <c r="G2679" t="s">
        <v>40</v>
      </c>
    </row>
    <row r="2680" spans="1:7" x14ac:dyDescent="0.3">
      <c r="A2680" t="s">
        <v>54</v>
      </c>
      <c r="B2680" t="s">
        <v>23</v>
      </c>
      <c r="C2680" t="s">
        <v>17</v>
      </c>
      <c r="D2680">
        <v>567</v>
      </c>
      <c r="E2680" t="s">
        <v>42</v>
      </c>
      <c r="F2680" t="s">
        <v>39</v>
      </c>
      <c r="G2680" t="s">
        <v>40</v>
      </c>
    </row>
    <row r="2681" spans="1:7" x14ac:dyDescent="0.3">
      <c r="A2681" t="s">
        <v>54</v>
      </c>
      <c r="B2681" t="s">
        <v>23</v>
      </c>
      <c r="C2681" t="s">
        <v>18</v>
      </c>
      <c r="D2681">
        <v>0</v>
      </c>
      <c r="E2681" t="s">
        <v>42</v>
      </c>
      <c r="F2681" t="s">
        <v>39</v>
      </c>
      <c r="G2681" t="s">
        <v>40</v>
      </c>
    </row>
    <row r="2682" spans="1:7" x14ac:dyDescent="0.3">
      <c r="A2682" t="s">
        <v>54</v>
      </c>
      <c r="B2682" t="s">
        <v>23</v>
      </c>
      <c r="C2682" t="s">
        <v>19</v>
      </c>
      <c r="D2682">
        <v>52</v>
      </c>
      <c r="E2682" t="s">
        <v>42</v>
      </c>
      <c r="F2682" t="s">
        <v>39</v>
      </c>
      <c r="G2682" t="s">
        <v>40</v>
      </c>
    </row>
    <row r="2683" spans="1:7" x14ac:dyDescent="0.3">
      <c r="A2683" t="s">
        <v>54</v>
      </c>
      <c r="B2683" t="s">
        <v>23</v>
      </c>
      <c r="C2683" t="s">
        <v>20</v>
      </c>
      <c r="D2683">
        <v>378</v>
      </c>
      <c r="E2683" t="s">
        <v>42</v>
      </c>
      <c r="F2683" t="s">
        <v>39</v>
      </c>
      <c r="G2683" t="s">
        <v>40</v>
      </c>
    </row>
    <row r="2684" spans="1:7" x14ac:dyDescent="0.3">
      <c r="A2684" t="s">
        <v>54</v>
      </c>
      <c r="B2684" t="s">
        <v>23</v>
      </c>
      <c r="C2684" t="s">
        <v>21</v>
      </c>
      <c r="D2684">
        <v>69</v>
      </c>
      <c r="E2684" t="s">
        <v>42</v>
      </c>
      <c r="F2684" t="s">
        <v>39</v>
      </c>
      <c r="G2684" t="s">
        <v>40</v>
      </c>
    </row>
    <row r="2685" spans="1:7" x14ac:dyDescent="0.3">
      <c r="A2685" t="s">
        <v>54</v>
      </c>
      <c r="B2685" t="s">
        <v>23</v>
      </c>
      <c r="C2685" t="s">
        <v>22</v>
      </c>
      <c r="D2685">
        <v>384</v>
      </c>
      <c r="E2685" t="s">
        <v>42</v>
      </c>
      <c r="F2685" t="s">
        <v>39</v>
      </c>
      <c r="G2685" t="s">
        <v>40</v>
      </c>
    </row>
    <row r="2686" spans="1:7" x14ac:dyDescent="0.3">
      <c r="A2686" t="s">
        <v>55</v>
      </c>
      <c r="B2686" t="s">
        <v>8</v>
      </c>
      <c r="C2686" t="s">
        <v>9</v>
      </c>
      <c r="D2686">
        <v>184</v>
      </c>
      <c r="E2686" t="s">
        <v>42</v>
      </c>
      <c r="F2686" t="s">
        <v>39</v>
      </c>
      <c r="G2686" t="s">
        <v>40</v>
      </c>
    </row>
    <row r="2687" spans="1:7" x14ac:dyDescent="0.3">
      <c r="A2687" t="s">
        <v>55</v>
      </c>
      <c r="B2687" t="s">
        <v>8</v>
      </c>
      <c r="C2687" t="s">
        <v>13</v>
      </c>
      <c r="D2687">
        <v>25</v>
      </c>
      <c r="E2687" t="s">
        <v>42</v>
      </c>
      <c r="F2687" t="s">
        <v>39</v>
      </c>
      <c r="G2687" t="s">
        <v>40</v>
      </c>
    </row>
    <row r="2688" spans="1:7" x14ac:dyDescent="0.3">
      <c r="A2688" t="s">
        <v>55</v>
      </c>
      <c r="B2688" t="s">
        <v>8</v>
      </c>
      <c r="C2688" t="s">
        <v>14</v>
      </c>
      <c r="D2688">
        <v>1</v>
      </c>
      <c r="E2688" t="s">
        <v>42</v>
      </c>
      <c r="F2688" t="s">
        <v>39</v>
      </c>
      <c r="G2688" t="s">
        <v>40</v>
      </c>
    </row>
    <row r="2689" spans="1:7" x14ac:dyDescent="0.3">
      <c r="A2689" t="s">
        <v>55</v>
      </c>
      <c r="B2689" t="s">
        <v>8</v>
      </c>
      <c r="C2689" t="s">
        <v>15</v>
      </c>
      <c r="D2689">
        <v>17</v>
      </c>
      <c r="E2689" t="s">
        <v>42</v>
      </c>
      <c r="F2689" t="s">
        <v>39</v>
      </c>
      <c r="G2689" t="s">
        <v>40</v>
      </c>
    </row>
    <row r="2690" spans="1:7" x14ac:dyDescent="0.3">
      <c r="A2690" t="s">
        <v>55</v>
      </c>
      <c r="B2690" t="s">
        <v>8</v>
      </c>
      <c r="C2690" t="s">
        <v>16</v>
      </c>
      <c r="D2690">
        <v>13</v>
      </c>
      <c r="E2690" t="s">
        <v>42</v>
      </c>
      <c r="F2690" t="s">
        <v>39</v>
      </c>
      <c r="G2690" t="s">
        <v>40</v>
      </c>
    </row>
    <row r="2691" spans="1:7" x14ac:dyDescent="0.3">
      <c r="A2691" t="s">
        <v>55</v>
      </c>
      <c r="B2691" t="s">
        <v>8</v>
      </c>
      <c r="C2691" t="s">
        <v>17</v>
      </c>
      <c r="D2691">
        <v>44</v>
      </c>
      <c r="E2691" t="s">
        <v>42</v>
      </c>
      <c r="F2691" t="s">
        <v>39</v>
      </c>
      <c r="G2691" t="s">
        <v>40</v>
      </c>
    </row>
    <row r="2692" spans="1:7" x14ac:dyDescent="0.3">
      <c r="A2692" t="s">
        <v>55</v>
      </c>
      <c r="B2692" t="s">
        <v>8</v>
      </c>
      <c r="C2692" t="s">
        <v>18</v>
      </c>
      <c r="D2692">
        <v>0</v>
      </c>
      <c r="E2692" t="s">
        <v>42</v>
      </c>
      <c r="F2692" t="s">
        <v>39</v>
      </c>
      <c r="G2692" t="s">
        <v>40</v>
      </c>
    </row>
    <row r="2693" spans="1:7" x14ac:dyDescent="0.3">
      <c r="A2693" t="s">
        <v>55</v>
      </c>
      <c r="B2693" t="s">
        <v>8</v>
      </c>
      <c r="C2693" t="s">
        <v>19</v>
      </c>
      <c r="D2693">
        <v>0</v>
      </c>
      <c r="E2693" t="s">
        <v>42</v>
      </c>
      <c r="F2693" t="s">
        <v>39</v>
      </c>
      <c r="G2693" t="s">
        <v>40</v>
      </c>
    </row>
    <row r="2694" spans="1:7" x14ac:dyDescent="0.3">
      <c r="A2694" t="s">
        <v>55</v>
      </c>
      <c r="B2694" t="s">
        <v>8</v>
      </c>
      <c r="C2694" t="s">
        <v>20</v>
      </c>
      <c r="D2694">
        <v>0</v>
      </c>
      <c r="E2694" t="s">
        <v>42</v>
      </c>
      <c r="F2694" t="s">
        <v>39</v>
      </c>
      <c r="G2694" t="s">
        <v>40</v>
      </c>
    </row>
    <row r="2695" spans="1:7" x14ac:dyDescent="0.3">
      <c r="A2695" t="s">
        <v>55</v>
      </c>
      <c r="B2695" t="s">
        <v>8</v>
      </c>
      <c r="C2695" t="s">
        <v>21</v>
      </c>
      <c r="D2695">
        <v>0</v>
      </c>
      <c r="E2695" t="s">
        <v>42</v>
      </c>
      <c r="F2695" t="s">
        <v>39</v>
      </c>
      <c r="G2695" t="s">
        <v>40</v>
      </c>
    </row>
    <row r="2696" spans="1:7" x14ac:dyDescent="0.3">
      <c r="A2696" t="s">
        <v>55</v>
      </c>
      <c r="B2696" t="s">
        <v>8</v>
      </c>
      <c r="C2696" t="s">
        <v>22</v>
      </c>
      <c r="D2696">
        <v>505</v>
      </c>
      <c r="E2696" t="s">
        <v>42</v>
      </c>
      <c r="F2696" t="s">
        <v>39</v>
      </c>
      <c r="G2696" t="s">
        <v>40</v>
      </c>
    </row>
    <row r="2697" spans="1:7" x14ac:dyDescent="0.3">
      <c r="A2697" t="s">
        <v>55</v>
      </c>
      <c r="B2697" t="s">
        <v>23</v>
      </c>
      <c r="C2697" t="s">
        <v>9</v>
      </c>
      <c r="D2697">
        <v>35169</v>
      </c>
      <c r="E2697" t="s">
        <v>42</v>
      </c>
      <c r="F2697" t="s">
        <v>39</v>
      </c>
      <c r="G2697" t="s">
        <v>40</v>
      </c>
    </row>
    <row r="2698" spans="1:7" x14ac:dyDescent="0.3">
      <c r="A2698" t="s">
        <v>55</v>
      </c>
      <c r="B2698" t="s">
        <v>23</v>
      </c>
      <c r="C2698" t="s">
        <v>13</v>
      </c>
      <c r="D2698">
        <v>648</v>
      </c>
      <c r="E2698" t="s">
        <v>42</v>
      </c>
      <c r="F2698" t="s">
        <v>39</v>
      </c>
      <c r="G2698" t="s">
        <v>40</v>
      </c>
    </row>
    <row r="2699" spans="1:7" x14ac:dyDescent="0.3">
      <c r="A2699" t="s">
        <v>55</v>
      </c>
      <c r="B2699" t="s">
        <v>23</v>
      </c>
      <c r="C2699" t="s">
        <v>14</v>
      </c>
      <c r="D2699">
        <v>2570</v>
      </c>
      <c r="E2699" t="s">
        <v>42</v>
      </c>
      <c r="F2699" t="s">
        <v>39</v>
      </c>
      <c r="G2699" t="s">
        <v>40</v>
      </c>
    </row>
    <row r="2700" spans="1:7" x14ac:dyDescent="0.3">
      <c r="A2700" t="s">
        <v>55</v>
      </c>
      <c r="B2700" t="s">
        <v>23</v>
      </c>
      <c r="C2700" t="s">
        <v>15</v>
      </c>
      <c r="D2700">
        <v>56</v>
      </c>
      <c r="E2700" t="s">
        <v>42</v>
      </c>
      <c r="F2700" t="s">
        <v>39</v>
      </c>
      <c r="G2700" t="s">
        <v>40</v>
      </c>
    </row>
    <row r="2701" spans="1:7" x14ac:dyDescent="0.3">
      <c r="A2701" t="s">
        <v>55</v>
      </c>
      <c r="B2701" t="s">
        <v>23</v>
      </c>
      <c r="C2701" t="s">
        <v>16</v>
      </c>
      <c r="D2701">
        <v>6030</v>
      </c>
      <c r="E2701" t="s">
        <v>42</v>
      </c>
      <c r="F2701" t="s">
        <v>39</v>
      </c>
      <c r="G2701" t="s">
        <v>40</v>
      </c>
    </row>
    <row r="2702" spans="1:7" x14ac:dyDescent="0.3">
      <c r="A2702" t="s">
        <v>55</v>
      </c>
      <c r="B2702" t="s">
        <v>23</v>
      </c>
      <c r="C2702" t="s">
        <v>17</v>
      </c>
      <c r="D2702">
        <v>828</v>
      </c>
      <c r="E2702" t="s">
        <v>42</v>
      </c>
      <c r="F2702" t="s">
        <v>39</v>
      </c>
      <c r="G2702" t="s">
        <v>40</v>
      </c>
    </row>
    <row r="2703" spans="1:7" x14ac:dyDescent="0.3">
      <c r="A2703" t="s">
        <v>55</v>
      </c>
      <c r="B2703" t="s">
        <v>23</v>
      </c>
      <c r="C2703" t="s">
        <v>18</v>
      </c>
      <c r="D2703">
        <v>0</v>
      </c>
      <c r="E2703" t="s">
        <v>42</v>
      </c>
      <c r="F2703" t="s">
        <v>39</v>
      </c>
      <c r="G2703" t="s">
        <v>40</v>
      </c>
    </row>
    <row r="2704" spans="1:7" x14ac:dyDescent="0.3">
      <c r="A2704" t="s">
        <v>55</v>
      </c>
      <c r="B2704" t="s">
        <v>23</v>
      </c>
      <c r="C2704" t="s">
        <v>19</v>
      </c>
      <c r="D2704">
        <v>76</v>
      </c>
      <c r="E2704" t="s">
        <v>42</v>
      </c>
      <c r="F2704" t="s">
        <v>39</v>
      </c>
      <c r="G2704" t="s">
        <v>40</v>
      </c>
    </row>
    <row r="2705" spans="1:7" x14ac:dyDescent="0.3">
      <c r="A2705" t="s">
        <v>55</v>
      </c>
      <c r="B2705" t="s">
        <v>23</v>
      </c>
      <c r="C2705" t="s">
        <v>20</v>
      </c>
      <c r="D2705">
        <v>553</v>
      </c>
      <c r="E2705" t="s">
        <v>42</v>
      </c>
      <c r="F2705" t="s">
        <v>39</v>
      </c>
      <c r="G2705" t="s">
        <v>40</v>
      </c>
    </row>
    <row r="2706" spans="1:7" x14ac:dyDescent="0.3">
      <c r="A2706" t="s">
        <v>55</v>
      </c>
      <c r="B2706" t="s">
        <v>23</v>
      </c>
      <c r="C2706" t="s">
        <v>21</v>
      </c>
      <c r="D2706">
        <v>101</v>
      </c>
      <c r="E2706" t="s">
        <v>42</v>
      </c>
      <c r="F2706" t="s">
        <v>39</v>
      </c>
      <c r="G2706" t="s">
        <v>40</v>
      </c>
    </row>
    <row r="2707" spans="1:7" x14ac:dyDescent="0.3">
      <c r="A2707" t="s">
        <v>55</v>
      </c>
      <c r="B2707" t="s">
        <v>23</v>
      </c>
      <c r="C2707" t="s">
        <v>22</v>
      </c>
      <c r="D2707">
        <v>561</v>
      </c>
      <c r="E2707" t="s">
        <v>42</v>
      </c>
      <c r="F2707" t="s">
        <v>39</v>
      </c>
      <c r="G2707" t="s">
        <v>40</v>
      </c>
    </row>
    <row r="2708" spans="1:7" x14ac:dyDescent="0.3">
      <c r="A2708" t="s">
        <v>56</v>
      </c>
      <c r="B2708" t="s">
        <v>8</v>
      </c>
      <c r="C2708" t="s">
        <v>9</v>
      </c>
      <c r="D2708">
        <v>33</v>
      </c>
      <c r="E2708" t="s">
        <v>42</v>
      </c>
      <c r="F2708" t="s">
        <v>39</v>
      </c>
      <c r="G2708" t="s">
        <v>40</v>
      </c>
    </row>
    <row r="2709" spans="1:7" x14ac:dyDescent="0.3">
      <c r="A2709" t="s">
        <v>56</v>
      </c>
      <c r="B2709" t="s">
        <v>8</v>
      </c>
      <c r="C2709" t="s">
        <v>13</v>
      </c>
      <c r="D2709">
        <v>21</v>
      </c>
      <c r="E2709" t="s">
        <v>42</v>
      </c>
      <c r="F2709" t="s">
        <v>39</v>
      </c>
      <c r="G2709" t="s">
        <v>40</v>
      </c>
    </row>
    <row r="2710" spans="1:7" x14ac:dyDescent="0.3">
      <c r="A2710" t="s">
        <v>56</v>
      </c>
      <c r="B2710" t="s">
        <v>8</v>
      </c>
      <c r="C2710" t="s">
        <v>14</v>
      </c>
      <c r="D2710">
        <v>0</v>
      </c>
      <c r="E2710" t="s">
        <v>42</v>
      </c>
      <c r="F2710" t="s">
        <v>39</v>
      </c>
      <c r="G2710" t="s">
        <v>40</v>
      </c>
    </row>
    <row r="2711" spans="1:7" x14ac:dyDescent="0.3">
      <c r="A2711" t="s">
        <v>56</v>
      </c>
      <c r="B2711" t="s">
        <v>8</v>
      </c>
      <c r="C2711" t="s">
        <v>15</v>
      </c>
      <c r="D2711">
        <v>3</v>
      </c>
      <c r="E2711" t="s">
        <v>42</v>
      </c>
      <c r="F2711" t="s">
        <v>39</v>
      </c>
      <c r="G2711" t="s">
        <v>40</v>
      </c>
    </row>
    <row r="2712" spans="1:7" x14ac:dyDescent="0.3">
      <c r="A2712" t="s">
        <v>56</v>
      </c>
      <c r="B2712" t="s">
        <v>8</v>
      </c>
      <c r="C2712" t="s">
        <v>16</v>
      </c>
      <c r="D2712">
        <v>2</v>
      </c>
      <c r="E2712" t="s">
        <v>42</v>
      </c>
      <c r="F2712" t="s">
        <v>39</v>
      </c>
      <c r="G2712" t="s">
        <v>40</v>
      </c>
    </row>
    <row r="2713" spans="1:7" x14ac:dyDescent="0.3">
      <c r="A2713" t="s">
        <v>56</v>
      </c>
      <c r="B2713" t="s">
        <v>8</v>
      </c>
      <c r="C2713" t="s">
        <v>17</v>
      </c>
      <c r="D2713">
        <v>8</v>
      </c>
      <c r="E2713" t="s">
        <v>42</v>
      </c>
      <c r="F2713" t="s">
        <v>39</v>
      </c>
      <c r="G2713" t="s">
        <v>40</v>
      </c>
    </row>
    <row r="2714" spans="1:7" x14ac:dyDescent="0.3">
      <c r="A2714" t="s">
        <v>56</v>
      </c>
      <c r="B2714" t="s">
        <v>8</v>
      </c>
      <c r="C2714" t="s">
        <v>18</v>
      </c>
      <c r="D2714">
        <v>0</v>
      </c>
      <c r="E2714" t="s">
        <v>42</v>
      </c>
      <c r="F2714" t="s">
        <v>39</v>
      </c>
      <c r="G2714" t="s">
        <v>40</v>
      </c>
    </row>
    <row r="2715" spans="1:7" x14ac:dyDescent="0.3">
      <c r="A2715" t="s">
        <v>56</v>
      </c>
      <c r="B2715" t="s">
        <v>8</v>
      </c>
      <c r="C2715" t="s">
        <v>19</v>
      </c>
      <c r="D2715">
        <v>0</v>
      </c>
      <c r="E2715" t="s">
        <v>42</v>
      </c>
      <c r="F2715" t="s">
        <v>39</v>
      </c>
      <c r="G2715" t="s">
        <v>40</v>
      </c>
    </row>
    <row r="2716" spans="1:7" x14ac:dyDescent="0.3">
      <c r="A2716" t="s">
        <v>56</v>
      </c>
      <c r="B2716" t="s">
        <v>8</v>
      </c>
      <c r="C2716" t="s">
        <v>20</v>
      </c>
      <c r="D2716">
        <v>0</v>
      </c>
      <c r="E2716" t="s">
        <v>42</v>
      </c>
      <c r="F2716" t="s">
        <v>39</v>
      </c>
      <c r="G2716" t="s">
        <v>40</v>
      </c>
    </row>
    <row r="2717" spans="1:7" x14ac:dyDescent="0.3">
      <c r="A2717" t="s">
        <v>56</v>
      </c>
      <c r="B2717" t="s">
        <v>8</v>
      </c>
      <c r="C2717" t="s">
        <v>21</v>
      </c>
      <c r="D2717">
        <v>0</v>
      </c>
      <c r="E2717" t="s">
        <v>42</v>
      </c>
      <c r="F2717" t="s">
        <v>39</v>
      </c>
      <c r="G2717" t="s">
        <v>40</v>
      </c>
    </row>
    <row r="2718" spans="1:7" x14ac:dyDescent="0.3">
      <c r="A2718" t="s">
        <v>56</v>
      </c>
      <c r="B2718" t="s">
        <v>8</v>
      </c>
      <c r="C2718" t="s">
        <v>22</v>
      </c>
      <c r="D2718">
        <v>111</v>
      </c>
      <c r="E2718" t="s">
        <v>42</v>
      </c>
      <c r="F2718" t="s">
        <v>39</v>
      </c>
      <c r="G2718" t="s">
        <v>40</v>
      </c>
    </row>
    <row r="2719" spans="1:7" x14ac:dyDescent="0.3">
      <c r="A2719" t="s">
        <v>56</v>
      </c>
      <c r="B2719" t="s">
        <v>23</v>
      </c>
      <c r="C2719" t="s">
        <v>9</v>
      </c>
      <c r="D2719">
        <v>6236</v>
      </c>
      <c r="E2719" t="s">
        <v>42</v>
      </c>
      <c r="F2719" t="s">
        <v>39</v>
      </c>
      <c r="G2719" t="s">
        <v>40</v>
      </c>
    </row>
    <row r="2720" spans="1:7" x14ac:dyDescent="0.3">
      <c r="A2720" t="s">
        <v>56</v>
      </c>
      <c r="B2720" t="s">
        <v>23</v>
      </c>
      <c r="C2720" t="s">
        <v>13</v>
      </c>
      <c r="D2720">
        <v>5556</v>
      </c>
      <c r="E2720" t="s">
        <v>42</v>
      </c>
      <c r="F2720" t="s">
        <v>39</v>
      </c>
      <c r="G2720" t="s">
        <v>40</v>
      </c>
    </row>
    <row r="2721" spans="1:7" x14ac:dyDescent="0.3">
      <c r="A2721" t="s">
        <v>56</v>
      </c>
      <c r="B2721" t="s">
        <v>23</v>
      </c>
      <c r="C2721" t="s">
        <v>14</v>
      </c>
      <c r="D2721">
        <v>499</v>
      </c>
      <c r="E2721" t="s">
        <v>42</v>
      </c>
      <c r="F2721" t="s">
        <v>39</v>
      </c>
      <c r="G2721" t="s">
        <v>40</v>
      </c>
    </row>
    <row r="2722" spans="1:7" x14ac:dyDescent="0.3">
      <c r="A2722" t="s">
        <v>56</v>
      </c>
      <c r="B2722" t="s">
        <v>23</v>
      </c>
      <c r="C2722" t="s">
        <v>15</v>
      </c>
      <c r="D2722">
        <v>17</v>
      </c>
      <c r="E2722" t="s">
        <v>42</v>
      </c>
      <c r="F2722" t="s">
        <v>39</v>
      </c>
      <c r="G2722" t="s">
        <v>40</v>
      </c>
    </row>
    <row r="2723" spans="1:7" x14ac:dyDescent="0.3">
      <c r="A2723" t="s">
        <v>56</v>
      </c>
      <c r="B2723" t="s">
        <v>23</v>
      </c>
      <c r="C2723" t="s">
        <v>16</v>
      </c>
      <c r="D2723">
        <v>1082</v>
      </c>
      <c r="E2723" t="s">
        <v>42</v>
      </c>
      <c r="F2723" t="s">
        <v>39</v>
      </c>
      <c r="G2723" t="s">
        <v>40</v>
      </c>
    </row>
    <row r="2724" spans="1:7" x14ac:dyDescent="0.3">
      <c r="A2724" t="s">
        <v>56</v>
      </c>
      <c r="B2724" t="s">
        <v>23</v>
      </c>
      <c r="C2724" t="s">
        <v>17</v>
      </c>
      <c r="D2724">
        <v>147</v>
      </c>
      <c r="E2724" t="s">
        <v>42</v>
      </c>
      <c r="F2724" t="s">
        <v>39</v>
      </c>
      <c r="G2724" t="s">
        <v>40</v>
      </c>
    </row>
    <row r="2725" spans="1:7" x14ac:dyDescent="0.3">
      <c r="A2725" t="s">
        <v>56</v>
      </c>
      <c r="B2725" t="s">
        <v>23</v>
      </c>
      <c r="C2725" t="s">
        <v>18</v>
      </c>
      <c r="D2725">
        <v>0</v>
      </c>
      <c r="E2725" t="s">
        <v>42</v>
      </c>
      <c r="F2725" t="s">
        <v>39</v>
      </c>
      <c r="G2725" t="s">
        <v>40</v>
      </c>
    </row>
    <row r="2726" spans="1:7" x14ac:dyDescent="0.3">
      <c r="A2726" t="s">
        <v>56</v>
      </c>
      <c r="B2726" t="s">
        <v>23</v>
      </c>
      <c r="C2726" t="s">
        <v>19</v>
      </c>
      <c r="D2726">
        <v>31</v>
      </c>
      <c r="E2726" t="s">
        <v>42</v>
      </c>
      <c r="F2726" t="s">
        <v>39</v>
      </c>
      <c r="G2726" t="s">
        <v>40</v>
      </c>
    </row>
    <row r="2727" spans="1:7" x14ac:dyDescent="0.3">
      <c r="A2727" t="s">
        <v>56</v>
      </c>
      <c r="B2727" t="s">
        <v>23</v>
      </c>
      <c r="C2727" t="s">
        <v>20</v>
      </c>
      <c r="D2727">
        <v>114</v>
      </c>
      <c r="E2727" t="s">
        <v>42</v>
      </c>
      <c r="F2727" t="s">
        <v>39</v>
      </c>
      <c r="G2727" t="s">
        <v>40</v>
      </c>
    </row>
    <row r="2728" spans="1:7" x14ac:dyDescent="0.3">
      <c r="A2728" t="s">
        <v>56</v>
      </c>
      <c r="B2728" t="s">
        <v>23</v>
      </c>
      <c r="C2728" t="s">
        <v>21</v>
      </c>
      <c r="D2728">
        <v>19</v>
      </c>
      <c r="E2728" t="s">
        <v>42</v>
      </c>
      <c r="F2728" t="s">
        <v>39</v>
      </c>
      <c r="G2728" t="s">
        <v>40</v>
      </c>
    </row>
    <row r="2729" spans="1:7" x14ac:dyDescent="0.3">
      <c r="A2729" t="s">
        <v>56</v>
      </c>
      <c r="B2729" t="s">
        <v>23</v>
      </c>
      <c r="C2729" t="s">
        <v>22</v>
      </c>
      <c r="D2729">
        <v>443</v>
      </c>
      <c r="E2729" t="s">
        <v>42</v>
      </c>
      <c r="F2729" t="s">
        <v>39</v>
      </c>
      <c r="G2729" t="s">
        <v>40</v>
      </c>
    </row>
    <row r="2730" spans="1:7" x14ac:dyDescent="0.3">
      <c r="A2730" t="s">
        <v>43</v>
      </c>
      <c r="B2730" t="s">
        <v>8</v>
      </c>
      <c r="C2730" t="s">
        <v>9</v>
      </c>
      <c r="D2730">
        <v>0</v>
      </c>
      <c r="E2730" t="s">
        <v>57</v>
      </c>
      <c r="F2730" t="s">
        <v>11</v>
      </c>
      <c r="G2730" t="s">
        <v>12</v>
      </c>
    </row>
    <row r="2731" spans="1:7" x14ac:dyDescent="0.3">
      <c r="A2731" t="s">
        <v>43</v>
      </c>
      <c r="B2731" t="s">
        <v>8</v>
      </c>
      <c r="C2731" t="s">
        <v>13</v>
      </c>
      <c r="D2731">
        <v>0</v>
      </c>
      <c r="E2731" t="s">
        <v>57</v>
      </c>
      <c r="F2731" t="s">
        <v>11</v>
      </c>
      <c r="G2731" t="s">
        <v>12</v>
      </c>
    </row>
    <row r="2732" spans="1:7" x14ac:dyDescent="0.3">
      <c r="A2732" t="s">
        <v>43</v>
      </c>
      <c r="B2732" t="s">
        <v>8</v>
      </c>
      <c r="C2732" t="s">
        <v>14</v>
      </c>
      <c r="D2732">
        <v>71</v>
      </c>
      <c r="E2732" t="s">
        <v>57</v>
      </c>
      <c r="F2732" t="s">
        <v>11</v>
      </c>
      <c r="G2732" t="s">
        <v>12</v>
      </c>
    </row>
    <row r="2733" spans="1:7" x14ac:dyDescent="0.3">
      <c r="A2733" t="s">
        <v>43</v>
      </c>
      <c r="B2733" t="s">
        <v>8</v>
      </c>
      <c r="C2733" t="s">
        <v>15</v>
      </c>
      <c r="D2733">
        <v>0</v>
      </c>
      <c r="E2733" t="s">
        <v>57</v>
      </c>
      <c r="F2733" t="s">
        <v>11</v>
      </c>
      <c r="G2733" t="s">
        <v>12</v>
      </c>
    </row>
    <row r="2734" spans="1:7" x14ac:dyDescent="0.3">
      <c r="A2734" t="s">
        <v>43</v>
      </c>
      <c r="B2734" t="s">
        <v>8</v>
      </c>
      <c r="C2734" t="s">
        <v>16</v>
      </c>
      <c r="D2734">
        <v>0</v>
      </c>
      <c r="E2734" t="s">
        <v>57</v>
      </c>
      <c r="F2734" t="s">
        <v>11</v>
      </c>
      <c r="G2734" t="s">
        <v>12</v>
      </c>
    </row>
    <row r="2735" spans="1:7" x14ac:dyDescent="0.3">
      <c r="A2735" t="s">
        <v>43</v>
      </c>
      <c r="B2735" t="s">
        <v>8</v>
      </c>
      <c r="C2735" t="s">
        <v>17</v>
      </c>
      <c r="D2735">
        <v>0</v>
      </c>
      <c r="E2735" t="s">
        <v>57</v>
      </c>
      <c r="F2735" t="s">
        <v>11</v>
      </c>
      <c r="G2735" t="s">
        <v>12</v>
      </c>
    </row>
    <row r="2736" spans="1:7" x14ac:dyDescent="0.3">
      <c r="A2736" t="s">
        <v>43</v>
      </c>
      <c r="B2736" t="s">
        <v>8</v>
      </c>
      <c r="C2736" t="s">
        <v>18</v>
      </c>
      <c r="D2736">
        <v>0</v>
      </c>
      <c r="E2736" t="s">
        <v>57</v>
      </c>
      <c r="F2736" t="s">
        <v>11</v>
      </c>
      <c r="G2736" t="s">
        <v>12</v>
      </c>
    </row>
    <row r="2737" spans="1:7" x14ac:dyDescent="0.3">
      <c r="A2737" t="s">
        <v>43</v>
      </c>
      <c r="B2737" t="s">
        <v>8</v>
      </c>
      <c r="C2737" t="s">
        <v>19</v>
      </c>
      <c r="D2737">
        <v>0</v>
      </c>
      <c r="E2737" t="s">
        <v>57</v>
      </c>
      <c r="F2737" t="s">
        <v>11</v>
      </c>
      <c r="G2737" t="s">
        <v>12</v>
      </c>
    </row>
    <row r="2738" spans="1:7" x14ac:dyDescent="0.3">
      <c r="A2738" t="s">
        <v>43</v>
      </c>
      <c r="B2738" t="s">
        <v>8</v>
      </c>
      <c r="C2738" t="s">
        <v>20</v>
      </c>
      <c r="D2738">
        <v>0</v>
      </c>
      <c r="E2738" t="s">
        <v>57</v>
      </c>
      <c r="F2738" t="s">
        <v>11</v>
      </c>
      <c r="G2738" t="s">
        <v>12</v>
      </c>
    </row>
    <row r="2739" spans="1:7" x14ac:dyDescent="0.3">
      <c r="A2739" t="s">
        <v>43</v>
      </c>
      <c r="B2739" t="s">
        <v>8</v>
      </c>
      <c r="C2739" t="s">
        <v>21</v>
      </c>
      <c r="D2739">
        <v>0</v>
      </c>
      <c r="E2739" t="s">
        <v>57</v>
      </c>
      <c r="F2739" t="s">
        <v>11</v>
      </c>
      <c r="G2739" t="s">
        <v>12</v>
      </c>
    </row>
    <row r="2740" spans="1:7" x14ac:dyDescent="0.3">
      <c r="A2740" t="s">
        <v>43</v>
      </c>
      <c r="B2740" t="s">
        <v>8</v>
      </c>
      <c r="C2740" t="s">
        <v>22</v>
      </c>
      <c r="D2740">
        <v>0</v>
      </c>
      <c r="E2740" t="s">
        <v>57</v>
      </c>
      <c r="F2740" t="s">
        <v>11</v>
      </c>
      <c r="G2740" t="s">
        <v>12</v>
      </c>
    </row>
    <row r="2741" spans="1:7" x14ac:dyDescent="0.3">
      <c r="A2741" t="s">
        <v>43</v>
      </c>
      <c r="B2741" t="s">
        <v>23</v>
      </c>
      <c r="C2741" t="s">
        <v>9</v>
      </c>
      <c r="D2741">
        <v>0</v>
      </c>
      <c r="E2741" t="s">
        <v>57</v>
      </c>
      <c r="F2741" t="s">
        <v>11</v>
      </c>
      <c r="G2741" t="s">
        <v>12</v>
      </c>
    </row>
    <row r="2742" spans="1:7" x14ac:dyDescent="0.3">
      <c r="A2742" t="s">
        <v>43</v>
      </c>
      <c r="B2742" t="s">
        <v>23</v>
      </c>
      <c r="C2742" t="s">
        <v>13</v>
      </c>
      <c r="D2742">
        <v>0</v>
      </c>
      <c r="E2742" t="s">
        <v>57</v>
      </c>
      <c r="F2742" t="s">
        <v>11</v>
      </c>
      <c r="G2742" t="s">
        <v>12</v>
      </c>
    </row>
    <row r="2743" spans="1:7" x14ac:dyDescent="0.3">
      <c r="A2743" t="s">
        <v>43</v>
      </c>
      <c r="B2743" t="s">
        <v>23</v>
      </c>
      <c r="C2743" t="s">
        <v>14</v>
      </c>
      <c r="D2743">
        <v>638</v>
      </c>
      <c r="E2743" t="s">
        <v>57</v>
      </c>
      <c r="F2743" t="s">
        <v>11</v>
      </c>
      <c r="G2743" t="s">
        <v>12</v>
      </c>
    </row>
    <row r="2744" spans="1:7" x14ac:dyDescent="0.3">
      <c r="A2744" t="s">
        <v>43</v>
      </c>
      <c r="B2744" t="s">
        <v>23</v>
      </c>
      <c r="C2744" t="s">
        <v>15</v>
      </c>
      <c r="D2744">
        <v>4</v>
      </c>
      <c r="E2744" t="s">
        <v>57</v>
      </c>
      <c r="F2744" t="s">
        <v>11</v>
      </c>
      <c r="G2744" t="s">
        <v>12</v>
      </c>
    </row>
    <row r="2745" spans="1:7" x14ac:dyDescent="0.3">
      <c r="A2745" t="s">
        <v>43</v>
      </c>
      <c r="B2745" t="s">
        <v>23</v>
      </c>
      <c r="C2745" t="s">
        <v>16</v>
      </c>
      <c r="D2745">
        <v>91</v>
      </c>
      <c r="E2745" t="s">
        <v>57</v>
      </c>
      <c r="F2745" t="s">
        <v>11</v>
      </c>
      <c r="G2745" t="s">
        <v>12</v>
      </c>
    </row>
    <row r="2746" spans="1:7" x14ac:dyDescent="0.3">
      <c r="A2746" t="s">
        <v>43</v>
      </c>
      <c r="B2746" t="s">
        <v>23</v>
      </c>
      <c r="C2746" t="s">
        <v>17</v>
      </c>
      <c r="D2746">
        <v>0</v>
      </c>
      <c r="E2746" t="s">
        <v>57</v>
      </c>
      <c r="F2746" t="s">
        <v>11</v>
      </c>
      <c r="G2746" t="s">
        <v>12</v>
      </c>
    </row>
    <row r="2747" spans="1:7" x14ac:dyDescent="0.3">
      <c r="A2747" t="s">
        <v>43</v>
      </c>
      <c r="B2747" t="s">
        <v>23</v>
      </c>
      <c r="C2747" t="s">
        <v>18</v>
      </c>
      <c r="D2747">
        <v>0</v>
      </c>
      <c r="E2747" t="s">
        <v>57</v>
      </c>
      <c r="F2747" t="s">
        <v>11</v>
      </c>
      <c r="G2747" t="s">
        <v>12</v>
      </c>
    </row>
    <row r="2748" spans="1:7" x14ac:dyDescent="0.3">
      <c r="A2748" t="s">
        <v>43</v>
      </c>
      <c r="B2748" t="s">
        <v>23</v>
      </c>
      <c r="C2748" t="s">
        <v>19</v>
      </c>
      <c r="D2748">
        <v>4</v>
      </c>
      <c r="E2748" t="s">
        <v>57</v>
      </c>
      <c r="F2748" t="s">
        <v>11</v>
      </c>
      <c r="G2748" t="s">
        <v>12</v>
      </c>
    </row>
    <row r="2749" spans="1:7" x14ac:dyDescent="0.3">
      <c r="A2749" t="s">
        <v>43</v>
      </c>
      <c r="B2749" t="s">
        <v>23</v>
      </c>
      <c r="C2749" t="s">
        <v>20</v>
      </c>
      <c r="D2749">
        <v>2</v>
      </c>
      <c r="E2749" t="s">
        <v>57</v>
      </c>
      <c r="F2749" t="s">
        <v>11</v>
      </c>
      <c r="G2749" t="s">
        <v>12</v>
      </c>
    </row>
    <row r="2750" spans="1:7" x14ac:dyDescent="0.3">
      <c r="A2750" t="s">
        <v>43</v>
      </c>
      <c r="B2750" t="s">
        <v>23</v>
      </c>
      <c r="C2750" t="s">
        <v>21</v>
      </c>
      <c r="D2750">
        <v>2</v>
      </c>
      <c r="E2750" t="s">
        <v>57</v>
      </c>
      <c r="F2750" t="s">
        <v>11</v>
      </c>
      <c r="G2750" t="s">
        <v>12</v>
      </c>
    </row>
    <row r="2751" spans="1:7" x14ac:dyDescent="0.3">
      <c r="A2751" t="s">
        <v>43</v>
      </c>
      <c r="B2751" t="s">
        <v>23</v>
      </c>
      <c r="C2751" t="s">
        <v>22</v>
      </c>
      <c r="D2751">
        <v>1</v>
      </c>
      <c r="E2751" t="s">
        <v>57</v>
      </c>
      <c r="F2751" t="s">
        <v>11</v>
      </c>
      <c r="G2751" t="s">
        <v>12</v>
      </c>
    </row>
    <row r="2752" spans="1:7" x14ac:dyDescent="0.3">
      <c r="A2752" t="s">
        <v>7</v>
      </c>
      <c r="B2752" t="s">
        <v>8</v>
      </c>
      <c r="C2752" t="s">
        <v>9</v>
      </c>
      <c r="D2752">
        <v>0</v>
      </c>
      <c r="E2752" t="s">
        <v>57</v>
      </c>
      <c r="F2752" t="s">
        <v>11</v>
      </c>
      <c r="G2752" t="s">
        <v>12</v>
      </c>
    </row>
    <row r="2753" spans="1:7" x14ac:dyDescent="0.3">
      <c r="A2753" t="s">
        <v>7</v>
      </c>
      <c r="B2753" t="s">
        <v>8</v>
      </c>
      <c r="C2753" t="s">
        <v>13</v>
      </c>
      <c r="D2753">
        <v>0</v>
      </c>
      <c r="E2753" t="s">
        <v>57</v>
      </c>
      <c r="F2753" t="s">
        <v>11</v>
      </c>
      <c r="G2753" t="s">
        <v>12</v>
      </c>
    </row>
    <row r="2754" spans="1:7" x14ac:dyDescent="0.3">
      <c r="A2754" t="s">
        <v>7</v>
      </c>
      <c r="B2754" t="s">
        <v>8</v>
      </c>
      <c r="C2754" t="s">
        <v>14</v>
      </c>
      <c r="D2754">
        <v>1</v>
      </c>
      <c r="E2754" t="s">
        <v>57</v>
      </c>
      <c r="F2754" t="s">
        <v>11</v>
      </c>
      <c r="G2754" t="s">
        <v>12</v>
      </c>
    </row>
    <row r="2755" spans="1:7" x14ac:dyDescent="0.3">
      <c r="A2755" t="s">
        <v>7</v>
      </c>
      <c r="B2755" t="s">
        <v>8</v>
      </c>
      <c r="C2755" t="s">
        <v>15</v>
      </c>
      <c r="D2755">
        <v>0</v>
      </c>
      <c r="E2755" t="s">
        <v>57</v>
      </c>
      <c r="F2755" t="s">
        <v>11</v>
      </c>
      <c r="G2755" t="s">
        <v>12</v>
      </c>
    </row>
    <row r="2756" spans="1:7" x14ac:dyDescent="0.3">
      <c r="A2756" t="s">
        <v>7</v>
      </c>
      <c r="B2756" t="s">
        <v>8</v>
      </c>
      <c r="C2756" t="s">
        <v>16</v>
      </c>
      <c r="D2756">
        <v>2</v>
      </c>
      <c r="E2756" t="s">
        <v>57</v>
      </c>
      <c r="F2756" t="s">
        <v>11</v>
      </c>
      <c r="G2756" t="s">
        <v>12</v>
      </c>
    </row>
    <row r="2757" spans="1:7" x14ac:dyDescent="0.3">
      <c r="A2757" t="s">
        <v>7</v>
      </c>
      <c r="B2757" t="s">
        <v>8</v>
      </c>
      <c r="C2757" t="s">
        <v>17</v>
      </c>
      <c r="D2757">
        <v>0</v>
      </c>
      <c r="E2757" t="s">
        <v>57</v>
      </c>
      <c r="F2757" t="s">
        <v>11</v>
      </c>
      <c r="G2757" t="s">
        <v>12</v>
      </c>
    </row>
    <row r="2758" spans="1:7" x14ac:dyDescent="0.3">
      <c r="A2758" t="s">
        <v>7</v>
      </c>
      <c r="B2758" t="s">
        <v>8</v>
      </c>
      <c r="C2758" t="s">
        <v>18</v>
      </c>
      <c r="D2758">
        <v>0</v>
      </c>
      <c r="E2758" t="s">
        <v>57</v>
      </c>
      <c r="F2758" t="s">
        <v>11</v>
      </c>
      <c r="G2758" t="s">
        <v>12</v>
      </c>
    </row>
    <row r="2759" spans="1:7" x14ac:dyDescent="0.3">
      <c r="A2759" t="s">
        <v>7</v>
      </c>
      <c r="B2759" t="s">
        <v>8</v>
      </c>
      <c r="C2759" t="s">
        <v>19</v>
      </c>
      <c r="D2759">
        <v>0</v>
      </c>
      <c r="E2759" t="s">
        <v>57</v>
      </c>
      <c r="F2759" t="s">
        <v>11</v>
      </c>
      <c r="G2759" t="s">
        <v>12</v>
      </c>
    </row>
    <row r="2760" spans="1:7" x14ac:dyDescent="0.3">
      <c r="A2760" t="s">
        <v>7</v>
      </c>
      <c r="B2760" t="s">
        <v>8</v>
      </c>
      <c r="C2760" t="s">
        <v>20</v>
      </c>
      <c r="D2760">
        <v>0</v>
      </c>
      <c r="E2760" t="s">
        <v>57</v>
      </c>
      <c r="F2760" t="s">
        <v>11</v>
      </c>
      <c r="G2760" t="s">
        <v>12</v>
      </c>
    </row>
    <row r="2761" spans="1:7" x14ac:dyDescent="0.3">
      <c r="A2761" t="s">
        <v>7</v>
      </c>
      <c r="B2761" t="s">
        <v>8</v>
      </c>
      <c r="C2761" t="s">
        <v>21</v>
      </c>
      <c r="D2761">
        <v>0</v>
      </c>
      <c r="E2761" t="s">
        <v>57</v>
      </c>
      <c r="F2761" t="s">
        <v>11</v>
      </c>
      <c r="G2761" t="s">
        <v>12</v>
      </c>
    </row>
    <row r="2762" spans="1:7" x14ac:dyDescent="0.3">
      <c r="A2762" t="s">
        <v>7</v>
      </c>
      <c r="B2762" t="s">
        <v>8</v>
      </c>
      <c r="C2762" t="s">
        <v>22</v>
      </c>
      <c r="D2762">
        <v>49</v>
      </c>
      <c r="E2762" t="s">
        <v>57</v>
      </c>
      <c r="F2762" t="s">
        <v>11</v>
      </c>
      <c r="G2762" t="s">
        <v>12</v>
      </c>
    </row>
    <row r="2763" spans="1:7" x14ac:dyDescent="0.3">
      <c r="A2763" t="s">
        <v>7</v>
      </c>
      <c r="B2763" t="s">
        <v>23</v>
      </c>
      <c r="C2763" t="s">
        <v>9</v>
      </c>
      <c r="D2763">
        <v>9</v>
      </c>
      <c r="E2763" t="s">
        <v>57</v>
      </c>
      <c r="F2763" t="s">
        <v>11</v>
      </c>
      <c r="G2763" t="s">
        <v>12</v>
      </c>
    </row>
    <row r="2764" spans="1:7" x14ac:dyDescent="0.3">
      <c r="A2764" t="s">
        <v>7</v>
      </c>
      <c r="B2764" t="s">
        <v>23</v>
      </c>
      <c r="C2764" t="s">
        <v>13</v>
      </c>
      <c r="D2764">
        <v>152</v>
      </c>
      <c r="E2764" t="s">
        <v>57</v>
      </c>
      <c r="F2764" t="s">
        <v>11</v>
      </c>
      <c r="G2764" t="s">
        <v>12</v>
      </c>
    </row>
    <row r="2765" spans="1:7" x14ac:dyDescent="0.3">
      <c r="A2765" t="s">
        <v>7</v>
      </c>
      <c r="B2765" t="s">
        <v>23</v>
      </c>
      <c r="C2765" t="s">
        <v>14</v>
      </c>
      <c r="D2765">
        <v>119</v>
      </c>
      <c r="E2765" t="s">
        <v>57</v>
      </c>
      <c r="F2765" t="s">
        <v>11</v>
      </c>
      <c r="G2765" t="s">
        <v>12</v>
      </c>
    </row>
    <row r="2766" spans="1:7" x14ac:dyDescent="0.3">
      <c r="A2766" t="s">
        <v>7</v>
      </c>
      <c r="B2766" t="s">
        <v>23</v>
      </c>
      <c r="C2766" t="s">
        <v>15</v>
      </c>
      <c r="D2766">
        <v>7</v>
      </c>
      <c r="E2766" t="s">
        <v>57</v>
      </c>
      <c r="F2766" t="s">
        <v>11</v>
      </c>
      <c r="G2766" t="s">
        <v>12</v>
      </c>
    </row>
    <row r="2767" spans="1:7" x14ac:dyDescent="0.3">
      <c r="A2767" t="s">
        <v>7</v>
      </c>
      <c r="B2767" t="s">
        <v>23</v>
      </c>
      <c r="C2767" t="s">
        <v>16</v>
      </c>
      <c r="D2767">
        <v>56</v>
      </c>
      <c r="E2767" t="s">
        <v>57</v>
      </c>
      <c r="F2767" t="s">
        <v>11</v>
      </c>
      <c r="G2767" t="s">
        <v>12</v>
      </c>
    </row>
    <row r="2768" spans="1:7" x14ac:dyDescent="0.3">
      <c r="A2768" t="s">
        <v>7</v>
      </c>
      <c r="B2768" t="s">
        <v>23</v>
      </c>
      <c r="C2768" t="s">
        <v>17</v>
      </c>
      <c r="D2768">
        <v>12</v>
      </c>
      <c r="E2768" t="s">
        <v>57</v>
      </c>
      <c r="F2768" t="s">
        <v>11</v>
      </c>
      <c r="G2768" t="s">
        <v>12</v>
      </c>
    </row>
    <row r="2769" spans="1:7" x14ac:dyDescent="0.3">
      <c r="A2769" t="s">
        <v>7</v>
      </c>
      <c r="B2769" t="s">
        <v>23</v>
      </c>
      <c r="C2769" t="s">
        <v>18</v>
      </c>
      <c r="D2769">
        <v>0</v>
      </c>
      <c r="E2769" t="s">
        <v>57</v>
      </c>
      <c r="F2769" t="s">
        <v>11</v>
      </c>
      <c r="G2769" t="s">
        <v>12</v>
      </c>
    </row>
    <row r="2770" spans="1:7" x14ac:dyDescent="0.3">
      <c r="A2770" t="s">
        <v>7</v>
      </c>
      <c r="B2770" t="s">
        <v>23</v>
      </c>
      <c r="C2770" t="s">
        <v>19</v>
      </c>
      <c r="D2770">
        <v>22</v>
      </c>
      <c r="E2770" t="s">
        <v>57</v>
      </c>
      <c r="F2770" t="s">
        <v>11</v>
      </c>
      <c r="G2770" t="s">
        <v>12</v>
      </c>
    </row>
    <row r="2771" spans="1:7" x14ac:dyDescent="0.3">
      <c r="A2771" t="s">
        <v>7</v>
      </c>
      <c r="B2771" t="s">
        <v>23</v>
      </c>
      <c r="C2771" t="s">
        <v>20</v>
      </c>
      <c r="D2771">
        <v>7</v>
      </c>
      <c r="E2771" t="s">
        <v>57</v>
      </c>
      <c r="F2771" t="s">
        <v>11</v>
      </c>
      <c r="G2771" t="s">
        <v>12</v>
      </c>
    </row>
    <row r="2772" spans="1:7" x14ac:dyDescent="0.3">
      <c r="A2772" t="s">
        <v>7</v>
      </c>
      <c r="B2772" t="s">
        <v>23</v>
      </c>
      <c r="C2772" t="s">
        <v>21</v>
      </c>
      <c r="D2772">
        <v>3</v>
      </c>
      <c r="E2772" t="s">
        <v>57</v>
      </c>
      <c r="F2772" t="s">
        <v>11</v>
      </c>
      <c r="G2772" t="s">
        <v>12</v>
      </c>
    </row>
    <row r="2773" spans="1:7" x14ac:dyDescent="0.3">
      <c r="A2773" t="s">
        <v>7</v>
      </c>
      <c r="B2773" t="s">
        <v>23</v>
      </c>
      <c r="C2773" t="s">
        <v>22</v>
      </c>
      <c r="D2773">
        <v>571</v>
      </c>
      <c r="E2773" t="s">
        <v>57</v>
      </c>
      <c r="F2773" t="s">
        <v>11</v>
      </c>
      <c r="G2773" t="s">
        <v>12</v>
      </c>
    </row>
    <row r="2774" spans="1:7" x14ac:dyDescent="0.3">
      <c r="A2774" t="s">
        <v>44</v>
      </c>
      <c r="B2774" t="s">
        <v>8</v>
      </c>
      <c r="C2774" t="s">
        <v>9</v>
      </c>
      <c r="D2774">
        <v>0</v>
      </c>
      <c r="E2774" t="s">
        <v>57</v>
      </c>
      <c r="F2774" t="s">
        <v>11</v>
      </c>
      <c r="G2774" t="s">
        <v>12</v>
      </c>
    </row>
    <row r="2775" spans="1:7" x14ac:dyDescent="0.3">
      <c r="A2775" t="s">
        <v>44</v>
      </c>
      <c r="B2775" t="s">
        <v>8</v>
      </c>
      <c r="C2775" t="s">
        <v>13</v>
      </c>
      <c r="D2775">
        <v>0</v>
      </c>
      <c r="E2775" t="s">
        <v>57</v>
      </c>
      <c r="F2775" t="s">
        <v>11</v>
      </c>
      <c r="G2775" t="s">
        <v>12</v>
      </c>
    </row>
    <row r="2776" spans="1:7" x14ac:dyDescent="0.3">
      <c r="A2776" t="s">
        <v>44</v>
      </c>
      <c r="B2776" t="s">
        <v>8</v>
      </c>
      <c r="C2776" t="s">
        <v>14</v>
      </c>
      <c r="D2776">
        <v>93</v>
      </c>
      <c r="E2776" t="s">
        <v>57</v>
      </c>
      <c r="F2776" t="s">
        <v>11</v>
      </c>
      <c r="G2776" t="s">
        <v>12</v>
      </c>
    </row>
    <row r="2777" spans="1:7" x14ac:dyDescent="0.3">
      <c r="A2777" t="s">
        <v>44</v>
      </c>
      <c r="B2777" t="s">
        <v>8</v>
      </c>
      <c r="C2777" t="s">
        <v>15</v>
      </c>
      <c r="D2777">
        <v>0</v>
      </c>
      <c r="E2777" t="s">
        <v>57</v>
      </c>
      <c r="F2777" t="s">
        <v>11</v>
      </c>
      <c r="G2777" t="s">
        <v>12</v>
      </c>
    </row>
    <row r="2778" spans="1:7" x14ac:dyDescent="0.3">
      <c r="A2778" t="s">
        <v>44</v>
      </c>
      <c r="B2778" t="s">
        <v>8</v>
      </c>
      <c r="C2778" t="s">
        <v>16</v>
      </c>
      <c r="D2778">
        <v>1</v>
      </c>
      <c r="E2778" t="s">
        <v>57</v>
      </c>
      <c r="F2778" t="s">
        <v>11</v>
      </c>
      <c r="G2778" t="s">
        <v>12</v>
      </c>
    </row>
    <row r="2779" spans="1:7" x14ac:dyDescent="0.3">
      <c r="A2779" t="s">
        <v>44</v>
      </c>
      <c r="B2779" t="s">
        <v>8</v>
      </c>
      <c r="C2779" t="s">
        <v>17</v>
      </c>
      <c r="D2779">
        <v>0</v>
      </c>
      <c r="E2779" t="s">
        <v>57</v>
      </c>
      <c r="F2779" t="s">
        <v>11</v>
      </c>
      <c r="G2779" t="s">
        <v>12</v>
      </c>
    </row>
    <row r="2780" spans="1:7" x14ac:dyDescent="0.3">
      <c r="A2780" t="s">
        <v>44</v>
      </c>
      <c r="B2780" t="s">
        <v>8</v>
      </c>
      <c r="C2780" t="s">
        <v>18</v>
      </c>
      <c r="D2780">
        <v>0</v>
      </c>
      <c r="E2780" t="s">
        <v>57</v>
      </c>
      <c r="F2780" t="s">
        <v>11</v>
      </c>
      <c r="G2780" t="s">
        <v>12</v>
      </c>
    </row>
    <row r="2781" spans="1:7" x14ac:dyDescent="0.3">
      <c r="A2781" t="s">
        <v>44</v>
      </c>
      <c r="B2781" t="s">
        <v>8</v>
      </c>
      <c r="C2781" t="s">
        <v>19</v>
      </c>
      <c r="D2781">
        <v>0</v>
      </c>
      <c r="E2781" t="s">
        <v>57</v>
      </c>
      <c r="F2781" t="s">
        <v>11</v>
      </c>
      <c r="G2781" t="s">
        <v>12</v>
      </c>
    </row>
    <row r="2782" spans="1:7" x14ac:dyDescent="0.3">
      <c r="A2782" t="s">
        <v>44</v>
      </c>
      <c r="B2782" t="s">
        <v>8</v>
      </c>
      <c r="C2782" t="s">
        <v>20</v>
      </c>
      <c r="D2782">
        <v>0</v>
      </c>
      <c r="E2782" t="s">
        <v>57</v>
      </c>
      <c r="F2782" t="s">
        <v>11</v>
      </c>
      <c r="G2782" t="s">
        <v>12</v>
      </c>
    </row>
    <row r="2783" spans="1:7" x14ac:dyDescent="0.3">
      <c r="A2783" t="s">
        <v>44</v>
      </c>
      <c r="B2783" t="s">
        <v>8</v>
      </c>
      <c r="C2783" t="s">
        <v>21</v>
      </c>
      <c r="D2783">
        <v>0</v>
      </c>
      <c r="E2783" t="s">
        <v>57</v>
      </c>
      <c r="F2783" t="s">
        <v>11</v>
      </c>
      <c r="G2783" t="s">
        <v>12</v>
      </c>
    </row>
    <row r="2784" spans="1:7" x14ac:dyDescent="0.3">
      <c r="A2784" t="s">
        <v>44</v>
      </c>
      <c r="B2784" t="s">
        <v>8</v>
      </c>
      <c r="C2784" t="s">
        <v>22</v>
      </c>
      <c r="D2784">
        <v>0</v>
      </c>
      <c r="E2784" t="s">
        <v>57</v>
      </c>
      <c r="F2784" t="s">
        <v>11</v>
      </c>
      <c r="G2784" t="s">
        <v>12</v>
      </c>
    </row>
    <row r="2785" spans="1:7" x14ac:dyDescent="0.3">
      <c r="A2785" t="s">
        <v>44</v>
      </c>
      <c r="B2785" t="s">
        <v>23</v>
      </c>
      <c r="C2785" t="s">
        <v>9</v>
      </c>
      <c r="D2785">
        <v>0</v>
      </c>
      <c r="E2785" t="s">
        <v>57</v>
      </c>
      <c r="F2785" t="s">
        <v>11</v>
      </c>
      <c r="G2785" t="s">
        <v>12</v>
      </c>
    </row>
    <row r="2786" spans="1:7" x14ac:dyDescent="0.3">
      <c r="A2786" t="s">
        <v>44</v>
      </c>
      <c r="B2786" t="s">
        <v>23</v>
      </c>
      <c r="C2786" t="s">
        <v>13</v>
      </c>
      <c r="D2786">
        <v>1</v>
      </c>
      <c r="E2786" t="s">
        <v>57</v>
      </c>
      <c r="F2786" t="s">
        <v>11</v>
      </c>
      <c r="G2786" t="s">
        <v>12</v>
      </c>
    </row>
    <row r="2787" spans="1:7" x14ac:dyDescent="0.3">
      <c r="A2787" t="s">
        <v>44</v>
      </c>
      <c r="B2787" t="s">
        <v>23</v>
      </c>
      <c r="C2787" t="s">
        <v>14</v>
      </c>
      <c r="D2787">
        <v>842</v>
      </c>
      <c r="E2787" t="s">
        <v>57</v>
      </c>
      <c r="F2787" t="s">
        <v>11</v>
      </c>
      <c r="G2787" t="s">
        <v>12</v>
      </c>
    </row>
    <row r="2788" spans="1:7" x14ac:dyDescent="0.3">
      <c r="A2788" t="s">
        <v>44</v>
      </c>
      <c r="B2788" t="s">
        <v>23</v>
      </c>
      <c r="C2788" t="s">
        <v>15</v>
      </c>
      <c r="D2788">
        <v>5</v>
      </c>
      <c r="E2788" t="s">
        <v>57</v>
      </c>
      <c r="F2788" t="s">
        <v>11</v>
      </c>
      <c r="G2788" t="s">
        <v>12</v>
      </c>
    </row>
    <row r="2789" spans="1:7" x14ac:dyDescent="0.3">
      <c r="A2789" t="s">
        <v>44</v>
      </c>
      <c r="B2789" t="s">
        <v>23</v>
      </c>
      <c r="C2789" t="s">
        <v>16</v>
      </c>
      <c r="D2789">
        <v>120</v>
      </c>
      <c r="E2789" t="s">
        <v>57</v>
      </c>
      <c r="F2789" t="s">
        <v>11</v>
      </c>
      <c r="G2789" t="s">
        <v>12</v>
      </c>
    </row>
    <row r="2790" spans="1:7" x14ac:dyDescent="0.3">
      <c r="A2790" t="s">
        <v>44</v>
      </c>
      <c r="B2790" t="s">
        <v>23</v>
      </c>
      <c r="C2790" t="s">
        <v>17</v>
      </c>
      <c r="D2790">
        <v>0</v>
      </c>
      <c r="E2790" t="s">
        <v>57</v>
      </c>
      <c r="F2790" t="s">
        <v>11</v>
      </c>
      <c r="G2790" t="s">
        <v>12</v>
      </c>
    </row>
    <row r="2791" spans="1:7" x14ac:dyDescent="0.3">
      <c r="A2791" t="s">
        <v>44</v>
      </c>
      <c r="B2791" t="s">
        <v>23</v>
      </c>
      <c r="C2791" t="s">
        <v>18</v>
      </c>
      <c r="D2791">
        <v>0</v>
      </c>
      <c r="E2791" t="s">
        <v>57</v>
      </c>
      <c r="F2791" t="s">
        <v>11</v>
      </c>
      <c r="G2791" t="s">
        <v>12</v>
      </c>
    </row>
    <row r="2792" spans="1:7" x14ac:dyDescent="0.3">
      <c r="A2792" t="s">
        <v>44</v>
      </c>
      <c r="B2792" t="s">
        <v>23</v>
      </c>
      <c r="C2792" t="s">
        <v>19</v>
      </c>
      <c r="D2792">
        <v>5</v>
      </c>
      <c r="E2792" t="s">
        <v>57</v>
      </c>
      <c r="F2792" t="s">
        <v>11</v>
      </c>
      <c r="G2792" t="s">
        <v>12</v>
      </c>
    </row>
    <row r="2793" spans="1:7" x14ac:dyDescent="0.3">
      <c r="A2793" t="s">
        <v>44</v>
      </c>
      <c r="B2793" t="s">
        <v>23</v>
      </c>
      <c r="C2793" t="s">
        <v>20</v>
      </c>
      <c r="D2793">
        <v>2</v>
      </c>
      <c r="E2793" t="s">
        <v>57</v>
      </c>
      <c r="F2793" t="s">
        <v>11</v>
      </c>
      <c r="G2793" t="s">
        <v>12</v>
      </c>
    </row>
    <row r="2794" spans="1:7" x14ac:dyDescent="0.3">
      <c r="A2794" t="s">
        <v>44</v>
      </c>
      <c r="B2794" t="s">
        <v>23</v>
      </c>
      <c r="C2794" t="s">
        <v>21</v>
      </c>
      <c r="D2794">
        <v>2</v>
      </c>
      <c r="E2794" t="s">
        <v>57</v>
      </c>
      <c r="F2794" t="s">
        <v>11</v>
      </c>
      <c r="G2794" t="s">
        <v>12</v>
      </c>
    </row>
    <row r="2795" spans="1:7" x14ac:dyDescent="0.3">
      <c r="A2795" t="s">
        <v>44</v>
      </c>
      <c r="B2795" t="s">
        <v>23</v>
      </c>
      <c r="C2795" t="s">
        <v>22</v>
      </c>
      <c r="D2795">
        <v>1</v>
      </c>
      <c r="E2795" t="s">
        <v>57</v>
      </c>
      <c r="F2795" t="s">
        <v>11</v>
      </c>
      <c r="G2795" t="s">
        <v>12</v>
      </c>
    </row>
    <row r="2796" spans="1:7" x14ac:dyDescent="0.3">
      <c r="A2796" t="s">
        <v>45</v>
      </c>
      <c r="B2796" t="s">
        <v>8</v>
      </c>
      <c r="C2796" t="s">
        <v>9</v>
      </c>
      <c r="D2796">
        <v>9</v>
      </c>
      <c r="E2796" t="s">
        <v>57</v>
      </c>
      <c r="F2796" t="s">
        <v>11</v>
      </c>
      <c r="G2796" t="s">
        <v>12</v>
      </c>
    </row>
    <row r="2797" spans="1:7" x14ac:dyDescent="0.3">
      <c r="A2797" t="s">
        <v>45</v>
      </c>
      <c r="B2797" t="s">
        <v>8</v>
      </c>
      <c r="C2797" t="s">
        <v>13</v>
      </c>
      <c r="D2797">
        <v>2</v>
      </c>
      <c r="E2797" t="s">
        <v>57</v>
      </c>
      <c r="F2797" t="s">
        <v>11</v>
      </c>
      <c r="G2797" t="s">
        <v>12</v>
      </c>
    </row>
    <row r="2798" spans="1:7" x14ac:dyDescent="0.3">
      <c r="A2798" t="s">
        <v>45</v>
      </c>
      <c r="B2798" t="s">
        <v>8</v>
      </c>
      <c r="C2798" t="s">
        <v>14</v>
      </c>
      <c r="D2798">
        <v>5</v>
      </c>
      <c r="E2798" t="s">
        <v>57</v>
      </c>
      <c r="F2798" t="s">
        <v>11</v>
      </c>
      <c r="G2798" t="s">
        <v>12</v>
      </c>
    </row>
    <row r="2799" spans="1:7" x14ac:dyDescent="0.3">
      <c r="A2799" t="s">
        <v>45</v>
      </c>
      <c r="B2799" t="s">
        <v>8</v>
      </c>
      <c r="C2799" t="s">
        <v>15</v>
      </c>
      <c r="D2799">
        <v>2</v>
      </c>
      <c r="E2799" t="s">
        <v>57</v>
      </c>
      <c r="F2799" t="s">
        <v>11</v>
      </c>
      <c r="G2799" t="s">
        <v>12</v>
      </c>
    </row>
    <row r="2800" spans="1:7" x14ac:dyDescent="0.3">
      <c r="A2800" t="s">
        <v>45</v>
      </c>
      <c r="B2800" t="s">
        <v>8</v>
      </c>
      <c r="C2800" t="s">
        <v>16</v>
      </c>
      <c r="D2800">
        <v>100</v>
      </c>
      <c r="E2800" t="s">
        <v>57</v>
      </c>
      <c r="F2800" t="s">
        <v>11</v>
      </c>
      <c r="G2800" t="s">
        <v>12</v>
      </c>
    </row>
    <row r="2801" spans="1:7" x14ac:dyDescent="0.3">
      <c r="A2801" t="s">
        <v>45</v>
      </c>
      <c r="B2801" t="s">
        <v>8</v>
      </c>
      <c r="C2801" t="s">
        <v>17</v>
      </c>
      <c r="D2801">
        <v>3</v>
      </c>
      <c r="E2801" t="s">
        <v>57</v>
      </c>
      <c r="F2801" t="s">
        <v>11</v>
      </c>
      <c r="G2801" t="s">
        <v>12</v>
      </c>
    </row>
    <row r="2802" spans="1:7" x14ac:dyDescent="0.3">
      <c r="A2802" t="s">
        <v>45</v>
      </c>
      <c r="B2802" t="s">
        <v>8</v>
      </c>
      <c r="C2802" t="s">
        <v>18</v>
      </c>
      <c r="D2802">
        <v>0</v>
      </c>
      <c r="E2802" t="s">
        <v>57</v>
      </c>
      <c r="F2802" t="s">
        <v>11</v>
      </c>
      <c r="G2802" t="s">
        <v>12</v>
      </c>
    </row>
    <row r="2803" spans="1:7" x14ac:dyDescent="0.3">
      <c r="A2803" t="s">
        <v>45</v>
      </c>
      <c r="B2803" t="s">
        <v>8</v>
      </c>
      <c r="C2803" t="s">
        <v>19</v>
      </c>
      <c r="D2803">
        <v>187</v>
      </c>
      <c r="E2803" t="s">
        <v>57</v>
      </c>
      <c r="F2803" t="s">
        <v>11</v>
      </c>
      <c r="G2803" t="s">
        <v>12</v>
      </c>
    </row>
    <row r="2804" spans="1:7" x14ac:dyDescent="0.3">
      <c r="A2804" t="s">
        <v>45</v>
      </c>
      <c r="B2804" t="s">
        <v>8</v>
      </c>
      <c r="C2804" t="s">
        <v>20</v>
      </c>
      <c r="D2804">
        <v>0</v>
      </c>
      <c r="E2804" t="s">
        <v>57</v>
      </c>
      <c r="F2804" t="s">
        <v>11</v>
      </c>
      <c r="G2804" t="s">
        <v>12</v>
      </c>
    </row>
    <row r="2805" spans="1:7" x14ac:dyDescent="0.3">
      <c r="A2805" t="s">
        <v>45</v>
      </c>
      <c r="B2805" t="s">
        <v>8</v>
      </c>
      <c r="C2805" t="s">
        <v>21</v>
      </c>
      <c r="D2805">
        <v>0</v>
      </c>
      <c r="E2805" t="s">
        <v>57</v>
      </c>
      <c r="F2805" t="s">
        <v>11</v>
      </c>
      <c r="G2805" t="s">
        <v>12</v>
      </c>
    </row>
    <row r="2806" spans="1:7" x14ac:dyDescent="0.3">
      <c r="A2806" t="s">
        <v>45</v>
      </c>
      <c r="B2806" t="s">
        <v>8</v>
      </c>
      <c r="C2806" t="s">
        <v>22</v>
      </c>
      <c r="D2806">
        <v>0</v>
      </c>
      <c r="E2806" t="s">
        <v>57</v>
      </c>
      <c r="F2806" t="s">
        <v>11</v>
      </c>
      <c r="G2806" t="s">
        <v>12</v>
      </c>
    </row>
    <row r="2807" spans="1:7" x14ac:dyDescent="0.3">
      <c r="A2807" t="s">
        <v>45</v>
      </c>
      <c r="B2807" t="s">
        <v>23</v>
      </c>
      <c r="C2807" t="s">
        <v>9</v>
      </c>
      <c r="D2807">
        <v>87</v>
      </c>
      <c r="E2807" t="s">
        <v>57</v>
      </c>
      <c r="F2807" t="s">
        <v>11</v>
      </c>
      <c r="G2807" t="s">
        <v>12</v>
      </c>
    </row>
    <row r="2808" spans="1:7" x14ac:dyDescent="0.3">
      <c r="A2808" t="s">
        <v>45</v>
      </c>
      <c r="B2808" t="s">
        <v>23</v>
      </c>
      <c r="C2808" t="s">
        <v>13</v>
      </c>
      <c r="D2808">
        <v>8</v>
      </c>
      <c r="E2808" t="s">
        <v>57</v>
      </c>
      <c r="F2808" t="s">
        <v>11</v>
      </c>
      <c r="G2808" t="s">
        <v>12</v>
      </c>
    </row>
    <row r="2809" spans="1:7" x14ac:dyDescent="0.3">
      <c r="A2809" t="s">
        <v>45</v>
      </c>
      <c r="B2809" t="s">
        <v>23</v>
      </c>
      <c r="C2809" t="s">
        <v>14</v>
      </c>
      <c r="D2809">
        <v>46</v>
      </c>
      <c r="E2809" t="s">
        <v>57</v>
      </c>
      <c r="F2809" t="s">
        <v>11</v>
      </c>
      <c r="G2809" t="s">
        <v>12</v>
      </c>
    </row>
    <row r="2810" spans="1:7" x14ac:dyDescent="0.3">
      <c r="A2810" t="s">
        <v>45</v>
      </c>
      <c r="B2810" t="s">
        <v>23</v>
      </c>
      <c r="C2810" t="s">
        <v>15</v>
      </c>
      <c r="D2810">
        <v>4</v>
      </c>
      <c r="E2810" t="s">
        <v>57</v>
      </c>
      <c r="F2810" t="s">
        <v>11</v>
      </c>
      <c r="G2810" t="s">
        <v>12</v>
      </c>
    </row>
    <row r="2811" spans="1:7" x14ac:dyDescent="0.3">
      <c r="A2811" t="s">
        <v>45</v>
      </c>
      <c r="B2811" t="s">
        <v>23</v>
      </c>
      <c r="C2811" t="s">
        <v>16</v>
      </c>
      <c r="D2811">
        <v>377</v>
      </c>
      <c r="E2811" t="s">
        <v>57</v>
      </c>
      <c r="F2811" t="s">
        <v>11</v>
      </c>
      <c r="G2811" t="s">
        <v>12</v>
      </c>
    </row>
    <row r="2812" spans="1:7" x14ac:dyDescent="0.3">
      <c r="A2812" t="s">
        <v>45</v>
      </c>
      <c r="B2812" t="s">
        <v>23</v>
      </c>
      <c r="C2812" t="s">
        <v>17</v>
      </c>
      <c r="D2812">
        <v>3</v>
      </c>
      <c r="E2812" t="s">
        <v>57</v>
      </c>
      <c r="F2812" t="s">
        <v>11</v>
      </c>
      <c r="G2812" t="s">
        <v>12</v>
      </c>
    </row>
    <row r="2813" spans="1:7" x14ac:dyDescent="0.3">
      <c r="A2813" t="s">
        <v>45</v>
      </c>
      <c r="B2813" t="s">
        <v>23</v>
      </c>
      <c r="C2813" t="s">
        <v>18</v>
      </c>
      <c r="D2813">
        <v>0</v>
      </c>
      <c r="E2813" t="s">
        <v>57</v>
      </c>
      <c r="F2813" t="s">
        <v>11</v>
      </c>
      <c r="G2813" t="s">
        <v>12</v>
      </c>
    </row>
    <row r="2814" spans="1:7" x14ac:dyDescent="0.3">
      <c r="A2814" t="s">
        <v>45</v>
      </c>
      <c r="B2814" t="s">
        <v>23</v>
      </c>
      <c r="C2814" t="s">
        <v>19</v>
      </c>
      <c r="D2814">
        <v>531</v>
      </c>
      <c r="E2814" t="s">
        <v>57</v>
      </c>
      <c r="F2814" t="s">
        <v>11</v>
      </c>
      <c r="G2814" t="s">
        <v>12</v>
      </c>
    </row>
    <row r="2815" spans="1:7" x14ac:dyDescent="0.3">
      <c r="A2815" t="s">
        <v>45</v>
      </c>
      <c r="B2815" t="s">
        <v>23</v>
      </c>
      <c r="C2815" t="s">
        <v>20</v>
      </c>
      <c r="D2815">
        <v>7</v>
      </c>
      <c r="E2815" t="s">
        <v>57</v>
      </c>
      <c r="F2815" t="s">
        <v>11</v>
      </c>
      <c r="G2815" t="s">
        <v>12</v>
      </c>
    </row>
    <row r="2816" spans="1:7" x14ac:dyDescent="0.3">
      <c r="A2816" t="s">
        <v>45</v>
      </c>
      <c r="B2816" t="s">
        <v>23</v>
      </c>
      <c r="C2816" t="s">
        <v>21</v>
      </c>
      <c r="D2816">
        <v>0</v>
      </c>
      <c r="E2816" t="s">
        <v>57</v>
      </c>
      <c r="F2816" t="s">
        <v>11</v>
      </c>
      <c r="G2816" t="s">
        <v>12</v>
      </c>
    </row>
    <row r="2817" spans="1:7" x14ac:dyDescent="0.3">
      <c r="A2817" t="s">
        <v>45</v>
      </c>
      <c r="B2817" t="s">
        <v>23</v>
      </c>
      <c r="C2817" t="s">
        <v>22</v>
      </c>
      <c r="D2817">
        <v>2</v>
      </c>
      <c r="E2817" t="s">
        <v>57</v>
      </c>
      <c r="F2817" t="s">
        <v>11</v>
      </c>
      <c r="G2817" t="s">
        <v>12</v>
      </c>
    </row>
    <row r="2818" spans="1:7" x14ac:dyDescent="0.3">
      <c r="A2818" t="s">
        <v>58</v>
      </c>
      <c r="B2818" t="s">
        <v>8</v>
      </c>
      <c r="C2818" t="s">
        <v>9</v>
      </c>
      <c r="D2818">
        <v>0</v>
      </c>
      <c r="E2818" t="s">
        <v>57</v>
      </c>
      <c r="F2818" t="s">
        <v>11</v>
      </c>
      <c r="G2818" t="s">
        <v>12</v>
      </c>
    </row>
    <row r="2819" spans="1:7" x14ac:dyDescent="0.3">
      <c r="A2819" t="s">
        <v>58</v>
      </c>
      <c r="B2819" t="s">
        <v>8</v>
      </c>
      <c r="C2819" t="s">
        <v>13</v>
      </c>
      <c r="D2819">
        <v>0</v>
      </c>
      <c r="E2819" t="s">
        <v>57</v>
      </c>
      <c r="F2819" t="s">
        <v>11</v>
      </c>
      <c r="G2819" t="s">
        <v>12</v>
      </c>
    </row>
    <row r="2820" spans="1:7" x14ac:dyDescent="0.3">
      <c r="A2820" t="s">
        <v>58</v>
      </c>
      <c r="B2820" t="s">
        <v>8</v>
      </c>
      <c r="C2820" t="s">
        <v>14</v>
      </c>
      <c r="D2820">
        <v>3</v>
      </c>
      <c r="E2820" t="s">
        <v>57</v>
      </c>
      <c r="F2820" t="s">
        <v>11</v>
      </c>
      <c r="G2820" t="s">
        <v>12</v>
      </c>
    </row>
    <row r="2821" spans="1:7" x14ac:dyDescent="0.3">
      <c r="A2821" t="s">
        <v>58</v>
      </c>
      <c r="B2821" t="s">
        <v>8</v>
      </c>
      <c r="C2821" t="s">
        <v>15</v>
      </c>
      <c r="D2821">
        <v>0</v>
      </c>
      <c r="E2821" t="s">
        <v>57</v>
      </c>
      <c r="F2821" t="s">
        <v>11</v>
      </c>
      <c r="G2821" t="s">
        <v>12</v>
      </c>
    </row>
    <row r="2822" spans="1:7" x14ac:dyDescent="0.3">
      <c r="A2822" t="s">
        <v>58</v>
      </c>
      <c r="B2822" t="s">
        <v>8</v>
      </c>
      <c r="C2822" t="s">
        <v>16</v>
      </c>
      <c r="D2822">
        <v>89</v>
      </c>
      <c r="E2822" t="s">
        <v>57</v>
      </c>
      <c r="F2822" t="s">
        <v>11</v>
      </c>
      <c r="G2822" t="s">
        <v>12</v>
      </c>
    </row>
    <row r="2823" spans="1:7" x14ac:dyDescent="0.3">
      <c r="A2823" t="s">
        <v>58</v>
      </c>
      <c r="B2823" t="s">
        <v>8</v>
      </c>
      <c r="C2823" t="s">
        <v>17</v>
      </c>
      <c r="D2823">
        <v>2</v>
      </c>
      <c r="E2823" t="s">
        <v>57</v>
      </c>
      <c r="F2823" t="s">
        <v>11</v>
      </c>
      <c r="G2823" t="s">
        <v>12</v>
      </c>
    </row>
    <row r="2824" spans="1:7" x14ac:dyDescent="0.3">
      <c r="A2824" t="s">
        <v>58</v>
      </c>
      <c r="B2824" t="s">
        <v>8</v>
      </c>
      <c r="C2824" t="s">
        <v>18</v>
      </c>
      <c r="D2824">
        <v>0</v>
      </c>
      <c r="E2824" t="s">
        <v>57</v>
      </c>
      <c r="F2824" t="s">
        <v>11</v>
      </c>
      <c r="G2824" t="s">
        <v>12</v>
      </c>
    </row>
    <row r="2825" spans="1:7" x14ac:dyDescent="0.3">
      <c r="A2825" t="s">
        <v>58</v>
      </c>
      <c r="B2825" t="s">
        <v>8</v>
      </c>
      <c r="C2825" t="s">
        <v>19</v>
      </c>
      <c r="D2825">
        <v>0</v>
      </c>
      <c r="E2825" t="s">
        <v>57</v>
      </c>
      <c r="F2825" t="s">
        <v>11</v>
      </c>
      <c r="G2825" t="s">
        <v>12</v>
      </c>
    </row>
    <row r="2826" spans="1:7" x14ac:dyDescent="0.3">
      <c r="A2826" t="s">
        <v>58</v>
      </c>
      <c r="B2826" t="s">
        <v>8</v>
      </c>
      <c r="C2826" t="s">
        <v>20</v>
      </c>
      <c r="D2826">
        <v>0</v>
      </c>
      <c r="E2826" t="s">
        <v>57</v>
      </c>
      <c r="F2826" t="s">
        <v>11</v>
      </c>
      <c r="G2826" t="s">
        <v>12</v>
      </c>
    </row>
    <row r="2827" spans="1:7" x14ac:dyDescent="0.3">
      <c r="A2827" t="s">
        <v>58</v>
      </c>
      <c r="B2827" t="s">
        <v>8</v>
      </c>
      <c r="C2827" t="s">
        <v>21</v>
      </c>
      <c r="D2827">
        <v>0</v>
      </c>
      <c r="E2827" t="s">
        <v>57</v>
      </c>
      <c r="F2827" t="s">
        <v>11</v>
      </c>
      <c r="G2827" t="s">
        <v>12</v>
      </c>
    </row>
    <row r="2828" spans="1:7" x14ac:dyDescent="0.3">
      <c r="A2828" t="s">
        <v>58</v>
      </c>
      <c r="B2828" t="s">
        <v>8</v>
      </c>
      <c r="C2828" t="s">
        <v>22</v>
      </c>
      <c r="D2828">
        <v>0</v>
      </c>
      <c r="E2828" t="s">
        <v>57</v>
      </c>
      <c r="F2828" t="s">
        <v>11</v>
      </c>
      <c r="G2828" t="s">
        <v>12</v>
      </c>
    </row>
    <row r="2829" spans="1:7" x14ac:dyDescent="0.3">
      <c r="A2829" t="s">
        <v>58</v>
      </c>
      <c r="B2829" t="s">
        <v>23</v>
      </c>
      <c r="C2829" t="s">
        <v>9</v>
      </c>
      <c r="D2829">
        <v>0</v>
      </c>
      <c r="E2829" t="s">
        <v>57</v>
      </c>
      <c r="F2829" t="s">
        <v>11</v>
      </c>
      <c r="G2829" t="s">
        <v>12</v>
      </c>
    </row>
    <row r="2830" spans="1:7" x14ac:dyDescent="0.3">
      <c r="A2830" t="s">
        <v>58</v>
      </c>
      <c r="B2830" t="s">
        <v>23</v>
      </c>
      <c r="C2830" t="s">
        <v>13</v>
      </c>
      <c r="D2830">
        <v>0</v>
      </c>
      <c r="E2830" t="s">
        <v>57</v>
      </c>
      <c r="F2830" t="s">
        <v>11</v>
      </c>
      <c r="G2830" t="s">
        <v>12</v>
      </c>
    </row>
    <row r="2831" spans="1:7" x14ac:dyDescent="0.3">
      <c r="A2831" t="s">
        <v>58</v>
      </c>
      <c r="B2831" t="s">
        <v>23</v>
      </c>
      <c r="C2831" t="s">
        <v>14</v>
      </c>
      <c r="D2831">
        <v>1</v>
      </c>
      <c r="E2831" t="s">
        <v>57</v>
      </c>
      <c r="F2831" t="s">
        <v>11</v>
      </c>
      <c r="G2831" t="s">
        <v>12</v>
      </c>
    </row>
    <row r="2832" spans="1:7" x14ac:dyDescent="0.3">
      <c r="A2832" t="s">
        <v>58</v>
      </c>
      <c r="B2832" t="s">
        <v>23</v>
      </c>
      <c r="C2832" t="s">
        <v>15</v>
      </c>
      <c r="D2832">
        <v>0</v>
      </c>
      <c r="E2832" t="s">
        <v>57</v>
      </c>
      <c r="F2832" t="s">
        <v>11</v>
      </c>
      <c r="G2832" t="s">
        <v>12</v>
      </c>
    </row>
    <row r="2833" spans="1:7" x14ac:dyDescent="0.3">
      <c r="A2833" t="s">
        <v>58</v>
      </c>
      <c r="B2833" t="s">
        <v>23</v>
      </c>
      <c r="C2833" t="s">
        <v>16</v>
      </c>
      <c r="D2833">
        <v>315</v>
      </c>
      <c r="E2833" t="s">
        <v>57</v>
      </c>
      <c r="F2833" t="s">
        <v>11</v>
      </c>
      <c r="G2833" t="s">
        <v>12</v>
      </c>
    </row>
    <row r="2834" spans="1:7" x14ac:dyDescent="0.3">
      <c r="A2834" t="s">
        <v>58</v>
      </c>
      <c r="B2834" t="s">
        <v>23</v>
      </c>
      <c r="C2834" t="s">
        <v>17</v>
      </c>
      <c r="D2834">
        <v>0</v>
      </c>
      <c r="E2834" t="s">
        <v>57</v>
      </c>
      <c r="F2834" t="s">
        <v>11</v>
      </c>
      <c r="G2834" t="s">
        <v>12</v>
      </c>
    </row>
    <row r="2835" spans="1:7" x14ac:dyDescent="0.3">
      <c r="A2835" t="s">
        <v>58</v>
      </c>
      <c r="B2835" t="s">
        <v>23</v>
      </c>
      <c r="C2835" t="s">
        <v>18</v>
      </c>
      <c r="D2835">
        <v>0</v>
      </c>
      <c r="E2835" t="s">
        <v>57</v>
      </c>
      <c r="F2835" t="s">
        <v>11</v>
      </c>
      <c r="G2835" t="s">
        <v>12</v>
      </c>
    </row>
    <row r="2836" spans="1:7" x14ac:dyDescent="0.3">
      <c r="A2836" t="s">
        <v>58</v>
      </c>
      <c r="B2836" t="s">
        <v>23</v>
      </c>
      <c r="C2836" t="s">
        <v>19</v>
      </c>
      <c r="D2836">
        <v>0</v>
      </c>
      <c r="E2836" t="s">
        <v>57</v>
      </c>
      <c r="F2836" t="s">
        <v>11</v>
      </c>
      <c r="G2836" t="s">
        <v>12</v>
      </c>
    </row>
    <row r="2837" spans="1:7" x14ac:dyDescent="0.3">
      <c r="A2837" t="s">
        <v>58</v>
      </c>
      <c r="B2837" t="s">
        <v>23</v>
      </c>
      <c r="C2837" t="s">
        <v>20</v>
      </c>
      <c r="D2837">
        <v>5</v>
      </c>
      <c r="E2837" t="s">
        <v>57</v>
      </c>
      <c r="F2837" t="s">
        <v>11</v>
      </c>
      <c r="G2837" t="s">
        <v>12</v>
      </c>
    </row>
    <row r="2838" spans="1:7" x14ac:dyDescent="0.3">
      <c r="A2838" t="s">
        <v>58</v>
      </c>
      <c r="B2838" t="s">
        <v>23</v>
      </c>
      <c r="C2838" t="s">
        <v>21</v>
      </c>
      <c r="D2838">
        <v>0</v>
      </c>
      <c r="E2838" t="s">
        <v>57</v>
      </c>
      <c r="F2838" t="s">
        <v>11</v>
      </c>
      <c r="G2838" t="s">
        <v>12</v>
      </c>
    </row>
    <row r="2839" spans="1:7" x14ac:dyDescent="0.3">
      <c r="A2839" t="s">
        <v>58</v>
      </c>
      <c r="B2839" t="s">
        <v>23</v>
      </c>
      <c r="C2839" t="s">
        <v>22</v>
      </c>
      <c r="D2839">
        <v>0</v>
      </c>
      <c r="E2839" t="s">
        <v>57</v>
      </c>
      <c r="F2839" t="s">
        <v>11</v>
      </c>
      <c r="G2839" t="s">
        <v>12</v>
      </c>
    </row>
    <row r="2840" spans="1:7" x14ac:dyDescent="0.3">
      <c r="A2840" t="s">
        <v>59</v>
      </c>
      <c r="B2840" t="s">
        <v>8</v>
      </c>
      <c r="C2840" t="s">
        <v>9</v>
      </c>
      <c r="D2840">
        <v>40</v>
      </c>
      <c r="E2840" t="s">
        <v>57</v>
      </c>
      <c r="F2840" t="s">
        <v>11</v>
      </c>
      <c r="G2840" t="s">
        <v>12</v>
      </c>
    </row>
    <row r="2841" spans="1:7" x14ac:dyDescent="0.3">
      <c r="A2841" t="s">
        <v>59</v>
      </c>
      <c r="B2841" t="s">
        <v>8</v>
      </c>
      <c r="C2841" t="s">
        <v>13</v>
      </c>
      <c r="D2841">
        <v>0</v>
      </c>
      <c r="E2841" t="s">
        <v>57</v>
      </c>
      <c r="F2841" t="s">
        <v>11</v>
      </c>
      <c r="G2841" t="s">
        <v>12</v>
      </c>
    </row>
    <row r="2842" spans="1:7" x14ac:dyDescent="0.3">
      <c r="A2842" t="s">
        <v>59</v>
      </c>
      <c r="B2842" t="s">
        <v>8</v>
      </c>
      <c r="C2842" t="s">
        <v>14</v>
      </c>
      <c r="D2842">
        <v>0</v>
      </c>
      <c r="E2842" t="s">
        <v>57</v>
      </c>
      <c r="F2842" t="s">
        <v>11</v>
      </c>
      <c r="G2842" t="s">
        <v>12</v>
      </c>
    </row>
    <row r="2843" spans="1:7" x14ac:dyDescent="0.3">
      <c r="A2843" t="s">
        <v>59</v>
      </c>
      <c r="B2843" t="s">
        <v>8</v>
      </c>
      <c r="C2843" t="s">
        <v>15</v>
      </c>
      <c r="D2843">
        <v>0</v>
      </c>
      <c r="E2843" t="s">
        <v>57</v>
      </c>
      <c r="F2843" t="s">
        <v>11</v>
      </c>
      <c r="G2843" t="s">
        <v>12</v>
      </c>
    </row>
    <row r="2844" spans="1:7" x14ac:dyDescent="0.3">
      <c r="A2844" t="s">
        <v>59</v>
      </c>
      <c r="B2844" t="s">
        <v>8</v>
      </c>
      <c r="C2844" t="s">
        <v>16</v>
      </c>
      <c r="D2844">
        <v>0</v>
      </c>
      <c r="E2844" t="s">
        <v>57</v>
      </c>
      <c r="F2844" t="s">
        <v>11</v>
      </c>
      <c r="G2844" t="s">
        <v>12</v>
      </c>
    </row>
    <row r="2845" spans="1:7" x14ac:dyDescent="0.3">
      <c r="A2845" t="s">
        <v>59</v>
      </c>
      <c r="B2845" t="s">
        <v>8</v>
      </c>
      <c r="C2845" t="s">
        <v>17</v>
      </c>
      <c r="D2845">
        <v>5</v>
      </c>
      <c r="E2845" t="s">
        <v>57</v>
      </c>
      <c r="F2845" t="s">
        <v>11</v>
      </c>
      <c r="G2845" t="s">
        <v>12</v>
      </c>
    </row>
    <row r="2846" spans="1:7" x14ac:dyDescent="0.3">
      <c r="A2846" t="s">
        <v>59</v>
      </c>
      <c r="B2846" t="s">
        <v>8</v>
      </c>
      <c r="C2846" t="s">
        <v>18</v>
      </c>
      <c r="D2846">
        <v>0</v>
      </c>
      <c r="E2846" t="s">
        <v>57</v>
      </c>
      <c r="F2846" t="s">
        <v>11</v>
      </c>
      <c r="G2846" t="s">
        <v>12</v>
      </c>
    </row>
    <row r="2847" spans="1:7" x14ac:dyDescent="0.3">
      <c r="A2847" t="s">
        <v>59</v>
      </c>
      <c r="B2847" t="s">
        <v>8</v>
      </c>
      <c r="C2847" t="s">
        <v>19</v>
      </c>
      <c r="D2847">
        <v>0</v>
      </c>
      <c r="E2847" t="s">
        <v>57</v>
      </c>
      <c r="F2847" t="s">
        <v>11</v>
      </c>
      <c r="G2847" t="s">
        <v>12</v>
      </c>
    </row>
    <row r="2848" spans="1:7" x14ac:dyDescent="0.3">
      <c r="A2848" t="s">
        <v>59</v>
      </c>
      <c r="B2848" t="s">
        <v>8</v>
      </c>
      <c r="C2848" t="s">
        <v>20</v>
      </c>
      <c r="D2848">
        <v>0</v>
      </c>
      <c r="E2848" t="s">
        <v>57</v>
      </c>
      <c r="F2848" t="s">
        <v>11</v>
      </c>
      <c r="G2848" t="s">
        <v>12</v>
      </c>
    </row>
    <row r="2849" spans="1:7" x14ac:dyDescent="0.3">
      <c r="A2849" t="s">
        <v>59</v>
      </c>
      <c r="B2849" t="s">
        <v>8</v>
      </c>
      <c r="C2849" t="s">
        <v>21</v>
      </c>
      <c r="D2849">
        <v>0</v>
      </c>
      <c r="E2849" t="s">
        <v>57</v>
      </c>
      <c r="F2849" t="s">
        <v>11</v>
      </c>
      <c r="G2849" t="s">
        <v>12</v>
      </c>
    </row>
    <row r="2850" spans="1:7" x14ac:dyDescent="0.3">
      <c r="A2850" t="s">
        <v>59</v>
      </c>
      <c r="B2850" t="s">
        <v>8</v>
      </c>
      <c r="C2850" t="s">
        <v>22</v>
      </c>
      <c r="D2850">
        <v>1</v>
      </c>
      <c r="E2850" t="s">
        <v>57</v>
      </c>
      <c r="F2850" t="s">
        <v>11</v>
      </c>
      <c r="G2850" t="s">
        <v>12</v>
      </c>
    </row>
    <row r="2851" spans="1:7" x14ac:dyDescent="0.3">
      <c r="A2851" t="s">
        <v>59</v>
      </c>
      <c r="B2851" t="s">
        <v>23</v>
      </c>
      <c r="C2851" t="s">
        <v>9</v>
      </c>
      <c r="D2851">
        <v>400</v>
      </c>
      <c r="E2851" t="s">
        <v>57</v>
      </c>
      <c r="F2851" t="s">
        <v>11</v>
      </c>
      <c r="G2851" t="s">
        <v>12</v>
      </c>
    </row>
    <row r="2852" spans="1:7" x14ac:dyDescent="0.3">
      <c r="A2852" t="s">
        <v>59</v>
      </c>
      <c r="B2852" t="s">
        <v>23</v>
      </c>
      <c r="C2852" t="s">
        <v>13</v>
      </c>
      <c r="D2852">
        <v>15</v>
      </c>
      <c r="E2852" t="s">
        <v>57</v>
      </c>
      <c r="F2852" t="s">
        <v>11</v>
      </c>
      <c r="G2852" t="s">
        <v>12</v>
      </c>
    </row>
    <row r="2853" spans="1:7" x14ac:dyDescent="0.3">
      <c r="A2853" t="s">
        <v>59</v>
      </c>
      <c r="B2853" t="s">
        <v>23</v>
      </c>
      <c r="C2853" t="s">
        <v>14</v>
      </c>
      <c r="D2853">
        <v>165</v>
      </c>
      <c r="E2853" t="s">
        <v>57</v>
      </c>
      <c r="F2853" t="s">
        <v>11</v>
      </c>
      <c r="G2853" t="s">
        <v>12</v>
      </c>
    </row>
    <row r="2854" spans="1:7" x14ac:dyDescent="0.3">
      <c r="A2854" t="s">
        <v>59</v>
      </c>
      <c r="B2854" t="s">
        <v>23</v>
      </c>
      <c r="C2854" t="s">
        <v>15</v>
      </c>
      <c r="D2854">
        <v>6</v>
      </c>
      <c r="E2854" t="s">
        <v>57</v>
      </c>
      <c r="F2854" t="s">
        <v>11</v>
      </c>
      <c r="G2854" t="s">
        <v>12</v>
      </c>
    </row>
    <row r="2855" spans="1:7" x14ac:dyDescent="0.3">
      <c r="A2855" t="s">
        <v>59</v>
      </c>
      <c r="B2855" t="s">
        <v>23</v>
      </c>
      <c r="C2855" t="s">
        <v>16</v>
      </c>
      <c r="D2855">
        <v>108</v>
      </c>
      <c r="E2855" t="s">
        <v>57</v>
      </c>
      <c r="F2855" t="s">
        <v>11</v>
      </c>
      <c r="G2855" t="s">
        <v>12</v>
      </c>
    </row>
    <row r="2856" spans="1:7" x14ac:dyDescent="0.3">
      <c r="A2856" t="s">
        <v>59</v>
      </c>
      <c r="B2856" t="s">
        <v>23</v>
      </c>
      <c r="C2856" t="s">
        <v>17</v>
      </c>
      <c r="D2856">
        <v>11</v>
      </c>
      <c r="E2856" t="s">
        <v>57</v>
      </c>
      <c r="F2856" t="s">
        <v>11</v>
      </c>
      <c r="G2856" t="s">
        <v>12</v>
      </c>
    </row>
    <row r="2857" spans="1:7" x14ac:dyDescent="0.3">
      <c r="A2857" t="s">
        <v>59</v>
      </c>
      <c r="B2857" t="s">
        <v>23</v>
      </c>
      <c r="C2857" t="s">
        <v>18</v>
      </c>
      <c r="D2857">
        <v>0</v>
      </c>
      <c r="E2857" t="s">
        <v>57</v>
      </c>
      <c r="F2857" t="s">
        <v>11</v>
      </c>
      <c r="G2857" t="s">
        <v>12</v>
      </c>
    </row>
    <row r="2858" spans="1:7" x14ac:dyDescent="0.3">
      <c r="A2858" t="s">
        <v>59</v>
      </c>
      <c r="B2858" t="s">
        <v>23</v>
      </c>
      <c r="C2858" t="s">
        <v>19</v>
      </c>
      <c r="D2858">
        <v>6</v>
      </c>
      <c r="E2858" t="s">
        <v>57</v>
      </c>
      <c r="F2858" t="s">
        <v>11</v>
      </c>
      <c r="G2858" t="s">
        <v>12</v>
      </c>
    </row>
    <row r="2859" spans="1:7" x14ac:dyDescent="0.3">
      <c r="A2859" t="s">
        <v>59</v>
      </c>
      <c r="B2859" t="s">
        <v>23</v>
      </c>
      <c r="C2859" t="s">
        <v>20</v>
      </c>
      <c r="D2859">
        <v>7</v>
      </c>
      <c r="E2859" t="s">
        <v>57</v>
      </c>
      <c r="F2859" t="s">
        <v>11</v>
      </c>
      <c r="G2859" t="s">
        <v>12</v>
      </c>
    </row>
    <row r="2860" spans="1:7" x14ac:dyDescent="0.3">
      <c r="A2860" t="s">
        <v>59</v>
      </c>
      <c r="B2860" t="s">
        <v>23</v>
      </c>
      <c r="C2860" t="s">
        <v>21</v>
      </c>
      <c r="D2860">
        <v>3</v>
      </c>
      <c r="E2860" t="s">
        <v>57</v>
      </c>
      <c r="F2860" t="s">
        <v>11</v>
      </c>
      <c r="G2860" t="s">
        <v>12</v>
      </c>
    </row>
    <row r="2861" spans="1:7" x14ac:dyDescent="0.3">
      <c r="A2861" t="s">
        <v>59</v>
      </c>
      <c r="B2861" t="s">
        <v>23</v>
      </c>
      <c r="C2861" t="s">
        <v>22</v>
      </c>
      <c r="D2861">
        <v>2</v>
      </c>
      <c r="E2861" t="s">
        <v>57</v>
      </c>
      <c r="F2861" t="s">
        <v>11</v>
      </c>
      <c r="G2861" t="s">
        <v>12</v>
      </c>
    </row>
    <row r="2862" spans="1:7" x14ac:dyDescent="0.3">
      <c r="A2862" t="s">
        <v>60</v>
      </c>
      <c r="B2862" t="s">
        <v>8</v>
      </c>
      <c r="C2862" t="s">
        <v>9</v>
      </c>
      <c r="D2862">
        <v>0</v>
      </c>
      <c r="E2862" t="s">
        <v>57</v>
      </c>
      <c r="F2862" t="s">
        <v>11</v>
      </c>
      <c r="G2862" t="s">
        <v>12</v>
      </c>
    </row>
    <row r="2863" spans="1:7" x14ac:dyDescent="0.3">
      <c r="A2863" t="s">
        <v>60</v>
      </c>
      <c r="B2863" t="s">
        <v>8</v>
      </c>
      <c r="C2863" t="s">
        <v>13</v>
      </c>
      <c r="D2863">
        <v>0</v>
      </c>
      <c r="E2863" t="s">
        <v>57</v>
      </c>
      <c r="F2863" t="s">
        <v>11</v>
      </c>
      <c r="G2863" t="s">
        <v>12</v>
      </c>
    </row>
    <row r="2864" spans="1:7" x14ac:dyDescent="0.3">
      <c r="A2864" t="s">
        <v>60</v>
      </c>
      <c r="B2864" t="s">
        <v>8</v>
      </c>
      <c r="C2864" t="s">
        <v>14</v>
      </c>
      <c r="D2864">
        <v>0</v>
      </c>
      <c r="E2864" t="s">
        <v>57</v>
      </c>
      <c r="F2864" t="s">
        <v>11</v>
      </c>
      <c r="G2864" t="s">
        <v>12</v>
      </c>
    </row>
    <row r="2865" spans="1:7" x14ac:dyDescent="0.3">
      <c r="A2865" t="s">
        <v>60</v>
      </c>
      <c r="B2865" t="s">
        <v>8</v>
      </c>
      <c r="C2865" t="s">
        <v>15</v>
      </c>
      <c r="D2865">
        <v>0</v>
      </c>
      <c r="E2865" t="s">
        <v>57</v>
      </c>
      <c r="F2865" t="s">
        <v>11</v>
      </c>
      <c r="G2865" t="s">
        <v>12</v>
      </c>
    </row>
    <row r="2866" spans="1:7" x14ac:dyDescent="0.3">
      <c r="A2866" t="s">
        <v>60</v>
      </c>
      <c r="B2866" t="s">
        <v>8</v>
      </c>
      <c r="C2866" t="s">
        <v>16</v>
      </c>
      <c r="D2866">
        <v>1</v>
      </c>
      <c r="E2866" t="s">
        <v>57</v>
      </c>
      <c r="F2866" t="s">
        <v>11</v>
      </c>
      <c r="G2866" t="s">
        <v>12</v>
      </c>
    </row>
    <row r="2867" spans="1:7" x14ac:dyDescent="0.3">
      <c r="A2867" t="s">
        <v>60</v>
      </c>
      <c r="B2867" t="s">
        <v>8</v>
      </c>
      <c r="C2867" t="s">
        <v>17</v>
      </c>
      <c r="D2867">
        <v>0</v>
      </c>
      <c r="E2867" t="s">
        <v>57</v>
      </c>
      <c r="F2867" t="s">
        <v>11</v>
      </c>
      <c r="G2867" t="s">
        <v>12</v>
      </c>
    </row>
    <row r="2868" spans="1:7" x14ac:dyDescent="0.3">
      <c r="A2868" t="s">
        <v>60</v>
      </c>
      <c r="B2868" t="s">
        <v>8</v>
      </c>
      <c r="C2868" t="s">
        <v>18</v>
      </c>
      <c r="D2868">
        <v>0</v>
      </c>
      <c r="E2868" t="s">
        <v>57</v>
      </c>
      <c r="F2868" t="s">
        <v>11</v>
      </c>
      <c r="G2868" t="s">
        <v>12</v>
      </c>
    </row>
    <row r="2869" spans="1:7" x14ac:dyDescent="0.3">
      <c r="A2869" t="s">
        <v>60</v>
      </c>
      <c r="B2869" t="s">
        <v>8</v>
      </c>
      <c r="C2869" t="s">
        <v>19</v>
      </c>
      <c r="D2869">
        <v>0</v>
      </c>
      <c r="E2869" t="s">
        <v>57</v>
      </c>
      <c r="F2869" t="s">
        <v>11</v>
      </c>
      <c r="G2869" t="s">
        <v>12</v>
      </c>
    </row>
    <row r="2870" spans="1:7" x14ac:dyDescent="0.3">
      <c r="A2870" t="s">
        <v>60</v>
      </c>
      <c r="B2870" t="s">
        <v>8</v>
      </c>
      <c r="C2870" t="s">
        <v>20</v>
      </c>
      <c r="D2870">
        <v>0</v>
      </c>
      <c r="E2870" t="s">
        <v>57</v>
      </c>
      <c r="F2870" t="s">
        <v>11</v>
      </c>
      <c r="G2870" t="s">
        <v>12</v>
      </c>
    </row>
    <row r="2871" spans="1:7" x14ac:dyDescent="0.3">
      <c r="A2871" t="s">
        <v>60</v>
      </c>
      <c r="B2871" t="s">
        <v>8</v>
      </c>
      <c r="C2871" t="s">
        <v>21</v>
      </c>
      <c r="D2871">
        <v>0</v>
      </c>
      <c r="E2871" t="s">
        <v>57</v>
      </c>
      <c r="F2871" t="s">
        <v>11</v>
      </c>
      <c r="G2871" t="s">
        <v>12</v>
      </c>
    </row>
    <row r="2872" spans="1:7" x14ac:dyDescent="0.3">
      <c r="A2872" t="s">
        <v>60</v>
      </c>
      <c r="B2872" t="s">
        <v>8</v>
      </c>
      <c r="C2872" t="s">
        <v>22</v>
      </c>
      <c r="D2872">
        <v>25</v>
      </c>
      <c r="E2872" t="s">
        <v>57</v>
      </c>
      <c r="F2872" t="s">
        <v>11</v>
      </c>
      <c r="G2872" t="s">
        <v>12</v>
      </c>
    </row>
    <row r="2873" spans="1:7" x14ac:dyDescent="0.3">
      <c r="A2873" t="s">
        <v>60</v>
      </c>
      <c r="B2873" t="s">
        <v>23</v>
      </c>
      <c r="C2873" t="s">
        <v>9</v>
      </c>
      <c r="D2873">
        <v>5</v>
      </c>
      <c r="E2873" t="s">
        <v>57</v>
      </c>
      <c r="F2873" t="s">
        <v>11</v>
      </c>
      <c r="G2873" t="s">
        <v>12</v>
      </c>
    </row>
    <row r="2874" spans="1:7" x14ac:dyDescent="0.3">
      <c r="A2874" t="s">
        <v>60</v>
      </c>
      <c r="B2874" t="s">
        <v>23</v>
      </c>
      <c r="C2874" t="s">
        <v>13</v>
      </c>
      <c r="D2874">
        <v>78</v>
      </c>
      <c r="E2874" t="s">
        <v>57</v>
      </c>
      <c r="F2874" t="s">
        <v>11</v>
      </c>
      <c r="G2874" t="s">
        <v>12</v>
      </c>
    </row>
    <row r="2875" spans="1:7" x14ac:dyDescent="0.3">
      <c r="A2875" t="s">
        <v>60</v>
      </c>
      <c r="B2875" t="s">
        <v>23</v>
      </c>
      <c r="C2875" t="s">
        <v>14</v>
      </c>
      <c r="D2875">
        <v>61</v>
      </c>
      <c r="E2875" t="s">
        <v>57</v>
      </c>
      <c r="F2875" t="s">
        <v>11</v>
      </c>
      <c r="G2875" t="s">
        <v>12</v>
      </c>
    </row>
    <row r="2876" spans="1:7" x14ac:dyDescent="0.3">
      <c r="A2876" t="s">
        <v>60</v>
      </c>
      <c r="B2876" t="s">
        <v>23</v>
      </c>
      <c r="C2876" t="s">
        <v>15</v>
      </c>
      <c r="D2876">
        <v>4</v>
      </c>
      <c r="E2876" t="s">
        <v>57</v>
      </c>
      <c r="F2876" t="s">
        <v>11</v>
      </c>
      <c r="G2876" t="s">
        <v>12</v>
      </c>
    </row>
    <row r="2877" spans="1:7" x14ac:dyDescent="0.3">
      <c r="A2877" t="s">
        <v>60</v>
      </c>
      <c r="B2877" t="s">
        <v>23</v>
      </c>
      <c r="C2877" t="s">
        <v>16</v>
      </c>
      <c r="D2877">
        <v>29</v>
      </c>
      <c r="E2877" t="s">
        <v>57</v>
      </c>
      <c r="F2877" t="s">
        <v>11</v>
      </c>
      <c r="G2877" t="s">
        <v>12</v>
      </c>
    </row>
    <row r="2878" spans="1:7" x14ac:dyDescent="0.3">
      <c r="A2878" t="s">
        <v>60</v>
      </c>
      <c r="B2878" t="s">
        <v>23</v>
      </c>
      <c r="C2878" t="s">
        <v>17</v>
      </c>
      <c r="D2878">
        <v>6</v>
      </c>
      <c r="E2878" t="s">
        <v>57</v>
      </c>
      <c r="F2878" t="s">
        <v>11</v>
      </c>
      <c r="G2878" t="s">
        <v>12</v>
      </c>
    </row>
    <row r="2879" spans="1:7" x14ac:dyDescent="0.3">
      <c r="A2879" t="s">
        <v>60</v>
      </c>
      <c r="B2879" t="s">
        <v>23</v>
      </c>
      <c r="C2879" t="s">
        <v>18</v>
      </c>
      <c r="D2879">
        <v>0</v>
      </c>
      <c r="E2879" t="s">
        <v>57</v>
      </c>
      <c r="F2879" t="s">
        <v>11</v>
      </c>
      <c r="G2879" t="s">
        <v>12</v>
      </c>
    </row>
    <row r="2880" spans="1:7" x14ac:dyDescent="0.3">
      <c r="A2880" t="s">
        <v>60</v>
      </c>
      <c r="B2880" t="s">
        <v>23</v>
      </c>
      <c r="C2880" t="s">
        <v>19</v>
      </c>
      <c r="D2880">
        <v>11</v>
      </c>
      <c r="E2880" t="s">
        <v>57</v>
      </c>
      <c r="F2880" t="s">
        <v>11</v>
      </c>
      <c r="G2880" t="s">
        <v>12</v>
      </c>
    </row>
    <row r="2881" spans="1:7" x14ac:dyDescent="0.3">
      <c r="A2881" t="s">
        <v>60</v>
      </c>
      <c r="B2881" t="s">
        <v>23</v>
      </c>
      <c r="C2881" t="s">
        <v>20</v>
      </c>
      <c r="D2881">
        <v>4</v>
      </c>
      <c r="E2881" t="s">
        <v>57</v>
      </c>
      <c r="F2881" t="s">
        <v>11</v>
      </c>
      <c r="G2881" t="s">
        <v>12</v>
      </c>
    </row>
    <row r="2882" spans="1:7" x14ac:dyDescent="0.3">
      <c r="A2882" t="s">
        <v>60</v>
      </c>
      <c r="B2882" t="s">
        <v>23</v>
      </c>
      <c r="C2882" t="s">
        <v>21</v>
      </c>
      <c r="D2882">
        <v>2</v>
      </c>
      <c r="E2882" t="s">
        <v>57</v>
      </c>
      <c r="F2882" t="s">
        <v>11</v>
      </c>
      <c r="G2882" t="s">
        <v>12</v>
      </c>
    </row>
    <row r="2883" spans="1:7" x14ac:dyDescent="0.3">
      <c r="A2883" t="s">
        <v>60</v>
      </c>
      <c r="B2883" t="s">
        <v>23</v>
      </c>
      <c r="C2883" t="s">
        <v>22</v>
      </c>
      <c r="D2883">
        <v>293</v>
      </c>
      <c r="E2883" t="s">
        <v>57</v>
      </c>
      <c r="F2883" t="s">
        <v>11</v>
      </c>
      <c r="G2883" t="s">
        <v>12</v>
      </c>
    </row>
    <row r="2884" spans="1:7" x14ac:dyDescent="0.3">
      <c r="A2884" t="s">
        <v>25</v>
      </c>
      <c r="B2884" t="s">
        <v>8</v>
      </c>
      <c r="C2884" t="s">
        <v>9</v>
      </c>
      <c r="D2884">
        <v>0</v>
      </c>
      <c r="E2884" t="s">
        <v>57</v>
      </c>
      <c r="F2884" t="s">
        <v>11</v>
      </c>
      <c r="G2884" t="s">
        <v>12</v>
      </c>
    </row>
    <row r="2885" spans="1:7" x14ac:dyDescent="0.3">
      <c r="A2885" t="s">
        <v>25</v>
      </c>
      <c r="B2885" t="s">
        <v>8</v>
      </c>
      <c r="C2885" t="s">
        <v>13</v>
      </c>
      <c r="D2885">
        <v>10</v>
      </c>
      <c r="E2885" t="s">
        <v>57</v>
      </c>
      <c r="F2885" t="s">
        <v>11</v>
      </c>
      <c r="G2885" t="s">
        <v>12</v>
      </c>
    </row>
    <row r="2886" spans="1:7" x14ac:dyDescent="0.3">
      <c r="A2886" t="s">
        <v>25</v>
      </c>
      <c r="B2886" t="s">
        <v>8</v>
      </c>
      <c r="C2886" t="s">
        <v>14</v>
      </c>
      <c r="D2886">
        <v>2</v>
      </c>
      <c r="E2886" t="s">
        <v>57</v>
      </c>
      <c r="F2886" t="s">
        <v>11</v>
      </c>
      <c r="G2886" t="s">
        <v>12</v>
      </c>
    </row>
    <row r="2887" spans="1:7" x14ac:dyDescent="0.3">
      <c r="A2887" t="s">
        <v>25</v>
      </c>
      <c r="B2887" t="s">
        <v>8</v>
      </c>
      <c r="C2887" t="s">
        <v>15</v>
      </c>
      <c r="D2887">
        <v>0</v>
      </c>
      <c r="E2887" t="s">
        <v>57</v>
      </c>
      <c r="F2887" t="s">
        <v>11</v>
      </c>
      <c r="G2887" t="s">
        <v>12</v>
      </c>
    </row>
    <row r="2888" spans="1:7" x14ac:dyDescent="0.3">
      <c r="A2888" t="s">
        <v>25</v>
      </c>
      <c r="B2888" t="s">
        <v>8</v>
      </c>
      <c r="C2888" t="s">
        <v>16</v>
      </c>
      <c r="D2888">
        <v>4</v>
      </c>
      <c r="E2888" t="s">
        <v>57</v>
      </c>
      <c r="F2888" t="s">
        <v>11</v>
      </c>
      <c r="G2888" t="s">
        <v>12</v>
      </c>
    </row>
    <row r="2889" spans="1:7" x14ac:dyDescent="0.3">
      <c r="A2889" t="s">
        <v>25</v>
      </c>
      <c r="B2889" t="s">
        <v>8</v>
      </c>
      <c r="C2889" t="s">
        <v>17</v>
      </c>
      <c r="D2889">
        <v>1</v>
      </c>
      <c r="E2889" t="s">
        <v>57</v>
      </c>
      <c r="F2889" t="s">
        <v>11</v>
      </c>
      <c r="G2889" t="s">
        <v>12</v>
      </c>
    </row>
    <row r="2890" spans="1:7" x14ac:dyDescent="0.3">
      <c r="A2890" t="s">
        <v>25</v>
      </c>
      <c r="B2890" t="s">
        <v>8</v>
      </c>
      <c r="C2890" t="s">
        <v>18</v>
      </c>
      <c r="D2890">
        <v>0</v>
      </c>
      <c r="E2890" t="s">
        <v>57</v>
      </c>
      <c r="F2890" t="s">
        <v>11</v>
      </c>
      <c r="G2890" t="s">
        <v>12</v>
      </c>
    </row>
    <row r="2891" spans="1:7" x14ac:dyDescent="0.3">
      <c r="A2891" t="s">
        <v>25</v>
      </c>
      <c r="B2891" t="s">
        <v>8</v>
      </c>
      <c r="C2891" t="s">
        <v>19</v>
      </c>
      <c r="D2891">
        <v>0</v>
      </c>
      <c r="E2891" t="s">
        <v>57</v>
      </c>
      <c r="F2891" t="s">
        <v>11</v>
      </c>
      <c r="G2891" t="s">
        <v>12</v>
      </c>
    </row>
    <row r="2892" spans="1:7" x14ac:dyDescent="0.3">
      <c r="A2892" t="s">
        <v>25</v>
      </c>
      <c r="B2892" t="s">
        <v>8</v>
      </c>
      <c r="C2892" t="s">
        <v>20</v>
      </c>
      <c r="D2892">
        <v>0</v>
      </c>
      <c r="E2892" t="s">
        <v>57</v>
      </c>
      <c r="F2892" t="s">
        <v>11</v>
      </c>
      <c r="G2892" t="s">
        <v>12</v>
      </c>
    </row>
    <row r="2893" spans="1:7" x14ac:dyDescent="0.3">
      <c r="A2893" t="s">
        <v>25</v>
      </c>
      <c r="B2893" t="s">
        <v>8</v>
      </c>
      <c r="C2893" t="s">
        <v>21</v>
      </c>
      <c r="D2893">
        <v>2</v>
      </c>
      <c r="E2893" t="s">
        <v>57</v>
      </c>
      <c r="F2893" t="s">
        <v>11</v>
      </c>
      <c r="G2893" t="s">
        <v>12</v>
      </c>
    </row>
    <row r="2894" spans="1:7" x14ac:dyDescent="0.3">
      <c r="A2894" t="s">
        <v>25</v>
      </c>
      <c r="B2894" t="s">
        <v>8</v>
      </c>
      <c r="C2894" t="s">
        <v>22</v>
      </c>
      <c r="D2894">
        <v>87</v>
      </c>
      <c r="E2894" t="s">
        <v>57</v>
      </c>
      <c r="F2894" t="s">
        <v>11</v>
      </c>
      <c r="G2894" t="s">
        <v>12</v>
      </c>
    </row>
    <row r="2895" spans="1:7" x14ac:dyDescent="0.3">
      <c r="A2895" t="s">
        <v>25</v>
      </c>
      <c r="B2895" t="s">
        <v>23</v>
      </c>
      <c r="C2895" t="s">
        <v>9</v>
      </c>
      <c r="D2895">
        <v>16</v>
      </c>
      <c r="E2895" t="s">
        <v>57</v>
      </c>
      <c r="F2895" t="s">
        <v>11</v>
      </c>
      <c r="G2895" t="s">
        <v>12</v>
      </c>
    </row>
    <row r="2896" spans="1:7" x14ac:dyDescent="0.3">
      <c r="A2896" t="s">
        <v>25</v>
      </c>
      <c r="B2896" t="s">
        <v>23</v>
      </c>
      <c r="C2896" t="s">
        <v>13</v>
      </c>
      <c r="D2896">
        <v>442</v>
      </c>
      <c r="E2896" t="s">
        <v>57</v>
      </c>
      <c r="F2896" t="s">
        <v>11</v>
      </c>
      <c r="G2896" t="s">
        <v>12</v>
      </c>
    </row>
    <row r="2897" spans="1:7" x14ac:dyDescent="0.3">
      <c r="A2897" t="s">
        <v>25</v>
      </c>
      <c r="B2897" t="s">
        <v>23</v>
      </c>
      <c r="C2897" t="s">
        <v>14</v>
      </c>
      <c r="D2897">
        <v>222</v>
      </c>
      <c r="E2897" t="s">
        <v>57</v>
      </c>
      <c r="F2897" t="s">
        <v>11</v>
      </c>
      <c r="G2897" t="s">
        <v>12</v>
      </c>
    </row>
    <row r="2898" spans="1:7" x14ac:dyDescent="0.3">
      <c r="A2898" t="s">
        <v>25</v>
      </c>
      <c r="B2898" t="s">
        <v>23</v>
      </c>
      <c r="C2898" t="s">
        <v>15</v>
      </c>
      <c r="D2898">
        <v>13</v>
      </c>
      <c r="E2898" t="s">
        <v>57</v>
      </c>
      <c r="F2898" t="s">
        <v>11</v>
      </c>
      <c r="G2898" t="s">
        <v>12</v>
      </c>
    </row>
    <row r="2899" spans="1:7" x14ac:dyDescent="0.3">
      <c r="A2899" t="s">
        <v>25</v>
      </c>
      <c r="B2899" t="s">
        <v>23</v>
      </c>
      <c r="C2899" t="s">
        <v>16</v>
      </c>
      <c r="D2899">
        <v>99</v>
      </c>
      <c r="E2899" t="s">
        <v>57</v>
      </c>
      <c r="F2899" t="s">
        <v>11</v>
      </c>
      <c r="G2899" t="s">
        <v>12</v>
      </c>
    </row>
    <row r="2900" spans="1:7" x14ac:dyDescent="0.3">
      <c r="A2900" t="s">
        <v>25</v>
      </c>
      <c r="B2900" t="s">
        <v>23</v>
      </c>
      <c r="C2900" t="s">
        <v>17</v>
      </c>
      <c r="D2900">
        <v>22</v>
      </c>
      <c r="E2900" t="s">
        <v>57</v>
      </c>
      <c r="F2900" t="s">
        <v>11</v>
      </c>
      <c r="G2900" t="s">
        <v>12</v>
      </c>
    </row>
    <row r="2901" spans="1:7" x14ac:dyDescent="0.3">
      <c r="A2901" t="s">
        <v>25</v>
      </c>
      <c r="B2901" t="s">
        <v>23</v>
      </c>
      <c r="C2901" t="s">
        <v>18</v>
      </c>
      <c r="D2901">
        <v>0</v>
      </c>
      <c r="E2901" t="s">
        <v>57</v>
      </c>
      <c r="F2901" t="s">
        <v>11</v>
      </c>
      <c r="G2901" t="s">
        <v>12</v>
      </c>
    </row>
    <row r="2902" spans="1:7" x14ac:dyDescent="0.3">
      <c r="A2902" t="s">
        <v>25</v>
      </c>
      <c r="B2902" t="s">
        <v>23</v>
      </c>
      <c r="C2902" t="s">
        <v>19</v>
      </c>
      <c r="D2902">
        <v>42</v>
      </c>
      <c r="E2902" t="s">
        <v>57</v>
      </c>
      <c r="F2902" t="s">
        <v>11</v>
      </c>
      <c r="G2902" t="s">
        <v>12</v>
      </c>
    </row>
    <row r="2903" spans="1:7" x14ac:dyDescent="0.3">
      <c r="A2903" t="s">
        <v>25</v>
      </c>
      <c r="B2903" t="s">
        <v>23</v>
      </c>
      <c r="C2903" t="s">
        <v>20</v>
      </c>
      <c r="D2903">
        <v>13</v>
      </c>
      <c r="E2903" t="s">
        <v>57</v>
      </c>
      <c r="F2903" t="s">
        <v>11</v>
      </c>
      <c r="G2903" t="s">
        <v>12</v>
      </c>
    </row>
    <row r="2904" spans="1:7" x14ac:dyDescent="0.3">
      <c r="A2904" t="s">
        <v>25</v>
      </c>
      <c r="B2904" t="s">
        <v>23</v>
      </c>
      <c r="C2904" t="s">
        <v>21</v>
      </c>
      <c r="D2904">
        <v>5</v>
      </c>
      <c r="E2904" t="s">
        <v>57</v>
      </c>
      <c r="F2904" t="s">
        <v>11</v>
      </c>
      <c r="G2904" t="s">
        <v>12</v>
      </c>
    </row>
    <row r="2905" spans="1:7" x14ac:dyDescent="0.3">
      <c r="A2905" t="s">
        <v>25</v>
      </c>
      <c r="B2905" t="s">
        <v>23</v>
      </c>
      <c r="C2905" t="s">
        <v>22</v>
      </c>
      <c r="D2905">
        <v>1008</v>
      </c>
      <c r="E2905" t="s">
        <v>57</v>
      </c>
      <c r="F2905" t="s">
        <v>11</v>
      </c>
      <c r="G2905" t="s">
        <v>12</v>
      </c>
    </row>
    <row r="2906" spans="1:7" x14ac:dyDescent="0.3">
      <c r="A2906" t="s">
        <v>61</v>
      </c>
      <c r="B2906" t="s">
        <v>8</v>
      </c>
      <c r="C2906" t="s">
        <v>9</v>
      </c>
      <c r="D2906">
        <v>0</v>
      </c>
      <c r="E2906" t="s">
        <v>57</v>
      </c>
      <c r="F2906" t="s">
        <v>11</v>
      </c>
      <c r="G2906" t="s">
        <v>12</v>
      </c>
    </row>
    <row r="2907" spans="1:7" x14ac:dyDescent="0.3">
      <c r="A2907" t="s">
        <v>61</v>
      </c>
      <c r="B2907" t="s">
        <v>8</v>
      </c>
      <c r="C2907" t="s">
        <v>13</v>
      </c>
      <c r="D2907">
        <v>0</v>
      </c>
      <c r="E2907" t="s">
        <v>57</v>
      </c>
      <c r="F2907" t="s">
        <v>11</v>
      </c>
      <c r="G2907" t="s">
        <v>12</v>
      </c>
    </row>
    <row r="2908" spans="1:7" x14ac:dyDescent="0.3">
      <c r="A2908" t="s">
        <v>61</v>
      </c>
      <c r="B2908" t="s">
        <v>8</v>
      </c>
      <c r="C2908" t="s">
        <v>14</v>
      </c>
      <c r="D2908">
        <v>0</v>
      </c>
      <c r="E2908" t="s">
        <v>57</v>
      </c>
      <c r="F2908" t="s">
        <v>11</v>
      </c>
      <c r="G2908" t="s">
        <v>12</v>
      </c>
    </row>
    <row r="2909" spans="1:7" x14ac:dyDescent="0.3">
      <c r="A2909" t="s">
        <v>61</v>
      </c>
      <c r="B2909" t="s">
        <v>8</v>
      </c>
      <c r="C2909" t="s">
        <v>15</v>
      </c>
      <c r="D2909">
        <v>0</v>
      </c>
      <c r="E2909" t="s">
        <v>57</v>
      </c>
      <c r="F2909" t="s">
        <v>11</v>
      </c>
      <c r="G2909" t="s">
        <v>12</v>
      </c>
    </row>
    <row r="2910" spans="1:7" x14ac:dyDescent="0.3">
      <c r="A2910" t="s">
        <v>61</v>
      </c>
      <c r="B2910" t="s">
        <v>8</v>
      </c>
      <c r="C2910" t="s">
        <v>16</v>
      </c>
      <c r="D2910">
        <v>2</v>
      </c>
      <c r="E2910" t="s">
        <v>57</v>
      </c>
      <c r="F2910" t="s">
        <v>11</v>
      </c>
      <c r="G2910" t="s">
        <v>12</v>
      </c>
    </row>
    <row r="2911" spans="1:7" x14ac:dyDescent="0.3">
      <c r="A2911" t="s">
        <v>61</v>
      </c>
      <c r="B2911" t="s">
        <v>8</v>
      </c>
      <c r="C2911" t="s">
        <v>17</v>
      </c>
      <c r="D2911">
        <v>0</v>
      </c>
      <c r="E2911" t="s">
        <v>57</v>
      </c>
      <c r="F2911" t="s">
        <v>11</v>
      </c>
      <c r="G2911" t="s">
        <v>12</v>
      </c>
    </row>
    <row r="2912" spans="1:7" x14ac:dyDescent="0.3">
      <c r="A2912" t="s">
        <v>61</v>
      </c>
      <c r="B2912" t="s">
        <v>8</v>
      </c>
      <c r="C2912" t="s">
        <v>18</v>
      </c>
      <c r="D2912">
        <v>0</v>
      </c>
      <c r="E2912" t="s">
        <v>57</v>
      </c>
      <c r="F2912" t="s">
        <v>11</v>
      </c>
      <c r="G2912" t="s">
        <v>12</v>
      </c>
    </row>
    <row r="2913" spans="1:7" x14ac:dyDescent="0.3">
      <c r="A2913" t="s">
        <v>61</v>
      </c>
      <c r="B2913" t="s">
        <v>8</v>
      </c>
      <c r="C2913" t="s">
        <v>19</v>
      </c>
      <c r="D2913">
        <v>0</v>
      </c>
      <c r="E2913" t="s">
        <v>57</v>
      </c>
      <c r="F2913" t="s">
        <v>11</v>
      </c>
      <c r="G2913" t="s">
        <v>12</v>
      </c>
    </row>
    <row r="2914" spans="1:7" x14ac:dyDescent="0.3">
      <c r="A2914" t="s">
        <v>61</v>
      </c>
      <c r="B2914" t="s">
        <v>8</v>
      </c>
      <c r="C2914" t="s">
        <v>20</v>
      </c>
      <c r="D2914">
        <v>0</v>
      </c>
      <c r="E2914" t="s">
        <v>57</v>
      </c>
      <c r="F2914" t="s">
        <v>11</v>
      </c>
      <c r="G2914" t="s">
        <v>12</v>
      </c>
    </row>
    <row r="2915" spans="1:7" x14ac:dyDescent="0.3">
      <c r="A2915" t="s">
        <v>61</v>
      </c>
      <c r="B2915" t="s">
        <v>8</v>
      </c>
      <c r="C2915" t="s">
        <v>21</v>
      </c>
      <c r="D2915">
        <v>0</v>
      </c>
      <c r="E2915" t="s">
        <v>57</v>
      </c>
      <c r="F2915" t="s">
        <v>11</v>
      </c>
      <c r="G2915" t="s">
        <v>12</v>
      </c>
    </row>
    <row r="2916" spans="1:7" x14ac:dyDescent="0.3">
      <c r="A2916" t="s">
        <v>61</v>
      </c>
      <c r="B2916" t="s">
        <v>8</v>
      </c>
      <c r="C2916" t="s">
        <v>22</v>
      </c>
      <c r="D2916">
        <v>38</v>
      </c>
      <c r="E2916" t="s">
        <v>57</v>
      </c>
      <c r="F2916" t="s">
        <v>11</v>
      </c>
      <c r="G2916" t="s">
        <v>12</v>
      </c>
    </row>
    <row r="2917" spans="1:7" x14ac:dyDescent="0.3">
      <c r="A2917" t="s">
        <v>61</v>
      </c>
      <c r="B2917" t="s">
        <v>23</v>
      </c>
      <c r="C2917" t="s">
        <v>9</v>
      </c>
      <c r="D2917">
        <v>7</v>
      </c>
      <c r="E2917" t="s">
        <v>57</v>
      </c>
      <c r="F2917" t="s">
        <v>11</v>
      </c>
      <c r="G2917" t="s">
        <v>12</v>
      </c>
    </row>
    <row r="2918" spans="1:7" x14ac:dyDescent="0.3">
      <c r="A2918" t="s">
        <v>61</v>
      </c>
      <c r="B2918" t="s">
        <v>23</v>
      </c>
      <c r="C2918" t="s">
        <v>13</v>
      </c>
      <c r="D2918">
        <v>116</v>
      </c>
      <c r="E2918" t="s">
        <v>57</v>
      </c>
      <c r="F2918" t="s">
        <v>11</v>
      </c>
      <c r="G2918" t="s">
        <v>12</v>
      </c>
    </row>
    <row r="2919" spans="1:7" x14ac:dyDescent="0.3">
      <c r="A2919" t="s">
        <v>61</v>
      </c>
      <c r="B2919" t="s">
        <v>23</v>
      </c>
      <c r="C2919" t="s">
        <v>14</v>
      </c>
      <c r="D2919">
        <v>91</v>
      </c>
      <c r="E2919" t="s">
        <v>57</v>
      </c>
      <c r="F2919" t="s">
        <v>11</v>
      </c>
      <c r="G2919" t="s">
        <v>12</v>
      </c>
    </row>
    <row r="2920" spans="1:7" x14ac:dyDescent="0.3">
      <c r="A2920" t="s">
        <v>61</v>
      </c>
      <c r="B2920" t="s">
        <v>23</v>
      </c>
      <c r="C2920" t="s">
        <v>15</v>
      </c>
      <c r="D2920">
        <v>6</v>
      </c>
      <c r="E2920" t="s">
        <v>57</v>
      </c>
      <c r="F2920" t="s">
        <v>11</v>
      </c>
      <c r="G2920" t="s">
        <v>12</v>
      </c>
    </row>
    <row r="2921" spans="1:7" x14ac:dyDescent="0.3">
      <c r="A2921" t="s">
        <v>61</v>
      </c>
      <c r="B2921" t="s">
        <v>23</v>
      </c>
      <c r="C2921" t="s">
        <v>16</v>
      </c>
      <c r="D2921">
        <v>43</v>
      </c>
      <c r="E2921" t="s">
        <v>57</v>
      </c>
      <c r="F2921" t="s">
        <v>11</v>
      </c>
      <c r="G2921" t="s">
        <v>12</v>
      </c>
    </row>
    <row r="2922" spans="1:7" x14ac:dyDescent="0.3">
      <c r="A2922" t="s">
        <v>61</v>
      </c>
      <c r="B2922" t="s">
        <v>23</v>
      </c>
      <c r="C2922" t="s">
        <v>17</v>
      </c>
      <c r="D2922">
        <v>10</v>
      </c>
      <c r="E2922" t="s">
        <v>57</v>
      </c>
      <c r="F2922" t="s">
        <v>11</v>
      </c>
      <c r="G2922" t="s">
        <v>12</v>
      </c>
    </row>
    <row r="2923" spans="1:7" x14ac:dyDescent="0.3">
      <c r="A2923" t="s">
        <v>61</v>
      </c>
      <c r="B2923" t="s">
        <v>23</v>
      </c>
      <c r="C2923" t="s">
        <v>18</v>
      </c>
      <c r="D2923">
        <v>0</v>
      </c>
      <c r="E2923" t="s">
        <v>57</v>
      </c>
      <c r="F2923" t="s">
        <v>11</v>
      </c>
      <c r="G2923" t="s">
        <v>12</v>
      </c>
    </row>
    <row r="2924" spans="1:7" x14ac:dyDescent="0.3">
      <c r="A2924" t="s">
        <v>61</v>
      </c>
      <c r="B2924" t="s">
        <v>23</v>
      </c>
      <c r="C2924" t="s">
        <v>19</v>
      </c>
      <c r="D2924">
        <v>17</v>
      </c>
      <c r="E2924" t="s">
        <v>57</v>
      </c>
      <c r="F2924" t="s">
        <v>11</v>
      </c>
      <c r="G2924" t="s">
        <v>12</v>
      </c>
    </row>
    <row r="2925" spans="1:7" x14ac:dyDescent="0.3">
      <c r="A2925" t="s">
        <v>61</v>
      </c>
      <c r="B2925" t="s">
        <v>23</v>
      </c>
      <c r="C2925" t="s">
        <v>20</v>
      </c>
      <c r="D2925">
        <v>5</v>
      </c>
      <c r="E2925" t="s">
        <v>57</v>
      </c>
      <c r="F2925" t="s">
        <v>11</v>
      </c>
      <c r="G2925" t="s">
        <v>12</v>
      </c>
    </row>
    <row r="2926" spans="1:7" x14ac:dyDescent="0.3">
      <c r="A2926" t="s">
        <v>61</v>
      </c>
      <c r="B2926" t="s">
        <v>23</v>
      </c>
      <c r="C2926" t="s">
        <v>21</v>
      </c>
      <c r="D2926">
        <v>2</v>
      </c>
      <c r="E2926" t="s">
        <v>57</v>
      </c>
      <c r="F2926" t="s">
        <v>11</v>
      </c>
      <c r="G2926" t="s">
        <v>12</v>
      </c>
    </row>
    <row r="2927" spans="1:7" x14ac:dyDescent="0.3">
      <c r="A2927" t="s">
        <v>61</v>
      </c>
      <c r="B2927" t="s">
        <v>23</v>
      </c>
      <c r="C2927" t="s">
        <v>22</v>
      </c>
      <c r="D2927">
        <v>436</v>
      </c>
      <c r="E2927" t="s">
        <v>57</v>
      </c>
      <c r="F2927" t="s">
        <v>11</v>
      </c>
      <c r="G2927" t="s">
        <v>12</v>
      </c>
    </row>
    <row r="2928" spans="1:7" x14ac:dyDescent="0.3">
      <c r="A2928" t="s">
        <v>62</v>
      </c>
      <c r="B2928" t="s">
        <v>8</v>
      </c>
      <c r="C2928" t="s">
        <v>9</v>
      </c>
      <c r="D2928">
        <v>0</v>
      </c>
      <c r="E2928" t="s">
        <v>57</v>
      </c>
      <c r="F2928" t="s">
        <v>11</v>
      </c>
      <c r="G2928" t="s">
        <v>12</v>
      </c>
    </row>
    <row r="2929" spans="1:7" x14ac:dyDescent="0.3">
      <c r="A2929" t="s">
        <v>62</v>
      </c>
      <c r="B2929" t="s">
        <v>8</v>
      </c>
      <c r="C2929" t="s">
        <v>13</v>
      </c>
      <c r="D2929">
        <v>1</v>
      </c>
      <c r="E2929" t="s">
        <v>57</v>
      </c>
      <c r="F2929" t="s">
        <v>11</v>
      </c>
      <c r="G2929" t="s">
        <v>12</v>
      </c>
    </row>
    <row r="2930" spans="1:7" x14ac:dyDescent="0.3">
      <c r="A2930" t="s">
        <v>62</v>
      </c>
      <c r="B2930" t="s">
        <v>8</v>
      </c>
      <c r="C2930" t="s">
        <v>14</v>
      </c>
      <c r="D2930">
        <v>1</v>
      </c>
      <c r="E2930" t="s">
        <v>57</v>
      </c>
      <c r="F2930" t="s">
        <v>11</v>
      </c>
      <c r="G2930" t="s">
        <v>12</v>
      </c>
    </row>
    <row r="2931" spans="1:7" x14ac:dyDescent="0.3">
      <c r="A2931" t="s">
        <v>62</v>
      </c>
      <c r="B2931" t="s">
        <v>8</v>
      </c>
      <c r="C2931" t="s">
        <v>15</v>
      </c>
      <c r="D2931">
        <v>0</v>
      </c>
      <c r="E2931" t="s">
        <v>57</v>
      </c>
      <c r="F2931" t="s">
        <v>11</v>
      </c>
      <c r="G2931" t="s">
        <v>12</v>
      </c>
    </row>
    <row r="2932" spans="1:7" x14ac:dyDescent="0.3">
      <c r="A2932" t="s">
        <v>62</v>
      </c>
      <c r="B2932" t="s">
        <v>8</v>
      </c>
      <c r="C2932" t="s">
        <v>16</v>
      </c>
      <c r="D2932">
        <v>2</v>
      </c>
      <c r="E2932" t="s">
        <v>57</v>
      </c>
      <c r="F2932" t="s">
        <v>11</v>
      </c>
      <c r="G2932" t="s">
        <v>12</v>
      </c>
    </row>
    <row r="2933" spans="1:7" x14ac:dyDescent="0.3">
      <c r="A2933" t="s">
        <v>62</v>
      </c>
      <c r="B2933" t="s">
        <v>8</v>
      </c>
      <c r="C2933" t="s">
        <v>17</v>
      </c>
      <c r="D2933">
        <v>0</v>
      </c>
      <c r="E2933" t="s">
        <v>57</v>
      </c>
      <c r="F2933" t="s">
        <v>11</v>
      </c>
      <c r="G2933" t="s">
        <v>12</v>
      </c>
    </row>
    <row r="2934" spans="1:7" x14ac:dyDescent="0.3">
      <c r="A2934" t="s">
        <v>62</v>
      </c>
      <c r="B2934" t="s">
        <v>8</v>
      </c>
      <c r="C2934" t="s">
        <v>18</v>
      </c>
      <c r="D2934">
        <v>0</v>
      </c>
      <c r="E2934" t="s">
        <v>57</v>
      </c>
      <c r="F2934" t="s">
        <v>11</v>
      </c>
      <c r="G2934" t="s">
        <v>12</v>
      </c>
    </row>
    <row r="2935" spans="1:7" x14ac:dyDescent="0.3">
      <c r="A2935" t="s">
        <v>62</v>
      </c>
      <c r="B2935" t="s">
        <v>8</v>
      </c>
      <c r="C2935" t="s">
        <v>19</v>
      </c>
      <c r="D2935">
        <v>0</v>
      </c>
      <c r="E2935" t="s">
        <v>57</v>
      </c>
      <c r="F2935" t="s">
        <v>11</v>
      </c>
      <c r="G2935" t="s">
        <v>12</v>
      </c>
    </row>
    <row r="2936" spans="1:7" x14ac:dyDescent="0.3">
      <c r="A2936" t="s">
        <v>62</v>
      </c>
      <c r="B2936" t="s">
        <v>8</v>
      </c>
      <c r="C2936" t="s">
        <v>20</v>
      </c>
      <c r="D2936">
        <v>0</v>
      </c>
      <c r="E2936" t="s">
        <v>57</v>
      </c>
      <c r="F2936" t="s">
        <v>11</v>
      </c>
      <c r="G2936" t="s">
        <v>12</v>
      </c>
    </row>
    <row r="2937" spans="1:7" x14ac:dyDescent="0.3">
      <c r="A2937" t="s">
        <v>62</v>
      </c>
      <c r="B2937" t="s">
        <v>8</v>
      </c>
      <c r="C2937" t="s">
        <v>21</v>
      </c>
      <c r="D2937">
        <v>0</v>
      </c>
      <c r="E2937" t="s">
        <v>57</v>
      </c>
      <c r="F2937" t="s">
        <v>11</v>
      </c>
      <c r="G2937" t="s">
        <v>12</v>
      </c>
    </row>
    <row r="2938" spans="1:7" x14ac:dyDescent="0.3">
      <c r="A2938" t="s">
        <v>62</v>
      </c>
      <c r="B2938" t="s">
        <v>8</v>
      </c>
      <c r="C2938" t="s">
        <v>22</v>
      </c>
      <c r="D2938">
        <v>50</v>
      </c>
      <c r="E2938" t="s">
        <v>57</v>
      </c>
      <c r="F2938" t="s">
        <v>11</v>
      </c>
      <c r="G2938" t="s">
        <v>12</v>
      </c>
    </row>
    <row r="2939" spans="1:7" x14ac:dyDescent="0.3">
      <c r="A2939" t="s">
        <v>62</v>
      </c>
      <c r="B2939" t="s">
        <v>23</v>
      </c>
      <c r="C2939" t="s">
        <v>9</v>
      </c>
      <c r="D2939">
        <v>9</v>
      </c>
      <c r="E2939" t="s">
        <v>57</v>
      </c>
      <c r="F2939" t="s">
        <v>11</v>
      </c>
      <c r="G2939" t="s">
        <v>12</v>
      </c>
    </row>
    <row r="2940" spans="1:7" x14ac:dyDescent="0.3">
      <c r="A2940" t="s">
        <v>62</v>
      </c>
      <c r="B2940" t="s">
        <v>23</v>
      </c>
      <c r="C2940" t="s">
        <v>13</v>
      </c>
      <c r="D2940">
        <v>154</v>
      </c>
      <c r="E2940" t="s">
        <v>57</v>
      </c>
      <c r="F2940" t="s">
        <v>11</v>
      </c>
      <c r="G2940" t="s">
        <v>12</v>
      </c>
    </row>
    <row r="2941" spans="1:7" x14ac:dyDescent="0.3">
      <c r="A2941" t="s">
        <v>62</v>
      </c>
      <c r="B2941" t="s">
        <v>23</v>
      </c>
      <c r="C2941" t="s">
        <v>14</v>
      </c>
      <c r="D2941">
        <v>121</v>
      </c>
      <c r="E2941" t="s">
        <v>57</v>
      </c>
      <c r="F2941" t="s">
        <v>11</v>
      </c>
      <c r="G2941" t="s">
        <v>12</v>
      </c>
    </row>
    <row r="2942" spans="1:7" x14ac:dyDescent="0.3">
      <c r="A2942" t="s">
        <v>62</v>
      </c>
      <c r="B2942" t="s">
        <v>23</v>
      </c>
      <c r="C2942" t="s">
        <v>15</v>
      </c>
      <c r="D2942">
        <v>7</v>
      </c>
      <c r="E2942" t="s">
        <v>57</v>
      </c>
      <c r="F2942" t="s">
        <v>11</v>
      </c>
      <c r="G2942" t="s">
        <v>12</v>
      </c>
    </row>
    <row r="2943" spans="1:7" x14ac:dyDescent="0.3">
      <c r="A2943" t="s">
        <v>62</v>
      </c>
      <c r="B2943" t="s">
        <v>23</v>
      </c>
      <c r="C2943" t="s">
        <v>16</v>
      </c>
      <c r="D2943">
        <v>57</v>
      </c>
      <c r="E2943" t="s">
        <v>57</v>
      </c>
      <c r="F2943" t="s">
        <v>11</v>
      </c>
      <c r="G2943" t="s">
        <v>12</v>
      </c>
    </row>
    <row r="2944" spans="1:7" x14ac:dyDescent="0.3">
      <c r="A2944" t="s">
        <v>62</v>
      </c>
      <c r="B2944" t="s">
        <v>23</v>
      </c>
      <c r="C2944" t="s">
        <v>17</v>
      </c>
      <c r="D2944">
        <v>13</v>
      </c>
      <c r="E2944" t="s">
        <v>57</v>
      </c>
      <c r="F2944" t="s">
        <v>11</v>
      </c>
      <c r="G2944" t="s">
        <v>12</v>
      </c>
    </row>
    <row r="2945" spans="1:7" x14ac:dyDescent="0.3">
      <c r="A2945" t="s">
        <v>62</v>
      </c>
      <c r="B2945" t="s">
        <v>23</v>
      </c>
      <c r="C2945" t="s">
        <v>18</v>
      </c>
      <c r="D2945">
        <v>0</v>
      </c>
      <c r="E2945" t="s">
        <v>57</v>
      </c>
      <c r="F2945" t="s">
        <v>11</v>
      </c>
      <c r="G2945" t="s">
        <v>12</v>
      </c>
    </row>
    <row r="2946" spans="1:7" x14ac:dyDescent="0.3">
      <c r="A2946" t="s">
        <v>62</v>
      </c>
      <c r="B2946" t="s">
        <v>23</v>
      </c>
      <c r="C2946" t="s">
        <v>19</v>
      </c>
      <c r="D2946">
        <v>22</v>
      </c>
      <c r="E2946" t="s">
        <v>57</v>
      </c>
      <c r="F2946" t="s">
        <v>11</v>
      </c>
      <c r="G2946" t="s">
        <v>12</v>
      </c>
    </row>
    <row r="2947" spans="1:7" x14ac:dyDescent="0.3">
      <c r="A2947" t="s">
        <v>62</v>
      </c>
      <c r="B2947" t="s">
        <v>23</v>
      </c>
      <c r="C2947" t="s">
        <v>20</v>
      </c>
      <c r="D2947">
        <v>7</v>
      </c>
      <c r="E2947" t="s">
        <v>57</v>
      </c>
      <c r="F2947" t="s">
        <v>11</v>
      </c>
      <c r="G2947" t="s">
        <v>12</v>
      </c>
    </row>
    <row r="2948" spans="1:7" x14ac:dyDescent="0.3">
      <c r="A2948" t="s">
        <v>62</v>
      </c>
      <c r="B2948" t="s">
        <v>23</v>
      </c>
      <c r="C2948" t="s">
        <v>21</v>
      </c>
      <c r="D2948">
        <v>3</v>
      </c>
      <c r="E2948" t="s">
        <v>57</v>
      </c>
      <c r="F2948" t="s">
        <v>11</v>
      </c>
      <c r="G2948" t="s">
        <v>12</v>
      </c>
    </row>
    <row r="2949" spans="1:7" x14ac:dyDescent="0.3">
      <c r="A2949" t="s">
        <v>62</v>
      </c>
      <c r="B2949" t="s">
        <v>23</v>
      </c>
      <c r="C2949" t="s">
        <v>22</v>
      </c>
      <c r="D2949">
        <v>580</v>
      </c>
      <c r="E2949" t="s">
        <v>57</v>
      </c>
      <c r="F2949" t="s">
        <v>11</v>
      </c>
      <c r="G2949" t="s">
        <v>12</v>
      </c>
    </row>
    <row r="2950" spans="1:7" x14ac:dyDescent="0.3">
      <c r="A2950" t="s">
        <v>26</v>
      </c>
      <c r="B2950" t="s">
        <v>8</v>
      </c>
      <c r="C2950" t="s">
        <v>9</v>
      </c>
      <c r="D2950">
        <v>0</v>
      </c>
      <c r="E2950" t="s">
        <v>57</v>
      </c>
      <c r="F2950" t="s">
        <v>11</v>
      </c>
      <c r="G2950" t="s">
        <v>12</v>
      </c>
    </row>
    <row r="2951" spans="1:7" x14ac:dyDescent="0.3">
      <c r="A2951" t="s">
        <v>26</v>
      </c>
      <c r="B2951" t="s">
        <v>8</v>
      </c>
      <c r="C2951" t="s">
        <v>13</v>
      </c>
      <c r="D2951">
        <v>0</v>
      </c>
      <c r="E2951" t="s">
        <v>57</v>
      </c>
      <c r="F2951" t="s">
        <v>11</v>
      </c>
      <c r="G2951" t="s">
        <v>12</v>
      </c>
    </row>
    <row r="2952" spans="1:7" x14ac:dyDescent="0.3">
      <c r="A2952" t="s">
        <v>26</v>
      </c>
      <c r="B2952" t="s">
        <v>8</v>
      </c>
      <c r="C2952" t="s">
        <v>14</v>
      </c>
      <c r="D2952">
        <v>0</v>
      </c>
      <c r="E2952" t="s">
        <v>57</v>
      </c>
      <c r="F2952" t="s">
        <v>11</v>
      </c>
      <c r="G2952" t="s">
        <v>12</v>
      </c>
    </row>
    <row r="2953" spans="1:7" x14ac:dyDescent="0.3">
      <c r="A2953" t="s">
        <v>26</v>
      </c>
      <c r="B2953" t="s">
        <v>8</v>
      </c>
      <c r="C2953" t="s">
        <v>15</v>
      </c>
      <c r="D2953">
        <v>0</v>
      </c>
      <c r="E2953" t="s">
        <v>57</v>
      </c>
      <c r="F2953" t="s">
        <v>11</v>
      </c>
      <c r="G2953" t="s">
        <v>12</v>
      </c>
    </row>
    <row r="2954" spans="1:7" x14ac:dyDescent="0.3">
      <c r="A2954" t="s">
        <v>26</v>
      </c>
      <c r="B2954" t="s">
        <v>8</v>
      </c>
      <c r="C2954" t="s">
        <v>16</v>
      </c>
      <c r="D2954">
        <v>0</v>
      </c>
      <c r="E2954" t="s">
        <v>57</v>
      </c>
      <c r="F2954" t="s">
        <v>11</v>
      </c>
      <c r="G2954" t="s">
        <v>12</v>
      </c>
    </row>
    <row r="2955" spans="1:7" x14ac:dyDescent="0.3">
      <c r="A2955" t="s">
        <v>26</v>
      </c>
      <c r="B2955" t="s">
        <v>8</v>
      </c>
      <c r="C2955" t="s">
        <v>17</v>
      </c>
      <c r="D2955">
        <v>0</v>
      </c>
      <c r="E2955" t="s">
        <v>57</v>
      </c>
      <c r="F2955" t="s">
        <v>11</v>
      </c>
      <c r="G2955" t="s">
        <v>12</v>
      </c>
    </row>
    <row r="2956" spans="1:7" x14ac:dyDescent="0.3">
      <c r="A2956" t="s">
        <v>26</v>
      </c>
      <c r="B2956" t="s">
        <v>8</v>
      </c>
      <c r="C2956" t="s">
        <v>18</v>
      </c>
      <c r="D2956">
        <v>0</v>
      </c>
      <c r="E2956" t="s">
        <v>57</v>
      </c>
      <c r="F2956" t="s">
        <v>11</v>
      </c>
      <c r="G2956" t="s">
        <v>12</v>
      </c>
    </row>
    <row r="2957" spans="1:7" x14ac:dyDescent="0.3">
      <c r="A2957" t="s">
        <v>26</v>
      </c>
      <c r="B2957" t="s">
        <v>8</v>
      </c>
      <c r="C2957" t="s">
        <v>19</v>
      </c>
      <c r="D2957">
        <v>0</v>
      </c>
      <c r="E2957" t="s">
        <v>57</v>
      </c>
      <c r="F2957" t="s">
        <v>11</v>
      </c>
      <c r="G2957" t="s">
        <v>12</v>
      </c>
    </row>
    <row r="2958" spans="1:7" x14ac:dyDescent="0.3">
      <c r="A2958" t="s">
        <v>26</v>
      </c>
      <c r="B2958" t="s">
        <v>8</v>
      </c>
      <c r="C2958" t="s">
        <v>20</v>
      </c>
      <c r="D2958">
        <v>0</v>
      </c>
      <c r="E2958" t="s">
        <v>57</v>
      </c>
      <c r="F2958" t="s">
        <v>11</v>
      </c>
      <c r="G2958" t="s">
        <v>12</v>
      </c>
    </row>
    <row r="2959" spans="1:7" x14ac:dyDescent="0.3">
      <c r="A2959" t="s">
        <v>26</v>
      </c>
      <c r="B2959" t="s">
        <v>8</v>
      </c>
      <c r="C2959" t="s">
        <v>21</v>
      </c>
      <c r="D2959">
        <v>0</v>
      </c>
      <c r="E2959" t="s">
        <v>57</v>
      </c>
      <c r="F2959" t="s">
        <v>11</v>
      </c>
      <c r="G2959" t="s">
        <v>12</v>
      </c>
    </row>
    <row r="2960" spans="1:7" x14ac:dyDescent="0.3">
      <c r="A2960" t="s">
        <v>26</v>
      </c>
      <c r="B2960" t="s">
        <v>8</v>
      </c>
      <c r="C2960" t="s">
        <v>22</v>
      </c>
      <c r="D2960">
        <v>4</v>
      </c>
      <c r="E2960" t="s">
        <v>57</v>
      </c>
      <c r="F2960" t="s">
        <v>11</v>
      </c>
      <c r="G2960" t="s">
        <v>12</v>
      </c>
    </row>
    <row r="2961" spans="1:7" x14ac:dyDescent="0.3">
      <c r="A2961" t="s">
        <v>26</v>
      </c>
      <c r="B2961" t="s">
        <v>23</v>
      </c>
      <c r="C2961" t="s">
        <v>9</v>
      </c>
      <c r="D2961">
        <v>0</v>
      </c>
      <c r="E2961" t="s">
        <v>57</v>
      </c>
      <c r="F2961" t="s">
        <v>11</v>
      </c>
      <c r="G2961" t="s">
        <v>12</v>
      </c>
    </row>
    <row r="2962" spans="1:7" x14ac:dyDescent="0.3">
      <c r="A2962" t="s">
        <v>26</v>
      </c>
      <c r="B2962" t="s">
        <v>23</v>
      </c>
      <c r="C2962" t="s">
        <v>13</v>
      </c>
      <c r="D2962">
        <v>13</v>
      </c>
      <c r="E2962" t="s">
        <v>57</v>
      </c>
      <c r="F2962" t="s">
        <v>11</v>
      </c>
      <c r="G2962" t="s">
        <v>12</v>
      </c>
    </row>
    <row r="2963" spans="1:7" x14ac:dyDescent="0.3">
      <c r="A2963" t="s">
        <v>26</v>
      </c>
      <c r="B2963" t="s">
        <v>23</v>
      </c>
      <c r="C2963" t="s">
        <v>14</v>
      </c>
      <c r="D2963">
        <v>10</v>
      </c>
      <c r="E2963" t="s">
        <v>57</v>
      </c>
      <c r="F2963" t="s">
        <v>11</v>
      </c>
      <c r="G2963" t="s">
        <v>12</v>
      </c>
    </row>
    <row r="2964" spans="1:7" x14ac:dyDescent="0.3">
      <c r="A2964" t="s">
        <v>26</v>
      </c>
      <c r="B2964" t="s">
        <v>23</v>
      </c>
      <c r="C2964" t="s">
        <v>15</v>
      </c>
      <c r="D2964">
        <v>0</v>
      </c>
      <c r="E2964" t="s">
        <v>57</v>
      </c>
      <c r="F2964" t="s">
        <v>11</v>
      </c>
      <c r="G2964" t="s">
        <v>12</v>
      </c>
    </row>
    <row r="2965" spans="1:7" x14ac:dyDescent="0.3">
      <c r="A2965" t="s">
        <v>26</v>
      </c>
      <c r="B2965" t="s">
        <v>23</v>
      </c>
      <c r="C2965" t="s">
        <v>16</v>
      </c>
      <c r="D2965">
        <v>5</v>
      </c>
      <c r="E2965" t="s">
        <v>57</v>
      </c>
      <c r="F2965" t="s">
        <v>11</v>
      </c>
      <c r="G2965" t="s">
        <v>12</v>
      </c>
    </row>
    <row r="2966" spans="1:7" x14ac:dyDescent="0.3">
      <c r="A2966" t="s">
        <v>26</v>
      </c>
      <c r="B2966" t="s">
        <v>23</v>
      </c>
      <c r="C2966" t="s">
        <v>17</v>
      </c>
      <c r="D2966">
        <v>1</v>
      </c>
      <c r="E2966" t="s">
        <v>57</v>
      </c>
      <c r="F2966" t="s">
        <v>11</v>
      </c>
      <c r="G2966" t="s">
        <v>12</v>
      </c>
    </row>
    <row r="2967" spans="1:7" x14ac:dyDescent="0.3">
      <c r="A2967" t="s">
        <v>26</v>
      </c>
      <c r="B2967" t="s">
        <v>23</v>
      </c>
      <c r="C2967" t="s">
        <v>18</v>
      </c>
      <c r="D2967">
        <v>0</v>
      </c>
      <c r="E2967" t="s">
        <v>57</v>
      </c>
      <c r="F2967" t="s">
        <v>11</v>
      </c>
      <c r="G2967" t="s">
        <v>12</v>
      </c>
    </row>
    <row r="2968" spans="1:7" x14ac:dyDescent="0.3">
      <c r="A2968" t="s">
        <v>26</v>
      </c>
      <c r="B2968" t="s">
        <v>23</v>
      </c>
      <c r="C2968" t="s">
        <v>19</v>
      </c>
      <c r="D2968">
        <v>2</v>
      </c>
      <c r="E2968" t="s">
        <v>57</v>
      </c>
      <c r="F2968" t="s">
        <v>11</v>
      </c>
      <c r="G2968" t="s">
        <v>12</v>
      </c>
    </row>
    <row r="2969" spans="1:7" x14ac:dyDescent="0.3">
      <c r="A2969" t="s">
        <v>26</v>
      </c>
      <c r="B2969" t="s">
        <v>23</v>
      </c>
      <c r="C2969" t="s">
        <v>20</v>
      </c>
      <c r="D2969">
        <v>0</v>
      </c>
      <c r="E2969" t="s">
        <v>57</v>
      </c>
      <c r="F2969" t="s">
        <v>11</v>
      </c>
      <c r="G2969" t="s">
        <v>12</v>
      </c>
    </row>
    <row r="2970" spans="1:7" x14ac:dyDescent="0.3">
      <c r="A2970" t="s">
        <v>26</v>
      </c>
      <c r="B2970" t="s">
        <v>23</v>
      </c>
      <c r="C2970" t="s">
        <v>21</v>
      </c>
      <c r="D2970">
        <v>0</v>
      </c>
      <c r="E2970" t="s">
        <v>57</v>
      </c>
      <c r="F2970" t="s">
        <v>11</v>
      </c>
      <c r="G2970" t="s">
        <v>12</v>
      </c>
    </row>
    <row r="2971" spans="1:7" x14ac:dyDescent="0.3">
      <c r="A2971" t="s">
        <v>26</v>
      </c>
      <c r="B2971" t="s">
        <v>23</v>
      </c>
      <c r="C2971" t="s">
        <v>22</v>
      </c>
      <c r="D2971">
        <v>48</v>
      </c>
      <c r="E2971" t="s">
        <v>57</v>
      </c>
      <c r="F2971" t="s">
        <v>11</v>
      </c>
      <c r="G2971" t="s">
        <v>12</v>
      </c>
    </row>
    <row r="2972" spans="1:7" x14ac:dyDescent="0.3">
      <c r="A2972" t="s">
        <v>27</v>
      </c>
      <c r="B2972" t="s">
        <v>8</v>
      </c>
      <c r="C2972" t="s">
        <v>9</v>
      </c>
      <c r="D2972">
        <v>2</v>
      </c>
      <c r="E2972" t="s">
        <v>57</v>
      </c>
      <c r="F2972" t="s">
        <v>11</v>
      </c>
      <c r="G2972" t="s">
        <v>12</v>
      </c>
    </row>
    <row r="2973" spans="1:7" x14ac:dyDescent="0.3">
      <c r="A2973" t="s">
        <v>27</v>
      </c>
      <c r="B2973" t="s">
        <v>8</v>
      </c>
      <c r="C2973" t="s">
        <v>13</v>
      </c>
      <c r="D2973">
        <v>0</v>
      </c>
      <c r="E2973" t="s">
        <v>57</v>
      </c>
      <c r="F2973" t="s">
        <v>11</v>
      </c>
      <c r="G2973" t="s">
        <v>12</v>
      </c>
    </row>
    <row r="2974" spans="1:7" x14ac:dyDescent="0.3">
      <c r="A2974" t="s">
        <v>27</v>
      </c>
      <c r="B2974" t="s">
        <v>8</v>
      </c>
      <c r="C2974" t="s">
        <v>14</v>
      </c>
      <c r="D2974">
        <v>108</v>
      </c>
      <c r="E2974" t="s">
        <v>57</v>
      </c>
      <c r="F2974" t="s">
        <v>11</v>
      </c>
      <c r="G2974" t="s">
        <v>12</v>
      </c>
    </row>
    <row r="2975" spans="1:7" x14ac:dyDescent="0.3">
      <c r="A2975" t="s">
        <v>27</v>
      </c>
      <c r="B2975" t="s">
        <v>8</v>
      </c>
      <c r="C2975" t="s">
        <v>15</v>
      </c>
      <c r="D2975">
        <v>0</v>
      </c>
      <c r="E2975" t="s">
        <v>57</v>
      </c>
      <c r="F2975" t="s">
        <v>11</v>
      </c>
      <c r="G2975" t="s">
        <v>12</v>
      </c>
    </row>
    <row r="2976" spans="1:7" x14ac:dyDescent="0.3">
      <c r="A2976" t="s">
        <v>27</v>
      </c>
      <c r="B2976" t="s">
        <v>8</v>
      </c>
      <c r="C2976" t="s">
        <v>16</v>
      </c>
      <c r="D2976">
        <v>710</v>
      </c>
      <c r="E2976" t="s">
        <v>57</v>
      </c>
      <c r="F2976" t="s">
        <v>11</v>
      </c>
      <c r="G2976" t="s">
        <v>12</v>
      </c>
    </row>
    <row r="2977" spans="1:7" x14ac:dyDescent="0.3">
      <c r="A2977" t="s">
        <v>27</v>
      </c>
      <c r="B2977" t="s">
        <v>8</v>
      </c>
      <c r="C2977" t="s">
        <v>17</v>
      </c>
      <c r="D2977">
        <v>90</v>
      </c>
      <c r="E2977" t="s">
        <v>57</v>
      </c>
      <c r="F2977" t="s">
        <v>11</v>
      </c>
      <c r="G2977" t="s">
        <v>12</v>
      </c>
    </row>
    <row r="2978" spans="1:7" x14ac:dyDescent="0.3">
      <c r="A2978" t="s">
        <v>27</v>
      </c>
      <c r="B2978" t="s">
        <v>8</v>
      </c>
      <c r="C2978" t="s">
        <v>18</v>
      </c>
      <c r="D2978">
        <v>0</v>
      </c>
      <c r="E2978" t="s">
        <v>57</v>
      </c>
      <c r="F2978" t="s">
        <v>11</v>
      </c>
      <c r="G2978" t="s">
        <v>12</v>
      </c>
    </row>
    <row r="2979" spans="1:7" x14ac:dyDescent="0.3">
      <c r="A2979" t="s">
        <v>27</v>
      </c>
      <c r="B2979" t="s">
        <v>8</v>
      </c>
      <c r="C2979" t="s">
        <v>19</v>
      </c>
      <c r="D2979">
        <v>0</v>
      </c>
      <c r="E2979" t="s">
        <v>57</v>
      </c>
      <c r="F2979" t="s">
        <v>11</v>
      </c>
      <c r="G2979" t="s">
        <v>12</v>
      </c>
    </row>
    <row r="2980" spans="1:7" x14ac:dyDescent="0.3">
      <c r="A2980" t="s">
        <v>27</v>
      </c>
      <c r="B2980" t="s">
        <v>8</v>
      </c>
      <c r="C2980" t="s">
        <v>20</v>
      </c>
      <c r="D2980">
        <v>0</v>
      </c>
      <c r="E2980" t="s">
        <v>57</v>
      </c>
      <c r="F2980" t="s">
        <v>11</v>
      </c>
      <c r="G2980" t="s">
        <v>12</v>
      </c>
    </row>
    <row r="2981" spans="1:7" x14ac:dyDescent="0.3">
      <c r="A2981" t="s">
        <v>27</v>
      </c>
      <c r="B2981" t="s">
        <v>8</v>
      </c>
      <c r="C2981" t="s">
        <v>21</v>
      </c>
      <c r="D2981">
        <v>0</v>
      </c>
      <c r="E2981" t="s">
        <v>57</v>
      </c>
      <c r="F2981" t="s">
        <v>11</v>
      </c>
      <c r="G2981" t="s">
        <v>12</v>
      </c>
    </row>
    <row r="2982" spans="1:7" x14ac:dyDescent="0.3">
      <c r="A2982" t="s">
        <v>27</v>
      </c>
      <c r="B2982" t="s">
        <v>8</v>
      </c>
      <c r="C2982" t="s">
        <v>22</v>
      </c>
      <c r="D2982">
        <v>14</v>
      </c>
      <c r="E2982" t="s">
        <v>57</v>
      </c>
      <c r="F2982" t="s">
        <v>11</v>
      </c>
      <c r="G2982" t="s">
        <v>12</v>
      </c>
    </row>
    <row r="2983" spans="1:7" x14ac:dyDescent="0.3">
      <c r="A2983" t="s">
        <v>27</v>
      </c>
      <c r="B2983" t="s">
        <v>23</v>
      </c>
      <c r="C2983" t="s">
        <v>9</v>
      </c>
      <c r="D2983">
        <v>8</v>
      </c>
      <c r="E2983" t="s">
        <v>57</v>
      </c>
      <c r="F2983" t="s">
        <v>11</v>
      </c>
      <c r="G2983" t="s">
        <v>12</v>
      </c>
    </row>
    <row r="2984" spans="1:7" x14ac:dyDescent="0.3">
      <c r="A2984" t="s">
        <v>27</v>
      </c>
      <c r="B2984" t="s">
        <v>23</v>
      </c>
      <c r="C2984" t="s">
        <v>13</v>
      </c>
      <c r="D2984">
        <v>43</v>
      </c>
      <c r="E2984" t="s">
        <v>57</v>
      </c>
      <c r="F2984" t="s">
        <v>11</v>
      </c>
      <c r="G2984" t="s">
        <v>12</v>
      </c>
    </row>
    <row r="2985" spans="1:7" x14ac:dyDescent="0.3">
      <c r="A2985" t="s">
        <v>27</v>
      </c>
      <c r="B2985" t="s">
        <v>23</v>
      </c>
      <c r="C2985" t="s">
        <v>14</v>
      </c>
      <c r="D2985">
        <v>824</v>
      </c>
      <c r="E2985" t="s">
        <v>57</v>
      </c>
      <c r="F2985" t="s">
        <v>11</v>
      </c>
      <c r="G2985" t="s">
        <v>12</v>
      </c>
    </row>
    <row r="2986" spans="1:7" x14ac:dyDescent="0.3">
      <c r="A2986" t="s">
        <v>27</v>
      </c>
      <c r="B2986" t="s">
        <v>23</v>
      </c>
      <c r="C2986" t="s">
        <v>15</v>
      </c>
      <c r="D2986">
        <v>7</v>
      </c>
      <c r="E2986" t="s">
        <v>57</v>
      </c>
      <c r="F2986" t="s">
        <v>11</v>
      </c>
      <c r="G2986" t="s">
        <v>12</v>
      </c>
    </row>
    <row r="2987" spans="1:7" x14ac:dyDescent="0.3">
      <c r="A2987" t="s">
        <v>27</v>
      </c>
      <c r="B2987" t="s">
        <v>23</v>
      </c>
      <c r="C2987" t="s">
        <v>16</v>
      </c>
      <c r="D2987">
        <v>2628</v>
      </c>
      <c r="E2987" t="s">
        <v>57</v>
      </c>
      <c r="F2987" t="s">
        <v>11</v>
      </c>
      <c r="G2987" t="s">
        <v>12</v>
      </c>
    </row>
    <row r="2988" spans="1:7" x14ac:dyDescent="0.3">
      <c r="A2988" t="s">
        <v>27</v>
      </c>
      <c r="B2988" t="s">
        <v>23</v>
      </c>
      <c r="C2988" t="s">
        <v>17</v>
      </c>
      <c r="D2988">
        <v>496</v>
      </c>
      <c r="E2988" t="s">
        <v>57</v>
      </c>
      <c r="F2988" t="s">
        <v>11</v>
      </c>
      <c r="G2988" t="s">
        <v>12</v>
      </c>
    </row>
    <row r="2989" spans="1:7" x14ac:dyDescent="0.3">
      <c r="A2989" t="s">
        <v>27</v>
      </c>
      <c r="B2989" t="s">
        <v>23</v>
      </c>
      <c r="C2989" t="s">
        <v>18</v>
      </c>
      <c r="D2989">
        <v>0</v>
      </c>
      <c r="E2989" t="s">
        <v>57</v>
      </c>
      <c r="F2989" t="s">
        <v>11</v>
      </c>
      <c r="G2989" t="s">
        <v>12</v>
      </c>
    </row>
    <row r="2990" spans="1:7" x14ac:dyDescent="0.3">
      <c r="A2990" t="s">
        <v>27</v>
      </c>
      <c r="B2990" t="s">
        <v>23</v>
      </c>
      <c r="C2990" t="s">
        <v>19</v>
      </c>
      <c r="D2990">
        <v>12</v>
      </c>
      <c r="E2990" t="s">
        <v>57</v>
      </c>
      <c r="F2990" t="s">
        <v>11</v>
      </c>
      <c r="G2990" t="s">
        <v>12</v>
      </c>
    </row>
    <row r="2991" spans="1:7" x14ac:dyDescent="0.3">
      <c r="A2991" t="s">
        <v>27</v>
      </c>
      <c r="B2991" t="s">
        <v>23</v>
      </c>
      <c r="C2991" t="s">
        <v>20</v>
      </c>
      <c r="D2991">
        <v>44</v>
      </c>
      <c r="E2991" t="s">
        <v>57</v>
      </c>
      <c r="F2991" t="s">
        <v>11</v>
      </c>
      <c r="G2991" t="s">
        <v>12</v>
      </c>
    </row>
    <row r="2992" spans="1:7" x14ac:dyDescent="0.3">
      <c r="A2992" t="s">
        <v>27</v>
      </c>
      <c r="B2992" t="s">
        <v>23</v>
      </c>
      <c r="C2992" t="s">
        <v>21</v>
      </c>
      <c r="D2992">
        <v>4</v>
      </c>
      <c r="E2992" t="s">
        <v>57</v>
      </c>
      <c r="F2992" t="s">
        <v>11</v>
      </c>
      <c r="G2992" t="s">
        <v>12</v>
      </c>
    </row>
    <row r="2993" spans="1:7" x14ac:dyDescent="0.3">
      <c r="A2993" t="s">
        <v>27</v>
      </c>
      <c r="B2993" t="s">
        <v>23</v>
      </c>
      <c r="C2993" t="s">
        <v>22</v>
      </c>
      <c r="D2993">
        <v>148</v>
      </c>
      <c r="E2993" t="s">
        <v>57</v>
      </c>
      <c r="F2993" t="s">
        <v>11</v>
      </c>
      <c r="G2993" t="s">
        <v>12</v>
      </c>
    </row>
    <row r="2994" spans="1:7" x14ac:dyDescent="0.3">
      <c r="A2994" t="s">
        <v>63</v>
      </c>
      <c r="B2994" t="s">
        <v>8</v>
      </c>
      <c r="C2994" t="s">
        <v>9</v>
      </c>
      <c r="D2994">
        <v>103</v>
      </c>
      <c r="E2994" t="s">
        <v>57</v>
      </c>
      <c r="F2994" t="s">
        <v>11</v>
      </c>
      <c r="G2994" t="s">
        <v>12</v>
      </c>
    </row>
    <row r="2995" spans="1:7" x14ac:dyDescent="0.3">
      <c r="A2995" t="s">
        <v>63</v>
      </c>
      <c r="B2995" t="s">
        <v>8</v>
      </c>
      <c r="C2995" t="s">
        <v>13</v>
      </c>
      <c r="D2995">
        <v>0</v>
      </c>
      <c r="E2995" t="s">
        <v>57</v>
      </c>
      <c r="F2995" t="s">
        <v>11</v>
      </c>
      <c r="G2995" t="s">
        <v>12</v>
      </c>
    </row>
    <row r="2996" spans="1:7" x14ac:dyDescent="0.3">
      <c r="A2996" t="s">
        <v>63</v>
      </c>
      <c r="B2996" t="s">
        <v>8</v>
      </c>
      <c r="C2996" t="s">
        <v>14</v>
      </c>
      <c r="D2996">
        <v>2</v>
      </c>
      <c r="E2996" t="s">
        <v>57</v>
      </c>
      <c r="F2996" t="s">
        <v>11</v>
      </c>
      <c r="G2996" t="s">
        <v>12</v>
      </c>
    </row>
    <row r="2997" spans="1:7" x14ac:dyDescent="0.3">
      <c r="A2997" t="s">
        <v>63</v>
      </c>
      <c r="B2997" t="s">
        <v>8</v>
      </c>
      <c r="C2997" t="s">
        <v>15</v>
      </c>
      <c r="D2997">
        <v>0</v>
      </c>
      <c r="E2997" t="s">
        <v>57</v>
      </c>
      <c r="F2997" t="s">
        <v>11</v>
      </c>
      <c r="G2997" t="s">
        <v>12</v>
      </c>
    </row>
    <row r="2998" spans="1:7" x14ac:dyDescent="0.3">
      <c r="A2998" t="s">
        <v>63</v>
      </c>
      <c r="B2998" t="s">
        <v>8</v>
      </c>
      <c r="C2998" t="s">
        <v>16</v>
      </c>
      <c r="D2998">
        <v>2</v>
      </c>
      <c r="E2998" t="s">
        <v>57</v>
      </c>
      <c r="F2998" t="s">
        <v>11</v>
      </c>
      <c r="G2998" t="s">
        <v>12</v>
      </c>
    </row>
    <row r="2999" spans="1:7" x14ac:dyDescent="0.3">
      <c r="A2999" t="s">
        <v>63</v>
      </c>
      <c r="B2999" t="s">
        <v>8</v>
      </c>
      <c r="C2999" t="s">
        <v>17</v>
      </c>
      <c r="D2999">
        <v>12</v>
      </c>
      <c r="E2999" t="s">
        <v>57</v>
      </c>
      <c r="F2999" t="s">
        <v>11</v>
      </c>
      <c r="G2999" t="s">
        <v>12</v>
      </c>
    </row>
    <row r="3000" spans="1:7" x14ac:dyDescent="0.3">
      <c r="A3000" t="s">
        <v>63</v>
      </c>
      <c r="B3000" t="s">
        <v>8</v>
      </c>
      <c r="C3000" t="s">
        <v>18</v>
      </c>
      <c r="D3000">
        <v>0</v>
      </c>
      <c r="E3000" t="s">
        <v>57</v>
      </c>
      <c r="F3000" t="s">
        <v>11</v>
      </c>
      <c r="G3000" t="s">
        <v>12</v>
      </c>
    </row>
    <row r="3001" spans="1:7" x14ac:dyDescent="0.3">
      <c r="A3001" t="s">
        <v>63</v>
      </c>
      <c r="B3001" t="s">
        <v>8</v>
      </c>
      <c r="C3001" t="s">
        <v>19</v>
      </c>
      <c r="D3001">
        <v>0</v>
      </c>
      <c r="E3001" t="s">
        <v>57</v>
      </c>
      <c r="F3001" t="s">
        <v>11</v>
      </c>
      <c r="G3001" t="s">
        <v>12</v>
      </c>
    </row>
    <row r="3002" spans="1:7" x14ac:dyDescent="0.3">
      <c r="A3002" t="s">
        <v>63</v>
      </c>
      <c r="B3002" t="s">
        <v>8</v>
      </c>
      <c r="C3002" t="s">
        <v>20</v>
      </c>
      <c r="D3002">
        <v>0</v>
      </c>
      <c r="E3002" t="s">
        <v>57</v>
      </c>
      <c r="F3002" t="s">
        <v>11</v>
      </c>
      <c r="G3002" t="s">
        <v>12</v>
      </c>
    </row>
    <row r="3003" spans="1:7" x14ac:dyDescent="0.3">
      <c r="A3003" t="s">
        <v>63</v>
      </c>
      <c r="B3003" t="s">
        <v>8</v>
      </c>
      <c r="C3003" t="s">
        <v>21</v>
      </c>
      <c r="D3003">
        <v>0</v>
      </c>
      <c r="E3003" t="s">
        <v>57</v>
      </c>
      <c r="F3003" t="s">
        <v>11</v>
      </c>
      <c r="G3003" t="s">
        <v>12</v>
      </c>
    </row>
    <row r="3004" spans="1:7" x14ac:dyDescent="0.3">
      <c r="A3004" t="s">
        <v>63</v>
      </c>
      <c r="B3004" t="s">
        <v>8</v>
      </c>
      <c r="C3004" t="s">
        <v>22</v>
      </c>
      <c r="D3004">
        <v>3</v>
      </c>
      <c r="E3004" t="s">
        <v>57</v>
      </c>
      <c r="F3004" t="s">
        <v>11</v>
      </c>
      <c r="G3004" t="s">
        <v>12</v>
      </c>
    </row>
    <row r="3005" spans="1:7" x14ac:dyDescent="0.3">
      <c r="A3005" t="s">
        <v>63</v>
      </c>
      <c r="B3005" t="s">
        <v>23</v>
      </c>
      <c r="C3005" t="s">
        <v>9</v>
      </c>
      <c r="D3005">
        <v>1020</v>
      </c>
      <c r="E3005" t="s">
        <v>57</v>
      </c>
      <c r="F3005" t="s">
        <v>11</v>
      </c>
      <c r="G3005" t="s">
        <v>12</v>
      </c>
    </row>
    <row r="3006" spans="1:7" x14ac:dyDescent="0.3">
      <c r="A3006" t="s">
        <v>63</v>
      </c>
      <c r="B3006" t="s">
        <v>23</v>
      </c>
      <c r="C3006" t="s">
        <v>13</v>
      </c>
      <c r="D3006">
        <v>38</v>
      </c>
      <c r="E3006" t="s">
        <v>57</v>
      </c>
      <c r="F3006" t="s">
        <v>11</v>
      </c>
      <c r="G3006" t="s">
        <v>12</v>
      </c>
    </row>
    <row r="3007" spans="1:7" x14ac:dyDescent="0.3">
      <c r="A3007" t="s">
        <v>63</v>
      </c>
      <c r="B3007" t="s">
        <v>23</v>
      </c>
      <c r="C3007" t="s">
        <v>14</v>
      </c>
      <c r="D3007">
        <v>420</v>
      </c>
      <c r="E3007" t="s">
        <v>57</v>
      </c>
      <c r="F3007" t="s">
        <v>11</v>
      </c>
      <c r="G3007" t="s">
        <v>12</v>
      </c>
    </row>
    <row r="3008" spans="1:7" x14ac:dyDescent="0.3">
      <c r="A3008" t="s">
        <v>63</v>
      </c>
      <c r="B3008" t="s">
        <v>23</v>
      </c>
      <c r="C3008" t="s">
        <v>15</v>
      </c>
      <c r="D3008">
        <v>15</v>
      </c>
      <c r="E3008" t="s">
        <v>57</v>
      </c>
      <c r="F3008" t="s">
        <v>11</v>
      </c>
      <c r="G3008" t="s">
        <v>12</v>
      </c>
    </row>
    <row r="3009" spans="1:7" x14ac:dyDescent="0.3">
      <c r="A3009" t="s">
        <v>63</v>
      </c>
      <c r="B3009" t="s">
        <v>23</v>
      </c>
      <c r="C3009" t="s">
        <v>16</v>
      </c>
      <c r="D3009">
        <v>277</v>
      </c>
      <c r="E3009" t="s">
        <v>57</v>
      </c>
      <c r="F3009" t="s">
        <v>11</v>
      </c>
      <c r="G3009" t="s">
        <v>12</v>
      </c>
    </row>
    <row r="3010" spans="1:7" x14ac:dyDescent="0.3">
      <c r="A3010" t="s">
        <v>63</v>
      </c>
      <c r="B3010" t="s">
        <v>23</v>
      </c>
      <c r="C3010" t="s">
        <v>17</v>
      </c>
      <c r="D3010">
        <v>28</v>
      </c>
      <c r="E3010" t="s">
        <v>57</v>
      </c>
      <c r="F3010" t="s">
        <v>11</v>
      </c>
      <c r="G3010" t="s">
        <v>12</v>
      </c>
    </row>
    <row r="3011" spans="1:7" x14ac:dyDescent="0.3">
      <c r="A3011" t="s">
        <v>63</v>
      </c>
      <c r="B3011" t="s">
        <v>23</v>
      </c>
      <c r="C3011" t="s">
        <v>18</v>
      </c>
      <c r="D3011">
        <v>0</v>
      </c>
      <c r="E3011" t="s">
        <v>57</v>
      </c>
      <c r="F3011" t="s">
        <v>11</v>
      </c>
      <c r="G3011" t="s">
        <v>12</v>
      </c>
    </row>
    <row r="3012" spans="1:7" x14ac:dyDescent="0.3">
      <c r="A3012" t="s">
        <v>63</v>
      </c>
      <c r="B3012" t="s">
        <v>23</v>
      </c>
      <c r="C3012" t="s">
        <v>19</v>
      </c>
      <c r="D3012">
        <v>16</v>
      </c>
      <c r="E3012" t="s">
        <v>57</v>
      </c>
      <c r="F3012" t="s">
        <v>11</v>
      </c>
      <c r="G3012" t="s">
        <v>12</v>
      </c>
    </row>
    <row r="3013" spans="1:7" x14ac:dyDescent="0.3">
      <c r="A3013" t="s">
        <v>63</v>
      </c>
      <c r="B3013" t="s">
        <v>23</v>
      </c>
      <c r="C3013" t="s">
        <v>20</v>
      </c>
      <c r="D3013">
        <v>17</v>
      </c>
      <c r="E3013" t="s">
        <v>57</v>
      </c>
      <c r="F3013" t="s">
        <v>11</v>
      </c>
      <c r="G3013" t="s">
        <v>12</v>
      </c>
    </row>
    <row r="3014" spans="1:7" x14ac:dyDescent="0.3">
      <c r="A3014" t="s">
        <v>63</v>
      </c>
      <c r="B3014" t="s">
        <v>23</v>
      </c>
      <c r="C3014" t="s">
        <v>21</v>
      </c>
      <c r="D3014">
        <v>8</v>
      </c>
      <c r="E3014" t="s">
        <v>57</v>
      </c>
      <c r="F3014" t="s">
        <v>11</v>
      </c>
      <c r="G3014" t="s">
        <v>12</v>
      </c>
    </row>
    <row r="3015" spans="1:7" x14ac:dyDescent="0.3">
      <c r="A3015" t="s">
        <v>63</v>
      </c>
      <c r="B3015" t="s">
        <v>23</v>
      </c>
      <c r="C3015" t="s">
        <v>22</v>
      </c>
      <c r="D3015">
        <v>5</v>
      </c>
      <c r="E3015" t="s">
        <v>57</v>
      </c>
      <c r="F3015" t="s">
        <v>11</v>
      </c>
      <c r="G3015" t="s">
        <v>12</v>
      </c>
    </row>
    <row r="3016" spans="1:7" x14ac:dyDescent="0.3">
      <c r="A3016" t="s">
        <v>52</v>
      </c>
      <c r="B3016" t="s">
        <v>8</v>
      </c>
      <c r="C3016" t="s">
        <v>9</v>
      </c>
      <c r="D3016">
        <v>31</v>
      </c>
      <c r="E3016" t="s">
        <v>57</v>
      </c>
      <c r="F3016" t="s">
        <v>11</v>
      </c>
      <c r="G3016" t="s">
        <v>12</v>
      </c>
    </row>
    <row r="3017" spans="1:7" x14ac:dyDescent="0.3">
      <c r="A3017" t="s">
        <v>52</v>
      </c>
      <c r="B3017" t="s">
        <v>8</v>
      </c>
      <c r="C3017" t="s">
        <v>13</v>
      </c>
      <c r="D3017">
        <v>0</v>
      </c>
      <c r="E3017" t="s">
        <v>57</v>
      </c>
      <c r="F3017" t="s">
        <v>11</v>
      </c>
      <c r="G3017" t="s">
        <v>12</v>
      </c>
    </row>
    <row r="3018" spans="1:7" x14ac:dyDescent="0.3">
      <c r="A3018" t="s">
        <v>52</v>
      </c>
      <c r="B3018" t="s">
        <v>8</v>
      </c>
      <c r="C3018" t="s">
        <v>14</v>
      </c>
      <c r="D3018">
        <v>0</v>
      </c>
      <c r="E3018" t="s">
        <v>57</v>
      </c>
      <c r="F3018" t="s">
        <v>11</v>
      </c>
      <c r="G3018" t="s">
        <v>12</v>
      </c>
    </row>
    <row r="3019" spans="1:7" x14ac:dyDescent="0.3">
      <c r="A3019" t="s">
        <v>52</v>
      </c>
      <c r="B3019" t="s">
        <v>8</v>
      </c>
      <c r="C3019" t="s">
        <v>15</v>
      </c>
      <c r="D3019">
        <v>0</v>
      </c>
      <c r="E3019" t="s">
        <v>57</v>
      </c>
      <c r="F3019" t="s">
        <v>11</v>
      </c>
      <c r="G3019" t="s">
        <v>12</v>
      </c>
    </row>
    <row r="3020" spans="1:7" x14ac:dyDescent="0.3">
      <c r="A3020" t="s">
        <v>52</v>
      </c>
      <c r="B3020" t="s">
        <v>8</v>
      </c>
      <c r="C3020" t="s">
        <v>16</v>
      </c>
      <c r="D3020">
        <v>0</v>
      </c>
      <c r="E3020" t="s">
        <v>57</v>
      </c>
      <c r="F3020" t="s">
        <v>11</v>
      </c>
      <c r="G3020" t="s">
        <v>12</v>
      </c>
    </row>
    <row r="3021" spans="1:7" x14ac:dyDescent="0.3">
      <c r="A3021" t="s">
        <v>52</v>
      </c>
      <c r="B3021" t="s">
        <v>8</v>
      </c>
      <c r="C3021" t="s">
        <v>17</v>
      </c>
      <c r="D3021">
        <v>3</v>
      </c>
      <c r="E3021" t="s">
        <v>57</v>
      </c>
      <c r="F3021" t="s">
        <v>11</v>
      </c>
      <c r="G3021" t="s">
        <v>12</v>
      </c>
    </row>
    <row r="3022" spans="1:7" x14ac:dyDescent="0.3">
      <c r="A3022" t="s">
        <v>52</v>
      </c>
      <c r="B3022" t="s">
        <v>8</v>
      </c>
      <c r="C3022" t="s">
        <v>18</v>
      </c>
      <c r="D3022">
        <v>0</v>
      </c>
      <c r="E3022" t="s">
        <v>57</v>
      </c>
      <c r="F3022" t="s">
        <v>11</v>
      </c>
      <c r="G3022" t="s">
        <v>12</v>
      </c>
    </row>
    <row r="3023" spans="1:7" x14ac:dyDescent="0.3">
      <c r="A3023" t="s">
        <v>52</v>
      </c>
      <c r="B3023" t="s">
        <v>8</v>
      </c>
      <c r="C3023" t="s">
        <v>19</v>
      </c>
      <c r="D3023">
        <v>0</v>
      </c>
      <c r="E3023" t="s">
        <v>57</v>
      </c>
      <c r="F3023" t="s">
        <v>11</v>
      </c>
      <c r="G3023" t="s">
        <v>12</v>
      </c>
    </row>
    <row r="3024" spans="1:7" x14ac:dyDescent="0.3">
      <c r="A3024" t="s">
        <v>52</v>
      </c>
      <c r="B3024" t="s">
        <v>8</v>
      </c>
      <c r="C3024" t="s">
        <v>20</v>
      </c>
      <c r="D3024">
        <v>0</v>
      </c>
      <c r="E3024" t="s">
        <v>57</v>
      </c>
      <c r="F3024" t="s">
        <v>11</v>
      </c>
      <c r="G3024" t="s">
        <v>12</v>
      </c>
    </row>
    <row r="3025" spans="1:7" x14ac:dyDescent="0.3">
      <c r="A3025" t="s">
        <v>52</v>
      </c>
      <c r="B3025" t="s">
        <v>8</v>
      </c>
      <c r="C3025" t="s">
        <v>21</v>
      </c>
      <c r="D3025">
        <v>0</v>
      </c>
      <c r="E3025" t="s">
        <v>57</v>
      </c>
      <c r="F3025" t="s">
        <v>11</v>
      </c>
      <c r="G3025" t="s">
        <v>12</v>
      </c>
    </row>
    <row r="3026" spans="1:7" x14ac:dyDescent="0.3">
      <c r="A3026" t="s">
        <v>52</v>
      </c>
      <c r="B3026" t="s">
        <v>8</v>
      </c>
      <c r="C3026" t="s">
        <v>22</v>
      </c>
      <c r="D3026">
        <v>0</v>
      </c>
      <c r="E3026" t="s">
        <v>57</v>
      </c>
      <c r="F3026" t="s">
        <v>11</v>
      </c>
      <c r="G3026" t="s">
        <v>12</v>
      </c>
    </row>
    <row r="3027" spans="1:7" x14ac:dyDescent="0.3">
      <c r="A3027" t="s">
        <v>52</v>
      </c>
      <c r="B3027" t="s">
        <v>23</v>
      </c>
      <c r="C3027" t="s">
        <v>9</v>
      </c>
      <c r="D3027">
        <v>304</v>
      </c>
      <c r="E3027" t="s">
        <v>57</v>
      </c>
      <c r="F3027" t="s">
        <v>11</v>
      </c>
      <c r="G3027" t="s">
        <v>12</v>
      </c>
    </row>
    <row r="3028" spans="1:7" x14ac:dyDescent="0.3">
      <c r="A3028" t="s">
        <v>52</v>
      </c>
      <c r="B3028" t="s">
        <v>23</v>
      </c>
      <c r="C3028" t="s">
        <v>13</v>
      </c>
      <c r="D3028">
        <v>11</v>
      </c>
      <c r="E3028" t="s">
        <v>57</v>
      </c>
      <c r="F3028" t="s">
        <v>11</v>
      </c>
      <c r="G3028" t="s">
        <v>12</v>
      </c>
    </row>
    <row r="3029" spans="1:7" x14ac:dyDescent="0.3">
      <c r="A3029" t="s">
        <v>52</v>
      </c>
      <c r="B3029" t="s">
        <v>23</v>
      </c>
      <c r="C3029" t="s">
        <v>14</v>
      </c>
      <c r="D3029">
        <v>125</v>
      </c>
      <c r="E3029" t="s">
        <v>57</v>
      </c>
      <c r="F3029" t="s">
        <v>11</v>
      </c>
      <c r="G3029" t="s">
        <v>12</v>
      </c>
    </row>
    <row r="3030" spans="1:7" x14ac:dyDescent="0.3">
      <c r="A3030" t="s">
        <v>52</v>
      </c>
      <c r="B3030" t="s">
        <v>23</v>
      </c>
      <c r="C3030" t="s">
        <v>15</v>
      </c>
      <c r="D3030">
        <v>5</v>
      </c>
      <c r="E3030" t="s">
        <v>57</v>
      </c>
      <c r="F3030" t="s">
        <v>11</v>
      </c>
      <c r="G3030" t="s">
        <v>12</v>
      </c>
    </row>
    <row r="3031" spans="1:7" x14ac:dyDescent="0.3">
      <c r="A3031" t="s">
        <v>52</v>
      </c>
      <c r="B3031" t="s">
        <v>23</v>
      </c>
      <c r="C3031" t="s">
        <v>16</v>
      </c>
      <c r="D3031">
        <v>83</v>
      </c>
      <c r="E3031" t="s">
        <v>57</v>
      </c>
      <c r="F3031" t="s">
        <v>11</v>
      </c>
      <c r="G3031" t="s">
        <v>12</v>
      </c>
    </row>
    <row r="3032" spans="1:7" x14ac:dyDescent="0.3">
      <c r="A3032" t="s">
        <v>52</v>
      </c>
      <c r="B3032" t="s">
        <v>23</v>
      </c>
      <c r="C3032" t="s">
        <v>17</v>
      </c>
      <c r="D3032">
        <v>9</v>
      </c>
      <c r="E3032" t="s">
        <v>57</v>
      </c>
      <c r="F3032" t="s">
        <v>11</v>
      </c>
      <c r="G3032" t="s">
        <v>12</v>
      </c>
    </row>
    <row r="3033" spans="1:7" x14ac:dyDescent="0.3">
      <c r="A3033" t="s">
        <v>52</v>
      </c>
      <c r="B3033" t="s">
        <v>23</v>
      </c>
      <c r="C3033" t="s">
        <v>18</v>
      </c>
      <c r="D3033">
        <v>0</v>
      </c>
      <c r="E3033" t="s">
        <v>57</v>
      </c>
      <c r="F3033" t="s">
        <v>11</v>
      </c>
      <c r="G3033" t="s">
        <v>12</v>
      </c>
    </row>
    <row r="3034" spans="1:7" x14ac:dyDescent="0.3">
      <c r="A3034" t="s">
        <v>52</v>
      </c>
      <c r="B3034" t="s">
        <v>23</v>
      </c>
      <c r="C3034" t="s">
        <v>19</v>
      </c>
      <c r="D3034">
        <v>5</v>
      </c>
      <c r="E3034" t="s">
        <v>57</v>
      </c>
      <c r="F3034" t="s">
        <v>11</v>
      </c>
      <c r="G3034" t="s">
        <v>12</v>
      </c>
    </row>
    <row r="3035" spans="1:7" x14ac:dyDescent="0.3">
      <c r="A3035" t="s">
        <v>52</v>
      </c>
      <c r="B3035" t="s">
        <v>23</v>
      </c>
      <c r="C3035" t="s">
        <v>20</v>
      </c>
      <c r="D3035">
        <v>5</v>
      </c>
      <c r="E3035" t="s">
        <v>57</v>
      </c>
      <c r="F3035" t="s">
        <v>11</v>
      </c>
      <c r="G3035" t="s">
        <v>12</v>
      </c>
    </row>
    <row r="3036" spans="1:7" x14ac:dyDescent="0.3">
      <c r="A3036" t="s">
        <v>52</v>
      </c>
      <c r="B3036" t="s">
        <v>23</v>
      </c>
      <c r="C3036" t="s">
        <v>21</v>
      </c>
      <c r="D3036">
        <v>2</v>
      </c>
      <c r="E3036" t="s">
        <v>57</v>
      </c>
      <c r="F3036" t="s">
        <v>11</v>
      </c>
      <c r="G3036" t="s">
        <v>12</v>
      </c>
    </row>
    <row r="3037" spans="1:7" x14ac:dyDescent="0.3">
      <c r="A3037" t="s">
        <v>52</v>
      </c>
      <c r="B3037" t="s">
        <v>23</v>
      </c>
      <c r="C3037" t="s">
        <v>22</v>
      </c>
      <c r="D3037">
        <v>1</v>
      </c>
      <c r="E3037" t="s">
        <v>57</v>
      </c>
      <c r="F3037" t="s">
        <v>11</v>
      </c>
      <c r="G3037" t="s">
        <v>12</v>
      </c>
    </row>
    <row r="3038" spans="1:7" x14ac:dyDescent="0.3">
      <c r="A3038" t="s">
        <v>64</v>
      </c>
      <c r="B3038" t="s">
        <v>8</v>
      </c>
      <c r="C3038" t="s">
        <v>9</v>
      </c>
      <c r="D3038">
        <v>0</v>
      </c>
      <c r="E3038" t="s">
        <v>57</v>
      </c>
      <c r="F3038" t="s">
        <v>11</v>
      </c>
      <c r="G3038" t="s">
        <v>12</v>
      </c>
    </row>
    <row r="3039" spans="1:7" x14ac:dyDescent="0.3">
      <c r="A3039" t="s">
        <v>64</v>
      </c>
      <c r="B3039" t="s">
        <v>8</v>
      </c>
      <c r="C3039" t="s">
        <v>13</v>
      </c>
      <c r="D3039">
        <v>0</v>
      </c>
      <c r="E3039" t="s">
        <v>57</v>
      </c>
      <c r="F3039" t="s">
        <v>11</v>
      </c>
      <c r="G3039" t="s">
        <v>12</v>
      </c>
    </row>
    <row r="3040" spans="1:7" x14ac:dyDescent="0.3">
      <c r="A3040" t="s">
        <v>64</v>
      </c>
      <c r="B3040" t="s">
        <v>8</v>
      </c>
      <c r="C3040" t="s">
        <v>14</v>
      </c>
      <c r="D3040">
        <v>5</v>
      </c>
      <c r="E3040" t="s">
        <v>57</v>
      </c>
      <c r="F3040" t="s">
        <v>11</v>
      </c>
      <c r="G3040" t="s">
        <v>12</v>
      </c>
    </row>
    <row r="3041" spans="1:7" x14ac:dyDescent="0.3">
      <c r="A3041" t="s">
        <v>64</v>
      </c>
      <c r="B3041" t="s">
        <v>8</v>
      </c>
      <c r="C3041" t="s">
        <v>15</v>
      </c>
      <c r="D3041">
        <v>0</v>
      </c>
      <c r="E3041" t="s">
        <v>57</v>
      </c>
      <c r="F3041" t="s">
        <v>11</v>
      </c>
      <c r="G3041" t="s">
        <v>12</v>
      </c>
    </row>
    <row r="3042" spans="1:7" x14ac:dyDescent="0.3">
      <c r="A3042" t="s">
        <v>64</v>
      </c>
      <c r="B3042" t="s">
        <v>8</v>
      </c>
      <c r="C3042" t="s">
        <v>16</v>
      </c>
      <c r="D3042">
        <v>158</v>
      </c>
      <c r="E3042" t="s">
        <v>57</v>
      </c>
      <c r="F3042" t="s">
        <v>11</v>
      </c>
      <c r="G3042" t="s">
        <v>12</v>
      </c>
    </row>
    <row r="3043" spans="1:7" x14ac:dyDescent="0.3">
      <c r="A3043" t="s">
        <v>64</v>
      </c>
      <c r="B3043" t="s">
        <v>8</v>
      </c>
      <c r="C3043" t="s">
        <v>17</v>
      </c>
      <c r="D3043">
        <v>4</v>
      </c>
      <c r="E3043" t="s">
        <v>57</v>
      </c>
      <c r="F3043" t="s">
        <v>11</v>
      </c>
      <c r="G3043" t="s">
        <v>12</v>
      </c>
    </row>
    <row r="3044" spans="1:7" x14ac:dyDescent="0.3">
      <c r="A3044" t="s">
        <v>64</v>
      </c>
      <c r="B3044" t="s">
        <v>8</v>
      </c>
      <c r="C3044" t="s">
        <v>18</v>
      </c>
      <c r="D3044">
        <v>0</v>
      </c>
      <c r="E3044" t="s">
        <v>57</v>
      </c>
      <c r="F3044" t="s">
        <v>11</v>
      </c>
      <c r="G3044" t="s">
        <v>12</v>
      </c>
    </row>
    <row r="3045" spans="1:7" x14ac:dyDescent="0.3">
      <c r="A3045" t="s">
        <v>64</v>
      </c>
      <c r="B3045" t="s">
        <v>8</v>
      </c>
      <c r="C3045" t="s">
        <v>19</v>
      </c>
      <c r="D3045">
        <v>0</v>
      </c>
      <c r="E3045" t="s">
        <v>57</v>
      </c>
      <c r="F3045" t="s">
        <v>11</v>
      </c>
      <c r="G3045" t="s">
        <v>12</v>
      </c>
    </row>
    <row r="3046" spans="1:7" x14ac:dyDescent="0.3">
      <c r="A3046" t="s">
        <v>64</v>
      </c>
      <c r="B3046" t="s">
        <v>8</v>
      </c>
      <c r="C3046" t="s">
        <v>20</v>
      </c>
      <c r="D3046">
        <v>0</v>
      </c>
      <c r="E3046" t="s">
        <v>57</v>
      </c>
      <c r="F3046" t="s">
        <v>11</v>
      </c>
      <c r="G3046" t="s">
        <v>12</v>
      </c>
    </row>
    <row r="3047" spans="1:7" x14ac:dyDescent="0.3">
      <c r="A3047" t="s">
        <v>64</v>
      </c>
      <c r="B3047" t="s">
        <v>8</v>
      </c>
      <c r="C3047" t="s">
        <v>21</v>
      </c>
      <c r="D3047">
        <v>0</v>
      </c>
      <c r="E3047" t="s">
        <v>57</v>
      </c>
      <c r="F3047" t="s">
        <v>11</v>
      </c>
      <c r="G3047" t="s">
        <v>12</v>
      </c>
    </row>
    <row r="3048" spans="1:7" x14ac:dyDescent="0.3">
      <c r="A3048" t="s">
        <v>64</v>
      </c>
      <c r="B3048" t="s">
        <v>8</v>
      </c>
      <c r="C3048" t="s">
        <v>22</v>
      </c>
      <c r="D3048">
        <v>0</v>
      </c>
      <c r="E3048" t="s">
        <v>57</v>
      </c>
      <c r="F3048" t="s">
        <v>11</v>
      </c>
      <c r="G3048" t="s">
        <v>12</v>
      </c>
    </row>
    <row r="3049" spans="1:7" x14ac:dyDescent="0.3">
      <c r="A3049" t="s">
        <v>64</v>
      </c>
      <c r="B3049" t="s">
        <v>23</v>
      </c>
      <c r="C3049" t="s">
        <v>9</v>
      </c>
      <c r="D3049">
        <v>0</v>
      </c>
      <c r="E3049" t="s">
        <v>57</v>
      </c>
      <c r="F3049" t="s">
        <v>11</v>
      </c>
      <c r="G3049" t="s">
        <v>12</v>
      </c>
    </row>
    <row r="3050" spans="1:7" x14ac:dyDescent="0.3">
      <c r="A3050" t="s">
        <v>64</v>
      </c>
      <c r="B3050" t="s">
        <v>23</v>
      </c>
      <c r="C3050" t="s">
        <v>13</v>
      </c>
      <c r="D3050">
        <v>0</v>
      </c>
      <c r="E3050" t="s">
        <v>57</v>
      </c>
      <c r="F3050" t="s">
        <v>11</v>
      </c>
      <c r="G3050" t="s">
        <v>12</v>
      </c>
    </row>
    <row r="3051" spans="1:7" x14ac:dyDescent="0.3">
      <c r="A3051" t="s">
        <v>64</v>
      </c>
      <c r="B3051" t="s">
        <v>23</v>
      </c>
      <c r="C3051" t="s">
        <v>14</v>
      </c>
      <c r="D3051">
        <v>2</v>
      </c>
      <c r="E3051" t="s">
        <v>57</v>
      </c>
      <c r="F3051" t="s">
        <v>11</v>
      </c>
      <c r="G3051" t="s">
        <v>12</v>
      </c>
    </row>
    <row r="3052" spans="1:7" x14ac:dyDescent="0.3">
      <c r="A3052" t="s">
        <v>64</v>
      </c>
      <c r="B3052" t="s">
        <v>23</v>
      </c>
      <c r="C3052" t="s">
        <v>15</v>
      </c>
      <c r="D3052">
        <v>0</v>
      </c>
      <c r="E3052" t="s">
        <v>57</v>
      </c>
      <c r="F3052" t="s">
        <v>11</v>
      </c>
      <c r="G3052" t="s">
        <v>12</v>
      </c>
    </row>
    <row r="3053" spans="1:7" x14ac:dyDescent="0.3">
      <c r="A3053" t="s">
        <v>64</v>
      </c>
      <c r="B3053" t="s">
        <v>23</v>
      </c>
      <c r="C3053" t="s">
        <v>16</v>
      </c>
      <c r="D3053">
        <v>558</v>
      </c>
      <c r="E3053" t="s">
        <v>57</v>
      </c>
      <c r="F3053" t="s">
        <v>11</v>
      </c>
      <c r="G3053" t="s">
        <v>12</v>
      </c>
    </row>
    <row r="3054" spans="1:7" x14ac:dyDescent="0.3">
      <c r="A3054" t="s">
        <v>64</v>
      </c>
      <c r="B3054" t="s">
        <v>23</v>
      </c>
      <c r="C3054" t="s">
        <v>17</v>
      </c>
      <c r="D3054">
        <v>0</v>
      </c>
      <c r="E3054" t="s">
        <v>57</v>
      </c>
      <c r="F3054" t="s">
        <v>11</v>
      </c>
      <c r="G3054" t="s">
        <v>12</v>
      </c>
    </row>
    <row r="3055" spans="1:7" x14ac:dyDescent="0.3">
      <c r="A3055" t="s">
        <v>64</v>
      </c>
      <c r="B3055" t="s">
        <v>23</v>
      </c>
      <c r="C3055" t="s">
        <v>18</v>
      </c>
      <c r="D3055">
        <v>0</v>
      </c>
      <c r="E3055" t="s">
        <v>57</v>
      </c>
      <c r="F3055" t="s">
        <v>11</v>
      </c>
      <c r="G3055" t="s">
        <v>12</v>
      </c>
    </row>
    <row r="3056" spans="1:7" x14ac:dyDescent="0.3">
      <c r="A3056" t="s">
        <v>64</v>
      </c>
      <c r="B3056" t="s">
        <v>23</v>
      </c>
      <c r="C3056" t="s">
        <v>19</v>
      </c>
      <c r="D3056">
        <v>0</v>
      </c>
      <c r="E3056" t="s">
        <v>57</v>
      </c>
      <c r="F3056" t="s">
        <v>11</v>
      </c>
      <c r="G3056" t="s">
        <v>12</v>
      </c>
    </row>
    <row r="3057" spans="1:7" x14ac:dyDescent="0.3">
      <c r="A3057" t="s">
        <v>64</v>
      </c>
      <c r="B3057" t="s">
        <v>23</v>
      </c>
      <c r="C3057" t="s">
        <v>20</v>
      </c>
      <c r="D3057">
        <v>9</v>
      </c>
      <c r="E3057" t="s">
        <v>57</v>
      </c>
      <c r="F3057" t="s">
        <v>11</v>
      </c>
      <c r="G3057" t="s">
        <v>12</v>
      </c>
    </row>
    <row r="3058" spans="1:7" x14ac:dyDescent="0.3">
      <c r="A3058" t="s">
        <v>64</v>
      </c>
      <c r="B3058" t="s">
        <v>23</v>
      </c>
      <c r="C3058" t="s">
        <v>21</v>
      </c>
      <c r="D3058">
        <v>0</v>
      </c>
      <c r="E3058" t="s">
        <v>57</v>
      </c>
      <c r="F3058" t="s">
        <v>11</v>
      </c>
      <c r="G3058" t="s">
        <v>12</v>
      </c>
    </row>
    <row r="3059" spans="1:7" x14ac:dyDescent="0.3">
      <c r="A3059" t="s">
        <v>64</v>
      </c>
      <c r="B3059" t="s">
        <v>23</v>
      </c>
      <c r="C3059" t="s">
        <v>22</v>
      </c>
      <c r="D3059">
        <v>1</v>
      </c>
      <c r="E3059" t="s">
        <v>57</v>
      </c>
      <c r="F3059" t="s">
        <v>11</v>
      </c>
      <c r="G3059" t="s">
        <v>12</v>
      </c>
    </row>
    <row r="3060" spans="1:7" x14ac:dyDescent="0.3">
      <c r="A3060" t="s">
        <v>32</v>
      </c>
      <c r="B3060" t="s">
        <v>8</v>
      </c>
      <c r="C3060" t="s">
        <v>9</v>
      </c>
      <c r="D3060">
        <v>0</v>
      </c>
      <c r="E3060" t="s">
        <v>57</v>
      </c>
      <c r="F3060" t="s">
        <v>11</v>
      </c>
      <c r="G3060" t="s">
        <v>12</v>
      </c>
    </row>
    <row r="3061" spans="1:7" x14ac:dyDescent="0.3">
      <c r="A3061" t="s">
        <v>32</v>
      </c>
      <c r="B3061" t="s">
        <v>8</v>
      </c>
      <c r="C3061" t="s">
        <v>13</v>
      </c>
      <c r="D3061">
        <v>2</v>
      </c>
      <c r="E3061" t="s">
        <v>57</v>
      </c>
      <c r="F3061" t="s">
        <v>11</v>
      </c>
      <c r="G3061" t="s">
        <v>12</v>
      </c>
    </row>
    <row r="3062" spans="1:7" x14ac:dyDescent="0.3">
      <c r="A3062" t="s">
        <v>32</v>
      </c>
      <c r="B3062" t="s">
        <v>8</v>
      </c>
      <c r="C3062" t="s">
        <v>14</v>
      </c>
      <c r="D3062">
        <v>2</v>
      </c>
      <c r="E3062" t="s">
        <v>57</v>
      </c>
      <c r="F3062" t="s">
        <v>11</v>
      </c>
      <c r="G3062" t="s">
        <v>12</v>
      </c>
    </row>
    <row r="3063" spans="1:7" x14ac:dyDescent="0.3">
      <c r="A3063" t="s">
        <v>32</v>
      </c>
      <c r="B3063" t="s">
        <v>8</v>
      </c>
      <c r="C3063" t="s">
        <v>15</v>
      </c>
      <c r="D3063">
        <v>0</v>
      </c>
      <c r="E3063" t="s">
        <v>57</v>
      </c>
      <c r="F3063" t="s">
        <v>11</v>
      </c>
      <c r="G3063" t="s">
        <v>12</v>
      </c>
    </row>
    <row r="3064" spans="1:7" x14ac:dyDescent="0.3">
      <c r="A3064" t="s">
        <v>32</v>
      </c>
      <c r="B3064" t="s">
        <v>8</v>
      </c>
      <c r="C3064" t="s">
        <v>16</v>
      </c>
      <c r="D3064">
        <v>5</v>
      </c>
      <c r="E3064" t="s">
        <v>57</v>
      </c>
      <c r="F3064" t="s">
        <v>11</v>
      </c>
      <c r="G3064" t="s">
        <v>12</v>
      </c>
    </row>
    <row r="3065" spans="1:7" x14ac:dyDescent="0.3">
      <c r="A3065" t="s">
        <v>32</v>
      </c>
      <c r="B3065" t="s">
        <v>8</v>
      </c>
      <c r="C3065" t="s">
        <v>17</v>
      </c>
      <c r="D3065">
        <v>1</v>
      </c>
      <c r="E3065" t="s">
        <v>57</v>
      </c>
      <c r="F3065" t="s">
        <v>11</v>
      </c>
      <c r="G3065" t="s">
        <v>12</v>
      </c>
    </row>
    <row r="3066" spans="1:7" x14ac:dyDescent="0.3">
      <c r="A3066" t="s">
        <v>32</v>
      </c>
      <c r="B3066" t="s">
        <v>8</v>
      </c>
      <c r="C3066" t="s">
        <v>18</v>
      </c>
      <c r="D3066">
        <v>0</v>
      </c>
      <c r="E3066" t="s">
        <v>57</v>
      </c>
      <c r="F3066" t="s">
        <v>11</v>
      </c>
      <c r="G3066" t="s">
        <v>12</v>
      </c>
    </row>
    <row r="3067" spans="1:7" x14ac:dyDescent="0.3">
      <c r="A3067" t="s">
        <v>32</v>
      </c>
      <c r="B3067" t="s">
        <v>8</v>
      </c>
      <c r="C3067" t="s">
        <v>19</v>
      </c>
      <c r="D3067">
        <v>0</v>
      </c>
      <c r="E3067" t="s">
        <v>57</v>
      </c>
      <c r="F3067" t="s">
        <v>11</v>
      </c>
      <c r="G3067" t="s">
        <v>12</v>
      </c>
    </row>
    <row r="3068" spans="1:7" x14ac:dyDescent="0.3">
      <c r="A3068" t="s">
        <v>32</v>
      </c>
      <c r="B3068" t="s">
        <v>8</v>
      </c>
      <c r="C3068" t="s">
        <v>20</v>
      </c>
      <c r="D3068">
        <v>0</v>
      </c>
      <c r="E3068" t="s">
        <v>57</v>
      </c>
      <c r="F3068" t="s">
        <v>11</v>
      </c>
      <c r="G3068" t="s">
        <v>12</v>
      </c>
    </row>
    <row r="3069" spans="1:7" x14ac:dyDescent="0.3">
      <c r="A3069" t="s">
        <v>32</v>
      </c>
      <c r="B3069" t="s">
        <v>8</v>
      </c>
      <c r="C3069" t="s">
        <v>21</v>
      </c>
      <c r="D3069">
        <v>2</v>
      </c>
      <c r="E3069" t="s">
        <v>57</v>
      </c>
      <c r="F3069" t="s">
        <v>11</v>
      </c>
      <c r="G3069" t="s">
        <v>12</v>
      </c>
    </row>
    <row r="3070" spans="1:7" x14ac:dyDescent="0.3">
      <c r="A3070" t="s">
        <v>32</v>
      </c>
      <c r="B3070" t="s">
        <v>8</v>
      </c>
      <c r="C3070" t="s">
        <v>22</v>
      </c>
      <c r="D3070">
        <v>105</v>
      </c>
      <c r="E3070" t="s">
        <v>57</v>
      </c>
      <c r="F3070" t="s">
        <v>11</v>
      </c>
      <c r="G3070" t="s">
        <v>12</v>
      </c>
    </row>
    <row r="3071" spans="1:7" x14ac:dyDescent="0.3">
      <c r="A3071" t="s">
        <v>32</v>
      </c>
      <c r="B3071" t="s">
        <v>23</v>
      </c>
      <c r="C3071" t="s">
        <v>9</v>
      </c>
      <c r="D3071">
        <v>19</v>
      </c>
      <c r="E3071" t="s">
        <v>57</v>
      </c>
      <c r="F3071" t="s">
        <v>11</v>
      </c>
      <c r="G3071" t="s">
        <v>12</v>
      </c>
    </row>
    <row r="3072" spans="1:7" x14ac:dyDescent="0.3">
      <c r="A3072" t="s">
        <v>32</v>
      </c>
      <c r="B3072" t="s">
        <v>23</v>
      </c>
      <c r="C3072" t="s">
        <v>13</v>
      </c>
      <c r="D3072">
        <v>323</v>
      </c>
      <c r="E3072" t="s">
        <v>57</v>
      </c>
      <c r="F3072" t="s">
        <v>11</v>
      </c>
      <c r="G3072" t="s">
        <v>12</v>
      </c>
    </row>
    <row r="3073" spans="1:7" x14ac:dyDescent="0.3">
      <c r="A3073" t="s">
        <v>32</v>
      </c>
      <c r="B3073" t="s">
        <v>23</v>
      </c>
      <c r="C3073" t="s">
        <v>14</v>
      </c>
      <c r="D3073">
        <v>253</v>
      </c>
      <c r="E3073" t="s">
        <v>57</v>
      </c>
      <c r="F3073" t="s">
        <v>11</v>
      </c>
      <c r="G3073" t="s">
        <v>12</v>
      </c>
    </row>
    <row r="3074" spans="1:7" x14ac:dyDescent="0.3">
      <c r="A3074" t="s">
        <v>32</v>
      </c>
      <c r="B3074" t="s">
        <v>23</v>
      </c>
      <c r="C3074" t="s">
        <v>15</v>
      </c>
      <c r="D3074">
        <v>16</v>
      </c>
      <c r="E3074" t="s">
        <v>57</v>
      </c>
      <c r="F3074" t="s">
        <v>11</v>
      </c>
      <c r="G3074" t="s">
        <v>12</v>
      </c>
    </row>
    <row r="3075" spans="1:7" x14ac:dyDescent="0.3">
      <c r="A3075" t="s">
        <v>32</v>
      </c>
      <c r="B3075" t="s">
        <v>23</v>
      </c>
      <c r="C3075" t="s">
        <v>16</v>
      </c>
      <c r="D3075">
        <v>119</v>
      </c>
      <c r="E3075" t="s">
        <v>57</v>
      </c>
      <c r="F3075" t="s">
        <v>11</v>
      </c>
      <c r="G3075" t="s">
        <v>12</v>
      </c>
    </row>
    <row r="3076" spans="1:7" x14ac:dyDescent="0.3">
      <c r="A3076" t="s">
        <v>32</v>
      </c>
      <c r="B3076" t="s">
        <v>23</v>
      </c>
      <c r="C3076" t="s">
        <v>17</v>
      </c>
      <c r="D3076">
        <v>26</v>
      </c>
      <c r="E3076" t="s">
        <v>57</v>
      </c>
      <c r="F3076" t="s">
        <v>11</v>
      </c>
      <c r="G3076" t="s">
        <v>12</v>
      </c>
    </row>
    <row r="3077" spans="1:7" x14ac:dyDescent="0.3">
      <c r="A3077" t="s">
        <v>32</v>
      </c>
      <c r="B3077" t="s">
        <v>23</v>
      </c>
      <c r="C3077" t="s">
        <v>18</v>
      </c>
      <c r="D3077">
        <v>0</v>
      </c>
      <c r="E3077" t="s">
        <v>57</v>
      </c>
      <c r="F3077" t="s">
        <v>11</v>
      </c>
      <c r="G3077" t="s">
        <v>12</v>
      </c>
    </row>
    <row r="3078" spans="1:7" x14ac:dyDescent="0.3">
      <c r="A3078" t="s">
        <v>32</v>
      </c>
      <c r="B3078" t="s">
        <v>23</v>
      </c>
      <c r="C3078" t="s">
        <v>19</v>
      </c>
      <c r="D3078">
        <v>46</v>
      </c>
      <c r="E3078" t="s">
        <v>57</v>
      </c>
      <c r="F3078" t="s">
        <v>11</v>
      </c>
      <c r="G3078" t="s">
        <v>12</v>
      </c>
    </row>
    <row r="3079" spans="1:7" x14ac:dyDescent="0.3">
      <c r="A3079" t="s">
        <v>32</v>
      </c>
      <c r="B3079" t="s">
        <v>23</v>
      </c>
      <c r="C3079" t="s">
        <v>20</v>
      </c>
      <c r="D3079">
        <v>15</v>
      </c>
      <c r="E3079" t="s">
        <v>57</v>
      </c>
      <c r="F3079" t="s">
        <v>11</v>
      </c>
      <c r="G3079" t="s">
        <v>12</v>
      </c>
    </row>
    <row r="3080" spans="1:7" x14ac:dyDescent="0.3">
      <c r="A3080" t="s">
        <v>32</v>
      </c>
      <c r="B3080" t="s">
        <v>23</v>
      </c>
      <c r="C3080" t="s">
        <v>21</v>
      </c>
      <c r="D3080">
        <v>6</v>
      </c>
      <c r="E3080" t="s">
        <v>57</v>
      </c>
      <c r="F3080" t="s">
        <v>11</v>
      </c>
      <c r="G3080" t="s">
        <v>12</v>
      </c>
    </row>
    <row r="3081" spans="1:7" x14ac:dyDescent="0.3">
      <c r="A3081" t="s">
        <v>32</v>
      </c>
      <c r="B3081" t="s">
        <v>23</v>
      </c>
      <c r="C3081" t="s">
        <v>22</v>
      </c>
      <c r="D3081">
        <v>1213</v>
      </c>
      <c r="E3081" t="s">
        <v>57</v>
      </c>
      <c r="F3081" t="s">
        <v>11</v>
      </c>
      <c r="G3081" t="s">
        <v>12</v>
      </c>
    </row>
    <row r="3082" spans="1:7" x14ac:dyDescent="0.3">
      <c r="A3082" t="s">
        <v>65</v>
      </c>
      <c r="B3082" t="s">
        <v>8</v>
      </c>
      <c r="C3082" t="s">
        <v>9</v>
      </c>
      <c r="D3082">
        <v>0</v>
      </c>
      <c r="E3082" t="s">
        <v>57</v>
      </c>
      <c r="F3082" t="s">
        <v>11</v>
      </c>
      <c r="G3082" t="s">
        <v>12</v>
      </c>
    </row>
    <row r="3083" spans="1:7" x14ac:dyDescent="0.3">
      <c r="A3083" t="s">
        <v>65</v>
      </c>
      <c r="B3083" t="s">
        <v>8</v>
      </c>
      <c r="C3083" t="s">
        <v>13</v>
      </c>
      <c r="D3083">
        <v>0</v>
      </c>
      <c r="E3083" t="s">
        <v>57</v>
      </c>
      <c r="F3083" t="s">
        <v>11</v>
      </c>
      <c r="G3083" t="s">
        <v>12</v>
      </c>
    </row>
    <row r="3084" spans="1:7" x14ac:dyDescent="0.3">
      <c r="A3084" t="s">
        <v>65</v>
      </c>
      <c r="B3084" t="s">
        <v>8</v>
      </c>
      <c r="C3084" t="s">
        <v>14</v>
      </c>
      <c r="D3084">
        <v>4</v>
      </c>
      <c r="E3084" t="s">
        <v>57</v>
      </c>
      <c r="F3084" t="s">
        <v>11</v>
      </c>
      <c r="G3084" t="s">
        <v>12</v>
      </c>
    </row>
    <row r="3085" spans="1:7" x14ac:dyDescent="0.3">
      <c r="A3085" t="s">
        <v>65</v>
      </c>
      <c r="B3085" t="s">
        <v>8</v>
      </c>
      <c r="C3085" t="s">
        <v>15</v>
      </c>
      <c r="D3085">
        <v>0</v>
      </c>
      <c r="E3085" t="s">
        <v>57</v>
      </c>
      <c r="F3085" t="s">
        <v>11</v>
      </c>
      <c r="G3085" t="s">
        <v>12</v>
      </c>
    </row>
    <row r="3086" spans="1:7" x14ac:dyDescent="0.3">
      <c r="A3086" t="s">
        <v>65</v>
      </c>
      <c r="B3086" t="s">
        <v>8</v>
      </c>
      <c r="C3086" t="s">
        <v>16</v>
      </c>
      <c r="D3086">
        <v>137</v>
      </c>
      <c r="E3086" t="s">
        <v>57</v>
      </c>
      <c r="F3086" t="s">
        <v>11</v>
      </c>
      <c r="G3086" t="s">
        <v>12</v>
      </c>
    </row>
    <row r="3087" spans="1:7" x14ac:dyDescent="0.3">
      <c r="A3087" t="s">
        <v>65</v>
      </c>
      <c r="B3087" t="s">
        <v>8</v>
      </c>
      <c r="C3087" t="s">
        <v>17</v>
      </c>
      <c r="D3087">
        <v>3</v>
      </c>
      <c r="E3087" t="s">
        <v>57</v>
      </c>
      <c r="F3087" t="s">
        <v>11</v>
      </c>
      <c r="G3087" t="s">
        <v>12</v>
      </c>
    </row>
    <row r="3088" spans="1:7" x14ac:dyDescent="0.3">
      <c r="A3088" t="s">
        <v>65</v>
      </c>
      <c r="B3088" t="s">
        <v>8</v>
      </c>
      <c r="C3088" t="s">
        <v>18</v>
      </c>
      <c r="D3088">
        <v>0</v>
      </c>
      <c r="E3088" t="s">
        <v>57</v>
      </c>
      <c r="F3088" t="s">
        <v>11</v>
      </c>
      <c r="G3088" t="s">
        <v>12</v>
      </c>
    </row>
    <row r="3089" spans="1:7" x14ac:dyDescent="0.3">
      <c r="A3089" t="s">
        <v>65</v>
      </c>
      <c r="B3089" t="s">
        <v>8</v>
      </c>
      <c r="C3089" t="s">
        <v>19</v>
      </c>
      <c r="D3089">
        <v>0</v>
      </c>
      <c r="E3089" t="s">
        <v>57</v>
      </c>
      <c r="F3089" t="s">
        <v>11</v>
      </c>
      <c r="G3089" t="s">
        <v>12</v>
      </c>
    </row>
    <row r="3090" spans="1:7" x14ac:dyDescent="0.3">
      <c r="A3090" t="s">
        <v>65</v>
      </c>
      <c r="B3090" t="s">
        <v>8</v>
      </c>
      <c r="C3090" t="s">
        <v>20</v>
      </c>
      <c r="D3090">
        <v>0</v>
      </c>
      <c r="E3090" t="s">
        <v>57</v>
      </c>
      <c r="F3090" t="s">
        <v>11</v>
      </c>
      <c r="G3090" t="s">
        <v>12</v>
      </c>
    </row>
    <row r="3091" spans="1:7" x14ac:dyDescent="0.3">
      <c r="A3091" t="s">
        <v>65</v>
      </c>
      <c r="B3091" t="s">
        <v>8</v>
      </c>
      <c r="C3091" t="s">
        <v>21</v>
      </c>
      <c r="D3091">
        <v>0</v>
      </c>
      <c r="E3091" t="s">
        <v>57</v>
      </c>
      <c r="F3091" t="s">
        <v>11</v>
      </c>
      <c r="G3091" t="s">
        <v>12</v>
      </c>
    </row>
    <row r="3092" spans="1:7" x14ac:dyDescent="0.3">
      <c r="A3092" t="s">
        <v>65</v>
      </c>
      <c r="B3092" t="s">
        <v>8</v>
      </c>
      <c r="C3092" t="s">
        <v>22</v>
      </c>
      <c r="D3092">
        <v>0</v>
      </c>
      <c r="E3092" t="s">
        <v>57</v>
      </c>
      <c r="F3092" t="s">
        <v>11</v>
      </c>
      <c r="G3092" t="s">
        <v>12</v>
      </c>
    </row>
    <row r="3093" spans="1:7" x14ac:dyDescent="0.3">
      <c r="A3093" t="s">
        <v>65</v>
      </c>
      <c r="B3093" t="s">
        <v>23</v>
      </c>
      <c r="C3093" t="s">
        <v>9</v>
      </c>
      <c r="D3093">
        <v>0</v>
      </c>
      <c r="E3093" t="s">
        <v>57</v>
      </c>
      <c r="F3093" t="s">
        <v>11</v>
      </c>
      <c r="G3093" t="s">
        <v>12</v>
      </c>
    </row>
    <row r="3094" spans="1:7" x14ac:dyDescent="0.3">
      <c r="A3094" t="s">
        <v>65</v>
      </c>
      <c r="B3094" t="s">
        <v>23</v>
      </c>
      <c r="C3094" t="s">
        <v>13</v>
      </c>
      <c r="D3094">
        <v>0</v>
      </c>
      <c r="E3094" t="s">
        <v>57</v>
      </c>
      <c r="F3094" t="s">
        <v>11</v>
      </c>
      <c r="G3094" t="s">
        <v>12</v>
      </c>
    </row>
    <row r="3095" spans="1:7" x14ac:dyDescent="0.3">
      <c r="A3095" t="s">
        <v>65</v>
      </c>
      <c r="B3095" t="s">
        <v>23</v>
      </c>
      <c r="C3095" t="s">
        <v>14</v>
      </c>
      <c r="D3095">
        <v>2</v>
      </c>
      <c r="E3095" t="s">
        <v>57</v>
      </c>
      <c r="F3095" t="s">
        <v>11</v>
      </c>
      <c r="G3095" t="s">
        <v>12</v>
      </c>
    </row>
    <row r="3096" spans="1:7" x14ac:dyDescent="0.3">
      <c r="A3096" t="s">
        <v>65</v>
      </c>
      <c r="B3096" t="s">
        <v>23</v>
      </c>
      <c r="C3096" t="s">
        <v>15</v>
      </c>
      <c r="D3096">
        <v>0</v>
      </c>
      <c r="E3096" t="s">
        <v>57</v>
      </c>
      <c r="F3096" t="s">
        <v>11</v>
      </c>
      <c r="G3096" t="s">
        <v>12</v>
      </c>
    </row>
    <row r="3097" spans="1:7" x14ac:dyDescent="0.3">
      <c r="A3097" t="s">
        <v>65</v>
      </c>
      <c r="B3097" t="s">
        <v>23</v>
      </c>
      <c r="C3097" t="s">
        <v>16</v>
      </c>
      <c r="D3097">
        <v>484</v>
      </c>
      <c r="E3097" t="s">
        <v>57</v>
      </c>
      <c r="F3097" t="s">
        <v>11</v>
      </c>
      <c r="G3097" t="s">
        <v>12</v>
      </c>
    </row>
    <row r="3098" spans="1:7" x14ac:dyDescent="0.3">
      <c r="A3098" t="s">
        <v>65</v>
      </c>
      <c r="B3098" t="s">
        <v>23</v>
      </c>
      <c r="C3098" t="s">
        <v>17</v>
      </c>
      <c r="D3098">
        <v>0</v>
      </c>
      <c r="E3098" t="s">
        <v>57</v>
      </c>
      <c r="F3098" t="s">
        <v>11</v>
      </c>
      <c r="G3098" t="s">
        <v>12</v>
      </c>
    </row>
    <row r="3099" spans="1:7" x14ac:dyDescent="0.3">
      <c r="A3099" t="s">
        <v>65</v>
      </c>
      <c r="B3099" t="s">
        <v>23</v>
      </c>
      <c r="C3099" t="s">
        <v>18</v>
      </c>
      <c r="D3099">
        <v>0</v>
      </c>
      <c r="E3099" t="s">
        <v>57</v>
      </c>
      <c r="F3099" t="s">
        <v>11</v>
      </c>
      <c r="G3099" t="s">
        <v>12</v>
      </c>
    </row>
    <row r="3100" spans="1:7" x14ac:dyDescent="0.3">
      <c r="A3100" t="s">
        <v>65</v>
      </c>
      <c r="B3100" t="s">
        <v>23</v>
      </c>
      <c r="C3100" t="s">
        <v>19</v>
      </c>
      <c r="D3100">
        <v>0</v>
      </c>
      <c r="E3100" t="s">
        <v>57</v>
      </c>
      <c r="F3100" t="s">
        <v>11</v>
      </c>
      <c r="G3100" t="s">
        <v>12</v>
      </c>
    </row>
    <row r="3101" spans="1:7" x14ac:dyDescent="0.3">
      <c r="A3101" t="s">
        <v>65</v>
      </c>
      <c r="B3101" t="s">
        <v>23</v>
      </c>
      <c r="C3101" t="s">
        <v>20</v>
      </c>
      <c r="D3101">
        <v>7</v>
      </c>
      <c r="E3101" t="s">
        <v>57</v>
      </c>
      <c r="F3101" t="s">
        <v>11</v>
      </c>
      <c r="G3101" t="s">
        <v>12</v>
      </c>
    </row>
    <row r="3102" spans="1:7" x14ac:dyDescent="0.3">
      <c r="A3102" t="s">
        <v>65</v>
      </c>
      <c r="B3102" t="s">
        <v>23</v>
      </c>
      <c r="C3102" t="s">
        <v>21</v>
      </c>
      <c r="D3102">
        <v>0</v>
      </c>
      <c r="E3102" t="s">
        <v>57</v>
      </c>
      <c r="F3102" t="s">
        <v>11</v>
      </c>
      <c r="G3102" t="s">
        <v>12</v>
      </c>
    </row>
    <row r="3103" spans="1:7" x14ac:dyDescent="0.3">
      <c r="A3103" t="s">
        <v>65</v>
      </c>
      <c r="B3103" t="s">
        <v>23</v>
      </c>
      <c r="C3103" t="s">
        <v>22</v>
      </c>
      <c r="D3103">
        <v>1</v>
      </c>
      <c r="E3103" t="s">
        <v>57</v>
      </c>
      <c r="F3103" t="s">
        <v>11</v>
      </c>
      <c r="G3103" t="s">
        <v>12</v>
      </c>
    </row>
    <row r="3104" spans="1:7" x14ac:dyDescent="0.3">
      <c r="A3104" t="s">
        <v>33</v>
      </c>
      <c r="B3104" t="s">
        <v>8</v>
      </c>
      <c r="C3104" t="s">
        <v>9</v>
      </c>
      <c r="D3104">
        <v>1</v>
      </c>
      <c r="E3104" t="s">
        <v>57</v>
      </c>
      <c r="F3104" t="s">
        <v>11</v>
      </c>
      <c r="G3104" t="s">
        <v>12</v>
      </c>
    </row>
    <row r="3105" spans="1:7" x14ac:dyDescent="0.3">
      <c r="A3105" t="s">
        <v>33</v>
      </c>
      <c r="B3105" t="s">
        <v>8</v>
      </c>
      <c r="C3105" t="s">
        <v>13</v>
      </c>
      <c r="D3105">
        <v>0</v>
      </c>
      <c r="E3105" t="s">
        <v>57</v>
      </c>
      <c r="F3105" t="s">
        <v>11</v>
      </c>
      <c r="G3105" t="s">
        <v>12</v>
      </c>
    </row>
    <row r="3106" spans="1:7" x14ac:dyDescent="0.3">
      <c r="A3106" t="s">
        <v>33</v>
      </c>
      <c r="B3106" t="s">
        <v>8</v>
      </c>
      <c r="C3106" t="s">
        <v>14</v>
      </c>
      <c r="D3106">
        <v>17</v>
      </c>
      <c r="E3106" t="s">
        <v>57</v>
      </c>
      <c r="F3106" t="s">
        <v>11</v>
      </c>
      <c r="G3106" t="s">
        <v>12</v>
      </c>
    </row>
    <row r="3107" spans="1:7" x14ac:dyDescent="0.3">
      <c r="A3107" t="s">
        <v>33</v>
      </c>
      <c r="B3107" t="s">
        <v>8</v>
      </c>
      <c r="C3107" t="s">
        <v>15</v>
      </c>
      <c r="D3107">
        <v>0</v>
      </c>
      <c r="E3107" t="s">
        <v>57</v>
      </c>
      <c r="F3107" t="s">
        <v>11</v>
      </c>
      <c r="G3107" t="s">
        <v>12</v>
      </c>
    </row>
    <row r="3108" spans="1:7" x14ac:dyDescent="0.3">
      <c r="A3108" t="s">
        <v>33</v>
      </c>
      <c r="B3108" t="s">
        <v>8</v>
      </c>
      <c r="C3108" t="s">
        <v>16</v>
      </c>
      <c r="D3108">
        <v>542</v>
      </c>
      <c r="E3108" t="s">
        <v>57</v>
      </c>
      <c r="F3108" t="s">
        <v>11</v>
      </c>
      <c r="G3108" t="s">
        <v>12</v>
      </c>
    </row>
    <row r="3109" spans="1:7" x14ac:dyDescent="0.3">
      <c r="A3109" t="s">
        <v>33</v>
      </c>
      <c r="B3109" t="s">
        <v>8</v>
      </c>
      <c r="C3109" t="s">
        <v>17</v>
      </c>
      <c r="D3109">
        <v>13</v>
      </c>
      <c r="E3109" t="s">
        <v>57</v>
      </c>
      <c r="F3109" t="s">
        <v>11</v>
      </c>
      <c r="G3109" t="s">
        <v>12</v>
      </c>
    </row>
    <row r="3110" spans="1:7" x14ac:dyDescent="0.3">
      <c r="A3110" t="s">
        <v>33</v>
      </c>
      <c r="B3110" t="s">
        <v>8</v>
      </c>
      <c r="C3110" t="s">
        <v>18</v>
      </c>
      <c r="D3110">
        <v>0</v>
      </c>
      <c r="E3110" t="s">
        <v>57</v>
      </c>
      <c r="F3110" t="s">
        <v>11</v>
      </c>
      <c r="G3110" t="s">
        <v>12</v>
      </c>
    </row>
    <row r="3111" spans="1:7" x14ac:dyDescent="0.3">
      <c r="A3111" t="s">
        <v>33</v>
      </c>
      <c r="B3111" t="s">
        <v>8</v>
      </c>
      <c r="C3111" t="s">
        <v>19</v>
      </c>
      <c r="D3111">
        <v>0</v>
      </c>
      <c r="E3111" t="s">
        <v>57</v>
      </c>
      <c r="F3111" t="s">
        <v>11</v>
      </c>
      <c r="G3111" t="s">
        <v>12</v>
      </c>
    </row>
    <row r="3112" spans="1:7" x14ac:dyDescent="0.3">
      <c r="A3112" t="s">
        <v>33</v>
      </c>
      <c r="B3112" t="s">
        <v>8</v>
      </c>
      <c r="C3112" t="s">
        <v>20</v>
      </c>
      <c r="D3112">
        <v>0</v>
      </c>
      <c r="E3112" t="s">
        <v>57</v>
      </c>
      <c r="F3112" t="s">
        <v>11</v>
      </c>
      <c r="G3112" t="s">
        <v>12</v>
      </c>
    </row>
    <row r="3113" spans="1:7" x14ac:dyDescent="0.3">
      <c r="A3113" t="s">
        <v>33</v>
      </c>
      <c r="B3113" t="s">
        <v>8</v>
      </c>
      <c r="C3113" t="s">
        <v>21</v>
      </c>
      <c r="D3113">
        <v>0</v>
      </c>
      <c r="E3113" t="s">
        <v>57</v>
      </c>
      <c r="F3113" t="s">
        <v>11</v>
      </c>
      <c r="G3113" t="s">
        <v>12</v>
      </c>
    </row>
    <row r="3114" spans="1:7" x14ac:dyDescent="0.3">
      <c r="A3114" t="s">
        <v>33</v>
      </c>
      <c r="B3114" t="s">
        <v>8</v>
      </c>
      <c r="C3114" t="s">
        <v>22</v>
      </c>
      <c r="D3114">
        <v>0</v>
      </c>
      <c r="E3114" t="s">
        <v>57</v>
      </c>
      <c r="F3114" t="s">
        <v>11</v>
      </c>
      <c r="G3114" t="s">
        <v>12</v>
      </c>
    </row>
    <row r="3115" spans="1:7" x14ac:dyDescent="0.3">
      <c r="A3115" t="s">
        <v>33</v>
      </c>
      <c r="B3115" t="s">
        <v>23</v>
      </c>
      <c r="C3115" t="s">
        <v>9</v>
      </c>
      <c r="D3115">
        <v>1</v>
      </c>
      <c r="E3115" t="s">
        <v>57</v>
      </c>
      <c r="F3115" t="s">
        <v>11</v>
      </c>
      <c r="G3115" t="s">
        <v>12</v>
      </c>
    </row>
    <row r="3116" spans="1:7" x14ac:dyDescent="0.3">
      <c r="A3116" t="s">
        <v>33</v>
      </c>
      <c r="B3116" t="s">
        <v>23</v>
      </c>
      <c r="C3116" t="s">
        <v>13</v>
      </c>
      <c r="D3116">
        <v>3</v>
      </c>
      <c r="E3116" t="s">
        <v>57</v>
      </c>
      <c r="F3116" t="s">
        <v>11</v>
      </c>
      <c r="G3116" t="s">
        <v>12</v>
      </c>
    </row>
    <row r="3117" spans="1:7" x14ac:dyDescent="0.3">
      <c r="A3117" t="s">
        <v>33</v>
      </c>
      <c r="B3117" t="s">
        <v>23</v>
      </c>
      <c r="C3117" t="s">
        <v>14</v>
      </c>
      <c r="D3117">
        <v>7</v>
      </c>
      <c r="E3117" t="s">
        <v>57</v>
      </c>
      <c r="F3117" t="s">
        <v>11</v>
      </c>
      <c r="G3117" t="s">
        <v>12</v>
      </c>
    </row>
    <row r="3118" spans="1:7" x14ac:dyDescent="0.3">
      <c r="A3118" t="s">
        <v>33</v>
      </c>
      <c r="B3118" t="s">
        <v>23</v>
      </c>
      <c r="C3118" t="s">
        <v>15</v>
      </c>
      <c r="D3118">
        <v>0</v>
      </c>
      <c r="E3118" t="s">
        <v>57</v>
      </c>
      <c r="F3118" t="s">
        <v>11</v>
      </c>
      <c r="G3118" t="s">
        <v>12</v>
      </c>
    </row>
    <row r="3119" spans="1:7" x14ac:dyDescent="0.3">
      <c r="A3119" t="s">
        <v>33</v>
      </c>
      <c r="B3119" t="s">
        <v>23</v>
      </c>
      <c r="C3119" t="s">
        <v>16</v>
      </c>
      <c r="D3119">
        <v>1915</v>
      </c>
      <c r="E3119" t="s">
        <v>57</v>
      </c>
      <c r="F3119" t="s">
        <v>11</v>
      </c>
      <c r="G3119" t="s">
        <v>12</v>
      </c>
    </row>
    <row r="3120" spans="1:7" x14ac:dyDescent="0.3">
      <c r="A3120" t="s">
        <v>33</v>
      </c>
      <c r="B3120" t="s">
        <v>23</v>
      </c>
      <c r="C3120" t="s">
        <v>17</v>
      </c>
      <c r="D3120">
        <v>0</v>
      </c>
      <c r="E3120" t="s">
        <v>57</v>
      </c>
      <c r="F3120" t="s">
        <v>11</v>
      </c>
      <c r="G3120" t="s">
        <v>12</v>
      </c>
    </row>
    <row r="3121" spans="1:7" x14ac:dyDescent="0.3">
      <c r="A3121" t="s">
        <v>33</v>
      </c>
      <c r="B3121" t="s">
        <v>23</v>
      </c>
      <c r="C3121" t="s">
        <v>18</v>
      </c>
      <c r="D3121">
        <v>0</v>
      </c>
      <c r="E3121" t="s">
        <v>57</v>
      </c>
      <c r="F3121" t="s">
        <v>11</v>
      </c>
      <c r="G3121" t="s">
        <v>12</v>
      </c>
    </row>
    <row r="3122" spans="1:7" x14ac:dyDescent="0.3">
      <c r="A3122" t="s">
        <v>33</v>
      </c>
      <c r="B3122" t="s">
        <v>23</v>
      </c>
      <c r="C3122" t="s">
        <v>19</v>
      </c>
      <c r="D3122">
        <v>0</v>
      </c>
      <c r="E3122" t="s">
        <v>57</v>
      </c>
      <c r="F3122" t="s">
        <v>11</v>
      </c>
      <c r="G3122" t="s">
        <v>12</v>
      </c>
    </row>
    <row r="3123" spans="1:7" x14ac:dyDescent="0.3">
      <c r="A3123" t="s">
        <v>33</v>
      </c>
      <c r="B3123" t="s">
        <v>23</v>
      </c>
      <c r="C3123" t="s">
        <v>20</v>
      </c>
      <c r="D3123">
        <v>30</v>
      </c>
      <c r="E3123" t="s">
        <v>57</v>
      </c>
      <c r="F3123" t="s">
        <v>11</v>
      </c>
      <c r="G3123" t="s">
        <v>12</v>
      </c>
    </row>
    <row r="3124" spans="1:7" x14ac:dyDescent="0.3">
      <c r="A3124" t="s">
        <v>33</v>
      </c>
      <c r="B3124" t="s">
        <v>23</v>
      </c>
      <c r="C3124" t="s">
        <v>21</v>
      </c>
      <c r="D3124">
        <v>0</v>
      </c>
      <c r="E3124" t="s">
        <v>57</v>
      </c>
      <c r="F3124" t="s">
        <v>11</v>
      </c>
      <c r="G3124" t="s">
        <v>12</v>
      </c>
    </row>
    <row r="3125" spans="1:7" x14ac:dyDescent="0.3">
      <c r="A3125" t="s">
        <v>33</v>
      </c>
      <c r="B3125" t="s">
        <v>23</v>
      </c>
      <c r="C3125" t="s">
        <v>22</v>
      </c>
      <c r="D3125">
        <v>5</v>
      </c>
      <c r="E3125" t="s">
        <v>57</v>
      </c>
      <c r="F3125" t="s">
        <v>11</v>
      </c>
      <c r="G3125" t="s">
        <v>12</v>
      </c>
    </row>
    <row r="3126" spans="1:7" x14ac:dyDescent="0.3">
      <c r="A3126" t="s">
        <v>34</v>
      </c>
      <c r="B3126" t="s">
        <v>8</v>
      </c>
      <c r="C3126" t="s">
        <v>9</v>
      </c>
      <c r="D3126">
        <v>0</v>
      </c>
      <c r="E3126" t="s">
        <v>57</v>
      </c>
      <c r="F3126" t="s">
        <v>11</v>
      </c>
      <c r="G3126" t="s">
        <v>12</v>
      </c>
    </row>
    <row r="3127" spans="1:7" x14ac:dyDescent="0.3">
      <c r="A3127" t="s">
        <v>34</v>
      </c>
      <c r="B3127" t="s">
        <v>8</v>
      </c>
      <c r="C3127" t="s">
        <v>13</v>
      </c>
      <c r="D3127">
        <v>2</v>
      </c>
      <c r="E3127" t="s">
        <v>57</v>
      </c>
      <c r="F3127" t="s">
        <v>11</v>
      </c>
      <c r="G3127" t="s">
        <v>12</v>
      </c>
    </row>
    <row r="3128" spans="1:7" x14ac:dyDescent="0.3">
      <c r="A3128" t="s">
        <v>34</v>
      </c>
      <c r="B3128" t="s">
        <v>8</v>
      </c>
      <c r="C3128" t="s">
        <v>14</v>
      </c>
      <c r="D3128">
        <v>2</v>
      </c>
      <c r="E3128" t="s">
        <v>57</v>
      </c>
      <c r="F3128" t="s">
        <v>11</v>
      </c>
      <c r="G3128" t="s">
        <v>12</v>
      </c>
    </row>
    <row r="3129" spans="1:7" x14ac:dyDescent="0.3">
      <c r="A3129" t="s">
        <v>34</v>
      </c>
      <c r="B3129" t="s">
        <v>8</v>
      </c>
      <c r="C3129" t="s">
        <v>15</v>
      </c>
      <c r="D3129">
        <v>0</v>
      </c>
      <c r="E3129" t="s">
        <v>57</v>
      </c>
      <c r="F3129" t="s">
        <v>11</v>
      </c>
      <c r="G3129" t="s">
        <v>12</v>
      </c>
    </row>
    <row r="3130" spans="1:7" x14ac:dyDescent="0.3">
      <c r="A3130" t="s">
        <v>34</v>
      </c>
      <c r="B3130" t="s">
        <v>8</v>
      </c>
      <c r="C3130" t="s">
        <v>16</v>
      </c>
      <c r="D3130">
        <v>4</v>
      </c>
      <c r="E3130" t="s">
        <v>57</v>
      </c>
      <c r="F3130" t="s">
        <v>11</v>
      </c>
      <c r="G3130" t="s">
        <v>12</v>
      </c>
    </row>
    <row r="3131" spans="1:7" x14ac:dyDescent="0.3">
      <c r="A3131" t="s">
        <v>34</v>
      </c>
      <c r="B3131" t="s">
        <v>8</v>
      </c>
      <c r="C3131" t="s">
        <v>17</v>
      </c>
      <c r="D3131">
        <v>1</v>
      </c>
      <c r="E3131" t="s">
        <v>57</v>
      </c>
      <c r="F3131" t="s">
        <v>11</v>
      </c>
      <c r="G3131" t="s">
        <v>12</v>
      </c>
    </row>
    <row r="3132" spans="1:7" x14ac:dyDescent="0.3">
      <c r="A3132" t="s">
        <v>34</v>
      </c>
      <c r="B3132" t="s">
        <v>8</v>
      </c>
      <c r="C3132" t="s">
        <v>18</v>
      </c>
      <c r="D3132">
        <v>0</v>
      </c>
      <c r="E3132" t="s">
        <v>57</v>
      </c>
      <c r="F3132" t="s">
        <v>11</v>
      </c>
      <c r="G3132" t="s">
        <v>12</v>
      </c>
    </row>
    <row r="3133" spans="1:7" x14ac:dyDescent="0.3">
      <c r="A3133" t="s">
        <v>34</v>
      </c>
      <c r="B3133" t="s">
        <v>8</v>
      </c>
      <c r="C3133" t="s">
        <v>19</v>
      </c>
      <c r="D3133">
        <v>0</v>
      </c>
      <c r="E3133" t="s">
        <v>57</v>
      </c>
      <c r="F3133" t="s">
        <v>11</v>
      </c>
      <c r="G3133" t="s">
        <v>12</v>
      </c>
    </row>
    <row r="3134" spans="1:7" x14ac:dyDescent="0.3">
      <c r="A3134" t="s">
        <v>34</v>
      </c>
      <c r="B3134" t="s">
        <v>8</v>
      </c>
      <c r="C3134" t="s">
        <v>20</v>
      </c>
      <c r="D3134">
        <v>0</v>
      </c>
      <c r="E3134" t="s">
        <v>57</v>
      </c>
      <c r="F3134" t="s">
        <v>11</v>
      </c>
      <c r="G3134" t="s">
        <v>12</v>
      </c>
    </row>
    <row r="3135" spans="1:7" x14ac:dyDescent="0.3">
      <c r="A3135" t="s">
        <v>34</v>
      </c>
      <c r="B3135" t="s">
        <v>8</v>
      </c>
      <c r="C3135" t="s">
        <v>21</v>
      </c>
      <c r="D3135">
        <v>2</v>
      </c>
      <c r="E3135" t="s">
        <v>57</v>
      </c>
      <c r="F3135" t="s">
        <v>11</v>
      </c>
      <c r="G3135" t="s">
        <v>12</v>
      </c>
    </row>
    <row r="3136" spans="1:7" x14ac:dyDescent="0.3">
      <c r="A3136" t="s">
        <v>34</v>
      </c>
      <c r="B3136" t="s">
        <v>8</v>
      </c>
      <c r="C3136" t="s">
        <v>22</v>
      </c>
      <c r="D3136">
        <v>90</v>
      </c>
      <c r="E3136" t="s">
        <v>57</v>
      </c>
      <c r="F3136" t="s">
        <v>11</v>
      </c>
      <c r="G3136" t="s">
        <v>12</v>
      </c>
    </row>
    <row r="3137" spans="1:7" x14ac:dyDescent="0.3">
      <c r="A3137" t="s">
        <v>34</v>
      </c>
      <c r="B3137" t="s">
        <v>23</v>
      </c>
      <c r="C3137" t="s">
        <v>9</v>
      </c>
      <c r="D3137">
        <v>16</v>
      </c>
      <c r="E3137" t="s">
        <v>57</v>
      </c>
      <c r="F3137" t="s">
        <v>11</v>
      </c>
      <c r="G3137" t="s">
        <v>12</v>
      </c>
    </row>
    <row r="3138" spans="1:7" x14ac:dyDescent="0.3">
      <c r="A3138" t="s">
        <v>34</v>
      </c>
      <c r="B3138" t="s">
        <v>23</v>
      </c>
      <c r="C3138" t="s">
        <v>13</v>
      </c>
      <c r="D3138">
        <v>276</v>
      </c>
      <c r="E3138" t="s">
        <v>57</v>
      </c>
      <c r="F3138" t="s">
        <v>11</v>
      </c>
      <c r="G3138" t="s">
        <v>12</v>
      </c>
    </row>
    <row r="3139" spans="1:7" x14ac:dyDescent="0.3">
      <c r="A3139" t="s">
        <v>34</v>
      </c>
      <c r="B3139" t="s">
        <v>23</v>
      </c>
      <c r="C3139" t="s">
        <v>14</v>
      </c>
      <c r="D3139">
        <v>217</v>
      </c>
      <c r="E3139" t="s">
        <v>57</v>
      </c>
      <c r="F3139" t="s">
        <v>11</v>
      </c>
      <c r="G3139" t="s">
        <v>12</v>
      </c>
    </row>
    <row r="3140" spans="1:7" x14ac:dyDescent="0.3">
      <c r="A3140" t="s">
        <v>34</v>
      </c>
      <c r="B3140" t="s">
        <v>23</v>
      </c>
      <c r="C3140" t="s">
        <v>15</v>
      </c>
      <c r="D3140">
        <v>13</v>
      </c>
      <c r="E3140" t="s">
        <v>57</v>
      </c>
      <c r="F3140" t="s">
        <v>11</v>
      </c>
      <c r="G3140" t="s">
        <v>12</v>
      </c>
    </row>
    <row r="3141" spans="1:7" x14ac:dyDescent="0.3">
      <c r="A3141" t="s">
        <v>34</v>
      </c>
      <c r="B3141" t="s">
        <v>23</v>
      </c>
      <c r="C3141" t="s">
        <v>16</v>
      </c>
      <c r="D3141">
        <v>102</v>
      </c>
      <c r="E3141" t="s">
        <v>57</v>
      </c>
      <c r="F3141" t="s">
        <v>11</v>
      </c>
      <c r="G3141" t="s">
        <v>12</v>
      </c>
    </row>
    <row r="3142" spans="1:7" x14ac:dyDescent="0.3">
      <c r="A3142" t="s">
        <v>34</v>
      </c>
      <c r="B3142" t="s">
        <v>23</v>
      </c>
      <c r="C3142" t="s">
        <v>17</v>
      </c>
      <c r="D3142">
        <v>23</v>
      </c>
      <c r="E3142" t="s">
        <v>57</v>
      </c>
      <c r="F3142" t="s">
        <v>11</v>
      </c>
      <c r="G3142" t="s">
        <v>12</v>
      </c>
    </row>
    <row r="3143" spans="1:7" x14ac:dyDescent="0.3">
      <c r="A3143" t="s">
        <v>34</v>
      </c>
      <c r="B3143" t="s">
        <v>23</v>
      </c>
      <c r="C3143" t="s">
        <v>18</v>
      </c>
      <c r="D3143">
        <v>0</v>
      </c>
      <c r="E3143" t="s">
        <v>57</v>
      </c>
      <c r="F3143" t="s">
        <v>11</v>
      </c>
      <c r="G3143" t="s">
        <v>12</v>
      </c>
    </row>
    <row r="3144" spans="1:7" x14ac:dyDescent="0.3">
      <c r="A3144" t="s">
        <v>34</v>
      </c>
      <c r="B3144" t="s">
        <v>23</v>
      </c>
      <c r="C3144" t="s">
        <v>19</v>
      </c>
      <c r="D3144">
        <v>40</v>
      </c>
      <c r="E3144" t="s">
        <v>57</v>
      </c>
      <c r="F3144" t="s">
        <v>11</v>
      </c>
      <c r="G3144" t="s">
        <v>12</v>
      </c>
    </row>
    <row r="3145" spans="1:7" x14ac:dyDescent="0.3">
      <c r="A3145" t="s">
        <v>34</v>
      </c>
      <c r="B3145" t="s">
        <v>23</v>
      </c>
      <c r="C3145" t="s">
        <v>20</v>
      </c>
      <c r="D3145">
        <v>13</v>
      </c>
      <c r="E3145" t="s">
        <v>57</v>
      </c>
      <c r="F3145" t="s">
        <v>11</v>
      </c>
      <c r="G3145" t="s">
        <v>12</v>
      </c>
    </row>
    <row r="3146" spans="1:7" x14ac:dyDescent="0.3">
      <c r="A3146" t="s">
        <v>34</v>
      </c>
      <c r="B3146" t="s">
        <v>23</v>
      </c>
      <c r="C3146" t="s">
        <v>21</v>
      </c>
      <c r="D3146">
        <v>5</v>
      </c>
      <c r="E3146" t="s">
        <v>57</v>
      </c>
      <c r="F3146" t="s">
        <v>11</v>
      </c>
      <c r="G3146" t="s">
        <v>12</v>
      </c>
    </row>
    <row r="3147" spans="1:7" x14ac:dyDescent="0.3">
      <c r="A3147" t="s">
        <v>34</v>
      </c>
      <c r="B3147" t="s">
        <v>23</v>
      </c>
      <c r="C3147" t="s">
        <v>22</v>
      </c>
      <c r="D3147">
        <v>1038</v>
      </c>
      <c r="E3147" t="s">
        <v>57</v>
      </c>
      <c r="F3147" t="s">
        <v>11</v>
      </c>
      <c r="G3147" t="s">
        <v>12</v>
      </c>
    </row>
    <row r="3148" spans="1:7" x14ac:dyDescent="0.3">
      <c r="A3148" t="s">
        <v>55</v>
      </c>
      <c r="B3148" t="s">
        <v>8</v>
      </c>
      <c r="C3148" t="s">
        <v>9</v>
      </c>
      <c r="D3148">
        <v>30</v>
      </c>
      <c r="E3148" t="s">
        <v>57</v>
      </c>
      <c r="F3148" t="s">
        <v>11</v>
      </c>
      <c r="G3148" t="s">
        <v>12</v>
      </c>
    </row>
    <row r="3149" spans="1:7" x14ac:dyDescent="0.3">
      <c r="A3149" t="s">
        <v>55</v>
      </c>
      <c r="B3149" t="s">
        <v>8</v>
      </c>
      <c r="C3149" t="s">
        <v>13</v>
      </c>
      <c r="D3149">
        <v>0</v>
      </c>
      <c r="E3149" t="s">
        <v>57</v>
      </c>
      <c r="F3149" t="s">
        <v>11</v>
      </c>
      <c r="G3149" t="s">
        <v>12</v>
      </c>
    </row>
    <row r="3150" spans="1:7" x14ac:dyDescent="0.3">
      <c r="A3150" t="s">
        <v>55</v>
      </c>
      <c r="B3150" t="s">
        <v>8</v>
      </c>
      <c r="C3150" t="s">
        <v>14</v>
      </c>
      <c r="D3150">
        <v>0</v>
      </c>
      <c r="E3150" t="s">
        <v>57</v>
      </c>
      <c r="F3150" t="s">
        <v>11</v>
      </c>
      <c r="G3150" t="s">
        <v>12</v>
      </c>
    </row>
    <row r="3151" spans="1:7" x14ac:dyDescent="0.3">
      <c r="A3151" t="s">
        <v>55</v>
      </c>
      <c r="B3151" t="s">
        <v>8</v>
      </c>
      <c r="C3151" t="s">
        <v>15</v>
      </c>
      <c r="D3151">
        <v>0</v>
      </c>
      <c r="E3151" t="s">
        <v>57</v>
      </c>
      <c r="F3151" t="s">
        <v>11</v>
      </c>
      <c r="G3151" t="s">
        <v>12</v>
      </c>
    </row>
    <row r="3152" spans="1:7" x14ac:dyDescent="0.3">
      <c r="A3152" t="s">
        <v>55</v>
      </c>
      <c r="B3152" t="s">
        <v>8</v>
      </c>
      <c r="C3152" t="s">
        <v>16</v>
      </c>
      <c r="D3152">
        <v>0</v>
      </c>
      <c r="E3152" t="s">
        <v>57</v>
      </c>
      <c r="F3152" t="s">
        <v>11</v>
      </c>
      <c r="G3152" t="s">
        <v>12</v>
      </c>
    </row>
    <row r="3153" spans="1:7" x14ac:dyDescent="0.3">
      <c r="A3153" t="s">
        <v>55</v>
      </c>
      <c r="B3153" t="s">
        <v>8</v>
      </c>
      <c r="C3153" t="s">
        <v>17</v>
      </c>
      <c r="D3153">
        <v>3</v>
      </c>
      <c r="E3153" t="s">
        <v>57</v>
      </c>
      <c r="F3153" t="s">
        <v>11</v>
      </c>
      <c r="G3153" t="s">
        <v>12</v>
      </c>
    </row>
    <row r="3154" spans="1:7" x14ac:dyDescent="0.3">
      <c r="A3154" t="s">
        <v>55</v>
      </c>
      <c r="B3154" t="s">
        <v>8</v>
      </c>
      <c r="C3154" t="s">
        <v>18</v>
      </c>
      <c r="D3154">
        <v>0</v>
      </c>
      <c r="E3154" t="s">
        <v>57</v>
      </c>
      <c r="F3154" t="s">
        <v>11</v>
      </c>
      <c r="G3154" t="s">
        <v>12</v>
      </c>
    </row>
    <row r="3155" spans="1:7" x14ac:dyDescent="0.3">
      <c r="A3155" t="s">
        <v>55</v>
      </c>
      <c r="B3155" t="s">
        <v>8</v>
      </c>
      <c r="C3155" t="s">
        <v>19</v>
      </c>
      <c r="D3155">
        <v>0</v>
      </c>
      <c r="E3155" t="s">
        <v>57</v>
      </c>
      <c r="F3155" t="s">
        <v>11</v>
      </c>
      <c r="G3155" t="s">
        <v>12</v>
      </c>
    </row>
    <row r="3156" spans="1:7" x14ac:dyDescent="0.3">
      <c r="A3156" t="s">
        <v>55</v>
      </c>
      <c r="B3156" t="s">
        <v>8</v>
      </c>
      <c r="C3156" t="s">
        <v>20</v>
      </c>
      <c r="D3156">
        <v>0</v>
      </c>
      <c r="E3156" t="s">
        <v>57</v>
      </c>
      <c r="F3156" t="s">
        <v>11</v>
      </c>
      <c r="G3156" t="s">
        <v>12</v>
      </c>
    </row>
    <row r="3157" spans="1:7" x14ac:dyDescent="0.3">
      <c r="A3157" t="s">
        <v>55</v>
      </c>
      <c r="B3157" t="s">
        <v>8</v>
      </c>
      <c r="C3157" t="s">
        <v>21</v>
      </c>
      <c r="D3157">
        <v>0</v>
      </c>
      <c r="E3157" t="s">
        <v>57</v>
      </c>
      <c r="F3157" t="s">
        <v>11</v>
      </c>
      <c r="G3157" t="s">
        <v>12</v>
      </c>
    </row>
    <row r="3158" spans="1:7" x14ac:dyDescent="0.3">
      <c r="A3158" t="s">
        <v>55</v>
      </c>
      <c r="B3158" t="s">
        <v>8</v>
      </c>
      <c r="C3158" t="s">
        <v>22</v>
      </c>
      <c r="D3158">
        <v>0</v>
      </c>
      <c r="E3158" t="s">
        <v>57</v>
      </c>
      <c r="F3158" t="s">
        <v>11</v>
      </c>
      <c r="G3158" t="s">
        <v>12</v>
      </c>
    </row>
    <row r="3159" spans="1:7" x14ac:dyDescent="0.3">
      <c r="A3159" t="s">
        <v>55</v>
      </c>
      <c r="B3159" t="s">
        <v>23</v>
      </c>
      <c r="C3159" t="s">
        <v>9</v>
      </c>
      <c r="D3159">
        <v>295</v>
      </c>
      <c r="E3159" t="s">
        <v>57</v>
      </c>
      <c r="F3159" t="s">
        <v>11</v>
      </c>
      <c r="G3159" t="s">
        <v>12</v>
      </c>
    </row>
    <row r="3160" spans="1:7" x14ac:dyDescent="0.3">
      <c r="A3160" t="s">
        <v>55</v>
      </c>
      <c r="B3160" t="s">
        <v>23</v>
      </c>
      <c r="C3160" t="s">
        <v>13</v>
      </c>
      <c r="D3160">
        <v>11</v>
      </c>
      <c r="E3160" t="s">
        <v>57</v>
      </c>
      <c r="F3160" t="s">
        <v>11</v>
      </c>
      <c r="G3160" t="s">
        <v>12</v>
      </c>
    </row>
    <row r="3161" spans="1:7" x14ac:dyDescent="0.3">
      <c r="A3161" t="s">
        <v>55</v>
      </c>
      <c r="B3161" t="s">
        <v>23</v>
      </c>
      <c r="C3161" t="s">
        <v>14</v>
      </c>
      <c r="D3161">
        <v>122</v>
      </c>
      <c r="E3161" t="s">
        <v>57</v>
      </c>
      <c r="F3161" t="s">
        <v>11</v>
      </c>
      <c r="G3161" t="s">
        <v>12</v>
      </c>
    </row>
    <row r="3162" spans="1:7" x14ac:dyDescent="0.3">
      <c r="A3162" t="s">
        <v>55</v>
      </c>
      <c r="B3162" t="s">
        <v>23</v>
      </c>
      <c r="C3162" t="s">
        <v>15</v>
      </c>
      <c r="D3162">
        <v>4</v>
      </c>
      <c r="E3162" t="s">
        <v>57</v>
      </c>
      <c r="F3162" t="s">
        <v>11</v>
      </c>
      <c r="G3162" t="s">
        <v>12</v>
      </c>
    </row>
    <row r="3163" spans="1:7" x14ac:dyDescent="0.3">
      <c r="A3163" t="s">
        <v>55</v>
      </c>
      <c r="B3163" t="s">
        <v>23</v>
      </c>
      <c r="C3163" t="s">
        <v>16</v>
      </c>
      <c r="D3163">
        <v>80</v>
      </c>
      <c r="E3163" t="s">
        <v>57</v>
      </c>
      <c r="F3163" t="s">
        <v>11</v>
      </c>
      <c r="G3163" t="s">
        <v>12</v>
      </c>
    </row>
    <row r="3164" spans="1:7" x14ac:dyDescent="0.3">
      <c r="A3164" t="s">
        <v>55</v>
      </c>
      <c r="B3164" t="s">
        <v>23</v>
      </c>
      <c r="C3164" t="s">
        <v>17</v>
      </c>
      <c r="D3164">
        <v>8</v>
      </c>
      <c r="E3164" t="s">
        <v>57</v>
      </c>
      <c r="F3164" t="s">
        <v>11</v>
      </c>
      <c r="G3164" t="s">
        <v>12</v>
      </c>
    </row>
    <row r="3165" spans="1:7" x14ac:dyDescent="0.3">
      <c r="A3165" t="s">
        <v>55</v>
      </c>
      <c r="B3165" t="s">
        <v>23</v>
      </c>
      <c r="C3165" t="s">
        <v>18</v>
      </c>
      <c r="D3165">
        <v>0</v>
      </c>
      <c r="E3165" t="s">
        <v>57</v>
      </c>
      <c r="F3165" t="s">
        <v>11</v>
      </c>
      <c r="G3165" t="s">
        <v>12</v>
      </c>
    </row>
    <row r="3166" spans="1:7" x14ac:dyDescent="0.3">
      <c r="A3166" t="s">
        <v>55</v>
      </c>
      <c r="B3166" t="s">
        <v>23</v>
      </c>
      <c r="C3166" t="s">
        <v>19</v>
      </c>
      <c r="D3166">
        <v>5</v>
      </c>
      <c r="E3166" t="s">
        <v>57</v>
      </c>
      <c r="F3166" t="s">
        <v>11</v>
      </c>
      <c r="G3166" t="s">
        <v>12</v>
      </c>
    </row>
    <row r="3167" spans="1:7" x14ac:dyDescent="0.3">
      <c r="A3167" t="s">
        <v>55</v>
      </c>
      <c r="B3167" t="s">
        <v>23</v>
      </c>
      <c r="C3167" t="s">
        <v>20</v>
      </c>
      <c r="D3167">
        <v>5</v>
      </c>
      <c r="E3167" t="s">
        <v>57</v>
      </c>
      <c r="F3167" t="s">
        <v>11</v>
      </c>
      <c r="G3167" t="s">
        <v>12</v>
      </c>
    </row>
    <row r="3168" spans="1:7" x14ac:dyDescent="0.3">
      <c r="A3168" t="s">
        <v>55</v>
      </c>
      <c r="B3168" t="s">
        <v>23</v>
      </c>
      <c r="C3168" t="s">
        <v>21</v>
      </c>
      <c r="D3168">
        <v>2</v>
      </c>
      <c r="E3168" t="s">
        <v>57</v>
      </c>
      <c r="F3168" t="s">
        <v>11</v>
      </c>
      <c r="G3168" t="s">
        <v>12</v>
      </c>
    </row>
    <row r="3169" spans="1:7" x14ac:dyDescent="0.3">
      <c r="A3169" t="s">
        <v>55</v>
      </c>
      <c r="B3169" t="s">
        <v>23</v>
      </c>
      <c r="C3169" t="s">
        <v>22</v>
      </c>
      <c r="D3169">
        <v>1</v>
      </c>
      <c r="E3169" t="s">
        <v>57</v>
      </c>
      <c r="F3169" t="s">
        <v>11</v>
      </c>
      <c r="G3169" t="s">
        <v>12</v>
      </c>
    </row>
    <row r="3170" spans="1:7" x14ac:dyDescent="0.3">
      <c r="A3170" t="s">
        <v>35</v>
      </c>
      <c r="B3170" t="s">
        <v>8</v>
      </c>
      <c r="C3170" t="s">
        <v>9</v>
      </c>
      <c r="D3170">
        <v>0</v>
      </c>
      <c r="E3170" t="s">
        <v>57</v>
      </c>
      <c r="F3170" t="s">
        <v>11</v>
      </c>
      <c r="G3170" t="s">
        <v>12</v>
      </c>
    </row>
    <row r="3171" spans="1:7" x14ac:dyDescent="0.3">
      <c r="A3171" t="s">
        <v>35</v>
      </c>
      <c r="B3171" t="s">
        <v>8</v>
      </c>
      <c r="C3171" t="s">
        <v>13</v>
      </c>
      <c r="D3171">
        <v>0</v>
      </c>
      <c r="E3171" t="s">
        <v>57</v>
      </c>
      <c r="F3171" t="s">
        <v>11</v>
      </c>
      <c r="G3171" t="s">
        <v>12</v>
      </c>
    </row>
    <row r="3172" spans="1:7" x14ac:dyDescent="0.3">
      <c r="A3172" t="s">
        <v>35</v>
      </c>
      <c r="B3172" t="s">
        <v>8</v>
      </c>
      <c r="C3172" t="s">
        <v>14</v>
      </c>
      <c r="D3172">
        <v>0</v>
      </c>
      <c r="E3172" t="s">
        <v>57</v>
      </c>
      <c r="F3172" t="s">
        <v>11</v>
      </c>
      <c r="G3172" t="s">
        <v>12</v>
      </c>
    </row>
    <row r="3173" spans="1:7" x14ac:dyDescent="0.3">
      <c r="A3173" t="s">
        <v>35</v>
      </c>
      <c r="B3173" t="s">
        <v>8</v>
      </c>
      <c r="C3173" t="s">
        <v>15</v>
      </c>
      <c r="D3173">
        <v>0</v>
      </c>
      <c r="E3173" t="s">
        <v>57</v>
      </c>
      <c r="F3173" t="s">
        <v>11</v>
      </c>
      <c r="G3173" t="s">
        <v>12</v>
      </c>
    </row>
    <row r="3174" spans="1:7" x14ac:dyDescent="0.3">
      <c r="A3174" t="s">
        <v>35</v>
      </c>
      <c r="B3174" t="s">
        <v>8</v>
      </c>
      <c r="C3174" t="s">
        <v>16</v>
      </c>
      <c r="D3174">
        <v>2</v>
      </c>
      <c r="E3174" t="s">
        <v>57</v>
      </c>
      <c r="F3174" t="s">
        <v>11</v>
      </c>
      <c r="G3174" t="s">
        <v>12</v>
      </c>
    </row>
    <row r="3175" spans="1:7" x14ac:dyDescent="0.3">
      <c r="A3175" t="s">
        <v>35</v>
      </c>
      <c r="B3175" t="s">
        <v>8</v>
      </c>
      <c r="C3175" t="s">
        <v>17</v>
      </c>
      <c r="D3175">
        <v>0</v>
      </c>
      <c r="E3175" t="s">
        <v>57</v>
      </c>
      <c r="F3175" t="s">
        <v>11</v>
      </c>
      <c r="G3175" t="s">
        <v>12</v>
      </c>
    </row>
    <row r="3176" spans="1:7" x14ac:dyDescent="0.3">
      <c r="A3176" t="s">
        <v>35</v>
      </c>
      <c r="B3176" t="s">
        <v>8</v>
      </c>
      <c r="C3176" t="s">
        <v>18</v>
      </c>
      <c r="D3176">
        <v>0</v>
      </c>
      <c r="E3176" t="s">
        <v>57</v>
      </c>
      <c r="F3176" t="s">
        <v>11</v>
      </c>
      <c r="G3176" t="s">
        <v>12</v>
      </c>
    </row>
    <row r="3177" spans="1:7" x14ac:dyDescent="0.3">
      <c r="A3177" t="s">
        <v>35</v>
      </c>
      <c r="B3177" t="s">
        <v>8</v>
      </c>
      <c r="C3177" t="s">
        <v>19</v>
      </c>
      <c r="D3177">
        <v>0</v>
      </c>
      <c r="E3177" t="s">
        <v>57</v>
      </c>
      <c r="F3177" t="s">
        <v>11</v>
      </c>
      <c r="G3177" t="s">
        <v>12</v>
      </c>
    </row>
    <row r="3178" spans="1:7" x14ac:dyDescent="0.3">
      <c r="A3178" t="s">
        <v>35</v>
      </c>
      <c r="B3178" t="s">
        <v>8</v>
      </c>
      <c r="C3178" t="s">
        <v>20</v>
      </c>
      <c r="D3178">
        <v>0</v>
      </c>
      <c r="E3178" t="s">
        <v>57</v>
      </c>
      <c r="F3178" t="s">
        <v>11</v>
      </c>
      <c r="G3178" t="s">
        <v>12</v>
      </c>
    </row>
    <row r="3179" spans="1:7" x14ac:dyDescent="0.3">
      <c r="A3179" t="s">
        <v>35</v>
      </c>
      <c r="B3179" t="s">
        <v>8</v>
      </c>
      <c r="C3179" t="s">
        <v>21</v>
      </c>
      <c r="D3179">
        <v>0</v>
      </c>
      <c r="E3179" t="s">
        <v>57</v>
      </c>
      <c r="F3179" t="s">
        <v>11</v>
      </c>
      <c r="G3179" t="s">
        <v>12</v>
      </c>
    </row>
    <row r="3180" spans="1:7" x14ac:dyDescent="0.3">
      <c r="A3180" t="s">
        <v>35</v>
      </c>
      <c r="B3180" t="s">
        <v>8</v>
      </c>
      <c r="C3180" t="s">
        <v>22</v>
      </c>
      <c r="D3180">
        <v>39</v>
      </c>
      <c r="E3180" t="s">
        <v>57</v>
      </c>
      <c r="F3180" t="s">
        <v>11</v>
      </c>
      <c r="G3180" t="s">
        <v>12</v>
      </c>
    </row>
    <row r="3181" spans="1:7" x14ac:dyDescent="0.3">
      <c r="A3181" t="s">
        <v>35</v>
      </c>
      <c r="B3181" t="s">
        <v>23</v>
      </c>
      <c r="C3181" t="s">
        <v>9</v>
      </c>
      <c r="D3181">
        <v>7</v>
      </c>
      <c r="E3181" t="s">
        <v>57</v>
      </c>
      <c r="F3181" t="s">
        <v>11</v>
      </c>
      <c r="G3181" t="s">
        <v>12</v>
      </c>
    </row>
    <row r="3182" spans="1:7" x14ac:dyDescent="0.3">
      <c r="A3182" t="s">
        <v>35</v>
      </c>
      <c r="B3182" t="s">
        <v>23</v>
      </c>
      <c r="C3182" t="s">
        <v>13</v>
      </c>
      <c r="D3182">
        <v>120</v>
      </c>
      <c r="E3182" t="s">
        <v>57</v>
      </c>
      <c r="F3182" t="s">
        <v>11</v>
      </c>
      <c r="G3182" t="s">
        <v>12</v>
      </c>
    </row>
    <row r="3183" spans="1:7" x14ac:dyDescent="0.3">
      <c r="A3183" t="s">
        <v>35</v>
      </c>
      <c r="B3183" t="s">
        <v>23</v>
      </c>
      <c r="C3183" t="s">
        <v>14</v>
      </c>
      <c r="D3183">
        <v>94</v>
      </c>
      <c r="E3183" t="s">
        <v>57</v>
      </c>
      <c r="F3183" t="s">
        <v>11</v>
      </c>
      <c r="G3183" t="s">
        <v>12</v>
      </c>
    </row>
    <row r="3184" spans="1:7" x14ac:dyDescent="0.3">
      <c r="A3184" t="s">
        <v>35</v>
      </c>
      <c r="B3184" t="s">
        <v>23</v>
      </c>
      <c r="C3184" t="s">
        <v>15</v>
      </c>
      <c r="D3184">
        <v>6</v>
      </c>
      <c r="E3184" t="s">
        <v>57</v>
      </c>
      <c r="F3184" t="s">
        <v>11</v>
      </c>
      <c r="G3184" t="s">
        <v>12</v>
      </c>
    </row>
    <row r="3185" spans="1:7" x14ac:dyDescent="0.3">
      <c r="A3185" t="s">
        <v>35</v>
      </c>
      <c r="B3185" t="s">
        <v>23</v>
      </c>
      <c r="C3185" t="s">
        <v>16</v>
      </c>
      <c r="D3185">
        <v>44</v>
      </c>
      <c r="E3185" t="s">
        <v>57</v>
      </c>
      <c r="F3185" t="s">
        <v>11</v>
      </c>
      <c r="G3185" t="s">
        <v>12</v>
      </c>
    </row>
    <row r="3186" spans="1:7" x14ac:dyDescent="0.3">
      <c r="A3186" t="s">
        <v>35</v>
      </c>
      <c r="B3186" t="s">
        <v>23</v>
      </c>
      <c r="C3186" t="s">
        <v>17</v>
      </c>
      <c r="D3186">
        <v>10</v>
      </c>
      <c r="E3186" t="s">
        <v>57</v>
      </c>
      <c r="F3186" t="s">
        <v>11</v>
      </c>
      <c r="G3186" t="s">
        <v>12</v>
      </c>
    </row>
    <row r="3187" spans="1:7" x14ac:dyDescent="0.3">
      <c r="A3187" t="s">
        <v>35</v>
      </c>
      <c r="B3187" t="s">
        <v>23</v>
      </c>
      <c r="C3187" t="s">
        <v>18</v>
      </c>
      <c r="D3187">
        <v>0</v>
      </c>
      <c r="E3187" t="s">
        <v>57</v>
      </c>
      <c r="F3187" t="s">
        <v>11</v>
      </c>
      <c r="G3187" t="s">
        <v>12</v>
      </c>
    </row>
    <row r="3188" spans="1:7" x14ac:dyDescent="0.3">
      <c r="A3188" t="s">
        <v>35</v>
      </c>
      <c r="B3188" t="s">
        <v>23</v>
      </c>
      <c r="C3188" t="s">
        <v>19</v>
      </c>
      <c r="D3188">
        <v>17</v>
      </c>
      <c r="E3188" t="s">
        <v>57</v>
      </c>
      <c r="F3188" t="s">
        <v>11</v>
      </c>
      <c r="G3188" t="s">
        <v>12</v>
      </c>
    </row>
    <row r="3189" spans="1:7" x14ac:dyDescent="0.3">
      <c r="A3189" t="s">
        <v>35</v>
      </c>
      <c r="B3189" t="s">
        <v>23</v>
      </c>
      <c r="C3189" t="s">
        <v>20</v>
      </c>
      <c r="D3189">
        <v>6</v>
      </c>
      <c r="E3189" t="s">
        <v>57</v>
      </c>
      <c r="F3189" t="s">
        <v>11</v>
      </c>
      <c r="G3189" t="s">
        <v>12</v>
      </c>
    </row>
    <row r="3190" spans="1:7" x14ac:dyDescent="0.3">
      <c r="A3190" t="s">
        <v>35</v>
      </c>
      <c r="B3190" t="s">
        <v>23</v>
      </c>
      <c r="C3190" t="s">
        <v>21</v>
      </c>
      <c r="D3190">
        <v>2</v>
      </c>
      <c r="E3190" t="s">
        <v>57</v>
      </c>
      <c r="F3190" t="s">
        <v>11</v>
      </c>
      <c r="G3190" t="s">
        <v>12</v>
      </c>
    </row>
    <row r="3191" spans="1:7" x14ac:dyDescent="0.3">
      <c r="A3191" t="s">
        <v>35</v>
      </c>
      <c r="B3191" t="s">
        <v>23</v>
      </c>
      <c r="C3191" t="s">
        <v>22</v>
      </c>
      <c r="D3191">
        <v>450</v>
      </c>
      <c r="E3191" t="s">
        <v>57</v>
      </c>
      <c r="F3191" t="s">
        <v>11</v>
      </c>
      <c r="G3191" t="s">
        <v>12</v>
      </c>
    </row>
    <row r="3192" spans="1:7" x14ac:dyDescent="0.3">
      <c r="A3192" t="s">
        <v>56</v>
      </c>
      <c r="B3192" t="s">
        <v>8</v>
      </c>
      <c r="C3192" t="s">
        <v>9</v>
      </c>
      <c r="D3192">
        <v>104</v>
      </c>
      <c r="E3192" t="s">
        <v>57</v>
      </c>
      <c r="F3192" t="s">
        <v>11</v>
      </c>
      <c r="G3192" t="s">
        <v>12</v>
      </c>
    </row>
    <row r="3193" spans="1:7" x14ac:dyDescent="0.3">
      <c r="A3193" t="s">
        <v>56</v>
      </c>
      <c r="B3193" t="s">
        <v>8</v>
      </c>
      <c r="C3193" t="s">
        <v>13</v>
      </c>
      <c r="D3193">
        <v>40</v>
      </c>
      <c r="E3193" t="s">
        <v>57</v>
      </c>
      <c r="F3193" t="s">
        <v>11</v>
      </c>
      <c r="G3193" t="s">
        <v>12</v>
      </c>
    </row>
    <row r="3194" spans="1:7" x14ac:dyDescent="0.3">
      <c r="A3194" t="s">
        <v>56</v>
      </c>
      <c r="B3194" t="s">
        <v>8</v>
      </c>
      <c r="C3194" t="s">
        <v>14</v>
      </c>
      <c r="D3194">
        <v>27</v>
      </c>
      <c r="E3194" t="s">
        <v>57</v>
      </c>
      <c r="F3194" t="s">
        <v>11</v>
      </c>
      <c r="G3194" t="s">
        <v>12</v>
      </c>
    </row>
    <row r="3195" spans="1:7" x14ac:dyDescent="0.3">
      <c r="A3195" t="s">
        <v>56</v>
      </c>
      <c r="B3195" t="s">
        <v>8</v>
      </c>
      <c r="C3195" t="s">
        <v>15</v>
      </c>
      <c r="D3195">
        <v>0</v>
      </c>
      <c r="E3195" t="s">
        <v>57</v>
      </c>
      <c r="F3195" t="s">
        <v>11</v>
      </c>
      <c r="G3195" t="s">
        <v>12</v>
      </c>
    </row>
    <row r="3196" spans="1:7" x14ac:dyDescent="0.3">
      <c r="A3196" t="s">
        <v>56</v>
      </c>
      <c r="B3196" t="s">
        <v>8</v>
      </c>
      <c r="C3196" t="s">
        <v>16</v>
      </c>
      <c r="D3196">
        <v>786</v>
      </c>
      <c r="E3196" t="s">
        <v>57</v>
      </c>
      <c r="F3196" t="s">
        <v>11</v>
      </c>
      <c r="G3196" t="s">
        <v>12</v>
      </c>
    </row>
    <row r="3197" spans="1:7" x14ac:dyDescent="0.3">
      <c r="A3197" t="s">
        <v>56</v>
      </c>
      <c r="B3197" t="s">
        <v>8</v>
      </c>
      <c r="C3197" t="s">
        <v>17</v>
      </c>
      <c r="D3197">
        <v>31</v>
      </c>
      <c r="E3197" t="s">
        <v>57</v>
      </c>
      <c r="F3197" t="s">
        <v>11</v>
      </c>
      <c r="G3197" t="s">
        <v>12</v>
      </c>
    </row>
    <row r="3198" spans="1:7" x14ac:dyDescent="0.3">
      <c r="A3198" t="s">
        <v>56</v>
      </c>
      <c r="B3198" t="s">
        <v>8</v>
      </c>
      <c r="C3198" t="s">
        <v>18</v>
      </c>
      <c r="D3198">
        <v>0</v>
      </c>
      <c r="E3198" t="s">
        <v>57</v>
      </c>
      <c r="F3198" t="s">
        <v>11</v>
      </c>
      <c r="G3198" t="s">
        <v>12</v>
      </c>
    </row>
    <row r="3199" spans="1:7" x14ac:dyDescent="0.3">
      <c r="A3199" t="s">
        <v>56</v>
      </c>
      <c r="B3199" t="s">
        <v>8</v>
      </c>
      <c r="C3199" t="s">
        <v>19</v>
      </c>
      <c r="D3199">
        <v>0</v>
      </c>
      <c r="E3199" t="s">
        <v>57</v>
      </c>
      <c r="F3199" t="s">
        <v>11</v>
      </c>
      <c r="G3199" t="s">
        <v>12</v>
      </c>
    </row>
    <row r="3200" spans="1:7" x14ac:dyDescent="0.3">
      <c r="A3200" t="s">
        <v>56</v>
      </c>
      <c r="B3200" t="s">
        <v>8</v>
      </c>
      <c r="C3200" t="s">
        <v>20</v>
      </c>
      <c r="D3200">
        <v>0</v>
      </c>
      <c r="E3200" t="s">
        <v>57</v>
      </c>
      <c r="F3200" t="s">
        <v>11</v>
      </c>
      <c r="G3200" t="s">
        <v>12</v>
      </c>
    </row>
    <row r="3201" spans="1:7" x14ac:dyDescent="0.3">
      <c r="A3201" t="s">
        <v>56</v>
      </c>
      <c r="B3201" t="s">
        <v>8</v>
      </c>
      <c r="C3201" t="s">
        <v>21</v>
      </c>
      <c r="D3201">
        <v>0</v>
      </c>
      <c r="E3201" t="s">
        <v>57</v>
      </c>
      <c r="F3201" t="s">
        <v>11</v>
      </c>
      <c r="G3201" t="s">
        <v>12</v>
      </c>
    </row>
    <row r="3202" spans="1:7" x14ac:dyDescent="0.3">
      <c r="A3202" t="s">
        <v>56</v>
      </c>
      <c r="B3202" t="s">
        <v>8</v>
      </c>
      <c r="C3202" t="s">
        <v>22</v>
      </c>
      <c r="D3202">
        <v>7</v>
      </c>
      <c r="E3202" t="s">
        <v>57</v>
      </c>
      <c r="F3202" t="s">
        <v>11</v>
      </c>
      <c r="G3202" t="s">
        <v>12</v>
      </c>
    </row>
    <row r="3203" spans="1:7" x14ac:dyDescent="0.3">
      <c r="A3203" t="s">
        <v>56</v>
      </c>
      <c r="B3203" t="s">
        <v>23</v>
      </c>
      <c r="C3203" t="s">
        <v>9</v>
      </c>
      <c r="D3203">
        <v>1017</v>
      </c>
      <c r="E3203" t="s">
        <v>57</v>
      </c>
      <c r="F3203" t="s">
        <v>11</v>
      </c>
      <c r="G3203" t="s">
        <v>12</v>
      </c>
    </row>
    <row r="3204" spans="1:7" x14ac:dyDescent="0.3">
      <c r="A3204" t="s">
        <v>56</v>
      </c>
      <c r="B3204" t="s">
        <v>23</v>
      </c>
      <c r="C3204" t="s">
        <v>13</v>
      </c>
      <c r="D3204">
        <v>913</v>
      </c>
      <c r="E3204" t="s">
        <v>57</v>
      </c>
      <c r="F3204" t="s">
        <v>11</v>
      </c>
      <c r="G3204" t="s">
        <v>12</v>
      </c>
    </row>
    <row r="3205" spans="1:7" x14ac:dyDescent="0.3">
      <c r="A3205" t="s">
        <v>56</v>
      </c>
      <c r="B3205" t="s">
        <v>23</v>
      </c>
      <c r="C3205" t="s">
        <v>14</v>
      </c>
      <c r="D3205">
        <v>495</v>
      </c>
      <c r="E3205" t="s">
        <v>57</v>
      </c>
      <c r="F3205" t="s">
        <v>11</v>
      </c>
      <c r="G3205" t="s">
        <v>12</v>
      </c>
    </row>
    <row r="3206" spans="1:7" x14ac:dyDescent="0.3">
      <c r="A3206" t="s">
        <v>56</v>
      </c>
      <c r="B3206" t="s">
        <v>23</v>
      </c>
      <c r="C3206" t="s">
        <v>15</v>
      </c>
      <c r="D3206">
        <v>19</v>
      </c>
      <c r="E3206" t="s">
        <v>57</v>
      </c>
      <c r="F3206" t="s">
        <v>11</v>
      </c>
      <c r="G3206" t="s">
        <v>12</v>
      </c>
    </row>
    <row r="3207" spans="1:7" x14ac:dyDescent="0.3">
      <c r="A3207" t="s">
        <v>56</v>
      </c>
      <c r="B3207" t="s">
        <v>23</v>
      </c>
      <c r="C3207" t="s">
        <v>16</v>
      </c>
      <c r="D3207">
        <v>3050</v>
      </c>
      <c r="E3207" t="s">
        <v>57</v>
      </c>
      <c r="F3207" t="s">
        <v>11</v>
      </c>
      <c r="G3207" t="s">
        <v>12</v>
      </c>
    </row>
    <row r="3208" spans="1:7" x14ac:dyDescent="0.3">
      <c r="A3208" t="s">
        <v>56</v>
      </c>
      <c r="B3208" t="s">
        <v>23</v>
      </c>
      <c r="C3208" t="s">
        <v>17</v>
      </c>
      <c r="D3208">
        <v>30</v>
      </c>
      <c r="E3208" t="s">
        <v>57</v>
      </c>
      <c r="F3208" t="s">
        <v>11</v>
      </c>
      <c r="G3208" t="s">
        <v>12</v>
      </c>
    </row>
    <row r="3209" spans="1:7" x14ac:dyDescent="0.3">
      <c r="A3209" t="s">
        <v>56</v>
      </c>
      <c r="B3209" t="s">
        <v>23</v>
      </c>
      <c r="C3209" t="s">
        <v>18</v>
      </c>
      <c r="D3209">
        <v>0</v>
      </c>
      <c r="E3209" t="s">
        <v>57</v>
      </c>
      <c r="F3209" t="s">
        <v>11</v>
      </c>
      <c r="G3209" t="s">
        <v>12</v>
      </c>
    </row>
    <row r="3210" spans="1:7" x14ac:dyDescent="0.3">
      <c r="A3210" t="s">
        <v>56</v>
      </c>
      <c r="B3210" t="s">
        <v>23</v>
      </c>
      <c r="C3210" t="s">
        <v>19</v>
      </c>
      <c r="D3210">
        <v>38</v>
      </c>
      <c r="E3210" t="s">
        <v>57</v>
      </c>
      <c r="F3210" t="s">
        <v>11</v>
      </c>
      <c r="G3210" t="s">
        <v>12</v>
      </c>
    </row>
    <row r="3211" spans="1:7" x14ac:dyDescent="0.3">
      <c r="A3211" t="s">
        <v>56</v>
      </c>
      <c r="B3211" t="s">
        <v>23</v>
      </c>
      <c r="C3211" t="s">
        <v>20</v>
      </c>
      <c r="D3211">
        <v>61</v>
      </c>
      <c r="E3211" t="s">
        <v>57</v>
      </c>
      <c r="F3211" t="s">
        <v>11</v>
      </c>
      <c r="G3211" t="s">
        <v>12</v>
      </c>
    </row>
    <row r="3212" spans="1:7" x14ac:dyDescent="0.3">
      <c r="A3212" t="s">
        <v>56</v>
      </c>
      <c r="B3212" t="s">
        <v>23</v>
      </c>
      <c r="C3212" t="s">
        <v>21</v>
      </c>
      <c r="D3212">
        <v>10</v>
      </c>
      <c r="E3212" t="s">
        <v>57</v>
      </c>
      <c r="F3212" t="s">
        <v>11</v>
      </c>
      <c r="G3212" t="s">
        <v>12</v>
      </c>
    </row>
    <row r="3213" spans="1:7" x14ac:dyDescent="0.3">
      <c r="A3213" t="s">
        <v>56</v>
      </c>
      <c r="B3213" t="s">
        <v>23</v>
      </c>
      <c r="C3213" t="s">
        <v>22</v>
      </c>
      <c r="D3213">
        <v>72</v>
      </c>
      <c r="E3213" t="s">
        <v>57</v>
      </c>
      <c r="F3213" t="s">
        <v>11</v>
      </c>
      <c r="G3213" t="s">
        <v>12</v>
      </c>
    </row>
    <row r="3214" spans="1:7" x14ac:dyDescent="0.3">
      <c r="A3214" t="s">
        <v>66</v>
      </c>
      <c r="B3214" t="s">
        <v>8</v>
      </c>
      <c r="C3214" t="s">
        <v>9</v>
      </c>
      <c r="D3214">
        <v>66</v>
      </c>
      <c r="E3214" t="s">
        <v>57</v>
      </c>
      <c r="F3214" t="s">
        <v>11</v>
      </c>
      <c r="G3214" t="s">
        <v>12</v>
      </c>
    </row>
    <row r="3215" spans="1:7" x14ac:dyDescent="0.3">
      <c r="A3215" t="s">
        <v>66</v>
      </c>
      <c r="B3215" t="s">
        <v>8</v>
      </c>
      <c r="C3215" t="s">
        <v>13</v>
      </c>
      <c r="D3215">
        <v>0</v>
      </c>
      <c r="E3215" t="s">
        <v>57</v>
      </c>
      <c r="F3215" t="s">
        <v>11</v>
      </c>
      <c r="G3215" t="s">
        <v>12</v>
      </c>
    </row>
    <row r="3216" spans="1:7" x14ac:dyDescent="0.3">
      <c r="A3216" t="s">
        <v>66</v>
      </c>
      <c r="B3216" t="s">
        <v>8</v>
      </c>
      <c r="C3216" t="s">
        <v>14</v>
      </c>
      <c r="D3216">
        <v>1</v>
      </c>
      <c r="E3216" t="s">
        <v>57</v>
      </c>
      <c r="F3216" t="s">
        <v>11</v>
      </c>
      <c r="G3216" t="s">
        <v>12</v>
      </c>
    </row>
    <row r="3217" spans="1:7" x14ac:dyDescent="0.3">
      <c r="A3217" t="s">
        <v>66</v>
      </c>
      <c r="B3217" t="s">
        <v>8</v>
      </c>
      <c r="C3217" t="s">
        <v>15</v>
      </c>
      <c r="D3217">
        <v>0</v>
      </c>
      <c r="E3217" t="s">
        <v>57</v>
      </c>
      <c r="F3217" t="s">
        <v>11</v>
      </c>
      <c r="G3217" t="s">
        <v>12</v>
      </c>
    </row>
    <row r="3218" spans="1:7" x14ac:dyDescent="0.3">
      <c r="A3218" t="s">
        <v>66</v>
      </c>
      <c r="B3218" t="s">
        <v>8</v>
      </c>
      <c r="C3218" t="s">
        <v>16</v>
      </c>
      <c r="D3218">
        <v>1</v>
      </c>
      <c r="E3218" t="s">
        <v>57</v>
      </c>
      <c r="F3218" t="s">
        <v>11</v>
      </c>
      <c r="G3218" t="s">
        <v>12</v>
      </c>
    </row>
    <row r="3219" spans="1:7" x14ac:dyDescent="0.3">
      <c r="A3219" t="s">
        <v>66</v>
      </c>
      <c r="B3219" t="s">
        <v>8</v>
      </c>
      <c r="C3219" t="s">
        <v>17</v>
      </c>
      <c r="D3219">
        <v>7</v>
      </c>
      <c r="E3219" t="s">
        <v>57</v>
      </c>
      <c r="F3219" t="s">
        <v>11</v>
      </c>
      <c r="G3219" t="s">
        <v>12</v>
      </c>
    </row>
    <row r="3220" spans="1:7" x14ac:dyDescent="0.3">
      <c r="A3220" t="s">
        <v>66</v>
      </c>
      <c r="B3220" t="s">
        <v>8</v>
      </c>
      <c r="C3220" t="s">
        <v>18</v>
      </c>
      <c r="D3220">
        <v>0</v>
      </c>
      <c r="E3220" t="s">
        <v>57</v>
      </c>
      <c r="F3220" t="s">
        <v>11</v>
      </c>
      <c r="G3220" t="s">
        <v>12</v>
      </c>
    </row>
    <row r="3221" spans="1:7" x14ac:dyDescent="0.3">
      <c r="A3221" t="s">
        <v>66</v>
      </c>
      <c r="B3221" t="s">
        <v>8</v>
      </c>
      <c r="C3221" t="s">
        <v>19</v>
      </c>
      <c r="D3221">
        <v>0</v>
      </c>
      <c r="E3221" t="s">
        <v>57</v>
      </c>
      <c r="F3221" t="s">
        <v>11</v>
      </c>
      <c r="G3221" t="s">
        <v>12</v>
      </c>
    </row>
    <row r="3222" spans="1:7" x14ac:dyDescent="0.3">
      <c r="A3222" t="s">
        <v>66</v>
      </c>
      <c r="B3222" t="s">
        <v>8</v>
      </c>
      <c r="C3222" t="s">
        <v>20</v>
      </c>
      <c r="D3222">
        <v>0</v>
      </c>
      <c r="E3222" t="s">
        <v>57</v>
      </c>
      <c r="F3222" t="s">
        <v>11</v>
      </c>
      <c r="G3222" t="s">
        <v>12</v>
      </c>
    </row>
    <row r="3223" spans="1:7" x14ac:dyDescent="0.3">
      <c r="A3223" t="s">
        <v>66</v>
      </c>
      <c r="B3223" t="s">
        <v>8</v>
      </c>
      <c r="C3223" t="s">
        <v>21</v>
      </c>
      <c r="D3223">
        <v>0</v>
      </c>
      <c r="E3223" t="s">
        <v>57</v>
      </c>
      <c r="F3223" t="s">
        <v>11</v>
      </c>
      <c r="G3223" t="s">
        <v>12</v>
      </c>
    </row>
    <row r="3224" spans="1:7" x14ac:dyDescent="0.3">
      <c r="A3224" t="s">
        <v>66</v>
      </c>
      <c r="B3224" t="s">
        <v>8</v>
      </c>
      <c r="C3224" t="s">
        <v>22</v>
      </c>
      <c r="D3224">
        <v>2</v>
      </c>
      <c r="E3224" t="s">
        <v>57</v>
      </c>
      <c r="F3224" t="s">
        <v>11</v>
      </c>
      <c r="G3224" t="s">
        <v>12</v>
      </c>
    </row>
    <row r="3225" spans="1:7" x14ac:dyDescent="0.3">
      <c r="A3225" t="s">
        <v>66</v>
      </c>
      <c r="B3225" t="s">
        <v>23</v>
      </c>
      <c r="C3225" t="s">
        <v>9</v>
      </c>
      <c r="D3225">
        <v>650</v>
      </c>
      <c r="E3225" t="s">
        <v>57</v>
      </c>
      <c r="F3225" t="s">
        <v>11</v>
      </c>
      <c r="G3225" t="s">
        <v>12</v>
      </c>
    </row>
    <row r="3226" spans="1:7" x14ac:dyDescent="0.3">
      <c r="A3226" t="s">
        <v>66</v>
      </c>
      <c r="B3226" t="s">
        <v>23</v>
      </c>
      <c r="C3226" t="s">
        <v>13</v>
      </c>
      <c r="D3226">
        <v>24</v>
      </c>
      <c r="E3226" t="s">
        <v>57</v>
      </c>
      <c r="F3226" t="s">
        <v>11</v>
      </c>
      <c r="G3226" t="s">
        <v>12</v>
      </c>
    </row>
    <row r="3227" spans="1:7" x14ac:dyDescent="0.3">
      <c r="A3227" t="s">
        <v>66</v>
      </c>
      <c r="B3227" t="s">
        <v>23</v>
      </c>
      <c r="C3227" t="s">
        <v>14</v>
      </c>
      <c r="D3227">
        <v>268</v>
      </c>
      <c r="E3227" t="s">
        <v>57</v>
      </c>
      <c r="F3227" t="s">
        <v>11</v>
      </c>
      <c r="G3227" t="s">
        <v>12</v>
      </c>
    </row>
    <row r="3228" spans="1:7" x14ac:dyDescent="0.3">
      <c r="A3228" t="s">
        <v>66</v>
      </c>
      <c r="B3228" t="s">
        <v>23</v>
      </c>
      <c r="C3228" t="s">
        <v>15</v>
      </c>
      <c r="D3228">
        <v>10</v>
      </c>
      <c r="E3228" t="s">
        <v>57</v>
      </c>
      <c r="F3228" t="s">
        <v>11</v>
      </c>
      <c r="G3228" t="s">
        <v>12</v>
      </c>
    </row>
    <row r="3229" spans="1:7" x14ac:dyDescent="0.3">
      <c r="A3229" t="s">
        <v>66</v>
      </c>
      <c r="B3229" t="s">
        <v>23</v>
      </c>
      <c r="C3229" t="s">
        <v>16</v>
      </c>
      <c r="D3229">
        <v>176</v>
      </c>
      <c r="E3229" t="s">
        <v>57</v>
      </c>
      <c r="F3229" t="s">
        <v>11</v>
      </c>
      <c r="G3229" t="s">
        <v>12</v>
      </c>
    </row>
    <row r="3230" spans="1:7" x14ac:dyDescent="0.3">
      <c r="A3230" t="s">
        <v>66</v>
      </c>
      <c r="B3230" t="s">
        <v>23</v>
      </c>
      <c r="C3230" t="s">
        <v>17</v>
      </c>
      <c r="D3230">
        <v>18</v>
      </c>
      <c r="E3230" t="s">
        <v>57</v>
      </c>
      <c r="F3230" t="s">
        <v>11</v>
      </c>
      <c r="G3230" t="s">
        <v>12</v>
      </c>
    </row>
    <row r="3231" spans="1:7" x14ac:dyDescent="0.3">
      <c r="A3231" t="s">
        <v>66</v>
      </c>
      <c r="B3231" t="s">
        <v>23</v>
      </c>
      <c r="C3231" t="s">
        <v>18</v>
      </c>
      <c r="D3231">
        <v>0</v>
      </c>
      <c r="E3231" t="s">
        <v>57</v>
      </c>
      <c r="F3231" t="s">
        <v>11</v>
      </c>
      <c r="G3231" t="s">
        <v>12</v>
      </c>
    </row>
    <row r="3232" spans="1:7" x14ac:dyDescent="0.3">
      <c r="A3232" t="s">
        <v>66</v>
      </c>
      <c r="B3232" t="s">
        <v>23</v>
      </c>
      <c r="C3232" t="s">
        <v>19</v>
      </c>
      <c r="D3232">
        <v>10</v>
      </c>
      <c r="E3232" t="s">
        <v>57</v>
      </c>
      <c r="F3232" t="s">
        <v>11</v>
      </c>
      <c r="G3232" t="s">
        <v>12</v>
      </c>
    </row>
    <row r="3233" spans="1:7" x14ac:dyDescent="0.3">
      <c r="A3233" t="s">
        <v>66</v>
      </c>
      <c r="B3233" t="s">
        <v>23</v>
      </c>
      <c r="C3233" t="s">
        <v>20</v>
      </c>
      <c r="D3233">
        <v>11</v>
      </c>
      <c r="E3233" t="s">
        <v>57</v>
      </c>
      <c r="F3233" t="s">
        <v>11</v>
      </c>
      <c r="G3233" t="s">
        <v>12</v>
      </c>
    </row>
    <row r="3234" spans="1:7" x14ac:dyDescent="0.3">
      <c r="A3234" t="s">
        <v>66</v>
      </c>
      <c r="B3234" t="s">
        <v>23</v>
      </c>
      <c r="C3234" t="s">
        <v>21</v>
      </c>
      <c r="D3234">
        <v>5</v>
      </c>
      <c r="E3234" t="s">
        <v>57</v>
      </c>
      <c r="F3234" t="s">
        <v>11</v>
      </c>
      <c r="G3234" t="s">
        <v>12</v>
      </c>
    </row>
    <row r="3235" spans="1:7" x14ac:dyDescent="0.3">
      <c r="A3235" t="s">
        <v>66</v>
      </c>
      <c r="B3235" t="s">
        <v>23</v>
      </c>
      <c r="C3235" t="s">
        <v>22</v>
      </c>
      <c r="D3235">
        <v>3</v>
      </c>
      <c r="E3235" t="s">
        <v>57</v>
      </c>
      <c r="F3235" t="s">
        <v>11</v>
      </c>
      <c r="G3235" t="s">
        <v>12</v>
      </c>
    </row>
    <row r="3236" spans="1:7" x14ac:dyDescent="0.3">
      <c r="A3236" t="s">
        <v>43</v>
      </c>
      <c r="B3236" t="s">
        <v>8</v>
      </c>
      <c r="C3236" t="s">
        <v>9</v>
      </c>
      <c r="D3236">
        <v>0</v>
      </c>
      <c r="E3236" t="s">
        <v>57</v>
      </c>
      <c r="F3236" t="s">
        <v>36</v>
      </c>
      <c r="G3236" t="s">
        <v>37</v>
      </c>
    </row>
    <row r="3237" spans="1:7" x14ac:dyDescent="0.3">
      <c r="A3237" t="s">
        <v>43</v>
      </c>
      <c r="B3237" t="s">
        <v>8</v>
      </c>
      <c r="C3237" t="s">
        <v>13</v>
      </c>
      <c r="D3237">
        <v>0</v>
      </c>
      <c r="E3237" t="s">
        <v>57</v>
      </c>
      <c r="F3237" t="s">
        <v>36</v>
      </c>
      <c r="G3237" t="s">
        <v>37</v>
      </c>
    </row>
    <row r="3238" spans="1:7" x14ac:dyDescent="0.3">
      <c r="A3238" t="s">
        <v>43</v>
      </c>
      <c r="B3238" t="s">
        <v>8</v>
      </c>
      <c r="C3238" t="s">
        <v>14</v>
      </c>
      <c r="D3238">
        <v>0</v>
      </c>
      <c r="E3238" t="s">
        <v>57</v>
      </c>
      <c r="F3238" t="s">
        <v>36</v>
      </c>
      <c r="G3238" t="s">
        <v>37</v>
      </c>
    </row>
    <row r="3239" spans="1:7" x14ac:dyDescent="0.3">
      <c r="A3239" t="s">
        <v>43</v>
      </c>
      <c r="B3239" t="s">
        <v>8</v>
      </c>
      <c r="C3239" t="s">
        <v>15</v>
      </c>
      <c r="D3239">
        <v>0</v>
      </c>
      <c r="E3239" t="s">
        <v>57</v>
      </c>
      <c r="F3239" t="s">
        <v>36</v>
      </c>
      <c r="G3239" t="s">
        <v>37</v>
      </c>
    </row>
    <row r="3240" spans="1:7" x14ac:dyDescent="0.3">
      <c r="A3240" t="s">
        <v>43</v>
      </c>
      <c r="B3240" t="s">
        <v>8</v>
      </c>
      <c r="C3240" t="s">
        <v>16</v>
      </c>
      <c r="D3240">
        <v>0</v>
      </c>
      <c r="E3240" t="s">
        <v>57</v>
      </c>
      <c r="F3240" t="s">
        <v>36</v>
      </c>
      <c r="G3240" t="s">
        <v>37</v>
      </c>
    </row>
    <row r="3241" spans="1:7" x14ac:dyDescent="0.3">
      <c r="A3241" t="s">
        <v>43</v>
      </c>
      <c r="B3241" t="s">
        <v>8</v>
      </c>
      <c r="C3241" t="s">
        <v>17</v>
      </c>
      <c r="D3241">
        <v>0</v>
      </c>
      <c r="E3241" t="s">
        <v>57</v>
      </c>
      <c r="F3241" t="s">
        <v>36</v>
      </c>
      <c r="G3241" t="s">
        <v>37</v>
      </c>
    </row>
    <row r="3242" spans="1:7" x14ac:dyDescent="0.3">
      <c r="A3242" t="s">
        <v>43</v>
      </c>
      <c r="B3242" t="s">
        <v>8</v>
      </c>
      <c r="C3242" t="s">
        <v>18</v>
      </c>
      <c r="D3242">
        <v>0</v>
      </c>
      <c r="E3242" t="s">
        <v>57</v>
      </c>
      <c r="F3242" t="s">
        <v>36</v>
      </c>
      <c r="G3242" t="s">
        <v>37</v>
      </c>
    </row>
    <row r="3243" spans="1:7" x14ac:dyDescent="0.3">
      <c r="A3243" t="s">
        <v>43</v>
      </c>
      <c r="B3243" t="s">
        <v>8</v>
      </c>
      <c r="C3243" t="s">
        <v>19</v>
      </c>
      <c r="D3243">
        <v>0</v>
      </c>
      <c r="E3243" t="s">
        <v>57</v>
      </c>
      <c r="F3243" t="s">
        <v>36</v>
      </c>
      <c r="G3243" t="s">
        <v>37</v>
      </c>
    </row>
    <row r="3244" spans="1:7" x14ac:dyDescent="0.3">
      <c r="A3244" t="s">
        <v>43</v>
      </c>
      <c r="B3244" t="s">
        <v>8</v>
      </c>
      <c r="C3244" t="s">
        <v>20</v>
      </c>
      <c r="D3244">
        <v>0</v>
      </c>
      <c r="E3244" t="s">
        <v>57</v>
      </c>
      <c r="F3244" t="s">
        <v>36</v>
      </c>
      <c r="G3244" t="s">
        <v>37</v>
      </c>
    </row>
    <row r="3245" spans="1:7" x14ac:dyDescent="0.3">
      <c r="A3245" t="s">
        <v>43</v>
      </c>
      <c r="B3245" t="s">
        <v>8</v>
      </c>
      <c r="C3245" t="s">
        <v>21</v>
      </c>
      <c r="D3245">
        <v>0</v>
      </c>
      <c r="E3245" t="s">
        <v>57</v>
      </c>
      <c r="F3245" t="s">
        <v>36</v>
      </c>
      <c r="G3245" t="s">
        <v>37</v>
      </c>
    </row>
    <row r="3246" spans="1:7" x14ac:dyDescent="0.3">
      <c r="A3246" t="s">
        <v>43</v>
      </c>
      <c r="B3246" t="s">
        <v>8</v>
      </c>
      <c r="C3246" t="s">
        <v>22</v>
      </c>
      <c r="D3246">
        <v>0</v>
      </c>
      <c r="E3246" t="s">
        <v>57</v>
      </c>
      <c r="F3246" t="s">
        <v>36</v>
      </c>
      <c r="G3246" t="s">
        <v>37</v>
      </c>
    </row>
    <row r="3247" spans="1:7" x14ac:dyDescent="0.3">
      <c r="A3247" t="s">
        <v>43</v>
      </c>
      <c r="B3247" t="s">
        <v>23</v>
      </c>
      <c r="C3247" t="s">
        <v>9</v>
      </c>
      <c r="D3247">
        <v>371</v>
      </c>
      <c r="E3247" t="s">
        <v>57</v>
      </c>
      <c r="F3247" t="s">
        <v>36</v>
      </c>
      <c r="G3247" t="s">
        <v>37</v>
      </c>
    </row>
    <row r="3248" spans="1:7" x14ac:dyDescent="0.3">
      <c r="A3248" t="s">
        <v>43</v>
      </c>
      <c r="B3248" t="s">
        <v>23</v>
      </c>
      <c r="C3248" t="s">
        <v>13</v>
      </c>
      <c r="D3248">
        <v>52</v>
      </c>
      <c r="E3248" t="s">
        <v>57</v>
      </c>
      <c r="F3248" t="s">
        <v>36</v>
      </c>
      <c r="G3248" t="s">
        <v>37</v>
      </c>
    </row>
    <row r="3249" spans="1:7" x14ac:dyDescent="0.3">
      <c r="A3249" t="s">
        <v>43</v>
      </c>
      <c r="B3249" t="s">
        <v>23</v>
      </c>
      <c r="C3249" t="s">
        <v>14</v>
      </c>
      <c r="D3249">
        <v>175938</v>
      </c>
      <c r="E3249" t="s">
        <v>57</v>
      </c>
      <c r="F3249" t="s">
        <v>36</v>
      </c>
      <c r="G3249" t="s">
        <v>37</v>
      </c>
    </row>
    <row r="3250" spans="1:7" x14ac:dyDescent="0.3">
      <c r="A3250" t="s">
        <v>43</v>
      </c>
      <c r="B3250" t="s">
        <v>23</v>
      </c>
      <c r="C3250" t="s">
        <v>15</v>
      </c>
      <c r="D3250">
        <v>11067</v>
      </c>
      <c r="E3250" t="s">
        <v>57</v>
      </c>
      <c r="F3250" t="s">
        <v>36</v>
      </c>
      <c r="G3250" t="s">
        <v>37</v>
      </c>
    </row>
    <row r="3251" spans="1:7" x14ac:dyDescent="0.3">
      <c r="A3251" t="s">
        <v>43</v>
      </c>
      <c r="B3251" t="s">
        <v>23</v>
      </c>
      <c r="C3251" t="s">
        <v>16</v>
      </c>
      <c r="D3251">
        <v>37421</v>
      </c>
      <c r="E3251" t="s">
        <v>57</v>
      </c>
      <c r="F3251" t="s">
        <v>36</v>
      </c>
      <c r="G3251" t="s">
        <v>37</v>
      </c>
    </row>
    <row r="3252" spans="1:7" x14ac:dyDescent="0.3">
      <c r="A3252" t="s">
        <v>43</v>
      </c>
      <c r="B3252" t="s">
        <v>23</v>
      </c>
      <c r="C3252" t="s">
        <v>17</v>
      </c>
      <c r="D3252">
        <v>25</v>
      </c>
      <c r="E3252" t="s">
        <v>57</v>
      </c>
      <c r="F3252" t="s">
        <v>36</v>
      </c>
      <c r="G3252" t="s">
        <v>37</v>
      </c>
    </row>
    <row r="3253" spans="1:7" x14ac:dyDescent="0.3">
      <c r="A3253" t="s">
        <v>43</v>
      </c>
      <c r="B3253" t="s">
        <v>23</v>
      </c>
      <c r="C3253" t="s">
        <v>18</v>
      </c>
      <c r="D3253">
        <v>0</v>
      </c>
      <c r="E3253" t="s">
        <v>57</v>
      </c>
      <c r="F3253" t="s">
        <v>36</v>
      </c>
      <c r="G3253" t="s">
        <v>37</v>
      </c>
    </row>
    <row r="3254" spans="1:7" x14ac:dyDescent="0.3">
      <c r="A3254" t="s">
        <v>43</v>
      </c>
      <c r="B3254" t="s">
        <v>23</v>
      </c>
      <c r="C3254" t="s">
        <v>19</v>
      </c>
      <c r="D3254">
        <v>414</v>
      </c>
      <c r="E3254" t="s">
        <v>57</v>
      </c>
      <c r="F3254" t="s">
        <v>36</v>
      </c>
      <c r="G3254" t="s">
        <v>37</v>
      </c>
    </row>
    <row r="3255" spans="1:7" x14ac:dyDescent="0.3">
      <c r="A3255" t="s">
        <v>43</v>
      </c>
      <c r="B3255" t="s">
        <v>23</v>
      </c>
      <c r="C3255" t="s">
        <v>20</v>
      </c>
      <c r="D3255">
        <v>2016</v>
      </c>
      <c r="E3255" t="s">
        <v>57</v>
      </c>
      <c r="F3255" t="s">
        <v>36</v>
      </c>
      <c r="G3255" t="s">
        <v>37</v>
      </c>
    </row>
    <row r="3256" spans="1:7" x14ac:dyDescent="0.3">
      <c r="A3256" t="s">
        <v>43</v>
      </c>
      <c r="B3256" t="s">
        <v>23</v>
      </c>
      <c r="C3256" t="s">
        <v>21</v>
      </c>
      <c r="D3256">
        <v>367</v>
      </c>
      <c r="E3256" t="s">
        <v>57</v>
      </c>
      <c r="F3256" t="s">
        <v>36</v>
      </c>
      <c r="G3256" t="s">
        <v>37</v>
      </c>
    </row>
    <row r="3257" spans="1:7" x14ac:dyDescent="0.3">
      <c r="A3257" t="s">
        <v>43</v>
      </c>
      <c r="B3257" t="s">
        <v>23</v>
      </c>
      <c r="C3257" t="s">
        <v>22</v>
      </c>
      <c r="D3257">
        <v>359</v>
      </c>
      <c r="E3257" t="s">
        <v>57</v>
      </c>
      <c r="F3257" t="s">
        <v>36</v>
      </c>
      <c r="G3257" t="s">
        <v>37</v>
      </c>
    </row>
    <row r="3258" spans="1:7" x14ac:dyDescent="0.3">
      <c r="A3258" t="s">
        <v>7</v>
      </c>
      <c r="B3258" t="s">
        <v>8</v>
      </c>
      <c r="C3258" t="s">
        <v>9</v>
      </c>
      <c r="D3258">
        <v>0</v>
      </c>
      <c r="E3258" t="s">
        <v>57</v>
      </c>
      <c r="F3258" t="s">
        <v>36</v>
      </c>
      <c r="G3258" t="s">
        <v>37</v>
      </c>
    </row>
    <row r="3259" spans="1:7" x14ac:dyDescent="0.3">
      <c r="A3259" t="s">
        <v>7</v>
      </c>
      <c r="B3259" t="s">
        <v>8</v>
      </c>
      <c r="C3259" t="s">
        <v>13</v>
      </c>
      <c r="D3259">
        <v>0</v>
      </c>
      <c r="E3259" t="s">
        <v>57</v>
      </c>
      <c r="F3259" t="s">
        <v>36</v>
      </c>
      <c r="G3259" t="s">
        <v>37</v>
      </c>
    </row>
    <row r="3260" spans="1:7" x14ac:dyDescent="0.3">
      <c r="A3260" t="s">
        <v>7</v>
      </c>
      <c r="B3260" t="s">
        <v>8</v>
      </c>
      <c r="C3260" t="s">
        <v>14</v>
      </c>
      <c r="D3260">
        <v>0</v>
      </c>
      <c r="E3260" t="s">
        <v>57</v>
      </c>
      <c r="F3260" t="s">
        <v>36</v>
      </c>
      <c r="G3260" t="s">
        <v>37</v>
      </c>
    </row>
    <row r="3261" spans="1:7" x14ac:dyDescent="0.3">
      <c r="A3261" t="s">
        <v>7</v>
      </c>
      <c r="B3261" t="s">
        <v>8</v>
      </c>
      <c r="C3261" t="s">
        <v>15</v>
      </c>
      <c r="D3261">
        <v>0</v>
      </c>
      <c r="E3261" t="s">
        <v>57</v>
      </c>
      <c r="F3261" t="s">
        <v>36</v>
      </c>
      <c r="G3261" t="s">
        <v>37</v>
      </c>
    </row>
    <row r="3262" spans="1:7" x14ac:dyDescent="0.3">
      <c r="A3262" t="s">
        <v>7</v>
      </c>
      <c r="B3262" t="s">
        <v>8</v>
      </c>
      <c r="C3262" t="s">
        <v>16</v>
      </c>
      <c r="D3262">
        <v>0</v>
      </c>
      <c r="E3262" t="s">
        <v>57</v>
      </c>
      <c r="F3262" t="s">
        <v>36</v>
      </c>
      <c r="G3262" t="s">
        <v>37</v>
      </c>
    </row>
    <row r="3263" spans="1:7" x14ac:dyDescent="0.3">
      <c r="A3263" t="s">
        <v>7</v>
      </c>
      <c r="B3263" t="s">
        <v>8</v>
      </c>
      <c r="C3263" t="s">
        <v>17</v>
      </c>
      <c r="D3263">
        <v>0</v>
      </c>
      <c r="E3263" t="s">
        <v>57</v>
      </c>
      <c r="F3263" t="s">
        <v>36</v>
      </c>
      <c r="G3263" t="s">
        <v>37</v>
      </c>
    </row>
    <row r="3264" spans="1:7" x14ac:dyDescent="0.3">
      <c r="A3264" t="s">
        <v>7</v>
      </c>
      <c r="B3264" t="s">
        <v>8</v>
      </c>
      <c r="C3264" t="s">
        <v>18</v>
      </c>
      <c r="D3264">
        <v>0</v>
      </c>
      <c r="E3264" t="s">
        <v>57</v>
      </c>
      <c r="F3264" t="s">
        <v>36</v>
      </c>
      <c r="G3264" t="s">
        <v>37</v>
      </c>
    </row>
    <row r="3265" spans="1:7" x14ac:dyDescent="0.3">
      <c r="A3265" t="s">
        <v>7</v>
      </c>
      <c r="B3265" t="s">
        <v>8</v>
      </c>
      <c r="C3265" t="s">
        <v>19</v>
      </c>
      <c r="D3265">
        <v>0</v>
      </c>
      <c r="E3265" t="s">
        <v>57</v>
      </c>
      <c r="F3265" t="s">
        <v>36</v>
      </c>
      <c r="G3265" t="s">
        <v>37</v>
      </c>
    </row>
    <row r="3266" spans="1:7" x14ac:dyDescent="0.3">
      <c r="A3266" t="s">
        <v>7</v>
      </c>
      <c r="B3266" t="s">
        <v>8</v>
      </c>
      <c r="C3266" t="s">
        <v>20</v>
      </c>
      <c r="D3266">
        <v>0</v>
      </c>
      <c r="E3266" t="s">
        <v>57</v>
      </c>
      <c r="F3266" t="s">
        <v>36</v>
      </c>
      <c r="G3266" t="s">
        <v>37</v>
      </c>
    </row>
    <row r="3267" spans="1:7" x14ac:dyDescent="0.3">
      <c r="A3267" t="s">
        <v>7</v>
      </c>
      <c r="B3267" t="s">
        <v>8</v>
      </c>
      <c r="C3267" t="s">
        <v>21</v>
      </c>
      <c r="D3267">
        <v>0</v>
      </c>
      <c r="E3267" t="s">
        <v>57</v>
      </c>
      <c r="F3267" t="s">
        <v>36</v>
      </c>
      <c r="G3267" t="s">
        <v>37</v>
      </c>
    </row>
    <row r="3268" spans="1:7" x14ac:dyDescent="0.3">
      <c r="A3268" t="s">
        <v>7</v>
      </c>
      <c r="B3268" t="s">
        <v>8</v>
      </c>
      <c r="C3268" t="s">
        <v>22</v>
      </c>
      <c r="D3268">
        <v>0</v>
      </c>
      <c r="E3268" t="s">
        <v>57</v>
      </c>
      <c r="F3268" t="s">
        <v>36</v>
      </c>
      <c r="G3268" t="s">
        <v>37</v>
      </c>
    </row>
    <row r="3269" spans="1:7" x14ac:dyDescent="0.3">
      <c r="A3269" t="s">
        <v>7</v>
      </c>
      <c r="B3269" t="s">
        <v>23</v>
      </c>
      <c r="C3269" t="s">
        <v>9</v>
      </c>
      <c r="D3269">
        <v>1709</v>
      </c>
      <c r="E3269" t="s">
        <v>57</v>
      </c>
      <c r="F3269" t="s">
        <v>36</v>
      </c>
      <c r="G3269" t="s">
        <v>37</v>
      </c>
    </row>
    <row r="3270" spans="1:7" x14ac:dyDescent="0.3">
      <c r="A3270" t="s">
        <v>7</v>
      </c>
      <c r="B3270" t="s">
        <v>23</v>
      </c>
      <c r="C3270" t="s">
        <v>13</v>
      </c>
      <c r="D3270">
        <v>21039</v>
      </c>
      <c r="E3270" t="s">
        <v>57</v>
      </c>
      <c r="F3270" t="s">
        <v>36</v>
      </c>
      <c r="G3270" t="s">
        <v>37</v>
      </c>
    </row>
    <row r="3271" spans="1:7" x14ac:dyDescent="0.3">
      <c r="A3271" t="s">
        <v>7</v>
      </c>
      <c r="B3271" t="s">
        <v>23</v>
      </c>
      <c r="C3271" t="s">
        <v>14</v>
      </c>
      <c r="D3271">
        <v>1653</v>
      </c>
      <c r="E3271" t="s">
        <v>57</v>
      </c>
      <c r="F3271" t="s">
        <v>36</v>
      </c>
      <c r="G3271" t="s">
        <v>37</v>
      </c>
    </row>
    <row r="3272" spans="1:7" x14ac:dyDescent="0.3">
      <c r="A3272" t="s">
        <v>7</v>
      </c>
      <c r="B3272" t="s">
        <v>23</v>
      </c>
      <c r="C3272" t="s">
        <v>15</v>
      </c>
      <c r="D3272">
        <v>15421</v>
      </c>
      <c r="E3272" t="s">
        <v>57</v>
      </c>
      <c r="F3272" t="s">
        <v>36</v>
      </c>
      <c r="G3272" t="s">
        <v>37</v>
      </c>
    </row>
    <row r="3273" spans="1:7" x14ac:dyDescent="0.3">
      <c r="A3273" t="s">
        <v>7</v>
      </c>
      <c r="B3273" t="s">
        <v>23</v>
      </c>
      <c r="C3273" t="s">
        <v>16</v>
      </c>
      <c r="D3273">
        <v>8947</v>
      </c>
      <c r="E3273" t="s">
        <v>57</v>
      </c>
      <c r="F3273" t="s">
        <v>36</v>
      </c>
      <c r="G3273" t="s">
        <v>37</v>
      </c>
    </row>
    <row r="3274" spans="1:7" x14ac:dyDescent="0.3">
      <c r="A3274" t="s">
        <v>7</v>
      </c>
      <c r="B3274" t="s">
        <v>23</v>
      </c>
      <c r="C3274" t="s">
        <v>17</v>
      </c>
      <c r="D3274">
        <v>53</v>
      </c>
      <c r="E3274" t="s">
        <v>57</v>
      </c>
      <c r="F3274" t="s">
        <v>36</v>
      </c>
      <c r="G3274" t="s">
        <v>37</v>
      </c>
    </row>
    <row r="3275" spans="1:7" x14ac:dyDescent="0.3">
      <c r="A3275" t="s">
        <v>7</v>
      </c>
      <c r="B3275" t="s">
        <v>23</v>
      </c>
      <c r="C3275" t="s">
        <v>18</v>
      </c>
      <c r="D3275">
        <v>0</v>
      </c>
      <c r="E3275" t="s">
        <v>57</v>
      </c>
      <c r="F3275" t="s">
        <v>36</v>
      </c>
      <c r="G3275" t="s">
        <v>37</v>
      </c>
    </row>
    <row r="3276" spans="1:7" x14ac:dyDescent="0.3">
      <c r="A3276" t="s">
        <v>7</v>
      </c>
      <c r="B3276" t="s">
        <v>23</v>
      </c>
      <c r="C3276" t="s">
        <v>19</v>
      </c>
      <c r="D3276">
        <v>3668</v>
      </c>
      <c r="E3276" t="s">
        <v>57</v>
      </c>
      <c r="F3276" t="s">
        <v>36</v>
      </c>
      <c r="G3276" t="s">
        <v>37</v>
      </c>
    </row>
    <row r="3277" spans="1:7" x14ac:dyDescent="0.3">
      <c r="A3277" t="s">
        <v>7</v>
      </c>
      <c r="B3277" t="s">
        <v>23</v>
      </c>
      <c r="C3277" t="s">
        <v>20</v>
      </c>
      <c r="D3277">
        <v>5519</v>
      </c>
      <c r="E3277" t="s">
        <v>57</v>
      </c>
      <c r="F3277" t="s">
        <v>36</v>
      </c>
      <c r="G3277" t="s">
        <v>37</v>
      </c>
    </row>
    <row r="3278" spans="1:7" x14ac:dyDescent="0.3">
      <c r="A3278" t="s">
        <v>7</v>
      </c>
      <c r="B3278" t="s">
        <v>23</v>
      </c>
      <c r="C3278" t="s">
        <v>21</v>
      </c>
      <c r="D3278">
        <v>417</v>
      </c>
      <c r="E3278" t="s">
        <v>57</v>
      </c>
      <c r="F3278" t="s">
        <v>36</v>
      </c>
      <c r="G3278" t="s">
        <v>37</v>
      </c>
    </row>
    <row r="3279" spans="1:7" x14ac:dyDescent="0.3">
      <c r="A3279" t="s">
        <v>7</v>
      </c>
      <c r="B3279" t="s">
        <v>23</v>
      </c>
      <c r="C3279" t="s">
        <v>22</v>
      </c>
      <c r="D3279">
        <v>273042</v>
      </c>
      <c r="E3279" t="s">
        <v>57</v>
      </c>
      <c r="F3279" t="s">
        <v>36</v>
      </c>
      <c r="G3279" t="s">
        <v>37</v>
      </c>
    </row>
    <row r="3280" spans="1:7" x14ac:dyDescent="0.3">
      <c r="A3280" t="s">
        <v>44</v>
      </c>
      <c r="B3280" t="s">
        <v>8</v>
      </c>
      <c r="C3280" t="s">
        <v>9</v>
      </c>
      <c r="D3280">
        <v>0</v>
      </c>
      <c r="E3280" t="s">
        <v>57</v>
      </c>
      <c r="F3280" t="s">
        <v>36</v>
      </c>
      <c r="G3280" t="s">
        <v>37</v>
      </c>
    </row>
    <row r="3281" spans="1:7" x14ac:dyDescent="0.3">
      <c r="A3281" t="s">
        <v>44</v>
      </c>
      <c r="B3281" t="s">
        <v>8</v>
      </c>
      <c r="C3281" t="s">
        <v>13</v>
      </c>
      <c r="D3281">
        <v>0</v>
      </c>
      <c r="E3281" t="s">
        <v>57</v>
      </c>
      <c r="F3281" t="s">
        <v>36</v>
      </c>
      <c r="G3281" t="s">
        <v>37</v>
      </c>
    </row>
    <row r="3282" spans="1:7" x14ac:dyDescent="0.3">
      <c r="A3282" t="s">
        <v>44</v>
      </c>
      <c r="B3282" t="s">
        <v>8</v>
      </c>
      <c r="C3282" t="s">
        <v>14</v>
      </c>
      <c r="D3282">
        <v>0</v>
      </c>
      <c r="E3282" t="s">
        <v>57</v>
      </c>
      <c r="F3282" t="s">
        <v>36</v>
      </c>
      <c r="G3282" t="s">
        <v>37</v>
      </c>
    </row>
    <row r="3283" spans="1:7" x14ac:dyDescent="0.3">
      <c r="A3283" t="s">
        <v>44</v>
      </c>
      <c r="B3283" t="s">
        <v>8</v>
      </c>
      <c r="C3283" t="s">
        <v>15</v>
      </c>
      <c r="D3283">
        <v>0</v>
      </c>
      <c r="E3283" t="s">
        <v>57</v>
      </c>
      <c r="F3283" t="s">
        <v>36</v>
      </c>
      <c r="G3283" t="s">
        <v>37</v>
      </c>
    </row>
    <row r="3284" spans="1:7" x14ac:dyDescent="0.3">
      <c r="A3284" t="s">
        <v>44</v>
      </c>
      <c r="B3284" t="s">
        <v>8</v>
      </c>
      <c r="C3284" t="s">
        <v>16</v>
      </c>
      <c r="D3284">
        <v>0</v>
      </c>
      <c r="E3284" t="s">
        <v>57</v>
      </c>
      <c r="F3284" t="s">
        <v>36</v>
      </c>
      <c r="G3284" t="s">
        <v>37</v>
      </c>
    </row>
    <row r="3285" spans="1:7" x14ac:dyDescent="0.3">
      <c r="A3285" t="s">
        <v>44</v>
      </c>
      <c r="B3285" t="s">
        <v>8</v>
      </c>
      <c r="C3285" t="s">
        <v>17</v>
      </c>
      <c r="D3285">
        <v>0</v>
      </c>
      <c r="E3285" t="s">
        <v>57</v>
      </c>
      <c r="F3285" t="s">
        <v>36</v>
      </c>
      <c r="G3285" t="s">
        <v>37</v>
      </c>
    </row>
    <row r="3286" spans="1:7" x14ac:dyDescent="0.3">
      <c r="A3286" t="s">
        <v>44</v>
      </c>
      <c r="B3286" t="s">
        <v>8</v>
      </c>
      <c r="C3286" t="s">
        <v>18</v>
      </c>
      <c r="D3286">
        <v>0</v>
      </c>
      <c r="E3286" t="s">
        <v>57</v>
      </c>
      <c r="F3286" t="s">
        <v>36</v>
      </c>
      <c r="G3286" t="s">
        <v>37</v>
      </c>
    </row>
    <row r="3287" spans="1:7" x14ac:dyDescent="0.3">
      <c r="A3287" t="s">
        <v>44</v>
      </c>
      <c r="B3287" t="s">
        <v>8</v>
      </c>
      <c r="C3287" t="s">
        <v>19</v>
      </c>
      <c r="D3287">
        <v>0</v>
      </c>
      <c r="E3287" t="s">
        <v>57</v>
      </c>
      <c r="F3287" t="s">
        <v>36</v>
      </c>
      <c r="G3287" t="s">
        <v>37</v>
      </c>
    </row>
    <row r="3288" spans="1:7" x14ac:dyDescent="0.3">
      <c r="A3288" t="s">
        <v>44</v>
      </c>
      <c r="B3288" t="s">
        <v>8</v>
      </c>
      <c r="C3288" t="s">
        <v>20</v>
      </c>
      <c r="D3288">
        <v>0</v>
      </c>
      <c r="E3288" t="s">
        <v>57</v>
      </c>
      <c r="F3288" t="s">
        <v>36</v>
      </c>
      <c r="G3288" t="s">
        <v>37</v>
      </c>
    </row>
    <row r="3289" spans="1:7" x14ac:dyDescent="0.3">
      <c r="A3289" t="s">
        <v>44</v>
      </c>
      <c r="B3289" t="s">
        <v>8</v>
      </c>
      <c r="C3289" t="s">
        <v>21</v>
      </c>
      <c r="D3289">
        <v>0</v>
      </c>
      <c r="E3289" t="s">
        <v>57</v>
      </c>
      <c r="F3289" t="s">
        <v>36</v>
      </c>
      <c r="G3289" t="s">
        <v>37</v>
      </c>
    </row>
    <row r="3290" spans="1:7" x14ac:dyDescent="0.3">
      <c r="A3290" t="s">
        <v>44</v>
      </c>
      <c r="B3290" t="s">
        <v>8</v>
      </c>
      <c r="C3290" t="s">
        <v>22</v>
      </c>
      <c r="D3290">
        <v>0</v>
      </c>
      <c r="E3290" t="s">
        <v>57</v>
      </c>
      <c r="F3290" t="s">
        <v>36</v>
      </c>
      <c r="G3290" t="s">
        <v>37</v>
      </c>
    </row>
    <row r="3291" spans="1:7" x14ac:dyDescent="0.3">
      <c r="A3291" t="s">
        <v>44</v>
      </c>
      <c r="B3291" t="s">
        <v>23</v>
      </c>
      <c r="C3291" t="s">
        <v>9</v>
      </c>
      <c r="D3291">
        <v>490</v>
      </c>
      <c r="E3291" t="s">
        <v>57</v>
      </c>
      <c r="F3291" t="s">
        <v>36</v>
      </c>
      <c r="G3291" t="s">
        <v>37</v>
      </c>
    </row>
    <row r="3292" spans="1:7" x14ac:dyDescent="0.3">
      <c r="A3292" t="s">
        <v>44</v>
      </c>
      <c r="B3292" t="s">
        <v>23</v>
      </c>
      <c r="C3292" t="s">
        <v>13</v>
      </c>
      <c r="D3292">
        <v>68</v>
      </c>
      <c r="E3292" t="s">
        <v>57</v>
      </c>
      <c r="F3292" t="s">
        <v>36</v>
      </c>
      <c r="G3292" t="s">
        <v>37</v>
      </c>
    </row>
    <row r="3293" spans="1:7" x14ac:dyDescent="0.3">
      <c r="A3293" t="s">
        <v>44</v>
      </c>
      <c r="B3293" t="s">
        <v>23</v>
      </c>
      <c r="C3293" t="s">
        <v>14</v>
      </c>
      <c r="D3293">
        <v>232323</v>
      </c>
      <c r="E3293" t="s">
        <v>57</v>
      </c>
      <c r="F3293" t="s">
        <v>36</v>
      </c>
      <c r="G3293" t="s">
        <v>37</v>
      </c>
    </row>
    <row r="3294" spans="1:7" x14ac:dyDescent="0.3">
      <c r="A3294" t="s">
        <v>44</v>
      </c>
      <c r="B3294" t="s">
        <v>23</v>
      </c>
      <c r="C3294" t="s">
        <v>15</v>
      </c>
      <c r="D3294">
        <v>14614</v>
      </c>
      <c r="E3294" t="s">
        <v>57</v>
      </c>
      <c r="F3294" t="s">
        <v>36</v>
      </c>
      <c r="G3294" t="s">
        <v>37</v>
      </c>
    </row>
    <row r="3295" spans="1:7" x14ac:dyDescent="0.3">
      <c r="A3295" t="s">
        <v>44</v>
      </c>
      <c r="B3295" t="s">
        <v>23</v>
      </c>
      <c r="C3295" t="s">
        <v>16</v>
      </c>
      <c r="D3295">
        <v>49415</v>
      </c>
      <c r="E3295" t="s">
        <v>57</v>
      </c>
      <c r="F3295" t="s">
        <v>36</v>
      </c>
      <c r="G3295" t="s">
        <v>37</v>
      </c>
    </row>
    <row r="3296" spans="1:7" x14ac:dyDescent="0.3">
      <c r="A3296" t="s">
        <v>44</v>
      </c>
      <c r="B3296" t="s">
        <v>23</v>
      </c>
      <c r="C3296" t="s">
        <v>17</v>
      </c>
      <c r="D3296">
        <v>33</v>
      </c>
      <c r="E3296" t="s">
        <v>57</v>
      </c>
      <c r="F3296" t="s">
        <v>36</v>
      </c>
      <c r="G3296" t="s">
        <v>37</v>
      </c>
    </row>
    <row r="3297" spans="1:7" x14ac:dyDescent="0.3">
      <c r="A3297" t="s">
        <v>44</v>
      </c>
      <c r="B3297" t="s">
        <v>23</v>
      </c>
      <c r="C3297" t="s">
        <v>18</v>
      </c>
      <c r="D3297">
        <v>0</v>
      </c>
      <c r="E3297" t="s">
        <v>57</v>
      </c>
      <c r="F3297" t="s">
        <v>36</v>
      </c>
      <c r="G3297" t="s">
        <v>37</v>
      </c>
    </row>
    <row r="3298" spans="1:7" x14ac:dyDescent="0.3">
      <c r="A3298" t="s">
        <v>44</v>
      </c>
      <c r="B3298" t="s">
        <v>23</v>
      </c>
      <c r="C3298" t="s">
        <v>19</v>
      </c>
      <c r="D3298">
        <v>546</v>
      </c>
      <c r="E3298" t="s">
        <v>57</v>
      </c>
      <c r="F3298" t="s">
        <v>36</v>
      </c>
      <c r="G3298" t="s">
        <v>37</v>
      </c>
    </row>
    <row r="3299" spans="1:7" x14ac:dyDescent="0.3">
      <c r="A3299" t="s">
        <v>44</v>
      </c>
      <c r="B3299" t="s">
        <v>23</v>
      </c>
      <c r="C3299" t="s">
        <v>20</v>
      </c>
      <c r="D3299">
        <v>2662</v>
      </c>
      <c r="E3299" t="s">
        <v>57</v>
      </c>
      <c r="F3299" t="s">
        <v>36</v>
      </c>
      <c r="G3299" t="s">
        <v>37</v>
      </c>
    </row>
    <row r="3300" spans="1:7" x14ac:dyDescent="0.3">
      <c r="A3300" t="s">
        <v>44</v>
      </c>
      <c r="B3300" t="s">
        <v>23</v>
      </c>
      <c r="C3300" t="s">
        <v>21</v>
      </c>
      <c r="D3300">
        <v>484</v>
      </c>
      <c r="E3300" t="s">
        <v>57</v>
      </c>
      <c r="F3300" t="s">
        <v>36</v>
      </c>
      <c r="G3300" t="s">
        <v>37</v>
      </c>
    </row>
    <row r="3301" spans="1:7" x14ac:dyDescent="0.3">
      <c r="A3301" t="s">
        <v>44</v>
      </c>
      <c r="B3301" t="s">
        <v>23</v>
      </c>
      <c r="C3301" t="s">
        <v>22</v>
      </c>
      <c r="D3301">
        <v>474</v>
      </c>
      <c r="E3301" t="s">
        <v>57</v>
      </c>
      <c r="F3301" t="s">
        <v>36</v>
      </c>
      <c r="G3301" t="s">
        <v>37</v>
      </c>
    </row>
    <row r="3302" spans="1:7" x14ac:dyDescent="0.3">
      <c r="A3302" t="s">
        <v>45</v>
      </c>
      <c r="B3302" t="s">
        <v>8</v>
      </c>
      <c r="C3302" t="s">
        <v>9</v>
      </c>
      <c r="D3302">
        <v>0</v>
      </c>
      <c r="E3302" t="s">
        <v>57</v>
      </c>
      <c r="F3302" t="s">
        <v>36</v>
      </c>
      <c r="G3302" t="s">
        <v>37</v>
      </c>
    </row>
    <row r="3303" spans="1:7" x14ac:dyDescent="0.3">
      <c r="A3303" t="s">
        <v>45</v>
      </c>
      <c r="B3303" t="s">
        <v>8</v>
      </c>
      <c r="C3303" t="s">
        <v>13</v>
      </c>
      <c r="D3303">
        <v>0</v>
      </c>
      <c r="E3303" t="s">
        <v>57</v>
      </c>
      <c r="F3303" t="s">
        <v>36</v>
      </c>
      <c r="G3303" t="s">
        <v>37</v>
      </c>
    </row>
    <row r="3304" spans="1:7" x14ac:dyDescent="0.3">
      <c r="A3304" t="s">
        <v>45</v>
      </c>
      <c r="B3304" t="s">
        <v>8</v>
      </c>
      <c r="C3304" t="s">
        <v>14</v>
      </c>
      <c r="D3304">
        <v>0</v>
      </c>
      <c r="E3304" t="s">
        <v>57</v>
      </c>
      <c r="F3304" t="s">
        <v>36</v>
      </c>
      <c r="G3304" t="s">
        <v>37</v>
      </c>
    </row>
    <row r="3305" spans="1:7" x14ac:dyDescent="0.3">
      <c r="A3305" t="s">
        <v>45</v>
      </c>
      <c r="B3305" t="s">
        <v>8</v>
      </c>
      <c r="C3305" t="s">
        <v>15</v>
      </c>
      <c r="D3305">
        <v>0</v>
      </c>
      <c r="E3305" t="s">
        <v>57</v>
      </c>
      <c r="F3305" t="s">
        <v>36</v>
      </c>
      <c r="G3305" t="s">
        <v>37</v>
      </c>
    </row>
    <row r="3306" spans="1:7" x14ac:dyDescent="0.3">
      <c r="A3306" t="s">
        <v>45</v>
      </c>
      <c r="B3306" t="s">
        <v>8</v>
      </c>
      <c r="C3306" t="s">
        <v>16</v>
      </c>
      <c r="D3306">
        <v>0</v>
      </c>
      <c r="E3306" t="s">
        <v>57</v>
      </c>
      <c r="F3306" t="s">
        <v>36</v>
      </c>
      <c r="G3306" t="s">
        <v>37</v>
      </c>
    </row>
    <row r="3307" spans="1:7" x14ac:dyDescent="0.3">
      <c r="A3307" t="s">
        <v>45</v>
      </c>
      <c r="B3307" t="s">
        <v>8</v>
      </c>
      <c r="C3307" t="s">
        <v>17</v>
      </c>
      <c r="D3307">
        <v>0</v>
      </c>
      <c r="E3307" t="s">
        <v>57</v>
      </c>
      <c r="F3307" t="s">
        <v>36</v>
      </c>
      <c r="G3307" t="s">
        <v>37</v>
      </c>
    </row>
    <row r="3308" spans="1:7" x14ac:dyDescent="0.3">
      <c r="A3308" t="s">
        <v>45</v>
      </c>
      <c r="B3308" t="s">
        <v>8</v>
      </c>
      <c r="C3308" t="s">
        <v>18</v>
      </c>
      <c r="D3308">
        <v>0</v>
      </c>
      <c r="E3308" t="s">
        <v>57</v>
      </c>
      <c r="F3308" t="s">
        <v>36</v>
      </c>
      <c r="G3308" t="s">
        <v>37</v>
      </c>
    </row>
    <row r="3309" spans="1:7" x14ac:dyDescent="0.3">
      <c r="A3309" t="s">
        <v>45</v>
      </c>
      <c r="B3309" t="s">
        <v>8</v>
      </c>
      <c r="C3309" t="s">
        <v>19</v>
      </c>
      <c r="D3309">
        <v>0</v>
      </c>
      <c r="E3309" t="s">
        <v>57</v>
      </c>
      <c r="F3309" t="s">
        <v>36</v>
      </c>
      <c r="G3309" t="s">
        <v>37</v>
      </c>
    </row>
    <row r="3310" spans="1:7" x14ac:dyDescent="0.3">
      <c r="A3310" t="s">
        <v>45</v>
      </c>
      <c r="B3310" t="s">
        <v>8</v>
      </c>
      <c r="C3310" t="s">
        <v>20</v>
      </c>
      <c r="D3310">
        <v>0</v>
      </c>
      <c r="E3310" t="s">
        <v>57</v>
      </c>
      <c r="F3310" t="s">
        <v>36</v>
      </c>
      <c r="G3310" t="s">
        <v>37</v>
      </c>
    </row>
    <row r="3311" spans="1:7" x14ac:dyDescent="0.3">
      <c r="A3311" t="s">
        <v>45</v>
      </c>
      <c r="B3311" t="s">
        <v>8</v>
      </c>
      <c r="C3311" t="s">
        <v>21</v>
      </c>
      <c r="D3311">
        <v>0</v>
      </c>
      <c r="E3311" t="s">
        <v>57</v>
      </c>
      <c r="F3311" t="s">
        <v>36</v>
      </c>
      <c r="G3311" t="s">
        <v>37</v>
      </c>
    </row>
    <row r="3312" spans="1:7" x14ac:dyDescent="0.3">
      <c r="A3312" t="s">
        <v>45</v>
      </c>
      <c r="B3312" t="s">
        <v>8</v>
      </c>
      <c r="C3312" t="s">
        <v>22</v>
      </c>
      <c r="D3312">
        <v>0</v>
      </c>
      <c r="E3312" t="s">
        <v>57</v>
      </c>
      <c r="F3312" t="s">
        <v>36</v>
      </c>
      <c r="G3312" t="s">
        <v>37</v>
      </c>
    </row>
    <row r="3313" spans="1:7" x14ac:dyDescent="0.3">
      <c r="A3313" t="s">
        <v>45</v>
      </c>
      <c r="B3313" t="s">
        <v>23</v>
      </c>
      <c r="C3313" t="s">
        <v>9</v>
      </c>
      <c r="D3313">
        <v>62407</v>
      </c>
      <c r="E3313" t="s">
        <v>57</v>
      </c>
      <c r="F3313" t="s">
        <v>36</v>
      </c>
      <c r="G3313" t="s">
        <v>37</v>
      </c>
    </row>
    <row r="3314" spans="1:7" x14ac:dyDescent="0.3">
      <c r="A3314" t="s">
        <v>45</v>
      </c>
      <c r="B3314" t="s">
        <v>23</v>
      </c>
      <c r="C3314" t="s">
        <v>13</v>
      </c>
      <c r="D3314">
        <v>765</v>
      </c>
      <c r="E3314" t="s">
        <v>57</v>
      </c>
      <c r="F3314" t="s">
        <v>36</v>
      </c>
      <c r="G3314" t="s">
        <v>37</v>
      </c>
    </row>
    <row r="3315" spans="1:7" x14ac:dyDescent="0.3">
      <c r="A3315" t="s">
        <v>45</v>
      </c>
      <c r="B3315" t="s">
        <v>23</v>
      </c>
      <c r="C3315" t="s">
        <v>14</v>
      </c>
      <c r="D3315">
        <v>880</v>
      </c>
      <c r="E3315" t="s">
        <v>57</v>
      </c>
      <c r="F3315" t="s">
        <v>36</v>
      </c>
      <c r="G3315" t="s">
        <v>37</v>
      </c>
    </row>
    <row r="3316" spans="1:7" x14ac:dyDescent="0.3">
      <c r="A3316" t="s">
        <v>45</v>
      </c>
      <c r="B3316" t="s">
        <v>23</v>
      </c>
      <c r="C3316" t="s">
        <v>15</v>
      </c>
      <c r="D3316">
        <v>3054</v>
      </c>
      <c r="E3316" t="s">
        <v>57</v>
      </c>
      <c r="F3316" t="s">
        <v>36</v>
      </c>
      <c r="G3316" t="s">
        <v>37</v>
      </c>
    </row>
    <row r="3317" spans="1:7" x14ac:dyDescent="0.3">
      <c r="A3317" t="s">
        <v>45</v>
      </c>
      <c r="B3317" t="s">
        <v>23</v>
      </c>
      <c r="C3317" t="s">
        <v>16</v>
      </c>
      <c r="D3317">
        <v>180523</v>
      </c>
      <c r="E3317" t="s">
        <v>57</v>
      </c>
      <c r="F3317" t="s">
        <v>36</v>
      </c>
      <c r="G3317" t="s">
        <v>37</v>
      </c>
    </row>
    <row r="3318" spans="1:7" x14ac:dyDescent="0.3">
      <c r="A3318" t="s">
        <v>45</v>
      </c>
      <c r="B3318" t="s">
        <v>23</v>
      </c>
      <c r="C3318" t="s">
        <v>17</v>
      </c>
      <c r="D3318">
        <v>170</v>
      </c>
      <c r="E3318" t="s">
        <v>57</v>
      </c>
      <c r="F3318" t="s">
        <v>36</v>
      </c>
      <c r="G3318" t="s">
        <v>37</v>
      </c>
    </row>
    <row r="3319" spans="1:7" x14ac:dyDescent="0.3">
      <c r="A3319" t="s">
        <v>45</v>
      </c>
      <c r="B3319" t="s">
        <v>23</v>
      </c>
      <c r="C3319" t="s">
        <v>18</v>
      </c>
      <c r="D3319">
        <v>0</v>
      </c>
      <c r="E3319" t="s">
        <v>57</v>
      </c>
      <c r="F3319" t="s">
        <v>36</v>
      </c>
      <c r="G3319" t="s">
        <v>37</v>
      </c>
    </row>
    <row r="3320" spans="1:7" x14ac:dyDescent="0.3">
      <c r="A3320" t="s">
        <v>45</v>
      </c>
      <c r="B3320" t="s">
        <v>23</v>
      </c>
      <c r="C3320" t="s">
        <v>19</v>
      </c>
      <c r="D3320">
        <v>193298</v>
      </c>
      <c r="E3320" t="s">
        <v>57</v>
      </c>
      <c r="F3320" t="s">
        <v>36</v>
      </c>
      <c r="G3320" t="s">
        <v>37</v>
      </c>
    </row>
    <row r="3321" spans="1:7" x14ac:dyDescent="0.3">
      <c r="A3321" t="s">
        <v>45</v>
      </c>
      <c r="B3321" t="s">
        <v>23</v>
      </c>
      <c r="C3321" t="s">
        <v>20</v>
      </c>
      <c r="D3321">
        <v>2714</v>
      </c>
      <c r="E3321" t="s">
        <v>57</v>
      </c>
      <c r="F3321" t="s">
        <v>36</v>
      </c>
      <c r="G3321" t="s">
        <v>37</v>
      </c>
    </row>
    <row r="3322" spans="1:7" x14ac:dyDescent="0.3">
      <c r="A3322" t="s">
        <v>45</v>
      </c>
      <c r="B3322" t="s">
        <v>23</v>
      </c>
      <c r="C3322" t="s">
        <v>21</v>
      </c>
      <c r="D3322">
        <v>293</v>
      </c>
      <c r="E3322" t="s">
        <v>57</v>
      </c>
      <c r="F3322" t="s">
        <v>36</v>
      </c>
      <c r="G3322" t="s">
        <v>37</v>
      </c>
    </row>
    <row r="3323" spans="1:7" x14ac:dyDescent="0.3">
      <c r="A3323" t="s">
        <v>45</v>
      </c>
      <c r="B3323" t="s">
        <v>23</v>
      </c>
      <c r="C3323" t="s">
        <v>22</v>
      </c>
      <c r="D3323">
        <v>580</v>
      </c>
      <c r="E3323" t="s">
        <v>57</v>
      </c>
      <c r="F3323" t="s">
        <v>36</v>
      </c>
      <c r="G3323" t="s">
        <v>37</v>
      </c>
    </row>
    <row r="3324" spans="1:7" x14ac:dyDescent="0.3">
      <c r="A3324" t="s">
        <v>58</v>
      </c>
      <c r="B3324" t="s">
        <v>8</v>
      </c>
      <c r="C3324" t="s">
        <v>9</v>
      </c>
      <c r="D3324">
        <v>0</v>
      </c>
      <c r="E3324" t="s">
        <v>57</v>
      </c>
      <c r="F3324" t="s">
        <v>36</v>
      </c>
      <c r="G3324" t="s">
        <v>37</v>
      </c>
    </row>
    <row r="3325" spans="1:7" x14ac:dyDescent="0.3">
      <c r="A3325" t="s">
        <v>58</v>
      </c>
      <c r="B3325" t="s">
        <v>8</v>
      </c>
      <c r="C3325" t="s">
        <v>13</v>
      </c>
      <c r="D3325">
        <v>0</v>
      </c>
      <c r="E3325" t="s">
        <v>57</v>
      </c>
      <c r="F3325" t="s">
        <v>36</v>
      </c>
      <c r="G3325" t="s">
        <v>37</v>
      </c>
    </row>
    <row r="3326" spans="1:7" x14ac:dyDescent="0.3">
      <c r="A3326" t="s">
        <v>58</v>
      </c>
      <c r="B3326" t="s">
        <v>8</v>
      </c>
      <c r="C3326" t="s">
        <v>14</v>
      </c>
      <c r="D3326">
        <v>0</v>
      </c>
      <c r="E3326" t="s">
        <v>57</v>
      </c>
      <c r="F3326" t="s">
        <v>36</v>
      </c>
      <c r="G3326" t="s">
        <v>37</v>
      </c>
    </row>
    <row r="3327" spans="1:7" x14ac:dyDescent="0.3">
      <c r="A3327" t="s">
        <v>58</v>
      </c>
      <c r="B3327" t="s">
        <v>8</v>
      </c>
      <c r="C3327" t="s">
        <v>15</v>
      </c>
      <c r="D3327">
        <v>0</v>
      </c>
      <c r="E3327" t="s">
        <v>57</v>
      </c>
      <c r="F3327" t="s">
        <v>36</v>
      </c>
      <c r="G3327" t="s">
        <v>37</v>
      </c>
    </row>
    <row r="3328" spans="1:7" x14ac:dyDescent="0.3">
      <c r="A3328" t="s">
        <v>58</v>
      </c>
      <c r="B3328" t="s">
        <v>8</v>
      </c>
      <c r="C3328" t="s">
        <v>16</v>
      </c>
      <c r="D3328">
        <v>0</v>
      </c>
      <c r="E3328" t="s">
        <v>57</v>
      </c>
      <c r="F3328" t="s">
        <v>36</v>
      </c>
      <c r="G3328" t="s">
        <v>37</v>
      </c>
    </row>
    <row r="3329" spans="1:7" x14ac:dyDescent="0.3">
      <c r="A3329" t="s">
        <v>58</v>
      </c>
      <c r="B3329" t="s">
        <v>8</v>
      </c>
      <c r="C3329" t="s">
        <v>17</v>
      </c>
      <c r="D3329">
        <v>0</v>
      </c>
      <c r="E3329" t="s">
        <v>57</v>
      </c>
      <c r="F3329" t="s">
        <v>36</v>
      </c>
      <c r="G3329" t="s">
        <v>37</v>
      </c>
    </row>
    <row r="3330" spans="1:7" x14ac:dyDescent="0.3">
      <c r="A3330" t="s">
        <v>58</v>
      </c>
      <c r="B3330" t="s">
        <v>8</v>
      </c>
      <c r="C3330" t="s">
        <v>18</v>
      </c>
      <c r="D3330">
        <v>0</v>
      </c>
      <c r="E3330" t="s">
        <v>57</v>
      </c>
      <c r="F3330" t="s">
        <v>36</v>
      </c>
      <c r="G3330" t="s">
        <v>37</v>
      </c>
    </row>
    <row r="3331" spans="1:7" x14ac:dyDescent="0.3">
      <c r="A3331" t="s">
        <v>58</v>
      </c>
      <c r="B3331" t="s">
        <v>8</v>
      </c>
      <c r="C3331" t="s">
        <v>19</v>
      </c>
      <c r="D3331">
        <v>0</v>
      </c>
      <c r="E3331" t="s">
        <v>57</v>
      </c>
      <c r="F3331" t="s">
        <v>36</v>
      </c>
      <c r="G3331" t="s">
        <v>37</v>
      </c>
    </row>
    <row r="3332" spans="1:7" x14ac:dyDescent="0.3">
      <c r="A3332" t="s">
        <v>58</v>
      </c>
      <c r="B3332" t="s">
        <v>8</v>
      </c>
      <c r="C3332" t="s">
        <v>20</v>
      </c>
      <c r="D3332">
        <v>0</v>
      </c>
      <c r="E3332" t="s">
        <v>57</v>
      </c>
      <c r="F3332" t="s">
        <v>36</v>
      </c>
      <c r="G3332" t="s">
        <v>37</v>
      </c>
    </row>
    <row r="3333" spans="1:7" x14ac:dyDescent="0.3">
      <c r="A3333" t="s">
        <v>58</v>
      </c>
      <c r="B3333" t="s">
        <v>8</v>
      </c>
      <c r="C3333" t="s">
        <v>21</v>
      </c>
      <c r="D3333">
        <v>0</v>
      </c>
      <c r="E3333" t="s">
        <v>57</v>
      </c>
      <c r="F3333" t="s">
        <v>36</v>
      </c>
      <c r="G3333" t="s">
        <v>37</v>
      </c>
    </row>
    <row r="3334" spans="1:7" x14ac:dyDescent="0.3">
      <c r="A3334" t="s">
        <v>58</v>
      </c>
      <c r="B3334" t="s">
        <v>8</v>
      </c>
      <c r="C3334" t="s">
        <v>22</v>
      </c>
      <c r="D3334">
        <v>0</v>
      </c>
      <c r="E3334" t="s">
        <v>57</v>
      </c>
      <c r="F3334" t="s">
        <v>36</v>
      </c>
      <c r="G3334" t="s">
        <v>37</v>
      </c>
    </row>
    <row r="3335" spans="1:7" x14ac:dyDescent="0.3">
      <c r="A3335" t="s">
        <v>58</v>
      </c>
      <c r="B3335" t="s">
        <v>23</v>
      </c>
      <c r="C3335" t="s">
        <v>9</v>
      </c>
      <c r="D3335">
        <v>99</v>
      </c>
      <c r="E3335" t="s">
        <v>57</v>
      </c>
      <c r="F3335" t="s">
        <v>36</v>
      </c>
      <c r="G3335" t="s">
        <v>37</v>
      </c>
    </row>
    <row r="3336" spans="1:7" x14ac:dyDescent="0.3">
      <c r="A3336" t="s">
        <v>58</v>
      </c>
      <c r="B3336" t="s">
        <v>23</v>
      </c>
      <c r="C3336" t="s">
        <v>13</v>
      </c>
      <c r="D3336">
        <v>34</v>
      </c>
      <c r="E3336" t="s">
        <v>57</v>
      </c>
      <c r="F3336" t="s">
        <v>36</v>
      </c>
      <c r="G3336" t="s">
        <v>37</v>
      </c>
    </row>
    <row r="3337" spans="1:7" x14ac:dyDescent="0.3">
      <c r="A3337" t="s">
        <v>58</v>
      </c>
      <c r="B3337" t="s">
        <v>23</v>
      </c>
      <c r="C3337" t="s">
        <v>14</v>
      </c>
      <c r="D3337">
        <v>304</v>
      </c>
      <c r="E3337" t="s">
        <v>57</v>
      </c>
      <c r="F3337" t="s">
        <v>36</v>
      </c>
      <c r="G3337" t="s">
        <v>37</v>
      </c>
    </row>
    <row r="3338" spans="1:7" x14ac:dyDescent="0.3">
      <c r="A3338" t="s">
        <v>58</v>
      </c>
      <c r="B3338" t="s">
        <v>23</v>
      </c>
      <c r="C3338" t="s">
        <v>15</v>
      </c>
      <c r="D3338">
        <v>57</v>
      </c>
      <c r="E3338" t="s">
        <v>57</v>
      </c>
      <c r="F3338" t="s">
        <v>36</v>
      </c>
      <c r="G3338" t="s">
        <v>37</v>
      </c>
    </row>
    <row r="3339" spans="1:7" x14ac:dyDescent="0.3">
      <c r="A3339" t="s">
        <v>58</v>
      </c>
      <c r="B3339" t="s">
        <v>23</v>
      </c>
      <c r="C3339" t="s">
        <v>16</v>
      </c>
      <c r="D3339">
        <v>154415</v>
      </c>
      <c r="E3339" t="s">
        <v>57</v>
      </c>
      <c r="F3339" t="s">
        <v>36</v>
      </c>
      <c r="G3339" t="s">
        <v>37</v>
      </c>
    </row>
    <row r="3340" spans="1:7" x14ac:dyDescent="0.3">
      <c r="A3340" t="s">
        <v>58</v>
      </c>
      <c r="B3340" t="s">
        <v>23</v>
      </c>
      <c r="C3340" t="s">
        <v>17</v>
      </c>
      <c r="D3340">
        <v>24</v>
      </c>
      <c r="E3340" t="s">
        <v>57</v>
      </c>
      <c r="F3340" t="s">
        <v>36</v>
      </c>
      <c r="G3340" t="s">
        <v>37</v>
      </c>
    </row>
    <row r="3341" spans="1:7" x14ac:dyDescent="0.3">
      <c r="A3341" t="s">
        <v>58</v>
      </c>
      <c r="B3341" t="s">
        <v>23</v>
      </c>
      <c r="C3341" t="s">
        <v>18</v>
      </c>
      <c r="D3341">
        <v>0</v>
      </c>
      <c r="E3341" t="s">
        <v>57</v>
      </c>
      <c r="F3341" t="s">
        <v>36</v>
      </c>
      <c r="G3341" t="s">
        <v>37</v>
      </c>
    </row>
    <row r="3342" spans="1:7" x14ac:dyDescent="0.3">
      <c r="A3342" t="s">
        <v>58</v>
      </c>
      <c r="B3342" t="s">
        <v>23</v>
      </c>
      <c r="C3342" t="s">
        <v>19</v>
      </c>
      <c r="D3342">
        <v>6</v>
      </c>
      <c r="E3342" t="s">
        <v>57</v>
      </c>
      <c r="F3342" t="s">
        <v>36</v>
      </c>
      <c r="G3342" t="s">
        <v>37</v>
      </c>
    </row>
    <row r="3343" spans="1:7" x14ac:dyDescent="0.3">
      <c r="A3343" t="s">
        <v>58</v>
      </c>
      <c r="B3343" t="s">
        <v>23</v>
      </c>
      <c r="C3343" t="s">
        <v>20</v>
      </c>
      <c r="D3343">
        <v>437</v>
      </c>
      <c r="E3343" t="s">
        <v>57</v>
      </c>
      <c r="F3343" t="s">
        <v>36</v>
      </c>
      <c r="G3343" t="s">
        <v>37</v>
      </c>
    </row>
    <row r="3344" spans="1:7" x14ac:dyDescent="0.3">
      <c r="A3344" t="s">
        <v>58</v>
      </c>
      <c r="B3344" t="s">
        <v>23</v>
      </c>
      <c r="C3344" t="s">
        <v>21</v>
      </c>
      <c r="D3344">
        <v>162</v>
      </c>
      <c r="E3344" t="s">
        <v>57</v>
      </c>
      <c r="F3344" t="s">
        <v>36</v>
      </c>
      <c r="G3344" t="s">
        <v>37</v>
      </c>
    </row>
    <row r="3345" spans="1:7" x14ac:dyDescent="0.3">
      <c r="A3345" t="s">
        <v>58</v>
      </c>
      <c r="B3345" t="s">
        <v>23</v>
      </c>
      <c r="C3345" t="s">
        <v>22</v>
      </c>
      <c r="D3345">
        <v>394</v>
      </c>
      <c r="E3345" t="s">
        <v>57</v>
      </c>
      <c r="F3345" t="s">
        <v>36</v>
      </c>
      <c r="G3345" t="s">
        <v>37</v>
      </c>
    </row>
    <row r="3346" spans="1:7" x14ac:dyDescent="0.3">
      <c r="A3346" t="s">
        <v>59</v>
      </c>
      <c r="B3346" t="s">
        <v>8</v>
      </c>
      <c r="C3346" t="s">
        <v>9</v>
      </c>
      <c r="D3346">
        <v>0</v>
      </c>
      <c r="E3346" t="s">
        <v>57</v>
      </c>
      <c r="F3346" t="s">
        <v>36</v>
      </c>
      <c r="G3346" t="s">
        <v>37</v>
      </c>
    </row>
    <row r="3347" spans="1:7" x14ac:dyDescent="0.3">
      <c r="A3347" t="s">
        <v>59</v>
      </c>
      <c r="B3347" t="s">
        <v>8</v>
      </c>
      <c r="C3347" t="s">
        <v>13</v>
      </c>
      <c r="D3347">
        <v>0</v>
      </c>
      <c r="E3347" t="s">
        <v>57</v>
      </c>
      <c r="F3347" t="s">
        <v>36</v>
      </c>
      <c r="G3347" t="s">
        <v>37</v>
      </c>
    </row>
    <row r="3348" spans="1:7" x14ac:dyDescent="0.3">
      <c r="A3348" t="s">
        <v>59</v>
      </c>
      <c r="B3348" t="s">
        <v>8</v>
      </c>
      <c r="C3348" t="s">
        <v>14</v>
      </c>
      <c r="D3348">
        <v>0</v>
      </c>
      <c r="E3348" t="s">
        <v>57</v>
      </c>
      <c r="F3348" t="s">
        <v>36</v>
      </c>
      <c r="G3348" t="s">
        <v>37</v>
      </c>
    </row>
    <row r="3349" spans="1:7" x14ac:dyDescent="0.3">
      <c r="A3349" t="s">
        <v>59</v>
      </c>
      <c r="B3349" t="s">
        <v>8</v>
      </c>
      <c r="C3349" t="s">
        <v>15</v>
      </c>
      <c r="D3349">
        <v>0</v>
      </c>
      <c r="E3349" t="s">
        <v>57</v>
      </c>
      <c r="F3349" t="s">
        <v>36</v>
      </c>
      <c r="G3349" t="s">
        <v>37</v>
      </c>
    </row>
    <row r="3350" spans="1:7" x14ac:dyDescent="0.3">
      <c r="A3350" t="s">
        <v>59</v>
      </c>
      <c r="B3350" t="s">
        <v>8</v>
      </c>
      <c r="C3350" t="s">
        <v>16</v>
      </c>
      <c r="D3350">
        <v>0</v>
      </c>
      <c r="E3350" t="s">
        <v>57</v>
      </c>
      <c r="F3350" t="s">
        <v>36</v>
      </c>
      <c r="G3350" t="s">
        <v>37</v>
      </c>
    </row>
    <row r="3351" spans="1:7" x14ac:dyDescent="0.3">
      <c r="A3351" t="s">
        <v>59</v>
      </c>
      <c r="B3351" t="s">
        <v>8</v>
      </c>
      <c r="C3351" t="s">
        <v>17</v>
      </c>
      <c r="D3351">
        <v>0</v>
      </c>
      <c r="E3351" t="s">
        <v>57</v>
      </c>
      <c r="F3351" t="s">
        <v>36</v>
      </c>
      <c r="G3351" t="s">
        <v>37</v>
      </c>
    </row>
    <row r="3352" spans="1:7" x14ac:dyDescent="0.3">
      <c r="A3352" t="s">
        <v>59</v>
      </c>
      <c r="B3352" t="s">
        <v>8</v>
      </c>
      <c r="C3352" t="s">
        <v>18</v>
      </c>
      <c r="D3352">
        <v>0</v>
      </c>
      <c r="E3352" t="s">
        <v>57</v>
      </c>
      <c r="F3352" t="s">
        <v>36</v>
      </c>
      <c r="G3352" t="s">
        <v>37</v>
      </c>
    </row>
    <row r="3353" spans="1:7" x14ac:dyDescent="0.3">
      <c r="A3353" t="s">
        <v>59</v>
      </c>
      <c r="B3353" t="s">
        <v>8</v>
      </c>
      <c r="C3353" t="s">
        <v>19</v>
      </c>
      <c r="D3353">
        <v>0</v>
      </c>
      <c r="E3353" t="s">
        <v>57</v>
      </c>
      <c r="F3353" t="s">
        <v>36</v>
      </c>
      <c r="G3353" t="s">
        <v>37</v>
      </c>
    </row>
    <row r="3354" spans="1:7" x14ac:dyDescent="0.3">
      <c r="A3354" t="s">
        <v>59</v>
      </c>
      <c r="B3354" t="s">
        <v>8</v>
      </c>
      <c r="C3354" t="s">
        <v>20</v>
      </c>
      <c r="D3354">
        <v>0</v>
      </c>
      <c r="E3354" t="s">
        <v>57</v>
      </c>
      <c r="F3354" t="s">
        <v>36</v>
      </c>
      <c r="G3354" t="s">
        <v>37</v>
      </c>
    </row>
    <row r="3355" spans="1:7" x14ac:dyDescent="0.3">
      <c r="A3355" t="s">
        <v>59</v>
      </c>
      <c r="B3355" t="s">
        <v>8</v>
      </c>
      <c r="C3355" t="s">
        <v>21</v>
      </c>
      <c r="D3355">
        <v>0</v>
      </c>
      <c r="E3355" t="s">
        <v>57</v>
      </c>
      <c r="F3355" t="s">
        <v>36</v>
      </c>
      <c r="G3355" t="s">
        <v>37</v>
      </c>
    </row>
    <row r="3356" spans="1:7" x14ac:dyDescent="0.3">
      <c r="A3356" t="s">
        <v>59</v>
      </c>
      <c r="B3356" t="s">
        <v>8</v>
      </c>
      <c r="C3356" t="s">
        <v>22</v>
      </c>
      <c r="D3356">
        <v>0</v>
      </c>
      <c r="E3356" t="s">
        <v>57</v>
      </c>
      <c r="F3356" t="s">
        <v>36</v>
      </c>
      <c r="G3356" t="s">
        <v>37</v>
      </c>
    </row>
    <row r="3357" spans="1:7" x14ac:dyDescent="0.3">
      <c r="A3357" t="s">
        <v>59</v>
      </c>
      <c r="B3357" t="s">
        <v>23</v>
      </c>
      <c r="C3357" t="s">
        <v>9</v>
      </c>
      <c r="D3357">
        <v>286354</v>
      </c>
      <c r="E3357" t="s">
        <v>57</v>
      </c>
      <c r="F3357" t="s">
        <v>36</v>
      </c>
      <c r="G3357" t="s">
        <v>37</v>
      </c>
    </row>
    <row r="3358" spans="1:7" x14ac:dyDescent="0.3">
      <c r="A3358" t="s">
        <v>59</v>
      </c>
      <c r="B3358" t="s">
        <v>23</v>
      </c>
      <c r="C3358" t="s">
        <v>13</v>
      </c>
      <c r="D3358">
        <v>2489</v>
      </c>
      <c r="E3358" t="s">
        <v>57</v>
      </c>
      <c r="F3358" t="s">
        <v>36</v>
      </c>
      <c r="G3358" t="s">
        <v>37</v>
      </c>
    </row>
    <row r="3359" spans="1:7" x14ac:dyDescent="0.3">
      <c r="A3359" t="s">
        <v>59</v>
      </c>
      <c r="B3359" t="s">
        <v>23</v>
      </c>
      <c r="C3359" t="s">
        <v>14</v>
      </c>
      <c r="D3359">
        <v>2221</v>
      </c>
      <c r="E3359" t="s">
        <v>57</v>
      </c>
      <c r="F3359" t="s">
        <v>36</v>
      </c>
      <c r="G3359" t="s">
        <v>37</v>
      </c>
    </row>
    <row r="3360" spans="1:7" x14ac:dyDescent="0.3">
      <c r="A3360" t="s">
        <v>59</v>
      </c>
      <c r="B3360" t="s">
        <v>23</v>
      </c>
      <c r="C3360" t="s">
        <v>15</v>
      </c>
      <c r="D3360">
        <v>3877</v>
      </c>
      <c r="E3360" t="s">
        <v>57</v>
      </c>
      <c r="F3360" t="s">
        <v>36</v>
      </c>
      <c r="G3360" t="s">
        <v>37</v>
      </c>
    </row>
    <row r="3361" spans="1:7" x14ac:dyDescent="0.3">
      <c r="A3361" t="s">
        <v>59</v>
      </c>
      <c r="B3361" t="s">
        <v>23</v>
      </c>
      <c r="C3361" t="s">
        <v>16</v>
      </c>
      <c r="D3361">
        <v>32337</v>
      </c>
      <c r="E3361" t="s">
        <v>57</v>
      </c>
      <c r="F3361" t="s">
        <v>36</v>
      </c>
      <c r="G3361" t="s">
        <v>37</v>
      </c>
    </row>
    <row r="3362" spans="1:7" x14ac:dyDescent="0.3">
      <c r="A3362" t="s">
        <v>59</v>
      </c>
      <c r="B3362" t="s">
        <v>23</v>
      </c>
      <c r="C3362" t="s">
        <v>17</v>
      </c>
      <c r="D3362">
        <v>650</v>
      </c>
      <c r="E3362" t="s">
        <v>57</v>
      </c>
      <c r="F3362" t="s">
        <v>36</v>
      </c>
      <c r="G3362" t="s">
        <v>37</v>
      </c>
    </row>
    <row r="3363" spans="1:7" x14ac:dyDescent="0.3">
      <c r="A3363" t="s">
        <v>59</v>
      </c>
      <c r="B3363" t="s">
        <v>23</v>
      </c>
      <c r="C3363" t="s">
        <v>18</v>
      </c>
      <c r="D3363">
        <v>0</v>
      </c>
      <c r="E3363" t="s">
        <v>57</v>
      </c>
      <c r="F3363" t="s">
        <v>36</v>
      </c>
      <c r="G3363" t="s">
        <v>37</v>
      </c>
    </row>
    <row r="3364" spans="1:7" x14ac:dyDescent="0.3">
      <c r="A3364" t="s">
        <v>59</v>
      </c>
      <c r="B3364" t="s">
        <v>23</v>
      </c>
      <c r="C3364" t="s">
        <v>19</v>
      </c>
      <c r="D3364">
        <v>2423</v>
      </c>
      <c r="E3364" t="s">
        <v>57</v>
      </c>
      <c r="F3364" t="s">
        <v>36</v>
      </c>
      <c r="G3364" t="s">
        <v>37</v>
      </c>
    </row>
    <row r="3365" spans="1:7" x14ac:dyDescent="0.3">
      <c r="A3365" t="s">
        <v>59</v>
      </c>
      <c r="B3365" t="s">
        <v>23</v>
      </c>
      <c r="C3365" t="s">
        <v>20</v>
      </c>
      <c r="D3365">
        <v>9745</v>
      </c>
      <c r="E3365" t="s">
        <v>57</v>
      </c>
      <c r="F3365" t="s">
        <v>36</v>
      </c>
      <c r="G3365" t="s">
        <v>37</v>
      </c>
    </row>
    <row r="3366" spans="1:7" x14ac:dyDescent="0.3">
      <c r="A3366" t="s">
        <v>59</v>
      </c>
      <c r="B3366" t="s">
        <v>23</v>
      </c>
      <c r="C3366" t="s">
        <v>21</v>
      </c>
      <c r="D3366">
        <v>504</v>
      </c>
      <c r="E3366" t="s">
        <v>57</v>
      </c>
      <c r="F3366" t="s">
        <v>36</v>
      </c>
      <c r="G3366" t="s">
        <v>37</v>
      </c>
    </row>
    <row r="3367" spans="1:7" x14ac:dyDescent="0.3">
      <c r="A3367" t="s">
        <v>59</v>
      </c>
      <c r="B3367" t="s">
        <v>23</v>
      </c>
      <c r="C3367" t="s">
        <v>22</v>
      </c>
      <c r="D3367">
        <v>399</v>
      </c>
      <c r="E3367" t="s">
        <v>57</v>
      </c>
      <c r="F3367" t="s">
        <v>36</v>
      </c>
      <c r="G3367" t="s">
        <v>37</v>
      </c>
    </row>
    <row r="3368" spans="1:7" x14ac:dyDescent="0.3">
      <c r="A3368" t="s">
        <v>60</v>
      </c>
      <c r="B3368" t="s">
        <v>8</v>
      </c>
      <c r="C3368" t="s">
        <v>9</v>
      </c>
      <c r="D3368">
        <v>0</v>
      </c>
      <c r="E3368" t="s">
        <v>57</v>
      </c>
      <c r="F3368" t="s">
        <v>36</v>
      </c>
      <c r="G3368" t="s">
        <v>37</v>
      </c>
    </row>
    <row r="3369" spans="1:7" x14ac:dyDescent="0.3">
      <c r="A3369" t="s">
        <v>60</v>
      </c>
      <c r="B3369" t="s">
        <v>8</v>
      </c>
      <c r="C3369" t="s">
        <v>13</v>
      </c>
      <c r="D3369">
        <v>0</v>
      </c>
      <c r="E3369" t="s">
        <v>57</v>
      </c>
      <c r="F3369" t="s">
        <v>36</v>
      </c>
      <c r="G3369" t="s">
        <v>37</v>
      </c>
    </row>
    <row r="3370" spans="1:7" x14ac:dyDescent="0.3">
      <c r="A3370" t="s">
        <v>60</v>
      </c>
      <c r="B3370" t="s">
        <v>8</v>
      </c>
      <c r="C3370" t="s">
        <v>14</v>
      </c>
      <c r="D3370">
        <v>0</v>
      </c>
      <c r="E3370" t="s">
        <v>57</v>
      </c>
      <c r="F3370" t="s">
        <v>36</v>
      </c>
      <c r="G3370" t="s">
        <v>37</v>
      </c>
    </row>
    <row r="3371" spans="1:7" x14ac:dyDescent="0.3">
      <c r="A3371" t="s">
        <v>60</v>
      </c>
      <c r="B3371" t="s">
        <v>8</v>
      </c>
      <c r="C3371" t="s">
        <v>15</v>
      </c>
      <c r="D3371">
        <v>0</v>
      </c>
      <c r="E3371" t="s">
        <v>57</v>
      </c>
      <c r="F3371" t="s">
        <v>36</v>
      </c>
      <c r="G3371" t="s">
        <v>37</v>
      </c>
    </row>
    <row r="3372" spans="1:7" x14ac:dyDescent="0.3">
      <c r="A3372" t="s">
        <v>60</v>
      </c>
      <c r="B3372" t="s">
        <v>8</v>
      </c>
      <c r="C3372" t="s">
        <v>16</v>
      </c>
      <c r="D3372">
        <v>0</v>
      </c>
      <c r="E3372" t="s">
        <v>57</v>
      </c>
      <c r="F3372" t="s">
        <v>36</v>
      </c>
      <c r="G3372" t="s">
        <v>37</v>
      </c>
    </row>
    <row r="3373" spans="1:7" x14ac:dyDescent="0.3">
      <c r="A3373" t="s">
        <v>60</v>
      </c>
      <c r="B3373" t="s">
        <v>8</v>
      </c>
      <c r="C3373" t="s">
        <v>17</v>
      </c>
      <c r="D3373">
        <v>0</v>
      </c>
      <c r="E3373" t="s">
        <v>57</v>
      </c>
      <c r="F3373" t="s">
        <v>36</v>
      </c>
      <c r="G3373" t="s">
        <v>37</v>
      </c>
    </row>
    <row r="3374" spans="1:7" x14ac:dyDescent="0.3">
      <c r="A3374" t="s">
        <v>60</v>
      </c>
      <c r="B3374" t="s">
        <v>8</v>
      </c>
      <c r="C3374" t="s">
        <v>18</v>
      </c>
      <c r="D3374">
        <v>0</v>
      </c>
      <c r="E3374" t="s">
        <v>57</v>
      </c>
      <c r="F3374" t="s">
        <v>36</v>
      </c>
      <c r="G3374" t="s">
        <v>37</v>
      </c>
    </row>
    <row r="3375" spans="1:7" x14ac:dyDescent="0.3">
      <c r="A3375" t="s">
        <v>60</v>
      </c>
      <c r="B3375" t="s">
        <v>8</v>
      </c>
      <c r="C3375" t="s">
        <v>19</v>
      </c>
      <c r="D3375">
        <v>0</v>
      </c>
      <c r="E3375" t="s">
        <v>57</v>
      </c>
      <c r="F3375" t="s">
        <v>36</v>
      </c>
      <c r="G3375" t="s">
        <v>37</v>
      </c>
    </row>
    <row r="3376" spans="1:7" x14ac:dyDescent="0.3">
      <c r="A3376" t="s">
        <v>60</v>
      </c>
      <c r="B3376" t="s">
        <v>8</v>
      </c>
      <c r="C3376" t="s">
        <v>20</v>
      </c>
      <c r="D3376">
        <v>0</v>
      </c>
      <c r="E3376" t="s">
        <v>57</v>
      </c>
      <c r="F3376" t="s">
        <v>36</v>
      </c>
      <c r="G3376" t="s">
        <v>37</v>
      </c>
    </row>
    <row r="3377" spans="1:7" x14ac:dyDescent="0.3">
      <c r="A3377" t="s">
        <v>60</v>
      </c>
      <c r="B3377" t="s">
        <v>8</v>
      </c>
      <c r="C3377" t="s">
        <v>21</v>
      </c>
      <c r="D3377">
        <v>0</v>
      </c>
      <c r="E3377" t="s">
        <v>57</v>
      </c>
      <c r="F3377" t="s">
        <v>36</v>
      </c>
      <c r="G3377" t="s">
        <v>37</v>
      </c>
    </row>
    <row r="3378" spans="1:7" x14ac:dyDescent="0.3">
      <c r="A3378" t="s">
        <v>60</v>
      </c>
      <c r="B3378" t="s">
        <v>8</v>
      </c>
      <c r="C3378" t="s">
        <v>22</v>
      </c>
      <c r="D3378">
        <v>0</v>
      </c>
      <c r="E3378" t="s">
        <v>57</v>
      </c>
      <c r="F3378" t="s">
        <v>36</v>
      </c>
      <c r="G3378" t="s">
        <v>37</v>
      </c>
    </row>
    <row r="3379" spans="1:7" x14ac:dyDescent="0.3">
      <c r="A3379" t="s">
        <v>60</v>
      </c>
      <c r="B3379" t="s">
        <v>23</v>
      </c>
      <c r="C3379" t="s">
        <v>9</v>
      </c>
      <c r="D3379">
        <v>877</v>
      </c>
      <c r="E3379" t="s">
        <v>57</v>
      </c>
      <c r="F3379" t="s">
        <v>36</v>
      </c>
      <c r="G3379" t="s">
        <v>37</v>
      </c>
    </row>
    <row r="3380" spans="1:7" x14ac:dyDescent="0.3">
      <c r="A3380" t="s">
        <v>60</v>
      </c>
      <c r="B3380" t="s">
        <v>23</v>
      </c>
      <c r="C3380" t="s">
        <v>13</v>
      </c>
      <c r="D3380">
        <v>10793</v>
      </c>
      <c r="E3380" t="s">
        <v>57</v>
      </c>
      <c r="F3380" t="s">
        <v>36</v>
      </c>
      <c r="G3380" t="s">
        <v>37</v>
      </c>
    </row>
    <row r="3381" spans="1:7" x14ac:dyDescent="0.3">
      <c r="A3381" t="s">
        <v>60</v>
      </c>
      <c r="B3381" t="s">
        <v>23</v>
      </c>
      <c r="C3381" t="s">
        <v>14</v>
      </c>
      <c r="D3381">
        <v>848</v>
      </c>
      <c r="E3381" t="s">
        <v>57</v>
      </c>
      <c r="F3381" t="s">
        <v>36</v>
      </c>
      <c r="G3381" t="s">
        <v>37</v>
      </c>
    </row>
    <row r="3382" spans="1:7" x14ac:dyDescent="0.3">
      <c r="A3382" t="s">
        <v>60</v>
      </c>
      <c r="B3382" t="s">
        <v>23</v>
      </c>
      <c r="C3382" t="s">
        <v>15</v>
      </c>
      <c r="D3382">
        <v>7911</v>
      </c>
      <c r="E3382" t="s">
        <v>57</v>
      </c>
      <c r="F3382" t="s">
        <v>36</v>
      </c>
      <c r="G3382" t="s">
        <v>37</v>
      </c>
    </row>
    <row r="3383" spans="1:7" x14ac:dyDescent="0.3">
      <c r="A3383" t="s">
        <v>60</v>
      </c>
      <c r="B3383" t="s">
        <v>23</v>
      </c>
      <c r="C3383" t="s">
        <v>16</v>
      </c>
      <c r="D3383">
        <v>4590</v>
      </c>
      <c r="E3383" t="s">
        <v>57</v>
      </c>
      <c r="F3383" t="s">
        <v>36</v>
      </c>
      <c r="G3383" t="s">
        <v>37</v>
      </c>
    </row>
    <row r="3384" spans="1:7" x14ac:dyDescent="0.3">
      <c r="A3384" t="s">
        <v>60</v>
      </c>
      <c r="B3384" t="s">
        <v>23</v>
      </c>
      <c r="C3384" t="s">
        <v>17</v>
      </c>
      <c r="D3384">
        <v>27</v>
      </c>
      <c r="E3384" t="s">
        <v>57</v>
      </c>
      <c r="F3384" t="s">
        <v>36</v>
      </c>
      <c r="G3384" t="s">
        <v>37</v>
      </c>
    </row>
    <row r="3385" spans="1:7" x14ac:dyDescent="0.3">
      <c r="A3385" t="s">
        <v>60</v>
      </c>
      <c r="B3385" t="s">
        <v>23</v>
      </c>
      <c r="C3385" t="s">
        <v>18</v>
      </c>
      <c r="D3385">
        <v>0</v>
      </c>
      <c r="E3385" t="s">
        <v>57</v>
      </c>
      <c r="F3385" t="s">
        <v>36</v>
      </c>
      <c r="G3385" t="s">
        <v>37</v>
      </c>
    </row>
    <row r="3386" spans="1:7" x14ac:dyDescent="0.3">
      <c r="A3386" t="s">
        <v>60</v>
      </c>
      <c r="B3386" t="s">
        <v>23</v>
      </c>
      <c r="C3386" t="s">
        <v>19</v>
      </c>
      <c r="D3386">
        <v>1882</v>
      </c>
      <c r="E3386" t="s">
        <v>57</v>
      </c>
      <c r="F3386" t="s">
        <v>36</v>
      </c>
      <c r="G3386" t="s">
        <v>37</v>
      </c>
    </row>
    <row r="3387" spans="1:7" x14ac:dyDescent="0.3">
      <c r="A3387" t="s">
        <v>60</v>
      </c>
      <c r="B3387" t="s">
        <v>23</v>
      </c>
      <c r="C3387" t="s">
        <v>20</v>
      </c>
      <c r="D3387">
        <v>2831</v>
      </c>
      <c r="E3387" t="s">
        <v>57</v>
      </c>
      <c r="F3387" t="s">
        <v>36</v>
      </c>
      <c r="G3387" t="s">
        <v>37</v>
      </c>
    </row>
    <row r="3388" spans="1:7" x14ac:dyDescent="0.3">
      <c r="A3388" t="s">
        <v>60</v>
      </c>
      <c r="B3388" t="s">
        <v>23</v>
      </c>
      <c r="C3388" t="s">
        <v>21</v>
      </c>
      <c r="D3388">
        <v>214</v>
      </c>
      <c r="E3388" t="s">
        <v>57</v>
      </c>
      <c r="F3388" t="s">
        <v>36</v>
      </c>
      <c r="G3388" t="s">
        <v>37</v>
      </c>
    </row>
    <row r="3389" spans="1:7" x14ac:dyDescent="0.3">
      <c r="A3389" t="s">
        <v>60</v>
      </c>
      <c r="B3389" t="s">
        <v>23</v>
      </c>
      <c r="C3389" t="s">
        <v>22</v>
      </c>
      <c r="D3389">
        <v>140072</v>
      </c>
      <c r="E3389" t="s">
        <v>57</v>
      </c>
      <c r="F3389" t="s">
        <v>36</v>
      </c>
      <c r="G3389" t="s">
        <v>37</v>
      </c>
    </row>
    <row r="3390" spans="1:7" x14ac:dyDescent="0.3">
      <c r="A3390" t="s">
        <v>25</v>
      </c>
      <c r="B3390" t="s">
        <v>8</v>
      </c>
      <c r="C3390" t="s">
        <v>9</v>
      </c>
      <c r="D3390">
        <v>0</v>
      </c>
      <c r="E3390" t="s">
        <v>57</v>
      </c>
      <c r="F3390" t="s">
        <v>36</v>
      </c>
      <c r="G3390" t="s">
        <v>37</v>
      </c>
    </row>
    <row r="3391" spans="1:7" x14ac:dyDescent="0.3">
      <c r="A3391" t="s">
        <v>25</v>
      </c>
      <c r="B3391" t="s">
        <v>8</v>
      </c>
      <c r="C3391" t="s">
        <v>13</v>
      </c>
      <c r="D3391">
        <v>0</v>
      </c>
      <c r="E3391" t="s">
        <v>57</v>
      </c>
      <c r="F3391" t="s">
        <v>36</v>
      </c>
      <c r="G3391" t="s">
        <v>37</v>
      </c>
    </row>
    <row r="3392" spans="1:7" x14ac:dyDescent="0.3">
      <c r="A3392" t="s">
        <v>25</v>
      </c>
      <c r="B3392" t="s">
        <v>8</v>
      </c>
      <c r="C3392" t="s">
        <v>14</v>
      </c>
      <c r="D3392">
        <v>0</v>
      </c>
      <c r="E3392" t="s">
        <v>57</v>
      </c>
      <c r="F3392" t="s">
        <v>36</v>
      </c>
      <c r="G3392" t="s">
        <v>37</v>
      </c>
    </row>
    <row r="3393" spans="1:7" x14ac:dyDescent="0.3">
      <c r="A3393" t="s">
        <v>25</v>
      </c>
      <c r="B3393" t="s">
        <v>8</v>
      </c>
      <c r="C3393" t="s">
        <v>15</v>
      </c>
      <c r="D3393">
        <v>0</v>
      </c>
      <c r="E3393" t="s">
        <v>57</v>
      </c>
      <c r="F3393" t="s">
        <v>36</v>
      </c>
      <c r="G3393" t="s">
        <v>37</v>
      </c>
    </row>
    <row r="3394" spans="1:7" x14ac:dyDescent="0.3">
      <c r="A3394" t="s">
        <v>25</v>
      </c>
      <c r="B3394" t="s">
        <v>8</v>
      </c>
      <c r="C3394" t="s">
        <v>16</v>
      </c>
      <c r="D3394">
        <v>0</v>
      </c>
      <c r="E3394" t="s">
        <v>57</v>
      </c>
      <c r="F3394" t="s">
        <v>36</v>
      </c>
      <c r="G3394" t="s">
        <v>37</v>
      </c>
    </row>
    <row r="3395" spans="1:7" x14ac:dyDescent="0.3">
      <c r="A3395" t="s">
        <v>25</v>
      </c>
      <c r="B3395" t="s">
        <v>8</v>
      </c>
      <c r="C3395" t="s">
        <v>17</v>
      </c>
      <c r="D3395">
        <v>0</v>
      </c>
      <c r="E3395" t="s">
        <v>57</v>
      </c>
      <c r="F3395" t="s">
        <v>36</v>
      </c>
      <c r="G3395" t="s">
        <v>37</v>
      </c>
    </row>
    <row r="3396" spans="1:7" x14ac:dyDescent="0.3">
      <c r="A3396" t="s">
        <v>25</v>
      </c>
      <c r="B3396" t="s">
        <v>8</v>
      </c>
      <c r="C3396" t="s">
        <v>18</v>
      </c>
      <c r="D3396">
        <v>0</v>
      </c>
      <c r="E3396" t="s">
        <v>57</v>
      </c>
      <c r="F3396" t="s">
        <v>36</v>
      </c>
      <c r="G3396" t="s">
        <v>37</v>
      </c>
    </row>
    <row r="3397" spans="1:7" x14ac:dyDescent="0.3">
      <c r="A3397" t="s">
        <v>25</v>
      </c>
      <c r="B3397" t="s">
        <v>8</v>
      </c>
      <c r="C3397" t="s">
        <v>19</v>
      </c>
      <c r="D3397">
        <v>0</v>
      </c>
      <c r="E3397" t="s">
        <v>57</v>
      </c>
      <c r="F3397" t="s">
        <v>36</v>
      </c>
      <c r="G3397" t="s">
        <v>37</v>
      </c>
    </row>
    <row r="3398" spans="1:7" x14ac:dyDescent="0.3">
      <c r="A3398" t="s">
        <v>25</v>
      </c>
      <c r="B3398" t="s">
        <v>8</v>
      </c>
      <c r="C3398" t="s">
        <v>20</v>
      </c>
      <c r="D3398">
        <v>0</v>
      </c>
      <c r="E3398" t="s">
        <v>57</v>
      </c>
      <c r="F3398" t="s">
        <v>36</v>
      </c>
      <c r="G3398" t="s">
        <v>37</v>
      </c>
    </row>
    <row r="3399" spans="1:7" x14ac:dyDescent="0.3">
      <c r="A3399" t="s">
        <v>25</v>
      </c>
      <c r="B3399" t="s">
        <v>8</v>
      </c>
      <c r="C3399" t="s">
        <v>21</v>
      </c>
      <c r="D3399">
        <v>0</v>
      </c>
      <c r="E3399" t="s">
        <v>57</v>
      </c>
      <c r="F3399" t="s">
        <v>36</v>
      </c>
      <c r="G3399" t="s">
        <v>37</v>
      </c>
    </row>
    <row r="3400" spans="1:7" x14ac:dyDescent="0.3">
      <c r="A3400" t="s">
        <v>25</v>
      </c>
      <c r="B3400" t="s">
        <v>8</v>
      </c>
      <c r="C3400" t="s">
        <v>22</v>
      </c>
      <c r="D3400">
        <v>0</v>
      </c>
      <c r="E3400" t="s">
        <v>57</v>
      </c>
      <c r="F3400" t="s">
        <v>36</v>
      </c>
      <c r="G3400" t="s">
        <v>37</v>
      </c>
    </row>
    <row r="3401" spans="1:7" x14ac:dyDescent="0.3">
      <c r="A3401" t="s">
        <v>25</v>
      </c>
      <c r="B3401" t="s">
        <v>23</v>
      </c>
      <c r="C3401" t="s">
        <v>9</v>
      </c>
      <c r="D3401">
        <v>3231</v>
      </c>
      <c r="E3401" t="s">
        <v>57</v>
      </c>
      <c r="F3401" t="s">
        <v>36</v>
      </c>
      <c r="G3401" t="s">
        <v>37</v>
      </c>
    </row>
    <row r="3402" spans="1:7" x14ac:dyDescent="0.3">
      <c r="A3402" t="s">
        <v>25</v>
      </c>
      <c r="B3402" t="s">
        <v>23</v>
      </c>
      <c r="C3402" t="s">
        <v>13</v>
      </c>
      <c r="D3402">
        <v>60104</v>
      </c>
      <c r="E3402" t="s">
        <v>57</v>
      </c>
      <c r="F3402" t="s">
        <v>36</v>
      </c>
      <c r="G3402" t="s">
        <v>37</v>
      </c>
    </row>
    <row r="3403" spans="1:7" x14ac:dyDescent="0.3">
      <c r="A3403" t="s">
        <v>25</v>
      </c>
      <c r="B3403" t="s">
        <v>23</v>
      </c>
      <c r="C3403" t="s">
        <v>14</v>
      </c>
      <c r="D3403">
        <v>3132</v>
      </c>
      <c r="E3403" t="s">
        <v>57</v>
      </c>
      <c r="F3403" t="s">
        <v>36</v>
      </c>
      <c r="G3403" t="s">
        <v>37</v>
      </c>
    </row>
    <row r="3404" spans="1:7" x14ac:dyDescent="0.3">
      <c r="A3404" t="s">
        <v>25</v>
      </c>
      <c r="B3404" t="s">
        <v>23</v>
      </c>
      <c r="C3404" t="s">
        <v>15</v>
      </c>
      <c r="D3404">
        <v>28072</v>
      </c>
      <c r="E3404" t="s">
        <v>57</v>
      </c>
      <c r="F3404" t="s">
        <v>36</v>
      </c>
      <c r="G3404" t="s">
        <v>37</v>
      </c>
    </row>
    <row r="3405" spans="1:7" x14ac:dyDescent="0.3">
      <c r="A3405" t="s">
        <v>25</v>
      </c>
      <c r="B3405" t="s">
        <v>23</v>
      </c>
      <c r="C3405" t="s">
        <v>16</v>
      </c>
      <c r="D3405">
        <v>15874</v>
      </c>
      <c r="E3405" t="s">
        <v>57</v>
      </c>
      <c r="F3405" t="s">
        <v>36</v>
      </c>
      <c r="G3405" t="s">
        <v>37</v>
      </c>
    </row>
    <row r="3406" spans="1:7" x14ac:dyDescent="0.3">
      <c r="A3406" t="s">
        <v>25</v>
      </c>
      <c r="B3406" t="s">
        <v>23</v>
      </c>
      <c r="C3406" t="s">
        <v>17</v>
      </c>
      <c r="D3406">
        <v>95</v>
      </c>
      <c r="E3406" t="s">
        <v>57</v>
      </c>
      <c r="F3406" t="s">
        <v>36</v>
      </c>
      <c r="G3406" t="s">
        <v>37</v>
      </c>
    </row>
    <row r="3407" spans="1:7" x14ac:dyDescent="0.3">
      <c r="A3407" t="s">
        <v>25</v>
      </c>
      <c r="B3407" t="s">
        <v>23</v>
      </c>
      <c r="C3407" t="s">
        <v>18</v>
      </c>
      <c r="D3407">
        <v>2</v>
      </c>
      <c r="E3407" t="s">
        <v>57</v>
      </c>
      <c r="F3407" t="s">
        <v>36</v>
      </c>
      <c r="G3407" t="s">
        <v>37</v>
      </c>
    </row>
    <row r="3408" spans="1:7" x14ac:dyDescent="0.3">
      <c r="A3408" t="s">
        <v>25</v>
      </c>
      <c r="B3408" t="s">
        <v>23</v>
      </c>
      <c r="C3408" t="s">
        <v>19</v>
      </c>
      <c r="D3408">
        <v>6875</v>
      </c>
      <c r="E3408" t="s">
        <v>57</v>
      </c>
      <c r="F3408" t="s">
        <v>36</v>
      </c>
      <c r="G3408" t="s">
        <v>37</v>
      </c>
    </row>
    <row r="3409" spans="1:7" x14ac:dyDescent="0.3">
      <c r="A3409" t="s">
        <v>25</v>
      </c>
      <c r="B3409" t="s">
        <v>23</v>
      </c>
      <c r="C3409" t="s">
        <v>20</v>
      </c>
      <c r="D3409">
        <v>10290</v>
      </c>
      <c r="E3409" t="s">
        <v>57</v>
      </c>
      <c r="F3409" t="s">
        <v>36</v>
      </c>
      <c r="G3409" t="s">
        <v>37</v>
      </c>
    </row>
    <row r="3410" spans="1:7" x14ac:dyDescent="0.3">
      <c r="A3410" t="s">
        <v>25</v>
      </c>
      <c r="B3410" t="s">
        <v>23</v>
      </c>
      <c r="C3410" t="s">
        <v>21</v>
      </c>
      <c r="D3410">
        <v>754</v>
      </c>
      <c r="E3410" t="s">
        <v>57</v>
      </c>
      <c r="F3410" t="s">
        <v>36</v>
      </c>
      <c r="G3410" t="s">
        <v>37</v>
      </c>
    </row>
    <row r="3411" spans="1:7" x14ac:dyDescent="0.3">
      <c r="A3411" t="s">
        <v>25</v>
      </c>
      <c r="B3411" t="s">
        <v>23</v>
      </c>
      <c r="C3411" t="s">
        <v>22</v>
      </c>
      <c r="D3411">
        <v>477270</v>
      </c>
      <c r="E3411" t="s">
        <v>57</v>
      </c>
      <c r="F3411" t="s">
        <v>36</v>
      </c>
      <c r="G3411" t="s">
        <v>37</v>
      </c>
    </row>
    <row r="3412" spans="1:7" x14ac:dyDescent="0.3">
      <c r="A3412" t="s">
        <v>61</v>
      </c>
      <c r="B3412" t="s">
        <v>8</v>
      </c>
      <c r="C3412" t="s">
        <v>9</v>
      </c>
      <c r="D3412">
        <v>0</v>
      </c>
      <c r="E3412" t="s">
        <v>57</v>
      </c>
      <c r="F3412" t="s">
        <v>36</v>
      </c>
      <c r="G3412" t="s">
        <v>37</v>
      </c>
    </row>
    <row r="3413" spans="1:7" x14ac:dyDescent="0.3">
      <c r="A3413" t="s">
        <v>61</v>
      </c>
      <c r="B3413" t="s">
        <v>8</v>
      </c>
      <c r="C3413" t="s">
        <v>13</v>
      </c>
      <c r="D3413">
        <v>0</v>
      </c>
      <c r="E3413" t="s">
        <v>57</v>
      </c>
      <c r="F3413" t="s">
        <v>36</v>
      </c>
      <c r="G3413" t="s">
        <v>37</v>
      </c>
    </row>
    <row r="3414" spans="1:7" x14ac:dyDescent="0.3">
      <c r="A3414" t="s">
        <v>61</v>
      </c>
      <c r="B3414" t="s">
        <v>8</v>
      </c>
      <c r="C3414" t="s">
        <v>14</v>
      </c>
      <c r="D3414">
        <v>0</v>
      </c>
      <c r="E3414" t="s">
        <v>57</v>
      </c>
      <c r="F3414" t="s">
        <v>36</v>
      </c>
      <c r="G3414" t="s">
        <v>37</v>
      </c>
    </row>
    <row r="3415" spans="1:7" x14ac:dyDescent="0.3">
      <c r="A3415" t="s">
        <v>61</v>
      </c>
      <c r="B3415" t="s">
        <v>8</v>
      </c>
      <c r="C3415" t="s">
        <v>15</v>
      </c>
      <c r="D3415">
        <v>0</v>
      </c>
      <c r="E3415" t="s">
        <v>57</v>
      </c>
      <c r="F3415" t="s">
        <v>36</v>
      </c>
      <c r="G3415" t="s">
        <v>37</v>
      </c>
    </row>
    <row r="3416" spans="1:7" x14ac:dyDescent="0.3">
      <c r="A3416" t="s">
        <v>61</v>
      </c>
      <c r="B3416" t="s">
        <v>8</v>
      </c>
      <c r="C3416" t="s">
        <v>16</v>
      </c>
      <c r="D3416">
        <v>0</v>
      </c>
      <c r="E3416" t="s">
        <v>57</v>
      </c>
      <c r="F3416" t="s">
        <v>36</v>
      </c>
      <c r="G3416" t="s">
        <v>37</v>
      </c>
    </row>
    <row r="3417" spans="1:7" x14ac:dyDescent="0.3">
      <c r="A3417" t="s">
        <v>61</v>
      </c>
      <c r="B3417" t="s">
        <v>8</v>
      </c>
      <c r="C3417" t="s">
        <v>17</v>
      </c>
      <c r="D3417">
        <v>0</v>
      </c>
      <c r="E3417" t="s">
        <v>57</v>
      </c>
      <c r="F3417" t="s">
        <v>36</v>
      </c>
      <c r="G3417" t="s">
        <v>37</v>
      </c>
    </row>
    <row r="3418" spans="1:7" x14ac:dyDescent="0.3">
      <c r="A3418" t="s">
        <v>61</v>
      </c>
      <c r="B3418" t="s">
        <v>8</v>
      </c>
      <c r="C3418" t="s">
        <v>18</v>
      </c>
      <c r="D3418">
        <v>0</v>
      </c>
      <c r="E3418" t="s">
        <v>57</v>
      </c>
      <c r="F3418" t="s">
        <v>36</v>
      </c>
      <c r="G3418" t="s">
        <v>37</v>
      </c>
    </row>
    <row r="3419" spans="1:7" x14ac:dyDescent="0.3">
      <c r="A3419" t="s">
        <v>61</v>
      </c>
      <c r="B3419" t="s">
        <v>8</v>
      </c>
      <c r="C3419" t="s">
        <v>19</v>
      </c>
      <c r="D3419">
        <v>0</v>
      </c>
      <c r="E3419" t="s">
        <v>57</v>
      </c>
      <c r="F3419" t="s">
        <v>36</v>
      </c>
      <c r="G3419" t="s">
        <v>37</v>
      </c>
    </row>
    <row r="3420" spans="1:7" x14ac:dyDescent="0.3">
      <c r="A3420" t="s">
        <v>61</v>
      </c>
      <c r="B3420" t="s">
        <v>8</v>
      </c>
      <c r="C3420" t="s">
        <v>20</v>
      </c>
      <c r="D3420">
        <v>0</v>
      </c>
      <c r="E3420" t="s">
        <v>57</v>
      </c>
      <c r="F3420" t="s">
        <v>36</v>
      </c>
      <c r="G3420" t="s">
        <v>37</v>
      </c>
    </row>
    <row r="3421" spans="1:7" x14ac:dyDescent="0.3">
      <c r="A3421" t="s">
        <v>61</v>
      </c>
      <c r="B3421" t="s">
        <v>8</v>
      </c>
      <c r="C3421" t="s">
        <v>21</v>
      </c>
      <c r="D3421">
        <v>0</v>
      </c>
      <c r="E3421" t="s">
        <v>57</v>
      </c>
      <c r="F3421" t="s">
        <v>36</v>
      </c>
      <c r="G3421" t="s">
        <v>37</v>
      </c>
    </row>
    <row r="3422" spans="1:7" x14ac:dyDescent="0.3">
      <c r="A3422" t="s">
        <v>61</v>
      </c>
      <c r="B3422" t="s">
        <v>8</v>
      </c>
      <c r="C3422" t="s">
        <v>22</v>
      </c>
      <c r="D3422">
        <v>0</v>
      </c>
      <c r="E3422" t="s">
        <v>57</v>
      </c>
      <c r="F3422" t="s">
        <v>36</v>
      </c>
      <c r="G3422" t="s">
        <v>37</v>
      </c>
    </row>
    <row r="3423" spans="1:7" x14ac:dyDescent="0.3">
      <c r="A3423" t="s">
        <v>61</v>
      </c>
      <c r="B3423" t="s">
        <v>23</v>
      </c>
      <c r="C3423" t="s">
        <v>9</v>
      </c>
      <c r="D3423">
        <v>1305</v>
      </c>
      <c r="E3423" t="s">
        <v>57</v>
      </c>
      <c r="F3423" t="s">
        <v>36</v>
      </c>
      <c r="G3423" t="s">
        <v>37</v>
      </c>
    </row>
    <row r="3424" spans="1:7" x14ac:dyDescent="0.3">
      <c r="A3424" t="s">
        <v>61</v>
      </c>
      <c r="B3424" t="s">
        <v>23</v>
      </c>
      <c r="C3424" t="s">
        <v>13</v>
      </c>
      <c r="D3424">
        <v>16064</v>
      </c>
      <c r="E3424" t="s">
        <v>57</v>
      </c>
      <c r="F3424" t="s">
        <v>36</v>
      </c>
      <c r="G3424" t="s">
        <v>37</v>
      </c>
    </row>
    <row r="3425" spans="1:7" x14ac:dyDescent="0.3">
      <c r="A3425" t="s">
        <v>61</v>
      </c>
      <c r="B3425" t="s">
        <v>23</v>
      </c>
      <c r="C3425" t="s">
        <v>14</v>
      </c>
      <c r="D3425">
        <v>1262</v>
      </c>
      <c r="E3425" t="s">
        <v>57</v>
      </c>
      <c r="F3425" t="s">
        <v>36</v>
      </c>
      <c r="G3425" t="s">
        <v>37</v>
      </c>
    </row>
    <row r="3426" spans="1:7" x14ac:dyDescent="0.3">
      <c r="A3426" t="s">
        <v>61</v>
      </c>
      <c r="B3426" t="s">
        <v>23</v>
      </c>
      <c r="C3426" t="s">
        <v>15</v>
      </c>
      <c r="D3426">
        <v>11775</v>
      </c>
      <c r="E3426" t="s">
        <v>57</v>
      </c>
      <c r="F3426" t="s">
        <v>36</v>
      </c>
      <c r="G3426" t="s">
        <v>37</v>
      </c>
    </row>
    <row r="3427" spans="1:7" x14ac:dyDescent="0.3">
      <c r="A3427" t="s">
        <v>61</v>
      </c>
      <c r="B3427" t="s">
        <v>23</v>
      </c>
      <c r="C3427" t="s">
        <v>16</v>
      </c>
      <c r="D3427">
        <v>6832</v>
      </c>
      <c r="E3427" t="s">
        <v>57</v>
      </c>
      <c r="F3427" t="s">
        <v>36</v>
      </c>
      <c r="G3427" t="s">
        <v>37</v>
      </c>
    </row>
    <row r="3428" spans="1:7" x14ac:dyDescent="0.3">
      <c r="A3428" t="s">
        <v>61</v>
      </c>
      <c r="B3428" t="s">
        <v>23</v>
      </c>
      <c r="C3428" t="s">
        <v>17</v>
      </c>
      <c r="D3428">
        <v>40</v>
      </c>
      <c r="E3428" t="s">
        <v>57</v>
      </c>
      <c r="F3428" t="s">
        <v>36</v>
      </c>
      <c r="G3428" t="s">
        <v>37</v>
      </c>
    </row>
    <row r="3429" spans="1:7" x14ac:dyDescent="0.3">
      <c r="A3429" t="s">
        <v>61</v>
      </c>
      <c r="B3429" t="s">
        <v>23</v>
      </c>
      <c r="C3429" t="s">
        <v>18</v>
      </c>
      <c r="D3429">
        <v>0</v>
      </c>
      <c r="E3429" t="s">
        <v>57</v>
      </c>
      <c r="F3429" t="s">
        <v>36</v>
      </c>
      <c r="G3429" t="s">
        <v>37</v>
      </c>
    </row>
    <row r="3430" spans="1:7" x14ac:dyDescent="0.3">
      <c r="A3430" t="s">
        <v>61</v>
      </c>
      <c r="B3430" t="s">
        <v>23</v>
      </c>
      <c r="C3430" t="s">
        <v>19</v>
      </c>
      <c r="D3430">
        <v>2801</v>
      </c>
      <c r="E3430" t="s">
        <v>57</v>
      </c>
      <c r="F3430" t="s">
        <v>36</v>
      </c>
      <c r="G3430" t="s">
        <v>37</v>
      </c>
    </row>
    <row r="3431" spans="1:7" x14ac:dyDescent="0.3">
      <c r="A3431" t="s">
        <v>61</v>
      </c>
      <c r="B3431" t="s">
        <v>23</v>
      </c>
      <c r="C3431" t="s">
        <v>20</v>
      </c>
      <c r="D3431">
        <v>4214</v>
      </c>
      <c r="E3431" t="s">
        <v>57</v>
      </c>
      <c r="F3431" t="s">
        <v>36</v>
      </c>
      <c r="G3431" t="s">
        <v>37</v>
      </c>
    </row>
    <row r="3432" spans="1:7" x14ac:dyDescent="0.3">
      <c r="A3432" t="s">
        <v>61</v>
      </c>
      <c r="B3432" t="s">
        <v>23</v>
      </c>
      <c r="C3432" t="s">
        <v>21</v>
      </c>
      <c r="D3432">
        <v>319</v>
      </c>
      <c r="E3432" t="s">
        <v>57</v>
      </c>
      <c r="F3432" t="s">
        <v>36</v>
      </c>
      <c r="G3432" t="s">
        <v>37</v>
      </c>
    </row>
    <row r="3433" spans="1:7" x14ac:dyDescent="0.3">
      <c r="A3433" t="s">
        <v>61</v>
      </c>
      <c r="B3433" t="s">
        <v>23</v>
      </c>
      <c r="C3433" t="s">
        <v>22</v>
      </c>
      <c r="D3433">
        <v>208480</v>
      </c>
      <c r="E3433" t="s">
        <v>57</v>
      </c>
      <c r="F3433" t="s">
        <v>36</v>
      </c>
      <c r="G3433" t="s">
        <v>37</v>
      </c>
    </row>
    <row r="3434" spans="1:7" x14ac:dyDescent="0.3">
      <c r="A3434" t="s">
        <v>62</v>
      </c>
      <c r="B3434" t="s">
        <v>8</v>
      </c>
      <c r="C3434" t="s">
        <v>9</v>
      </c>
      <c r="D3434">
        <v>0</v>
      </c>
      <c r="E3434" t="s">
        <v>57</v>
      </c>
      <c r="F3434" t="s">
        <v>36</v>
      </c>
      <c r="G3434" t="s">
        <v>37</v>
      </c>
    </row>
    <row r="3435" spans="1:7" x14ac:dyDescent="0.3">
      <c r="A3435" t="s">
        <v>62</v>
      </c>
      <c r="B3435" t="s">
        <v>8</v>
      </c>
      <c r="C3435" t="s">
        <v>13</v>
      </c>
      <c r="D3435">
        <v>0</v>
      </c>
      <c r="E3435" t="s">
        <v>57</v>
      </c>
      <c r="F3435" t="s">
        <v>36</v>
      </c>
      <c r="G3435" t="s">
        <v>37</v>
      </c>
    </row>
    <row r="3436" spans="1:7" x14ac:dyDescent="0.3">
      <c r="A3436" t="s">
        <v>62</v>
      </c>
      <c r="B3436" t="s">
        <v>8</v>
      </c>
      <c r="C3436" t="s">
        <v>14</v>
      </c>
      <c r="D3436">
        <v>0</v>
      </c>
      <c r="E3436" t="s">
        <v>57</v>
      </c>
      <c r="F3436" t="s">
        <v>36</v>
      </c>
      <c r="G3436" t="s">
        <v>37</v>
      </c>
    </row>
    <row r="3437" spans="1:7" x14ac:dyDescent="0.3">
      <c r="A3437" t="s">
        <v>62</v>
      </c>
      <c r="B3437" t="s">
        <v>8</v>
      </c>
      <c r="C3437" t="s">
        <v>15</v>
      </c>
      <c r="D3437">
        <v>0</v>
      </c>
      <c r="E3437" t="s">
        <v>57</v>
      </c>
      <c r="F3437" t="s">
        <v>36</v>
      </c>
      <c r="G3437" t="s">
        <v>37</v>
      </c>
    </row>
    <row r="3438" spans="1:7" x14ac:dyDescent="0.3">
      <c r="A3438" t="s">
        <v>62</v>
      </c>
      <c r="B3438" t="s">
        <v>8</v>
      </c>
      <c r="C3438" t="s">
        <v>16</v>
      </c>
      <c r="D3438">
        <v>0</v>
      </c>
      <c r="E3438" t="s">
        <v>57</v>
      </c>
      <c r="F3438" t="s">
        <v>36</v>
      </c>
      <c r="G3438" t="s">
        <v>37</v>
      </c>
    </row>
    <row r="3439" spans="1:7" x14ac:dyDescent="0.3">
      <c r="A3439" t="s">
        <v>62</v>
      </c>
      <c r="B3439" t="s">
        <v>8</v>
      </c>
      <c r="C3439" t="s">
        <v>17</v>
      </c>
      <c r="D3439">
        <v>0</v>
      </c>
      <c r="E3439" t="s">
        <v>57</v>
      </c>
      <c r="F3439" t="s">
        <v>36</v>
      </c>
      <c r="G3439" t="s">
        <v>37</v>
      </c>
    </row>
    <row r="3440" spans="1:7" x14ac:dyDescent="0.3">
      <c r="A3440" t="s">
        <v>62</v>
      </c>
      <c r="B3440" t="s">
        <v>8</v>
      </c>
      <c r="C3440" t="s">
        <v>18</v>
      </c>
      <c r="D3440">
        <v>0</v>
      </c>
      <c r="E3440" t="s">
        <v>57</v>
      </c>
      <c r="F3440" t="s">
        <v>36</v>
      </c>
      <c r="G3440" t="s">
        <v>37</v>
      </c>
    </row>
    <row r="3441" spans="1:7" x14ac:dyDescent="0.3">
      <c r="A3441" t="s">
        <v>62</v>
      </c>
      <c r="B3441" t="s">
        <v>8</v>
      </c>
      <c r="C3441" t="s">
        <v>19</v>
      </c>
      <c r="D3441">
        <v>0</v>
      </c>
      <c r="E3441" t="s">
        <v>57</v>
      </c>
      <c r="F3441" t="s">
        <v>36</v>
      </c>
      <c r="G3441" t="s">
        <v>37</v>
      </c>
    </row>
    <row r="3442" spans="1:7" x14ac:dyDescent="0.3">
      <c r="A3442" t="s">
        <v>62</v>
      </c>
      <c r="B3442" t="s">
        <v>8</v>
      </c>
      <c r="C3442" t="s">
        <v>20</v>
      </c>
      <c r="D3442">
        <v>0</v>
      </c>
      <c r="E3442" t="s">
        <v>57</v>
      </c>
      <c r="F3442" t="s">
        <v>36</v>
      </c>
      <c r="G3442" t="s">
        <v>37</v>
      </c>
    </row>
    <row r="3443" spans="1:7" x14ac:dyDescent="0.3">
      <c r="A3443" t="s">
        <v>62</v>
      </c>
      <c r="B3443" t="s">
        <v>8</v>
      </c>
      <c r="C3443" t="s">
        <v>21</v>
      </c>
      <c r="D3443">
        <v>0</v>
      </c>
      <c r="E3443" t="s">
        <v>57</v>
      </c>
      <c r="F3443" t="s">
        <v>36</v>
      </c>
      <c r="G3443" t="s">
        <v>37</v>
      </c>
    </row>
    <row r="3444" spans="1:7" x14ac:dyDescent="0.3">
      <c r="A3444" t="s">
        <v>62</v>
      </c>
      <c r="B3444" t="s">
        <v>8</v>
      </c>
      <c r="C3444" t="s">
        <v>22</v>
      </c>
      <c r="D3444">
        <v>0</v>
      </c>
      <c r="E3444" t="s">
        <v>57</v>
      </c>
      <c r="F3444" t="s">
        <v>36</v>
      </c>
      <c r="G3444" t="s">
        <v>37</v>
      </c>
    </row>
    <row r="3445" spans="1:7" x14ac:dyDescent="0.3">
      <c r="A3445" t="s">
        <v>62</v>
      </c>
      <c r="B3445" t="s">
        <v>23</v>
      </c>
      <c r="C3445" t="s">
        <v>9</v>
      </c>
      <c r="D3445">
        <v>1734</v>
      </c>
      <c r="E3445" t="s">
        <v>57</v>
      </c>
      <c r="F3445" t="s">
        <v>36</v>
      </c>
      <c r="G3445" t="s">
        <v>37</v>
      </c>
    </row>
    <row r="3446" spans="1:7" x14ac:dyDescent="0.3">
      <c r="A3446" t="s">
        <v>62</v>
      </c>
      <c r="B3446" t="s">
        <v>23</v>
      </c>
      <c r="C3446" t="s">
        <v>13</v>
      </c>
      <c r="D3446">
        <v>21350</v>
      </c>
      <c r="E3446" t="s">
        <v>57</v>
      </c>
      <c r="F3446" t="s">
        <v>36</v>
      </c>
      <c r="G3446" t="s">
        <v>37</v>
      </c>
    </row>
    <row r="3447" spans="1:7" x14ac:dyDescent="0.3">
      <c r="A3447" t="s">
        <v>62</v>
      </c>
      <c r="B3447" t="s">
        <v>23</v>
      </c>
      <c r="C3447" t="s">
        <v>14</v>
      </c>
      <c r="D3447">
        <v>1677</v>
      </c>
      <c r="E3447" t="s">
        <v>57</v>
      </c>
      <c r="F3447" t="s">
        <v>36</v>
      </c>
      <c r="G3447" t="s">
        <v>37</v>
      </c>
    </row>
    <row r="3448" spans="1:7" x14ac:dyDescent="0.3">
      <c r="A3448" t="s">
        <v>62</v>
      </c>
      <c r="B3448" t="s">
        <v>23</v>
      </c>
      <c r="C3448" t="s">
        <v>15</v>
      </c>
      <c r="D3448">
        <v>15649</v>
      </c>
      <c r="E3448" t="s">
        <v>57</v>
      </c>
      <c r="F3448" t="s">
        <v>36</v>
      </c>
      <c r="G3448" t="s">
        <v>37</v>
      </c>
    </row>
    <row r="3449" spans="1:7" x14ac:dyDescent="0.3">
      <c r="A3449" t="s">
        <v>62</v>
      </c>
      <c r="B3449" t="s">
        <v>23</v>
      </c>
      <c r="C3449" t="s">
        <v>16</v>
      </c>
      <c r="D3449">
        <v>9079</v>
      </c>
      <c r="E3449" t="s">
        <v>57</v>
      </c>
      <c r="F3449" t="s">
        <v>36</v>
      </c>
      <c r="G3449" t="s">
        <v>37</v>
      </c>
    </row>
    <row r="3450" spans="1:7" x14ac:dyDescent="0.3">
      <c r="A3450" t="s">
        <v>62</v>
      </c>
      <c r="B3450" t="s">
        <v>23</v>
      </c>
      <c r="C3450" t="s">
        <v>17</v>
      </c>
      <c r="D3450">
        <v>54</v>
      </c>
      <c r="E3450" t="s">
        <v>57</v>
      </c>
      <c r="F3450" t="s">
        <v>36</v>
      </c>
      <c r="G3450" t="s">
        <v>37</v>
      </c>
    </row>
    <row r="3451" spans="1:7" x14ac:dyDescent="0.3">
      <c r="A3451" t="s">
        <v>62</v>
      </c>
      <c r="B3451" t="s">
        <v>23</v>
      </c>
      <c r="C3451" t="s">
        <v>18</v>
      </c>
      <c r="D3451">
        <v>0</v>
      </c>
      <c r="E3451" t="s">
        <v>57</v>
      </c>
      <c r="F3451" t="s">
        <v>36</v>
      </c>
      <c r="G3451" t="s">
        <v>37</v>
      </c>
    </row>
    <row r="3452" spans="1:7" x14ac:dyDescent="0.3">
      <c r="A3452" t="s">
        <v>62</v>
      </c>
      <c r="B3452" t="s">
        <v>23</v>
      </c>
      <c r="C3452" t="s">
        <v>19</v>
      </c>
      <c r="D3452">
        <v>3722</v>
      </c>
      <c r="E3452" t="s">
        <v>57</v>
      </c>
      <c r="F3452" t="s">
        <v>36</v>
      </c>
      <c r="G3452" t="s">
        <v>37</v>
      </c>
    </row>
    <row r="3453" spans="1:7" x14ac:dyDescent="0.3">
      <c r="A3453" t="s">
        <v>62</v>
      </c>
      <c r="B3453" t="s">
        <v>23</v>
      </c>
      <c r="C3453" t="s">
        <v>20</v>
      </c>
      <c r="D3453">
        <v>5600</v>
      </c>
      <c r="E3453" t="s">
        <v>57</v>
      </c>
      <c r="F3453" t="s">
        <v>36</v>
      </c>
      <c r="G3453" t="s">
        <v>37</v>
      </c>
    </row>
    <row r="3454" spans="1:7" x14ac:dyDescent="0.3">
      <c r="A3454" t="s">
        <v>62</v>
      </c>
      <c r="B3454" t="s">
        <v>23</v>
      </c>
      <c r="C3454" t="s">
        <v>21</v>
      </c>
      <c r="D3454">
        <v>424</v>
      </c>
      <c r="E3454" t="s">
        <v>57</v>
      </c>
      <c r="F3454" t="s">
        <v>36</v>
      </c>
      <c r="G3454" t="s">
        <v>37</v>
      </c>
    </row>
    <row r="3455" spans="1:7" x14ac:dyDescent="0.3">
      <c r="A3455" t="s">
        <v>62</v>
      </c>
      <c r="B3455" t="s">
        <v>23</v>
      </c>
      <c r="C3455" t="s">
        <v>22</v>
      </c>
      <c r="D3455">
        <v>277075</v>
      </c>
      <c r="E3455" t="s">
        <v>57</v>
      </c>
      <c r="F3455" t="s">
        <v>36</v>
      </c>
      <c r="G3455" t="s">
        <v>37</v>
      </c>
    </row>
    <row r="3456" spans="1:7" x14ac:dyDescent="0.3">
      <c r="A3456" t="s">
        <v>26</v>
      </c>
      <c r="B3456" t="s">
        <v>8</v>
      </c>
      <c r="C3456" t="s">
        <v>9</v>
      </c>
      <c r="D3456">
        <v>0</v>
      </c>
      <c r="E3456" t="s">
        <v>57</v>
      </c>
      <c r="F3456" t="s">
        <v>36</v>
      </c>
      <c r="G3456" t="s">
        <v>37</v>
      </c>
    </row>
    <row r="3457" spans="1:7" x14ac:dyDescent="0.3">
      <c r="A3457" t="s">
        <v>26</v>
      </c>
      <c r="B3457" t="s">
        <v>8</v>
      </c>
      <c r="C3457" t="s">
        <v>13</v>
      </c>
      <c r="D3457">
        <v>0</v>
      </c>
      <c r="E3457" t="s">
        <v>57</v>
      </c>
      <c r="F3457" t="s">
        <v>36</v>
      </c>
      <c r="G3457" t="s">
        <v>37</v>
      </c>
    </row>
    <row r="3458" spans="1:7" x14ac:dyDescent="0.3">
      <c r="A3458" t="s">
        <v>26</v>
      </c>
      <c r="B3458" t="s">
        <v>8</v>
      </c>
      <c r="C3458" t="s">
        <v>14</v>
      </c>
      <c r="D3458">
        <v>0</v>
      </c>
      <c r="E3458" t="s">
        <v>57</v>
      </c>
      <c r="F3458" t="s">
        <v>36</v>
      </c>
      <c r="G3458" t="s">
        <v>37</v>
      </c>
    </row>
    <row r="3459" spans="1:7" x14ac:dyDescent="0.3">
      <c r="A3459" t="s">
        <v>26</v>
      </c>
      <c r="B3459" t="s">
        <v>8</v>
      </c>
      <c r="C3459" t="s">
        <v>15</v>
      </c>
      <c r="D3459">
        <v>0</v>
      </c>
      <c r="E3459" t="s">
        <v>57</v>
      </c>
      <c r="F3459" t="s">
        <v>36</v>
      </c>
      <c r="G3459" t="s">
        <v>37</v>
      </c>
    </row>
    <row r="3460" spans="1:7" x14ac:dyDescent="0.3">
      <c r="A3460" t="s">
        <v>26</v>
      </c>
      <c r="B3460" t="s">
        <v>8</v>
      </c>
      <c r="C3460" t="s">
        <v>16</v>
      </c>
      <c r="D3460">
        <v>0</v>
      </c>
      <c r="E3460" t="s">
        <v>57</v>
      </c>
      <c r="F3460" t="s">
        <v>36</v>
      </c>
      <c r="G3460" t="s">
        <v>37</v>
      </c>
    </row>
    <row r="3461" spans="1:7" x14ac:dyDescent="0.3">
      <c r="A3461" t="s">
        <v>26</v>
      </c>
      <c r="B3461" t="s">
        <v>8</v>
      </c>
      <c r="C3461" t="s">
        <v>17</v>
      </c>
      <c r="D3461">
        <v>0</v>
      </c>
      <c r="E3461" t="s">
        <v>57</v>
      </c>
      <c r="F3461" t="s">
        <v>36</v>
      </c>
      <c r="G3461" t="s">
        <v>37</v>
      </c>
    </row>
    <row r="3462" spans="1:7" x14ac:dyDescent="0.3">
      <c r="A3462" t="s">
        <v>26</v>
      </c>
      <c r="B3462" t="s">
        <v>8</v>
      </c>
      <c r="C3462" t="s">
        <v>18</v>
      </c>
      <c r="D3462">
        <v>0</v>
      </c>
      <c r="E3462" t="s">
        <v>57</v>
      </c>
      <c r="F3462" t="s">
        <v>36</v>
      </c>
      <c r="G3462" t="s">
        <v>37</v>
      </c>
    </row>
    <row r="3463" spans="1:7" x14ac:dyDescent="0.3">
      <c r="A3463" t="s">
        <v>26</v>
      </c>
      <c r="B3463" t="s">
        <v>8</v>
      </c>
      <c r="C3463" t="s">
        <v>19</v>
      </c>
      <c r="D3463">
        <v>0</v>
      </c>
      <c r="E3463" t="s">
        <v>57</v>
      </c>
      <c r="F3463" t="s">
        <v>36</v>
      </c>
      <c r="G3463" t="s">
        <v>37</v>
      </c>
    </row>
    <row r="3464" spans="1:7" x14ac:dyDescent="0.3">
      <c r="A3464" t="s">
        <v>26</v>
      </c>
      <c r="B3464" t="s">
        <v>8</v>
      </c>
      <c r="C3464" t="s">
        <v>20</v>
      </c>
      <c r="D3464">
        <v>0</v>
      </c>
      <c r="E3464" t="s">
        <v>57</v>
      </c>
      <c r="F3464" t="s">
        <v>36</v>
      </c>
      <c r="G3464" t="s">
        <v>37</v>
      </c>
    </row>
    <row r="3465" spans="1:7" x14ac:dyDescent="0.3">
      <c r="A3465" t="s">
        <v>26</v>
      </c>
      <c r="B3465" t="s">
        <v>8</v>
      </c>
      <c r="C3465" t="s">
        <v>21</v>
      </c>
      <c r="D3465">
        <v>0</v>
      </c>
      <c r="E3465" t="s">
        <v>57</v>
      </c>
      <c r="F3465" t="s">
        <v>36</v>
      </c>
      <c r="G3465" t="s">
        <v>37</v>
      </c>
    </row>
    <row r="3466" spans="1:7" x14ac:dyDescent="0.3">
      <c r="A3466" t="s">
        <v>26</v>
      </c>
      <c r="B3466" t="s">
        <v>8</v>
      </c>
      <c r="C3466" t="s">
        <v>22</v>
      </c>
      <c r="D3466">
        <v>0</v>
      </c>
      <c r="E3466" t="s">
        <v>57</v>
      </c>
      <c r="F3466" t="s">
        <v>36</v>
      </c>
      <c r="G3466" t="s">
        <v>37</v>
      </c>
    </row>
    <row r="3467" spans="1:7" x14ac:dyDescent="0.3">
      <c r="A3467" t="s">
        <v>26</v>
      </c>
      <c r="B3467" t="s">
        <v>23</v>
      </c>
      <c r="C3467" t="s">
        <v>9</v>
      </c>
      <c r="D3467">
        <v>144</v>
      </c>
      <c r="E3467" t="s">
        <v>57</v>
      </c>
      <c r="F3467" t="s">
        <v>36</v>
      </c>
      <c r="G3467" t="s">
        <v>37</v>
      </c>
    </row>
    <row r="3468" spans="1:7" x14ac:dyDescent="0.3">
      <c r="A3468" t="s">
        <v>26</v>
      </c>
      <c r="B3468" t="s">
        <v>23</v>
      </c>
      <c r="C3468" t="s">
        <v>13</v>
      </c>
      <c r="D3468">
        <v>1775</v>
      </c>
      <c r="E3468" t="s">
        <v>57</v>
      </c>
      <c r="F3468" t="s">
        <v>36</v>
      </c>
      <c r="G3468" t="s">
        <v>37</v>
      </c>
    </row>
    <row r="3469" spans="1:7" x14ac:dyDescent="0.3">
      <c r="A3469" t="s">
        <v>26</v>
      </c>
      <c r="B3469" t="s">
        <v>23</v>
      </c>
      <c r="C3469" t="s">
        <v>14</v>
      </c>
      <c r="D3469">
        <v>139</v>
      </c>
      <c r="E3469" t="s">
        <v>57</v>
      </c>
      <c r="F3469" t="s">
        <v>36</v>
      </c>
      <c r="G3469" t="s">
        <v>37</v>
      </c>
    </row>
    <row r="3470" spans="1:7" x14ac:dyDescent="0.3">
      <c r="A3470" t="s">
        <v>26</v>
      </c>
      <c r="B3470" t="s">
        <v>23</v>
      </c>
      <c r="C3470" t="s">
        <v>15</v>
      </c>
      <c r="D3470">
        <v>1301</v>
      </c>
      <c r="E3470" t="s">
        <v>57</v>
      </c>
      <c r="F3470" t="s">
        <v>36</v>
      </c>
      <c r="G3470" t="s">
        <v>37</v>
      </c>
    </row>
    <row r="3471" spans="1:7" x14ac:dyDescent="0.3">
      <c r="A3471" t="s">
        <v>26</v>
      </c>
      <c r="B3471" t="s">
        <v>23</v>
      </c>
      <c r="C3471" t="s">
        <v>16</v>
      </c>
      <c r="D3471">
        <v>755</v>
      </c>
      <c r="E3471" t="s">
        <v>57</v>
      </c>
      <c r="F3471" t="s">
        <v>36</v>
      </c>
      <c r="G3471" t="s">
        <v>37</v>
      </c>
    </row>
    <row r="3472" spans="1:7" x14ac:dyDescent="0.3">
      <c r="A3472" t="s">
        <v>26</v>
      </c>
      <c r="B3472" t="s">
        <v>23</v>
      </c>
      <c r="C3472" t="s">
        <v>17</v>
      </c>
      <c r="D3472">
        <v>4</v>
      </c>
      <c r="E3472" t="s">
        <v>57</v>
      </c>
      <c r="F3472" t="s">
        <v>36</v>
      </c>
      <c r="G3472" t="s">
        <v>37</v>
      </c>
    </row>
    <row r="3473" spans="1:7" x14ac:dyDescent="0.3">
      <c r="A3473" t="s">
        <v>26</v>
      </c>
      <c r="B3473" t="s">
        <v>23</v>
      </c>
      <c r="C3473" t="s">
        <v>18</v>
      </c>
      <c r="D3473">
        <v>0</v>
      </c>
      <c r="E3473" t="s">
        <v>57</v>
      </c>
      <c r="F3473" t="s">
        <v>36</v>
      </c>
      <c r="G3473" t="s">
        <v>37</v>
      </c>
    </row>
    <row r="3474" spans="1:7" x14ac:dyDescent="0.3">
      <c r="A3474" t="s">
        <v>26</v>
      </c>
      <c r="B3474" t="s">
        <v>23</v>
      </c>
      <c r="C3474" t="s">
        <v>19</v>
      </c>
      <c r="D3474">
        <v>310</v>
      </c>
      <c r="E3474" t="s">
        <v>57</v>
      </c>
      <c r="F3474" t="s">
        <v>36</v>
      </c>
      <c r="G3474" t="s">
        <v>37</v>
      </c>
    </row>
    <row r="3475" spans="1:7" x14ac:dyDescent="0.3">
      <c r="A3475" t="s">
        <v>26</v>
      </c>
      <c r="B3475" t="s">
        <v>23</v>
      </c>
      <c r="C3475" t="s">
        <v>20</v>
      </c>
      <c r="D3475">
        <v>466</v>
      </c>
      <c r="E3475" t="s">
        <v>57</v>
      </c>
      <c r="F3475" t="s">
        <v>36</v>
      </c>
      <c r="G3475" t="s">
        <v>37</v>
      </c>
    </row>
    <row r="3476" spans="1:7" x14ac:dyDescent="0.3">
      <c r="A3476" t="s">
        <v>26</v>
      </c>
      <c r="B3476" t="s">
        <v>23</v>
      </c>
      <c r="C3476" t="s">
        <v>21</v>
      </c>
      <c r="D3476">
        <v>35</v>
      </c>
      <c r="E3476" t="s">
        <v>57</v>
      </c>
      <c r="F3476" t="s">
        <v>36</v>
      </c>
      <c r="G3476" t="s">
        <v>37</v>
      </c>
    </row>
    <row r="3477" spans="1:7" x14ac:dyDescent="0.3">
      <c r="A3477" t="s">
        <v>26</v>
      </c>
      <c r="B3477" t="s">
        <v>23</v>
      </c>
      <c r="C3477" t="s">
        <v>22</v>
      </c>
      <c r="D3477">
        <v>23042</v>
      </c>
      <c r="E3477" t="s">
        <v>57</v>
      </c>
      <c r="F3477" t="s">
        <v>36</v>
      </c>
      <c r="G3477" t="s">
        <v>37</v>
      </c>
    </row>
    <row r="3478" spans="1:7" x14ac:dyDescent="0.3">
      <c r="A3478" t="s">
        <v>27</v>
      </c>
      <c r="B3478" t="s">
        <v>8</v>
      </c>
      <c r="C3478" t="s">
        <v>9</v>
      </c>
      <c r="D3478">
        <v>0</v>
      </c>
      <c r="E3478" t="s">
        <v>57</v>
      </c>
      <c r="F3478" t="s">
        <v>36</v>
      </c>
      <c r="G3478" t="s">
        <v>37</v>
      </c>
    </row>
    <row r="3479" spans="1:7" x14ac:dyDescent="0.3">
      <c r="A3479" t="s">
        <v>27</v>
      </c>
      <c r="B3479" t="s">
        <v>8</v>
      </c>
      <c r="C3479" t="s">
        <v>13</v>
      </c>
      <c r="D3479">
        <v>0</v>
      </c>
      <c r="E3479" t="s">
        <v>57</v>
      </c>
      <c r="F3479" t="s">
        <v>36</v>
      </c>
      <c r="G3479" t="s">
        <v>37</v>
      </c>
    </row>
    <row r="3480" spans="1:7" x14ac:dyDescent="0.3">
      <c r="A3480" t="s">
        <v>27</v>
      </c>
      <c r="B3480" t="s">
        <v>8</v>
      </c>
      <c r="C3480" t="s">
        <v>14</v>
      </c>
      <c r="D3480">
        <v>0</v>
      </c>
      <c r="E3480" t="s">
        <v>57</v>
      </c>
      <c r="F3480" t="s">
        <v>36</v>
      </c>
      <c r="G3480" t="s">
        <v>37</v>
      </c>
    </row>
    <row r="3481" spans="1:7" x14ac:dyDescent="0.3">
      <c r="A3481" t="s">
        <v>27</v>
      </c>
      <c r="B3481" t="s">
        <v>8</v>
      </c>
      <c r="C3481" t="s">
        <v>15</v>
      </c>
      <c r="D3481">
        <v>0</v>
      </c>
      <c r="E3481" t="s">
        <v>57</v>
      </c>
      <c r="F3481" t="s">
        <v>36</v>
      </c>
      <c r="G3481" t="s">
        <v>37</v>
      </c>
    </row>
    <row r="3482" spans="1:7" x14ac:dyDescent="0.3">
      <c r="A3482" t="s">
        <v>27</v>
      </c>
      <c r="B3482" t="s">
        <v>8</v>
      </c>
      <c r="C3482" t="s">
        <v>16</v>
      </c>
      <c r="D3482">
        <v>0</v>
      </c>
      <c r="E3482" t="s">
        <v>57</v>
      </c>
      <c r="F3482" t="s">
        <v>36</v>
      </c>
      <c r="G3482" t="s">
        <v>37</v>
      </c>
    </row>
    <row r="3483" spans="1:7" x14ac:dyDescent="0.3">
      <c r="A3483" t="s">
        <v>27</v>
      </c>
      <c r="B3483" t="s">
        <v>8</v>
      </c>
      <c r="C3483" t="s">
        <v>17</v>
      </c>
      <c r="D3483">
        <v>0</v>
      </c>
      <c r="E3483" t="s">
        <v>57</v>
      </c>
      <c r="F3483" t="s">
        <v>36</v>
      </c>
      <c r="G3483" t="s">
        <v>37</v>
      </c>
    </row>
    <row r="3484" spans="1:7" x14ac:dyDescent="0.3">
      <c r="A3484" t="s">
        <v>27</v>
      </c>
      <c r="B3484" t="s">
        <v>8</v>
      </c>
      <c r="C3484" t="s">
        <v>18</v>
      </c>
      <c r="D3484">
        <v>0</v>
      </c>
      <c r="E3484" t="s">
        <v>57</v>
      </c>
      <c r="F3484" t="s">
        <v>36</v>
      </c>
      <c r="G3484" t="s">
        <v>37</v>
      </c>
    </row>
    <row r="3485" spans="1:7" x14ac:dyDescent="0.3">
      <c r="A3485" t="s">
        <v>27</v>
      </c>
      <c r="B3485" t="s">
        <v>8</v>
      </c>
      <c r="C3485" t="s">
        <v>19</v>
      </c>
      <c r="D3485">
        <v>0</v>
      </c>
      <c r="E3485" t="s">
        <v>57</v>
      </c>
      <c r="F3485" t="s">
        <v>36</v>
      </c>
      <c r="G3485" t="s">
        <v>37</v>
      </c>
    </row>
    <row r="3486" spans="1:7" x14ac:dyDescent="0.3">
      <c r="A3486" t="s">
        <v>27</v>
      </c>
      <c r="B3486" t="s">
        <v>8</v>
      </c>
      <c r="C3486" t="s">
        <v>20</v>
      </c>
      <c r="D3486">
        <v>0</v>
      </c>
      <c r="E3486" t="s">
        <v>57</v>
      </c>
      <c r="F3486" t="s">
        <v>36</v>
      </c>
      <c r="G3486" t="s">
        <v>37</v>
      </c>
    </row>
    <row r="3487" spans="1:7" x14ac:dyDescent="0.3">
      <c r="A3487" t="s">
        <v>27</v>
      </c>
      <c r="B3487" t="s">
        <v>8</v>
      </c>
      <c r="C3487" t="s">
        <v>21</v>
      </c>
      <c r="D3487">
        <v>0</v>
      </c>
      <c r="E3487" t="s">
        <v>57</v>
      </c>
      <c r="F3487" t="s">
        <v>36</v>
      </c>
      <c r="G3487" t="s">
        <v>37</v>
      </c>
    </row>
    <row r="3488" spans="1:7" x14ac:dyDescent="0.3">
      <c r="A3488" t="s">
        <v>27</v>
      </c>
      <c r="B3488" t="s">
        <v>8</v>
      </c>
      <c r="C3488" t="s">
        <v>22</v>
      </c>
      <c r="D3488">
        <v>0</v>
      </c>
      <c r="E3488" t="s">
        <v>57</v>
      </c>
      <c r="F3488" t="s">
        <v>36</v>
      </c>
      <c r="G3488" t="s">
        <v>37</v>
      </c>
    </row>
    <row r="3489" spans="1:7" x14ac:dyDescent="0.3">
      <c r="A3489" t="s">
        <v>27</v>
      </c>
      <c r="B3489" t="s">
        <v>23</v>
      </c>
      <c r="C3489" t="s">
        <v>9</v>
      </c>
      <c r="D3489">
        <v>2408</v>
      </c>
      <c r="E3489" t="s">
        <v>57</v>
      </c>
      <c r="F3489" t="s">
        <v>36</v>
      </c>
      <c r="G3489" t="s">
        <v>37</v>
      </c>
    </row>
    <row r="3490" spans="1:7" x14ac:dyDescent="0.3">
      <c r="A3490" t="s">
        <v>27</v>
      </c>
      <c r="B3490" t="s">
        <v>23</v>
      </c>
      <c r="C3490" t="s">
        <v>13</v>
      </c>
      <c r="D3490">
        <v>5509</v>
      </c>
      <c r="E3490" t="s">
        <v>57</v>
      </c>
      <c r="F3490" t="s">
        <v>36</v>
      </c>
      <c r="G3490" t="s">
        <v>37</v>
      </c>
    </row>
    <row r="3491" spans="1:7" x14ac:dyDescent="0.3">
      <c r="A3491" t="s">
        <v>27</v>
      </c>
      <c r="B3491" t="s">
        <v>23</v>
      </c>
      <c r="C3491" t="s">
        <v>14</v>
      </c>
      <c r="D3491">
        <v>215476</v>
      </c>
      <c r="E3491" t="s">
        <v>57</v>
      </c>
      <c r="F3491" t="s">
        <v>36</v>
      </c>
      <c r="G3491" t="s">
        <v>37</v>
      </c>
    </row>
    <row r="3492" spans="1:7" x14ac:dyDescent="0.3">
      <c r="A3492" t="s">
        <v>27</v>
      </c>
      <c r="B3492" t="s">
        <v>23</v>
      </c>
      <c r="C3492" t="s">
        <v>15</v>
      </c>
      <c r="D3492">
        <v>19670</v>
      </c>
      <c r="E3492" t="s">
        <v>57</v>
      </c>
      <c r="F3492" t="s">
        <v>36</v>
      </c>
      <c r="G3492" t="s">
        <v>37</v>
      </c>
    </row>
    <row r="3493" spans="1:7" x14ac:dyDescent="0.3">
      <c r="A3493" t="s">
        <v>27</v>
      </c>
      <c r="B3493" t="s">
        <v>23</v>
      </c>
      <c r="C3493" t="s">
        <v>16</v>
      </c>
      <c r="D3493">
        <v>1274006</v>
      </c>
      <c r="E3493" t="s">
        <v>57</v>
      </c>
      <c r="F3493" t="s">
        <v>36</v>
      </c>
      <c r="G3493" t="s">
        <v>37</v>
      </c>
    </row>
    <row r="3494" spans="1:7" x14ac:dyDescent="0.3">
      <c r="A3494" t="s">
        <v>27</v>
      </c>
      <c r="B3494" t="s">
        <v>23</v>
      </c>
      <c r="C3494" t="s">
        <v>17</v>
      </c>
      <c r="D3494">
        <v>83010</v>
      </c>
      <c r="E3494" t="s">
        <v>57</v>
      </c>
      <c r="F3494" t="s">
        <v>36</v>
      </c>
      <c r="G3494" t="s">
        <v>37</v>
      </c>
    </row>
    <row r="3495" spans="1:7" x14ac:dyDescent="0.3">
      <c r="A3495" t="s">
        <v>27</v>
      </c>
      <c r="B3495" t="s">
        <v>23</v>
      </c>
      <c r="C3495" t="s">
        <v>18</v>
      </c>
      <c r="D3495">
        <v>0</v>
      </c>
      <c r="E3495" t="s">
        <v>57</v>
      </c>
      <c r="F3495" t="s">
        <v>36</v>
      </c>
      <c r="G3495" t="s">
        <v>37</v>
      </c>
    </row>
    <row r="3496" spans="1:7" x14ac:dyDescent="0.3">
      <c r="A3496" t="s">
        <v>27</v>
      </c>
      <c r="B3496" t="s">
        <v>23</v>
      </c>
      <c r="C3496" t="s">
        <v>19</v>
      </c>
      <c r="D3496">
        <v>1536</v>
      </c>
      <c r="E3496" t="s">
        <v>57</v>
      </c>
      <c r="F3496" t="s">
        <v>36</v>
      </c>
      <c r="G3496" t="s">
        <v>37</v>
      </c>
    </row>
    <row r="3497" spans="1:7" x14ac:dyDescent="0.3">
      <c r="A3497" t="s">
        <v>27</v>
      </c>
      <c r="B3497" t="s">
        <v>23</v>
      </c>
      <c r="C3497" t="s">
        <v>20</v>
      </c>
      <c r="D3497">
        <v>8790</v>
      </c>
      <c r="E3497" t="s">
        <v>57</v>
      </c>
      <c r="F3497" t="s">
        <v>36</v>
      </c>
      <c r="G3497" t="s">
        <v>37</v>
      </c>
    </row>
    <row r="3498" spans="1:7" x14ac:dyDescent="0.3">
      <c r="A3498" t="s">
        <v>27</v>
      </c>
      <c r="B3498" t="s">
        <v>23</v>
      </c>
      <c r="C3498" t="s">
        <v>21</v>
      </c>
      <c r="D3498">
        <v>1912</v>
      </c>
      <c r="E3498" t="s">
        <v>57</v>
      </c>
      <c r="F3498" t="s">
        <v>36</v>
      </c>
      <c r="G3498" t="s">
        <v>37</v>
      </c>
    </row>
    <row r="3499" spans="1:7" x14ac:dyDescent="0.3">
      <c r="A3499" t="s">
        <v>27</v>
      </c>
      <c r="B3499" t="s">
        <v>23</v>
      </c>
      <c r="C3499" t="s">
        <v>22</v>
      </c>
      <c r="D3499">
        <v>70171</v>
      </c>
      <c r="E3499" t="s">
        <v>57</v>
      </c>
      <c r="F3499" t="s">
        <v>36</v>
      </c>
      <c r="G3499" t="s">
        <v>37</v>
      </c>
    </row>
    <row r="3500" spans="1:7" x14ac:dyDescent="0.3">
      <c r="A3500" t="s">
        <v>63</v>
      </c>
      <c r="B3500" t="s">
        <v>8</v>
      </c>
      <c r="C3500" t="s">
        <v>9</v>
      </c>
      <c r="D3500">
        <v>0</v>
      </c>
      <c r="E3500" t="s">
        <v>57</v>
      </c>
      <c r="F3500" t="s">
        <v>36</v>
      </c>
      <c r="G3500" t="s">
        <v>37</v>
      </c>
    </row>
    <row r="3501" spans="1:7" x14ac:dyDescent="0.3">
      <c r="A3501" t="s">
        <v>63</v>
      </c>
      <c r="B3501" t="s">
        <v>8</v>
      </c>
      <c r="C3501" t="s">
        <v>13</v>
      </c>
      <c r="D3501">
        <v>0</v>
      </c>
      <c r="E3501" t="s">
        <v>57</v>
      </c>
      <c r="F3501" t="s">
        <v>36</v>
      </c>
      <c r="G3501" t="s">
        <v>37</v>
      </c>
    </row>
    <row r="3502" spans="1:7" x14ac:dyDescent="0.3">
      <c r="A3502" t="s">
        <v>63</v>
      </c>
      <c r="B3502" t="s">
        <v>8</v>
      </c>
      <c r="C3502" t="s">
        <v>14</v>
      </c>
      <c r="D3502">
        <v>0</v>
      </c>
      <c r="E3502" t="s">
        <v>57</v>
      </c>
      <c r="F3502" t="s">
        <v>36</v>
      </c>
      <c r="G3502" t="s">
        <v>37</v>
      </c>
    </row>
    <row r="3503" spans="1:7" x14ac:dyDescent="0.3">
      <c r="A3503" t="s">
        <v>63</v>
      </c>
      <c r="B3503" t="s">
        <v>8</v>
      </c>
      <c r="C3503" t="s">
        <v>15</v>
      </c>
      <c r="D3503">
        <v>0</v>
      </c>
      <c r="E3503" t="s">
        <v>57</v>
      </c>
      <c r="F3503" t="s">
        <v>36</v>
      </c>
      <c r="G3503" t="s">
        <v>37</v>
      </c>
    </row>
    <row r="3504" spans="1:7" x14ac:dyDescent="0.3">
      <c r="A3504" t="s">
        <v>63</v>
      </c>
      <c r="B3504" t="s">
        <v>8</v>
      </c>
      <c r="C3504" t="s">
        <v>16</v>
      </c>
      <c r="D3504">
        <v>0</v>
      </c>
      <c r="E3504" t="s">
        <v>57</v>
      </c>
      <c r="F3504" t="s">
        <v>36</v>
      </c>
      <c r="G3504" t="s">
        <v>37</v>
      </c>
    </row>
    <row r="3505" spans="1:7" x14ac:dyDescent="0.3">
      <c r="A3505" t="s">
        <v>63</v>
      </c>
      <c r="B3505" t="s">
        <v>8</v>
      </c>
      <c r="C3505" t="s">
        <v>17</v>
      </c>
      <c r="D3505">
        <v>0</v>
      </c>
      <c r="E3505" t="s">
        <v>57</v>
      </c>
      <c r="F3505" t="s">
        <v>36</v>
      </c>
      <c r="G3505" t="s">
        <v>37</v>
      </c>
    </row>
    <row r="3506" spans="1:7" x14ac:dyDescent="0.3">
      <c r="A3506" t="s">
        <v>63</v>
      </c>
      <c r="B3506" t="s">
        <v>8</v>
      </c>
      <c r="C3506" t="s">
        <v>18</v>
      </c>
      <c r="D3506">
        <v>0</v>
      </c>
      <c r="E3506" t="s">
        <v>57</v>
      </c>
      <c r="F3506" t="s">
        <v>36</v>
      </c>
      <c r="G3506" t="s">
        <v>37</v>
      </c>
    </row>
    <row r="3507" spans="1:7" x14ac:dyDescent="0.3">
      <c r="A3507" t="s">
        <v>63</v>
      </c>
      <c r="B3507" t="s">
        <v>8</v>
      </c>
      <c r="C3507" t="s">
        <v>19</v>
      </c>
      <c r="D3507">
        <v>0</v>
      </c>
      <c r="E3507" t="s">
        <v>57</v>
      </c>
      <c r="F3507" t="s">
        <v>36</v>
      </c>
      <c r="G3507" t="s">
        <v>37</v>
      </c>
    </row>
    <row r="3508" spans="1:7" x14ac:dyDescent="0.3">
      <c r="A3508" t="s">
        <v>63</v>
      </c>
      <c r="B3508" t="s">
        <v>8</v>
      </c>
      <c r="C3508" t="s">
        <v>20</v>
      </c>
      <c r="D3508">
        <v>0</v>
      </c>
      <c r="E3508" t="s">
        <v>57</v>
      </c>
      <c r="F3508" t="s">
        <v>36</v>
      </c>
      <c r="G3508" t="s">
        <v>37</v>
      </c>
    </row>
    <row r="3509" spans="1:7" x14ac:dyDescent="0.3">
      <c r="A3509" t="s">
        <v>63</v>
      </c>
      <c r="B3509" t="s">
        <v>8</v>
      </c>
      <c r="C3509" t="s">
        <v>21</v>
      </c>
      <c r="D3509">
        <v>0</v>
      </c>
      <c r="E3509" t="s">
        <v>57</v>
      </c>
      <c r="F3509" t="s">
        <v>36</v>
      </c>
      <c r="G3509" t="s">
        <v>37</v>
      </c>
    </row>
    <row r="3510" spans="1:7" x14ac:dyDescent="0.3">
      <c r="A3510" t="s">
        <v>63</v>
      </c>
      <c r="B3510" t="s">
        <v>8</v>
      </c>
      <c r="C3510" t="s">
        <v>22</v>
      </c>
      <c r="D3510">
        <v>0</v>
      </c>
      <c r="E3510" t="s">
        <v>57</v>
      </c>
      <c r="F3510" t="s">
        <v>36</v>
      </c>
      <c r="G3510" t="s">
        <v>37</v>
      </c>
    </row>
    <row r="3511" spans="1:7" x14ac:dyDescent="0.3">
      <c r="A3511" t="s">
        <v>63</v>
      </c>
      <c r="B3511" t="s">
        <v>23</v>
      </c>
      <c r="C3511" t="s">
        <v>9</v>
      </c>
      <c r="D3511">
        <v>730202</v>
      </c>
      <c r="E3511" t="s">
        <v>57</v>
      </c>
      <c r="F3511" t="s">
        <v>36</v>
      </c>
      <c r="G3511" t="s">
        <v>37</v>
      </c>
    </row>
    <row r="3512" spans="1:7" x14ac:dyDescent="0.3">
      <c r="A3512" t="s">
        <v>63</v>
      </c>
      <c r="B3512" t="s">
        <v>23</v>
      </c>
      <c r="C3512" t="s">
        <v>13</v>
      </c>
      <c r="D3512">
        <v>6346</v>
      </c>
      <c r="E3512" t="s">
        <v>57</v>
      </c>
      <c r="F3512" t="s">
        <v>36</v>
      </c>
      <c r="G3512" t="s">
        <v>37</v>
      </c>
    </row>
    <row r="3513" spans="1:7" x14ac:dyDescent="0.3">
      <c r="A3513" t="s">
        <v>63</v>
      </c>
      <c r="B3513" t="s">
        <v>23</v>
      </c>
      <c r="C3513" t="s">
        <v>14</v>
      </c>
      <c r="D3513">
        <v>5664</v>
      </c>
      <c r="E3513" t="s">
        <v>57</v>
      </c>
      <c r="F3513" t="s">
        <v>36</v>
      </c>
      <c r="G3513" t="s">
        <v>37</v>
      </c>
    </row>
    <row r="3514" spans="1:7" x14ac:dyDescent="0.3">
      <c r="A3514" t="s">
        <v>63</v>
      </c>
      <c r="B3514" t="s">
        <v>23</v>
      </c>
      <c r="C3514" t="s">
        <v>15</v>
      </c>
      <c r="D3514">
        <v>9887</v>
      </c>
      <c r="E3514" t="s">
        <v>57</v>
      </c>
      <c r="F3514" t="s">
        <v>36</v>
      </c>
      <c r="G3514" t="s">
        <v>37</v>
      </c>
    </row>
    <row r="3515" spans="1:7" x14ac:dyDescent="0.3">
      <c r="A3515" t="s">
        <v>63</v>
      </c>
      <c r="B3515" t="s">
        <v>23</v>
      </c>
      <c r="C3515" t="s">
        <v>16</v>
      </c>
      <c r="D3515">
        <v>82459</v>
      </c>
      <c r="E3515" t="s">
        <v>57</v>
      </c>
      <c r="F3515" t="s">
        <v>36</v>
      </c>
      <c r="G3515" t="s">
        <v>37</v>
      </c>
    </row>
    <row r="3516" spans="1:7" x14ac:dyDescent="0.3">
      <c r="A3516" t="s">
        <v>63</v>
      </c>
      <c r="B3516" t="s">
        <v>23</v>
      </c>
      <c r="C3516" t="s">
        <v>17</v>
      </c>
      <c r="D3516">
        <v>1657</v>
      </c>
      <c r="E3516" t="s">
        <v>57</v>
      </c>
      <c r="F3516" t="s">
        <v>36</v>
      </c>
      <c r="G3516" t="s">
        <v>37</v>
      </c>
    </row>
    <row r="3517" spans="1:7" x14ac:dyDescent="0.3">
      <c r="A3517" t="s">
        <v>63</v>
      </c>
      <c r="B3517" t="s">
        <v>23</v>
      </c>
      <c r="C3517" t="s">
        <v>18</v>
      </c>
      <c r="D3517">
        <v>0</v>
      </c>
      <c r="E3517" t="s">
        <v>57</v>
      </c>
      <c r="F3517" t="s">
        <v>36</v>
      </c>
      <c r="G3517" t="s">
        <v>37</v>
      </c>
    </row>
    <row r="3518" spans="1:7" x14ac:dyDescent="0.3">
      <c r="A3518" t="s">
        <v>63</v>
      </c>
      <c r="B3518" t="s">
        <v>23</v>
      </c>
      <c r="C3518" t="s">
        <v>19</v>
      </c>
      <c r="D3518">
        <v>6179</v>
      </c>
      <c r="E3518" t="s">
        <v>57</v>
      </c>
      <c r="F3518" t="s">
        <v>36</v>
      </c>
      <c r="G3518" t="s">
        <v>37</v>
      </c>
    </row>
    <row r="3519" spans="1:7" x14ac:dyDescent="0.3">
      <c r="A3519" t="s">
        <v>63</v>
      </c>
      <c r="B3519" t="s">
        <v>23</v>
      </c>
      <c r="C3519" t="s">
        <v>20</v>
      </c>
      <c r="D3519">
        <v>24849</v>
      </c>
      <c r="E3519" t="s">
        <v>57</v>
      </c>
      <c r="F3519" t="s">
        <v>36</v>
      </c>
      <c r="G3519" t="s">
        <v>37</v>
      </c>
    </row>
    <row r="3520" spans="1:7" x14ac:dyDescent="0.3">
      <c r="A3520" t="s">
        <v>63</v>
      </c>
      <c r="B3520" t="s">
        <v>23</v>
      </c>
      <c r="C3520" t="s">
        <v>21</v>
      </c>
      <c r="D3520">
        <v>1284</v>
      </c>
      <c r="E3520" t="s">
        <v>57</v>
      </c>
      <c r="F3520" t="s">
        <v>36</v>
      </c>
      <c r="G3520" t="s">
        <v>37</v>
      </c>
    </row>
    <row r="3521" spans="1:7" x14ac:dyDescent="0.3">
      <c r="A3521" t="s">
        <v>63</v>
      </c>
      <c r="B3521" t="s">
        <v>23</v>
      </c>
      <c r="C3521" t="s">
        <v>22</v>
      </c>
      <c r="D3521">
        <v>1016</v>
      </c>
      <c r="E3521" t="s">
        <v>57</v>
      </c>
      <c r="F3521" t="s">
        <v>36</v>
      </c>
      <c r="G3521" t="s">
        <v>37</v>
      </c>
    </row>
    <row r="3522" spans="1:7" x14ac:dyDescent="0.3">
      <c r="A3522" t="s">
        <v>52</v>
      </c>
      <c r="B3522" t="s">
        <v>8</v>
      </c>
      <c r="C3522" t="s">
        <v>9</v>
      </c>
      <c r="D3522">
        <v>0</v>
      </c>
      <c r="E3522" t="s">
        <v>57</v>
      </c>
      <c r="F3522" t="s">
        <v>36</v>
      </c>
      <c r="G3522" t="s">
        <v>37</v>
      </c>
    </row>
    <row r="3523" spans="1:7" x14ac:dyDescent="0.3">
      <c r="A3523" t="s">
        <v>52</v>
      </c>
      <c r="B3523" t="s">
        <v>8</v>
      </c>
      <c r="C3523" t="s">
        <v>13</v>
      </c>
      <c r="D3523">
        <v>0</v>
      </c>
      <c r="E3523" t="s">
        <v>57</v>
      </c>
      <c r="F3523" t="s">
        <v>36</v>
      </c>
      <c r="G3523" t="s">
        <v>37</v>
      </c>
    </row>
    <row r="3524" spans="1:7" x14ac:dyDescent="0.3">
      <c r="A3524" t="s">
        <v>52</v>
      </c>
      <c r="B3524" t="s">
        <v>8</v>
      </c>
      <c r="C3524" t="s">
        <v>14</v>
      </c>
      <c r="D3524">
        <v>0</v>
      </c>
      <c r="E3524" t="s">
        <v>57</v>
      </c>
      <c r="F3524" t="s">
        <v>36</v>
      </c>
      <c r="G3524" t="s">
        <v>37</v>
      </c>
    </row>
    <row r="3525" spans="1:7" x14ac:dyDescent="0.3">
      <c r="A3525" t="s">
        <v>52</v>
      </c>
      <c r="B3525" t="s">
        <v>8</v>
      </c>
      <c r="C3525" t="s">
        <v>15</v>
      </c>
      <c r="D3525">
        <v>0</v>
      </c>
      <c r="E3525" t="s">
        <v>57</v>
      </c>
      <c r="F3525" t="s">
        <v>36</v>
      </c>
      <c r="G3525" t="s">
        <v>37</v>
      </c>
    </row>
    <row r="3526" spans="1:7" x14ac:dyDescent="0.3">
      <c r="A3526" t="s">
        <v>52</v>
      </c>
      <c r="B3526" t="s">
        <v>8</v>
      </c>
      <c r="C3526" t="s">
        <v>16</v>
      </c>
      <c r="D3526">
        <v>0</v>
      </c>
      <c r="E3526" t="s">
        <v>57</v>
      </c>
      <c r="F3526" t="s">
        <v>36</v>
      </c>
      <c r="G3526" t="s">
        <v>37</v>
      </c>
    </row>
    <row r="3527" spans="1:7" x14ac:dyDescent="0.3">
      <c r="A3527" t="s">
        <v>52</v>
      </c>
      <c r="B3527" t="s">
        <v>8</v>
      </c>
      <c r="C3527" t="s">
        <v>17</v>
      </c>
      <c r="D3527">
        <v>0</v>
      </c>
      <c r="E3527" t="s">
        <v>57</v>
      </c>
      <c r="F3527" t="s">
        <v>36</v>
      </c>
      <c r="G3527" t="s">
        <v>37</v>
      </c>
    </row>
    <row r="3528" spans="1:7" x14ac:dyDescent="0.3">
      <c r="A3528" t="s">
        <v>52</v>
      </c>
      <c r="B3528" t="s">
        <v>8</v>
      </c>
      <c r="C3528" t="s">
        <v>18</v>
      </c>
      <c r="D3528">
        <v>0</v>
      </c>
      <c r="E3528" t="s">
        <v>57</v>
      </c>
      <c r="F3528" t="s">
        <v>36</v>
      </c>
      <c r="G3528" t="s">
        <v>37</v>
      </c>
    </row>
    <row r="3529" spans="1:7" x14ac:dyDescent="0.3">
      <c r="A3529" t="s">
        <v>52</v>
      </c>
      <c r="B3529" t="s">
        <v>8</v>
      </c>
      <c r="C3529" t="s">
        <v>19</v>
      </c>
      <c r="D3529">
        <v>0</v>
      </c>
      <c r="E3529" t="s">
        <v>57</v>
      </c>
      <c r="F3529" t="s">
        <v>36</v>
      </c>
      <c r="G3529" t="s">
        <v>37</v>
      </c>
    </row>
    <row r="3530" spans="1:7" x14ac:dyDescent="0.3">
      <c r="A3530" t="s">
        <v>52</v>
      </c>
      <c r="B3530" t="s">
        <v>8</v>
      </c>
      <c r="C3530" t="s">
        <v>20</v>
      </c>
      <c r="D3530">
        <v>0</v>
      </c>
      <c r="E3530" t="s">
        <v>57</v>
      </c>
      <c r="F3530" t="s">
        <v>36</v>
      </c>
      <c r="G3530" t="s">
        <v>37</v>
      </c>
    </row>
    <row r="3531" spans="1:7" x14ac:dyDescent="0.3">
      <c r="A3531" t="s">
        <v>52</v>
      </c>
      <c r="B3531" t="s">
        <v>8</v>
      </c>
      <c r="C3531" t="s">
        <v>21</v>
      </c>
      <c r="D3531">
        <v>0</v>
      </c>
      <c r="E3531" t="s">
        <v>57</v>
      </c>
      <c r="F3531" t="s">
        <v>36</v>
      </c>
      <c r="G3531" t="s">
        <v>37</v>
      </c>
    </row>
    <row r="3532" spans="1:7" x14ac:dyDescent="0.3">
      <c r="A3532" t="s">
        <v>52</v>
      </c>
      <c r="B3532" t="s">
        <v>8</v>
      </c>
      <c r="C3532" t="s">
        <v>22</v>
      </c>
      <c r="D3532">
        <v>0</v>
      </c>
      <c r="E3532" t="s">
        <v>57</v>
      </c>
      <c r="F3532" t="s">
        <v>36</v>
      </c>
      <c r="G3532" t="s">
        <v>37</v>
      </c>
    </row>
    <row r="3533" spans="1:7" x14ac:dyDescent="0.3">
      <c r="A3533" t="s">
        <v>52</v>
      </c>
      <c r="B3533" t="s">
        <v>23</v>
      </c>
      <c r="C3533" t="s">
        <v>9</v>
      </c>
      <c r="D3533">
        <v>218069</v>
      </c>
      <c r="E3533" t="s">
        <v>57</v>
      </c>
      <c r="F3533" t="s">
        <v>36</v>
      </c>
      <c r="G3533" t="s">
        <v>37</v>
      </c>
    </row>
    <row r="3534" spans="1:7" x14ac:dyDescent="0.3">
      <c r="A3534" t="s">
        <v>52</v>
      </c>
      <c r="B3534" t="s">
        <v>23</v>
      </c>
      <c r="C3534" t="s">
        <v>13</v>
      </c>
      <c r="D3534">
        <v>1895</v>
      </c>
      <c r="E3534" t="s">
        <v>57</v>
      </c>
      <c r="F3534" t="s">
        <v>36</v>
      </c>
      <c r="G3534" t="s">
        <v>37</v>
      </c>
    </row>
    <row r="3535" spans="1:7" x14ac:dyDescent="0.3">
      <c r="A3535" t="s">
        <v>52</v>
      </c>
      <c r="B3535" t="s">
        <v>23</v>
      </c>
      <c r="C3535" t="s">
        <v>14</v>
      </c>
      <c r="D3535">
        <v>1692</v>
      </c>
      <c r="E3535" t="s">
        <v>57</v>
      </c>
      <c r="F3535" t="s">
        <v>36</v>
      </c>
      <c r="G3535" t="s">
        <v>37</v>
      </c>
    </row>
    <row r="3536" spans="1:7" x14ac:dyDescent="0.3">
      <c r="A3536" t="s">
        <v>52</v>
      </c>
      <c r="B3536" t="s">
        <v>23</v>
      </c>
      <c r="C3536" t="s">
        <v>15</v>
      </c>
      <c r="D3536">
        <v>2953</v>
      </c>
      <c r="E3536" t="s">
        <v>57</v>
      </c>
      <c r="F3536" t="s">
        <v>36</v>
      </c>
      <c r="G3536" t="s">
        <v>37</v>
      </c>
    </row>
    <row r="3537" spans="1:7" x14ac:dyDescent="0.3">
      <c r="A3537" t="s">
        <v>52</v>
      </c>
      <c r="B3537" t="s">
        <v>23</v>
      </c>
      <c r="C3537" t="s">
        <v>16</v>
      </c>
      <c r="D3537">
        <v>24626</v>
      </c>
      <c r="E3537" t="s">
        <v>57</v>
      </c>
      <c r="F3537" t="s">
        <v>36</v>
      </c>
      <c r="G3537" t="s">
        <v>37</v>
      </c>
    </row>
    <row r="3538" spans="1:7" x14ac:dyDescent="0.3">
      <c r="A3538" t="s">
        <v>52</v>
      </c>
      <c r="B3538" t="s">
        <v>23</v>
      </c>
      <c r="C3538" t="s">
        <v>17</v>
      </c>
      <c r="D3538">
        <v>495</v>
      </c>
      <c r="E3538" t="s">
        <v>57</v>
      </c>
      <c r="F3538" t="s">
        <v>36</v>
      </c>
      <c r="G3538" t="s">
        <v>37</v>
      </c>
    </row>
    <row r="3539" spans="1:7" x14ac:dyDescent="0.3">
      <c r="A3539" t="s">
        <v>52</v>
      </c>
      <c r="B3539" t="s">
        <v>23</v>
      </c>
      <c r="C3539" t="s">
        <v>18</v>
      </c>
      <c r="D3539">
        <v>0</v>
      </c>
      <c r="E3539" t="s">
        <v>57</v>
      </c>
      <c r="F3539" t="s">
        <v>36</v>
      </c>
      <c r="G3539" t="s">
        <v>37</v>
      </c>
    </row>
    <row r="3540" spans="1:7" x14ac:dyDescent="0.3">
      <c r="A3540" t="s">
        <v>52</v>
      </c>
      <c r="B3540" t="s">
        <v>23</v>
      </c>
      <c r="C3540" t="s">
        <v>19</v>
      </c>
      <c r="D3540">
        <v>1845</v>
      </c>
      <c r="E3540" t="s">
        <v>57</v>
      </c>
      <c r="F3540" t="s">
        <v>36</v>
      </c>
      <c r="G3540" t="s">
        <v>37</v>
      </c>
    </row>
    <row r="3541" spans="1:7" x14ac:dyDescent="0.3">
      <c r="A3541" t="s">
        <v>52</v>
      </c>
      <c r="B3541" t="s">
        <v>23</v>
      </c>
      <c r="C3541" t="s">
        <v>20</v>
      </c>
      <c r="D3541">
        <v>7421</v>
      </c>
      <c r="E3541" t="s">
        <v>57</v>
      </c>
      <c r="F3541" t="s">
        <v>36</v>
      </c>
      <c r="G3541" t="s">
        <v>37</v>
      </c>
    </row>
    <row r="3542" spans="1:7" x14ac:dyDescent="0.3">
      <c r="A3542" t="s">
        <v>52</v>
      </c>
      <c r="B3542" t="s">
        <v>23</v>
      </c>
      <c r="C3542" t="s">
        <v>21</v>
      </c>
      <c r="D3542">
        <v>384</v>
      </c>
      <c r="E3542" t="s">
        <v>57</v>
      </c>
      <c r="F3542" t="s">
        <v>36</v>
      </c>
      <c r="G3542" t="s">
        <v>37</v>
      </c>
    </row>
    <row r="3543" spans="1:7" x14ac:dyDescent="0.3">
      <c r="A3543" t="s">
        <v>52</v>
      </c>
      <c r="B3543" t="s">
        <v>23</v>
      </c>
      <c r="C3543" t="s">
        <v>22</v>
      </c>
      <c r="D3543">
        <v>304</v>
      </c>
      <c r="E3543" t="s">
        <v>57</v>
      </c>
      <c r="F3543" t="s">
        <v>36</v>
      </c>
      <c r="G3543" t="s">
        <v>37</v>
      </c>
    </row>
    <row r="3544" spans="1:7" x14ac:dyDescent="0.3">
      <c r="A3544" t="s">
        <v>64</v>
      </c>
      <c r="B3544" t="s">
        <v>8</v>
      </c>
      <c r="C3544" t="s">
        <v>9</v>
      </c>
      <c r="D3544">
        <v>0</v>
      </c>
      <c r="E3544" t="s">
        <v>57</v>
      </c>
      <c r="F3544" t="s">
        <v>36</v>
      </c>
      <c r="G3544" t="s">
        <v>37</v>
      </c>
    </row>
    <row r="3545" spans="1:7" x14ac:dyDescent="0.3">
      <c r="A3545" t="s">
        <v>64</v>
      </c>
      <c r="B3545" t="s">
        <v>8</v>
      </c>
      <c r="C3545" t="s">
        <v>13</v>
      </c>
      <c r="D3545">
        <v>0</v>
      </c>
      <c r="E3545" t="s">
        <v>57</v>
      </c>
      <c r="F3545" t="s">
        <v>36</v>
      </c>
      <c r="G3545" t="s">
        <v>37</v>
      </c>
    </row>
    <row r="3546" spans="1:7" x14ac:dyDescent="0.3">
      <c r="A3546" t="s">
        <v>64</v>
      </c>
      <c r="B3546" t="s">
        <v>8</v>
      </c>
      <c r="C3546" t="s">
        <v>14</v>
      </c>
      <c r="D3546">
        <v>0</v>
      </c>
      <c r="E3546" t="s">
        <v>57</v>
      </c>
      <c r="F3546" t="s">
        <v>36</v>
      </c>
      <c r="G3546" t="s">
        <v>37</v>
      </c>
    </row>
    <row r="3547" spans="1:7" x14ac:dyDescent="0.3">
      <c r="A3547" t="s">
        <v>64</v>
      </c>
      <c r="B3547" t="s">
        <v>8</v>
      </c>
      <c r="C3547" t="s">
        <v>15</v>
      </c>
      <c r="D3547">
        <v>0</v>
      </c>
      <c r="E3547" t="s">
        <v>57</v>
      </c>
      <c r="F3547" t="s">
        <v>36</v>
      </c>
      <c r="G3547" t="s">
        <v>37</v>
      </c>
    </row>
    <row r="3548" spans="1:7" x14ac:dyDescent="0.3">
      <c r="A3548" t="s">
        <v>64</v>
      </c>
      <c r="B3548" t="s">
        <v>8</v>
      </c>
      <c r="C3548" t="s">
        <v>16</v>
      </c>
      <c r="D3548">
        <v>0</v>
      </c>
      <c r="E3548" t="s">
        <v>57</v>
      </c>
      <c r="F3548" t="s">
        <v>36</v>
      </c>
      <c r="G3548" t="s">
        <v>37</v>
      </c>
    </row>
    <row r="3549" spans="1:7" x14ac:dyDescent="0.3">
      <c r="A3549" t="s">
        <v>64</v>
      </c>
      <c r="B3549" t="s">
        <v>8</v>
      </c>
      <c r="C3549" t="s">
        <v>17</v>
      </c>
      <c r="D3549">
        <v>0</v>
      </c>
      <c r="E3549" t="s">
        <v>57</v>
      </c>
      <c r="F3549" t="s">
        <v>36</v>
      </c>
      <c r="G3549" t="s">
        <v>37</v>
      </c>
    </row>
    <row r="3550" spans="1:7" x14ac:dyDescent="0.3">
      <c r="A3550" t="s">
        <v>64</v>
      </c>
      <c r="B3550" t="s">
        <v>8</v>
      </c>
      <c r="C3550" t="s">
        <v>18</v>
      </c>
      <c r="D3550">
        <v>0</v>
      </c>
      <c r="E3550" t="s">
        <v>57</v>
      </c>
      <c r="F3550" t="s">
        <v>36</v>
      </c>
      <c r="G3550" t="s">
        <v>37</v>
      </c>
    </row>
    <row r="3551" spans="1:7" x14ac:dyDescent="0.3">
      <c r="A3551" t="s">
        <v>64</v>
      </c>
      <c r="B3551" t="s">
        <v>8</v>
      </c>
      <c r="C3551" t="s">
        <v>19</v>
      </c>
      <c r="D3551">
        <v>0</v>
      </c>
      <c r="E3551" t="s">
        <v>57</v>
      </c>
      <c r="F3551" t="s">
        <v>36</v>
      </c>
      <c r="G3551" t="s">
        <v>37</v>
      </c>
    </row>
    <row r="3552" spans="1:7" x14ac:dyDescent="0.3">
      <c r="A3552" t="s">
        <v>64</v>
      </c>
      <c r="B3552" t="s">
        <v>8</v>
      </c>
      <c r="C3552" t="s">
        <v>20</v>
      </c>
      <c r="D3552">
        <v>0</v>
      </c>
      <c r="E3552" t="s">
        <v>57</v>
      </c>
      <c r="F3552" t="s">
        <v>36</v>
      </c>
      <c r="G3552" t="s">
        <v>37</v>
      </c>
    </row>
    <row r="3553" spans="1:7" x14ac:dyDescent="0.3">
      <c r="A3553" t="s">
        <v>64</v>
      </c>
      <c r="B3553" t="s">
        <v>8</v>
      </c>
      <c r="C3553" t="s">
        <v>21</v>
      </c>
      <c r="D3553">
        <v>0</v>
      </c>
      <c r="E3553" t="s">
        <v>57</v>
      </c>
      <c r="F3553" t="s">
        <v>36</v>
      </c>
      <c r="G3553" t="s">
        <v>37</v>
      </c>
    </row>
    <row r="3554" spans="1:7" x14ac:dyDescent="0.3">
      <c r="A3554" t="s">
        <v>64</v>
      </c>
      <c r="B3554" t="s">
        <v>8</v>
      </c>
      <c r="C3554" t="s">
        <v>22</v>
      </c>
      <c r="D3554">
        <v>0</v>
      </c>
      <c r="E3554" t="s">
        <v>57</v>
      </c>
      <c r="F3554" t="s">
        <v>36</v>
      </c>
      <c r="G3554" t="s">
        <v>37</v>
      </c>
    </row>
    <row r="3555" spans="1:7" x14ac:dyDescent="0.3">
      <c r="A3555" t="s">
        <v>64</v>
      </c>
      <c r="B3555" t="s">
        <v>23</v>
      </c>
      <c r="C3555" t="s">
        <v>9</v>
      </c>
      <c r="D3555">
        <v>176</v>
      </c>
      <c r="E3555" t="s">
        <v>57</v>
      </c>
      <c r="F3555" t="s">
        <v>36</v>
      </c>
      <c r="G3555" t="s">
        <v>37</v>
      </c>
    </row>
    <row r="3556" spans="1:7" x14ac:dyDescent="0.3">
      <c r="A3556" t="s">
        <v>64</v>
      </c>
      <c r="B3556" t="s">
        <v>23</v>
      </c>
      <c r="C3556" t="s">
        <v>13</v>
      </c>
      <c r="D3556">
        <v>60</v>
      </c>
      <c r="E3556" t="s">
        <v>57</v>
      </c>
      <c r="F3556" t="s">
        <v>36</v>
      </c>
      <c r="G3556" t="s">
        <v>37</v>
      </c>
    </row>
    <row r="3557" spans="1:7" x14ac:dyDescent="0.3">
      <c r="A3557" t="s">
        <v>64</v>
      </c>
      <c r="B3557" t="s">
        <v>23</v>
      </c>
      <c r="C3557" t="s">
        <v>14</v>
      </c>
      <c r="D3557">
        <v>539</v>
      </c>
      <c r="E3557" t="s">
        <v>57</v>
      </c>
      <c r="F3557" t="s">
        <v>36</v>
      </c>
      <c r="G3557" t="s">
        <v>37</v>
      </c>
    </row>
    <row r="3558" spans="1:7" x14ac:dyDescent="0.3">
      <c r="A3558" t="s">
        <v>64</v>
      </c>
      <c r="B3558" t="s">
        <v>23</v>
      </c>
      <c r="C3558" t="s">
        <v>15</v>
      </c>
      <c r="D3558">
        <v>101</v>
      </c>
      <c r="E3558" t="s">
        <v>57</v>
      </c>
      <c r="F3558" t="s">
        <v>36</v>
      </c>
      <c r="G3558" t="s">
        <v>37</v>
      </c>
    </row>
    <row r="3559" spans="1:7" x14ac:dyDescent="0.3">
      <c r="A3559" t="s">
        <v>64</v>
      </c>
      <c r="B3559" t="s">
        <v>23</v>
      </c>
      <c r="C3559" t="s">
        <v>16</v>
      </c>
      <c r="D3559">
        <v>273915</v>
      </c>
      <c r="E3559" t="s">
        <v>57</v>
      </c>
      <c r="F3559" t="s">
        <v>36</v>
      </c>
      <c r="G3559" t="s">
        <v>37</v>
      </c>
    </row>
    <row r="3560" spans="1:7" x14ac:dyDescent="0.3">
      <c r="A3560" t="s">
        <v>64</v>
      </c>
      <c r="B3560" t="s">
        <v>23</v>
      </c>
      <c r="C3560" t="s">
        <v>17</v>
      </c>
      <c r="D3560">
        <v>43</v>
      </c>
      <c r="E3560" t="s">
        <v>57</v>
      </c>
      <c r="F3560" t="s">
        <v>36</v>
      </c>
      <c r="G3560" t="s">
        <v>37</v>
      </c>
    </row>
    <row r="3561" spans="1:7" x14ac:dyDescent="0.3">
      <c r="A3561" t="s">
        <v>64</v>
      </c>
      <c r="B3561" t="s">
        <v>23</v>
      </c>
      <c r="C3561" t="s">
        <v>18</v>
      </c>
      <c r="D3561">
        <v>0</v>
      </c>
      <c r="E3561" t="s">
        <v>57</v>
      </c>
      <c r="F3561" t="s">
        <v>36</v>
      </c>
      <c r="G3561" t="s">
        <v>37</v>
      </c>
    </row>
    <row r="3562" spans="1:7" x14ac:dyDescent="0.3">
      <c r="A3562" t="s">
        <v>64</v>
      </c>
      <c r="B3562" t="s">
        <v>23</v>
      </c>
      <c r="C3562" t="s">
        <v>19</v>
      </c>
      <c r="D3562">
        <v>11</v>
      </c>
      <c r="E3562" t="s">
        <v>57</v>
      </c>
      <c r="F3562" t="s">
        <v>36</v>
      </c>
      <c r="G3562" t="s">
        <v>37</v>
      </c>
    </row>
    <row r="3563" spans="1:7" x14ac:dyDescent="0.3">
      <c r="A3563" t="s">
        <v>64</v>
      </c>
      <c r="B3563" t="s">
        <v>23</v>
      </c>
      <c r="C3563" t="s">
        <v>20</v>
      </c>
      <c r="D3563">
        <v>774</v>
      </c>
      <c r="E3563" t="s">
        <v>57</v>
      </c>
      <c r="F3563" t="s">
        <v>36</v>
      </c>
      <c r="G3563" t="s">
        <v>37</v>
      </c>
    </row>
    <row r="3564" spans="1:7" x14ac:dyDescent="0.3">
      <c r="A3564" t="s">
        <v>64</v>
      </c>
      <c r="B3564" t="s">
        <v>23</v>
      </c>
      <c r="C3564" t="s">
        <v>21</v>
      </c>
      <c r="D3564">
        <v>287</v>
      </c>
      <c r="E3564" t="s">
        <v>57</v>
      </c>
      <c r="F3564" t="s">
        <v>36</v>
      </c>
      <c r="G3564" t="s">
        <v>37</v>
      </c>
    </row>
    <row r="3565" spans="1:7" x14ac:dyDescent="0.3">
      <c r="A3565" t="s">
        <v>64</v>
      </c>
      <c r="B3565" t="s">
        <v>23</v>
      </c>
      <c r="C3565" t="s">
        <v>22</v>
      </c>
      <c r="D3565">
        <v>699</v>
      </c>
      <c r="E3565" t="s">
        <v>57</v>
      </c>
      <c r="F3565" t="s">
        <v>36</v>
      </c>
      <c r="G3565" t="s">
        <v>37</v>
      </c>
    </row>
    <row r="3566" spans="1:7" x14ac:dyDescent="0.3">
      <c r="A3566" t="s">
        <v>32</v>
      </c>
      <c r="B3566" t="s">
        <v>8</v>
      </c>
      <c r="C3566" t="s">
        <v>9</v>
      </c>
      <c r="D3566">
        <v>0</v>
      </c>
      <c r="E3566" t="s">
        <v>57</v>
      </c>
      <c r="F3566" t="s">
        <v>36</v>
      </c>
      <c r="G3566" t="s">
        <v>37</v>
      </c>
    </row>
    <row r="3567" spans="1:7" x14ac:dyDescent="0.3">
      <c r="A3567" t="s">
        <v>32</v>
      </c>
      <c r="B3567" t="s">
        <v>8</v>
      </c>
      <c r="C3567" t="s">
        <v>13</v>
      </c>
      <c r="D3567">
        <v>0</v>
      </c>
      <c r="E3567" t="s">
        <v>57</v>
      </c>
      <c r="F3567" t="s">
        <v>36</v>
      </c>
      <c r="G3567" t="s">
        <v>37</v>
      </c>
    </row>
    <row r="3568" spans="1:7" x14ac:dyDescent="0.3">
      <c r="A3568" t="s">
        <v>32</v>
      </c>
      <c r="B3568" t="s">
        <v>8</v>
      </c>
      <c r="C3568" t="s">
        <v>14</v>
      </c>
      <c r="D3568">
        <v>0</v>
      </c>
      <c r="E3568" t="s">
        <v>57</v>
      </c>
      <c r="F3568" t="s">
        <v>36</v>
      </c>
      <c r="G3568" t="s">
        <v>37</v>
      </c>
    </row>
    <row r="3569" spans="1:7" x14ac:dyDescent="0.3">
      <c r="A3569" t="s">
        <v>32</v>
      </c>
      <c r="B3569" t="s">
        <v>8</v>
      </c>
      <c r="C3569" t="s">
        <v>15</v>
      </c>
      <c r="D3569">
        <v>0</v>
      </c>
      <c r="E3569" t="s">
        <v>57</v>
      </c>
      <c r="F3569" t="s">
        <v>36</v>
      </c>
      <c r="G3569" t="s">
        <v>37</v>
      </c>
    </row>
    <row r="3570" spans="1:7" x14ac:dyDescent="0.3">
      <c r="A3570" t="s">
        <v>32</v>
      </c>
      <c r="B3570" t="s">
        <v>8</v>
      </c>
      <c r="C3570" t="s">
        <v>16</v>
      </c>
      <c r="D3570">
        <v>0</v>
      </c>
      <c r="E3570" t="s">
        <v>57</v>
      </c>
      <c r="F3570" t="s">
        <v>36</v>
      </c>
      <c r="G3570" t="s">
        <v>37</v>
      </c>
    </row>
    <row r="3571" spans="1:7" x14ac:dyDescent="0.3">
      <c r="A3571" t="s">
        <v>32</v>
      </c>
      <c r="B3571" t="s">
        <v>8</v>
      </c>
      <c r="C3571" t="s">
        <v>17</v>
      </c>
      <c r="D3571">
        <v>0</v>
      </c>
      <c r="E3571" t="s">
        <v>57</v>
      </c>
      <c r="F3571" t="s">
        <v>36</v>
      </c>
      <c r="G3571" t="s">
        <v>37</v>
      </c>
    </row>
    <row r="3572" spans="1:7" x14ac:dyDescent="0.3">
      <c r="A3572" t="s">
        <v>32</v>
      </c>
      <c r="B3572" t="s">
        <v>8</v>
      </c>
      <c r="C3572" t="s">
        <v>18</v>
      </c>
      <c r="D3572">
        <v>0</v>
      </c>
      <c r="E3572" t="s">
        <v>57</v>
      </c>
      <c r="F3572" t="s">
        <v>36</v>
      </c>
      <c r="G3572" t="s">
        <v>37</v>
      </c>
    </row>
    <row r="3573" spans="1:7" x14ac:dyDescent="0.3">
      <c r="A3573" t="s">
        <v>32</v>
      </c>
      <c r="B3573" t="s">
        <v>8</v>
      </c>
      <c r="C3573" t="s">
        <v>19</v>
      </c>
      <c r="D3573">
        <v>0</v>
      </c>
      <c r="E3573" t="s">
        <v>57</v>
      </c>
      <c r="F3573" t="s">
        <v>36</v>
      </c>
      <c r="G3573" t="s">
        <v>37</v>
      </c>
    </row>
    <row r="3574" spans="1:7" x14ac:dyDescent="0.3">
      <c r="A3574" t="s">
        <v>32</v>
      </c>
      <c r="B3574" t="s">
        <v>8</v>
      </c>
      <c r="C3574" t="s">
        <v>20</v>
      </c>
      <c r="D3574">
        <v>0</v>
      </c>
      <c r="E3574" t="s">
        <v>57</v>
      </c>
      <c r="F3574" t="s">
        <v>36</v>
      </c>
      <c r="G3574" t="s">
        <v>37</v>
      </c>
    </row>
    <row r="3575" spans="1:7" x14ac:dyDescent="0.3">
      <c r="A3575" t="s">
        <v>32</v>
      </c>
      <c r="B3575" t="s">
        <v>8</v>
      </c>
      <c r="C3575" t="s">
        <v>21</v>
      </c>
      <c r="D3575">
        <v>0</v>
      </c>
      <c r="E3575" t="s">
        <v>57</v>
      </c>
      <c r="F3575" t="s">
        <v>36</v>
      </c>
      <c r="G3575" t="s">
        <v>37</v>
      </c>
    </row>
    <row r="3576" spans="1:7" x14ac:dyDescent="0.3">
      <c r="A3576" t="s">
        <v>32</v>
      </c>
      <c r="B3576" t="s">
        <v>8</v>
      </c>
      <c r="C3576" t="s">
        <v>22</v>
      </c>
      <c r="D3576">
        <v>0</v>
      </c>
      <c r="E3576" t="s">
        <v>57</v>
      </c>
      <c r="F3576" t="s">
        <v>36</v>
      </c>
      <c r="G3576" t="s">
        <v>37</v>
      </c>
    </row>
    <row r="3577" spans="1:7" x14ac:dyDescent="0.3">
      <c r="A3577" t="s">
        <v>32</v>
      </c>
      <c r="B3577" t="s">
        <v>23</v>
      </c>
      <c r="C3577" t="s">
        <v>9</v>
      </c>
      <c r="D3577">
        <v>3627</v>
      </c>
      <c r="E3577" t="s">
        <v>57</v>
      </c>
      <c r="F3577" t="s">
        <v>36</v>
      </c>
      <c r="G3577" t="s">
        <v>37</v>
      </c>
    </row>
    <row r="3578" spans="1:7" x14ac:dyDescent="0.3">
      <c r="A3578" t="s">
        <v>32</v>
      </c>
      <c r="B3578" t="s">
        <v>23</v>
      </c>
      <c r="C3578" t="s">
        <v>13</v>
      </c>
      <c r="D3578">
        <v>44654</v>
      </c>
      <c r="E3578" t="s">
        <v>57</v>
      </c>
      <c r="F3578" t="s">
        <v>36</v>
      </c>
      <c r="G3578" t="s">
        <v>37</v>
      </c>
    </row>
    <row r="3579" spans="1:7" x14ac:dyDescent="0.3">
      <c r="A3579" t="s">
        <v>32</v>
      </c>
      <c r="B3579" t="s">
        <v>23</v>
      </c>
      <c r="C3579" t="s">
        <v>14</v>
      </c>
      <c r="D3579">
        <v>3508</v>
      </c>
      <c r="E3579" t="s">
        <v>57</v>
      </c>
      <c r="F3579" t="s">
        <v>36</v>
      </c>
      <c r="G3579" t="s">
        <v>37</v>
      </c>
    </row>
    <row r="3580" spans="1:7" x14ac:dyDescent="0.3">
      <c r="A3580" t="s">
        <v>32</v>
      </c>
      <c r="B3580" t="s">
        <v>23</v>
      </c>
      <c r="C3580" t="s">
        <v>15</v>
      </c>
      <c r="D3580">
        <v>32730</v>
      </c>
      <c r="E3580" t="s">
        <v>57</v>
      </c>
      <c r="F3580" t="s">
        <v>36</v>
      </c>
      <c r="G3580" t="s">
        <v>37</v>
      </c>
    </row>
    <row r="3581" spans="1:7" x14ac:dyDescent="0.3">
      <c r="A3581" t="s">
        <v>32</v>
      </c>
      <c r="B3581" t="s">
        <v>23</v>
      </c>
      <c r="C3581" t="s">
        <v>16</v>
      </c>
      <c r="D3581">
        <v>18990</v>
      </c>
      <c r="E3581" t="s">
        <v>57</v>
      </c>
      <c r="F3581" t="s">
        <v>36</v>
      </c>
      <c r="G3581" t="s">
        <v>37</v>
      </c>
    </row>
    <row r="3582" spans="1:7" x14ac:dyDescent="0.3">
      <c r="A3582" t="s">
        <v>32</v>
      </c>
      <c r="B3582" t="s">
        <v>23</v>
      </c>
      <c r="C3582" t="s">
        <v>17</v>
      </c>
      <c r="D3582">
        <v>112</v>
      </c>
      <c r="E3582" t="s">
        <v>57</v>
      </c>
      <c r="F3582" t="s">
        <v>36</v>
      </c>
      <c r="G3582" t="s">
        <v>37</v>
      </c>
    </row>
    <row r="3583" spans="1:7" x14ac:dyDescent="0.3">
      <c r="A3583" t="s">
        <v>32</v>
      </c>
      <c r="B3583" t="s">
        <v>23</v>
      </c>
      <c r="C3583" t="s">
        <v>18</v>
      </c>
      <c r="D3583">
        <v>2</v>
      </c>
      <c r="E3583" t="s">
        <v>57</v>
      </c>
      <c r="F3583" t="s">
        <v>36</v>
      </c>
      <c r="G3583" t="s">
        <v>37</v>
      </c>
    </row>
    <row r="3584" spans="1:7" x14ac:dyDescent="0.3">
      <c r="A3584" t="s">
        <v>32</v>
      </c>
      <c r="B3584" t="s">
        <v>23</v>
      </c>
      <c r="C3584" t="s">
        <v>19</v>
      </c>
      <c r="D3584">
        <v>7786</v>
      </c>
      <c r="E3584" t="s">
        <v>57</v>
      </c>
      <c r="F3584" t="s">
        <v>36</v>
      </c>
      <c r="G3584" t="s">
        <v>37</v>
      </c>
    </row>
    <row r="3585" spans="1:7" x14ac:dyDescent="0.3">
      <c r="A3585" t="s">
        <v>32</v>
      </c>
      <c r="B3585" t="s">
        <v>23</v>
      </c>
      <c r="C3585" t="s">
        <v>20</v>
      </c>
      <c r="D3585">
        <v>11713</v>
      </c>
      <c r="E3585" t="s">
        <v>57</v>
      </c>
      <c r="F3585" t="s">
        <v>36</v>
      </c>
      <c r="G3585" t="s">
        <v>37</v>
      </c>
    </row>
    <row r="3586" spans="1:7" x14ac:dyDescent="0.3">
      <c r="A3586" t="s">
        <v>32</v>
      </c>
      <c r="B3586" t="s">
        <v>23</v>
      </c>
      <c r="C3586" t="s">
        <v>21</v>
      </c>
      <c r="D3586">
        <v>886</v>
      </c>
      <c r="E3586" t="s">
        <v>57</v>
      </c>
      <c r="F3586" t="s">
        <v>36</v>
      </c>
      <c r="G3586" t="s">
        <v>37</v>
      </c>
    </row>
    <row r="3587" spans="1:7" x14ac:dyDescent="0.3">
      <c r="A3587" t="s">
        <v>32</v>
      </c>
      <c r="B3587" t="s">
        <v>23</v>
      </c>
      <c r="C3587" t="s">
        <v>22</v>
      </c>
      <c r="D3587">
        <v>579509</v>
      </c>
      <c r="E3587" t="s">
        <v>57</v>
      </c>
      <c r="F3587" t="s">
        <v>36</v>
      </c>
      <c r="G3587" t="s">
        <v>37</v>
      </c>
    </row>
    <row r="3588" spans="1:7" x14ac:dyDescent="0.3">
      <c r="A3588" t="s">
        <v>65</v>
      </c>
      <c r="B3588" t="s">
        <v>8</v>
      </c>
      <c r="C3588" t="s">
        <v>9</v>
      </c>
      <c r="D3588">
        <v>0</v>
      </c>
      <c r="E3588" t="s">
        <v>57</v>
      </c>
      <c r="F3588" t="s">
        <v>36</v>
      </c>
      <c r="G3588" t="s">
        <v>37</v>
      </c>
    </row>
    <row r="3589" spans="1:7" x14ac:dyDescent="0.3">
      <c r="A3589" t="s">
        <v>65</v>
      </c>
      <c r="B3589" t="s">
        <v>8</v>
      </c>
      <c r="C3589" t="s">
        <v>13</v>
      </c>
      <c r="D3589">
        <v>0</v>
      </c>
      <c r="E3589" t="s">
        <v>57</v>
      </c>
      <c r="F3589" t="s">
        <v>36</v>
      </c>
      <c r="G3589" t="s">
        <v>37</v>
      </c>
    </row>
    <row r="3590" spans="1:7" x14ac:dyDescent="0.3">
      <c r="A3590" t="s">
        <v>65</v>
      </c>
      <c r="B3590" t="s">
        <v>8</v>
      </c>
      <c r="C3590" t="s">
        <v>14</v>
      </c>
      <c r="D3590">
        <v>0</v>
      </c>
      <c r="E3590" t="s">
        <v>57</v>
      </c>
      <c r="F3590" t="s">
        <v>36</v>
      </c>
      <c r="G3590" t="s">
        <v>37</v>
      </c>
    </row>
    <row r="3591" spans="1:7" x14ac:dyDescent="0.3">
      <c r="A3591" t="s">
        <v>65</v>
      </c>
      <c r="B3591" t="s">
        <v>8</v>
      </c>
      <c r="C3591" t="s">
        <v>15</v>
      </c>
      <c r="D3591">
        <v>0</v>
      </c>
      <c r="E3591" t="s">
        <v>57</v>
      </c>
      <c r="F3591" t="s">
        <v>36</v>
      </c>
      <c r="G3591" t="s">
        <v>37</v>
      </c>
    </row>
    <row r="3592" spans="1:7" x14ac:dyDescent="0.3">
      <c r="A3592" t="s">
        <v>65</v>
      </c>
      <c r="B3592" t="s">
        <v>8</v>
      </c>
      <c r="C3592" t="s">
        <v>16</v>
      </c>
      <c r="D3592">
        <v>0</v>
      </c>
      <c r="E3592" t="s">
        <v>57</v>
      </c>
      <c r="F3592" t="s">
        <v>36</v>
      </c>
      <c r="G3592" t="s">
        <v>37</v>
      </c>
    </row>
    <row r="3593" spans="1:7" x14ac:dyDescent="0.3">
      <c r="A3593" t="s">
        <v>65</v>
      </c>
      <c r="B3593" t="s">
        <v>8</v>
      </c>
      <c r="C3593" t="s">
        <v>17</v>
      </c>
      <c r="D3593">
        <v>0</v>
      </c>
      <c r="E3593" t="s">
        <v>57</v>
      </c>
      <c r="F3593" t="s">
        <v>36</v>
      </c>
      <c r="G3593" t="s">
        <v>37</v>
      </c>
    </row>
    <row r="3594" spans="1:7" x14ac:dyDescent="0.3">
      <c r="A3594" t="s">
        <v>65</v>
      </c>
      <c r="B3594" t="s">
        <v>8</v>
      </c>
      <c r="C3594" t="s">
        <v>18</v>
      </c>
      <c r="D3594">
        <v>0</v>
      </c>
      <c r="E3594" t="s">
        <v>57</v>
      </c>
      <c r="F3594" t="s">
        <v>36</v>
      </c>
      <c r="G3594" t="s">
        <v>37</v>
      </c>
    </row>
    <row r="3595" spans="1:7" x14ac:dyDescent="0.3">
      <c r="A3595" t="s">
        <v>65</v>
      </c>
      <c r="B3595" t="s">
        <v>8</v>
      </c>
      <c r="C3595" t="s">
        <v>19</v>
      </c>
      <c r="D3595">
        <v>0</v>
      </c>
      <c r="E3595" t="s">
        <v>57</v>
      </c>
      <c r="F3595" t="s">
        <v>36</v>
      </c>
      <c r="G3595" t="s">
        <v>37</v>
      </c>
    </row>
    <row r="3596" spans="1:7" x14ac:dyDescent="0.3">
      <c r="A3596" t="s">
        <v>65</v>
      </c>
      <c r="B3596" t="s">
        <v>8</v>
      </c>
      <c r="C3596" t="s">
        <v>20</v>
      </c>
      <c r="D3596">
        <v>0</v>
      </c>
      <c r="E3596" t="s">
        <v>57</v>
      </c>
      <c r="F3596" t="s">
        <v>36</v>
      </c>
      <c r="G3596" t="s">
        <v>37</v>
      </c>
    </row>
    <row r="3597" spans="1:7" x14ac:dyDescent="0.3">
      <c r="A3597" t="s">
        <v>65</v>
      </c>
      <c r="B3597" t="s">
        <v>8</v>
      </c>
      <c r="C3597" t="s">
        <v>21</v>
      </c>
      <c r="D3597">
        <v>0</v>
      </c>
      <c r="E3597" t="s">
        <v>57</v>
      </c>
      <c r="F3597" t="s">
        <v>36</v>
      </c>
      <c r="G3597" t="s">
        <v>37</v>
      </c>
    </row>
    <row r="3598" spans="1:7" x14ac:dyDescent="0.3">
      <c r="A3598" t="s">
        <v>65</v>
      </c>
      <c r="B3598" t="s">
        <v>8</v>
      </c>
      <c r="C3598" t="s">
        <v>22</v>
      </c>
      <c r="D3598">
        <v>0</v>
      </c>
      <c r="E3598" t="s">
        <v>57</v>
      </c>
      <c r="F3598" t="s">
        <v>36</v>
      </c>
      <c r="G3598" t="s">
        <v>37</v>
      </c>
    </row>
    <row r="3599" spans="1:7" x14ac:dyDescent="0.3">
      <c r="A3599" t="s">
        <v>65</v>
      </c>
      <c r="B3599" t="s">
        <v>23</v>
      </c>
      <c r="C3599" t="s">
        <v>9</v>
      </c>
      <c r="D3599">
        <v>152</v>
      </c>
      <c r="E3599" t="s">
        <v>57</v>
      </c>
      <c r="F3599" t="s">
        <v>36</v>
      </c>
      <c r="G3599" t="s">
        <v>37</v>
      </c>
    </row>
    <row r="3600" spans="1:7" x14ac:dyDescent="0.3">
      <c r="A3600" t="s">
        <v>65</v>
      </c>
      <c r="B3600" t="s">
        <v>23</v>
      </c>
      <c r="C3600" t="s">
        <v>13</v>
      </c>
      <c r="D3600">
        <v>52</v>
      </c>
      <c r="E3600" t="s">
        <v>57</v>
      </c>
      <c r="F3600" t="s">
        <v>36</v>
      </c>
      <c r="G3600" t="s">
        <v>37</v>
      </c>
    </row>
    <row r="3601" spans="1:7" x14ac:dyDescent="0.3">
      <c r="A3601" t="s">
        <v>65</v>
      </c>
      <c r="B3601" t="s">
        <v>23</v>
      </c>
      <c r="C3601" t="s">
        <v>14</v>
      </c>
      <c r="D3601">
        <v>467</v>
      </c>
      <c r="E3601" t="s">
        <v>57</v>
      </c>
      <c r="F3601" t="s">
        <v>36</v>
      </c>
      <c r="G3601" t="s">
        <v>37</v>
      </c>
    </row>
    <row r="3602" spans="1:7" x14ac:dyDescent="0.3">
      <c r="A3602" t="s">
        <v>65</v>
      </c>
      <c r="B3602" t="s">
        <v>23</v>
      </c>
      <c r="C3602" t="s">
        <v>15</v>
      </c>
      <c r="D3602">
        <v>87</v>
      </c>
      <c r="E3602" t="s">
        <v>57</v>
      </c>
      <c r="F3602" t="s">
        <v>36</v>
      </c>
      <c r="G3602" t="s">
        <v>37</v>
      </c>
    </row>
    <row r="3603" spans="1:7" x14ac:dyDescent="0.3">
      <c r="A3603" t="s">
        <v>65</v>
      </c>
      <c r="B3603" t="s">
        <v>23</v>
      </c>
      <c r="C3603" t="s">
        <v>16</v>
      </c>
      <c r="D3603">
        <v>237393</v>
      </c>
      <c r="E3603" t="s">
        <v>57</v>
      </c>
      <c r="F3603" t="s">
        <v>36</v>
      </c>
      <c r="G3603" t="s">
        <v>37</v>
      </c>
    </row>
    <row r="3604" spans="1:7" x14ac:dyDescent="0.3">
      <c r="A3604" t="s">
        <v>65</v>
      </c>
      <c r="B3604" t="s">
        <v>23</v>
      </c>
      <c r="C3604" t="s">
        <v>17</v>
      </c>
      <c r="D3604">
        <v>37</v>
      </c>
      <c r="E3604" t="s">
        <v>57</v>
      </c>
      <c r="F3604" t="s">
        <v>36</v>
      </c>
      <c r="G3604" t="s">
        <v>37</v>
      </c>
    </row>
    <row r="3605" spans="1:7" x14ac:dyDescent="0.3">
      <c r="A3605" t="s">
        <v>65</v>
      </c>
      <c r="B3605" t="s">
        <v>23</v>
      </c>
      <c r="C3605" t="s">
        <v>18</v>
      </c>
      <c r="D3605">
        <v>0</v>
      </c>
      <c r="E3605" t="s">
        <v>57</v>
      </c>
      <c r="F3605" t="s">
        <v>36</v>
      </c>
      <c r="G3605" t="s">
        <v>37</v>
      </c>
    </row>
    <row r="3606" spans="1:7" x14ac:dyDescent="0.3">
      <c r="A3606" t="s">
        <v>65</v>
      </c>
      <c r="B3606" t="s">
        <v>23</v>
      </c>
      <c r="C3606" t="s">
        <v>19</v>
      </c>
      <c r="D3606">
        <v>10</v>
      </c>
      <c r="E3606" t="s">
        <v>57</v>
      </c>
      <c r="F3606" t="s">
        <v>36</v>
      </c>
      <c r="G3606" t="s">
        <v>37</v>
      </c>
    </row>
    <row r="3607" spans="1:7" x14ac:dyDescent="0.3">
      <c r="A3607" t="s">
        <v>65</v>
      </c>
      <c r="B3607" t="s">
        <v>23</v>
      </c>
      <c r="C3607" t="s">
        <v>20</v>
      </c>
      <c r="D3607">
        <v>671</v>
      </c>
      <c r="E3607" t="s">
        <v>57</v>
      </c>
      <c r="F3607" t="s">
        <v>36</v>
      </c>
      <c r="G3607" t="s">
        <v>37</v>
      </c>
    </row>
    <row r="3608" spans="1:7" x14ac:dyDescent="0.3">
      <c r="A3608" t="s">
        <v>65</v>
      </c>
      <c r="B3608" t="s">
        <v>23</v>
      </c>
      <c r="C3608" t="s">
        <v>21</v>
      </c>
      <c r="D3608">
        <v>249</v>
      </c>
      <c r="E3608" t="s">
        <v>57</v>
      </c>
      <c r="F3608" t="s">
        <v>36</v>
      </c>
      <c r="G3608" t="s">
        <v>37</v>
      </c>
    </row>
    <row r="3609" spans="1:7" x14ac:dyDescent="0.3">
      <c r="A3609" t="s">
        <v>65</v>
      </c>
      <c r="B3609" t="s">
        <v>23</v>
      </c>
      <c r="C3609" t="s">
        <v>22</v>
      </c>
      <c r="D3609">
        <v>605</v>
      </c>
      <c r="E3609" t="s">
        <v>57</v>
      </c>
      <c r="F3609" t="s">
        <v>36</v>
      </c>
      <c r="G3609" t="s">
        <v>37</v>
      </c>
    </row>
    <row r="3610" spans="1:7" x14ac:dyDescent="0.3">
      <c r="A3610" t="s">
        <v>33</v>
      </c>
      <c r="B3610" t="s">
        <v>8</v>
      </c>
      <c r="C3610" t="s">
        <v>9</v>
      </c>
      <c r="D3610">
        <v>0</v>
      </c>
      <c r="E3610" t="s">
        <v>57</v>
      </c>
      <c r="F3610" t="s">
        <v>36</v>
      </c>
      <c r="G3610" t="s">
        <v>37</v>
      </c>
    </row>
    <row r="3611" spans="1:7" x14ac:dyDescent="0.3">
      <c r="A3611" t="s">
        <v>33</v>
      </c>
      <c r="B3611" t="s">
        <v>8</v>
      </c>
      <c r="C3611" t="s">
        <v>13</v>
      </c>
      <c r="D3611">
        <v>0</v>
      </c>
      <c r="E3611" t="s">
        <v>57</v>
      </c>
      <c r="F3611" t="s">
        <v>36</v>
      </c>
      <c r="G3611" t="s">
        <v>37</v>
      </c>
    </row>
    <row r="3612" spans="1:7" x14ac:dyDescent="0.3">
      <c r="A3612" t="s">
        <v>33</v>
      </c>
      <c r="B3612" t="s">
        <v>8</v>
      </c>
      <c r="C3612" t="s">
        <v>14</v>
      </c>
      <c r="D3612">
        <v>0</v>
      </c>
      <c r="E3612" t="s">
        <v>57</v>
      </c>
      <c r="F3612" t="s">
        <v>36</v>
      </c>
      <c r="G3612" t="s">
        <v>37</v>
      </c>
    </row>
    <row r="3613" spans="1:7" x14ac:dyDescent="0.3">
      <c r="A3613" t="s">
        <v>33</v>
      </c>
      <c r="B3613" t="s">
        <v>8</v>
      </c>
      <c r="C3613" t="s">
        <v>15</v>
      </c>
      <c r="D3613">
        <v>0</v>
      </c>
      <c r="E3613" t="s">
        <v>57</v>
      </c>
      <c r="F3613" t="s">
        <v>36</v>
      </c>
      <c r="G3613" t="s">
        <v>37</v>
      </c>
    </row>
    <row r="3614" spans="1:7" x14ac:dyDescent="0.3">
      <c r="A3614" t="s">
        <v>33</v>
      </c>
      <c r="B3614" t="s">
        <v>8</v>
      </c>
      <c r="C3614" t="s">
        <v>16</v>
      </c>
      <c r="D3614">
        <v>0</v>
      </c>
      <c r="E3614" t="s">
        <v>57</v>
      </c>
      <c r="F3614" t="s">
        <v>36</v>
      </c>
      <c r="G3614" t="s">
        <v>37</v>
      </c>
    </row>
    <row r="3615" spans="1:7" x14ac:dyDescent="0.3">
      <c r="A3615" t="s">
        <v>33</v>
      </c>
      <c r="B3615" t="s">
        <v>8</v>
      </c>
      <c r="C3615" t="s">
        <v>17</v>
      </c>
      <c r="D3615">
        <v>0</v>
      </c>
      <c r="E3615" t="s">
        <v>57</v>
      </c>
      <c r="F3615" t="s">
        <v>36</v>
      </c>
      <c r="G3615" t="s">
        <v>37</v>
      </c>
    </row>
    <row r="3616" spans="1:7" x14ac:dyDescent="0.3">
      <c r="A3616" t="s">
        <v>33</v>
      </c>
      <c r="B3616" t="s">
        <v>8</v>
      </c>
      <c r="C3616" t="s">
        <v>18</v>
      </c>
      <c r="D3616">
        <v>0</v>
      </c>
      <c r="E3616" t="s">
        <v>57</v>
      </c>
      <c r="F3616" t="s">
        <v>36</v>
      </c>
      <c r="G3616" t="s">
        <v>37</v>
      </c>
    </row>
    <row r="3617" spans="1:7" x14ac:dyDescent="0.3">
      <c r="A3617" t="s">
        <v>33</v>
      </c>
      <c r="B3617" t="s">
        <v>8</v>
      </c>
      <c r="C3617" t="s">
        <v>19</v>
      </c>
      <c r="D3617">
        <v>0</v>
      </c>
      <c r="E3617" t="s">
        <v>57</v>
      </c>
      <c r="F3617" t="s">
        <v>36</v>
      </c>
      <c r="G3617" t="s">
        <v>37</v>
      </c>
    </row>
    <row r="3618" spans="1:7" x14ac:dyDescent="0.3">
      <c r="A3618" t="s">
        <v>33</v>
      </c>
      <c r="B3618" t="s">
        <v>8</v>
      </c>
      <c r="C3618" t="s">
        <v>20</v>
      </c>
      <c r="D3618">
        <v>0</v>
      </c>
      <c r="E3618" t="s">
        <v>57</v>
      </c>
      <c r="F3618" t="s">
        <v>36</v>
      </c>
      <c r="G3618" t="s">
        <v>37</v>
      </c>
    </row>
    <row r="3619" spans="1:7" x14ac:dyDescent="0.3">
      <c r="A3619" t="s">
        <v>33</v>
      </c>
      <c r="B3619" t="s">
        <v>8</v>
      </c>
      <c r="C3619" t="s">
        <v>21</v>
      </c>
      <c r="D3619">
        <v>0</v>
      </c>
      <c r="E3619" t="s">
        <v>57</v>
      </c>
      <c r="F3619" t="s">
        <v>36</v>
      </c>
      <c r="G3619" t="s">
        <v>37</v>
      </c>
    </row>
    <row r="3620" spans="1:7" x14ac:dyDescent="0.3">
      <c r="A3620" t="s">
        <v>33</v>
      </c>
      <c r="B3620" t="s">
        <v>8</v>
      </c>
      <c r="C3620" t="s">
        <v>22</v>
      </c>
      <c r="D3620">
        <v>0</v>
      </c>
      <c r="E3620" t="s">
        <v>57</v>
      </c>
      <c r="F3620" t="s">
        <v>36</v>
      </c>
      <c r="G3620" t="s">
        <v>37</v>
      </c>
    </row>
    <row r="3621" spans="1:7" x14ac:dyDescent="0.3">
      <c r="A3621" t="s">
        <v>33</v>
      </c>
      <c r="B3621" t="s">
        <v>23</v>
      </c>
      <c r="C3621" t="s">
        <v>9</v>
      </c>
      <c r="D3621">
        <v>602</v>
      </c>
      <c r="E3621" t="s">
        <v>57</v>
      </c>
      <c r="F3621" t="s">
        <v>36</v>
      </c>
      <c r="G3621" t="s">
        <v>37</v>
      </c>
    </row>
    <row r="3622" spans="1:7" x14ac:dyDescent="0.3">
      <c r="A3622" t="s">
        <v>33</v>
      </c>
      <c r="B3622" t="s">
        <v>23</v>
      </c>
      <c r="C3622" t="s">
        <v>13</v>
      </c>
      <c r="D3622">
        <v>205</v>
      </c>
      <c r="E3622" t="s">
        <v>57</v>
      </c>
      <c r="F3622" t="s">
        <v>36</v>
      </c>
      <c r="G3622" t="s">
        <v>37</v>
      </c>
    </row>
    <row r="3623" spans="1:7" x14ac:dyDescent="0.3">
      <c r="A3623" t="s">
        <v>33</v>
      </c>
      <c r="B3623" t="s">
        <v>23</v>
      </c>
      <c r="C3623" t="s">
        <v>14</v>
      </c>
      <c r="D3623">
        <v>1849</v>
      </c>
      <c r="E3623" t="s">
        <v>57</v>
      </c>
      <c r="F3623" t="s">
        <v>36</v>
      </c>
      <c r="G3623" t="s">
        <v>37</v>
      </c>
    </row>
    <row r="3624" spans="1:7" x14ac:dyDescent="0.3">
      <c r="A3624" t="s">
        <v>33</v>
      </c>
      <c r="B3624" t="s">
        <v>23</v>
      </c>
      <c r="C3624" t="s">
        <v>15</v>
      </c>
      <c r="D3624">
        <v>345</v>
      </c>
      <c r="E3624" t="s">
        <v>57</v>
      </c>
      <c r="F3624" t="s">
        <v>36</v>
      </c>
      <c r="G3624" t="s">
        <v>37</v>
      </c>
    </row>
    <row r="3625" spans="1:7" x14ac:dyDescent="0.3">
      <c r="A3625" t="s">
        <v>33</v>
      </c>
      <c r="B3625" t="s">
        <v>23</v>
      </c>
      <c r="C3625" t="s">
        <v>16</v>
      </c>
      <c r="D3625">
        <v>939222</v>
      </c>
      <c r="E3625" t="s">
        <v>57</v>
      </c>
      <c r="F3625" t="s">
        <v>36</v>
      </c>
      <c r="G3625" t="s">
        <v>37</v>
      </c>
    </row>
    <row r="3626" spans="1:7" x14ac:dyDescent="0.3">
      <c r="A3626" t="s">
        <v>33</v>
      </c>
      <c r="B3626" t="s">
        <v>23</v>
      </c>
      <c r="C3626" t="s">
        <v>17</v>
      </c>
      <c r="D3626">
        <v>147</v>
      </c>
      <c r="E3626" t="s">
        <v>57</v>
      </c>
      <c r="F3626" t="s">
        <v>36</v>
      </c>
      <c r="G3626" t="s">
        <v>37</v>
      </c>
    </row>
    <row r="3627" spans="1:7" x14ac:dyDescent="0.3">
      <c r="A3627" t="s">
        <v>33</v>
      </c>
      <c r="B3627" t="s">
        <v>23</v>
      </c>
      <c r="C3627" t="s">
        <v>18</v>
      </c>
      <c r="D3627">
        <v>0</v>
      </c>
      <c r="E3627" t="s">
        <v>57</v>
      </c>
      <c r="F3627" t="s">
        <v>36</v>
      </c>
      <c r="G3627" t="s">
        <v>37</v>
      </c>
    </row>
    <row r="3628" spans="1:7" x14ac:dyDescent="0.3">
      <c r="A3628" t="s">
        <v>33</v>
      </c>
      <c r="B3628" t="s">
        <v>23</v>
      </c>
      <c r="C3628" t="s">
        <v>19</v>
      </c>
      <c r="D3628">
        <v>39</v>
      </c>
      <c r="E3628" t="s">
        <v>57</v>
      </c>
      <c r="F3628" t="s">
        <v>36</v>
      </c>
      <c r="G3628" t="s">
        <v>37</v>
      </c>
    </row>
    <row r="3629" spans="1:7" x14ac:dyDescent="0.3">
      <c r="A3629" t="s">
        <v>33</v>
      </c>
      <c r="B3629" t="s">
        <v>23</v>
      </c>
      <c r="C3629" t="s">
        <v>20</v>
      </c>
      <c r="D3629">
        <v>2655</v>
      </c>
      <c r="E3629" t="s">
        <v>57</v>
      </c>
      <c r="F3629" t="s">
        <v>36</v>
      </c>
      <c r="G3629" t="s">
        <v>37</v>
      </c>
    </row>
    <row r="3630" spans="1:7" x14ac:dyDescent="0.3">
      <c r="A3630" t="s">
        <v>33</v>
      </c>
      <c r="B3630" t="s">
        <v>23</v>
      </c>
      <c r="C3630" t="s">
        <v>21</v>
      </c>
      <c r="D3630">
        <v>985</v>
      </c>
      <c r="E3630" t="s">
        <v>57</v>
      </c>
      <c r="F3630" t="s">
        <v>36</v>
      </c>
      <c r="G3630" t="s">
        <v>37</v>
      </c>
    </row>
    <row r="3631" spans="1:7" x14ac:dyDescent="0.3">
      <c r="A3631" t="s">
        <v>33</v>
      </c>
      <c r="B3631" t="s">
        <v>23</v>
      </c>
      <c r="C3631" t="s">
        <v>22</v>
      </c>
      <c r="D3631">
        <v>2395</v>
      </c>
      <c r="E3631" t="s">
        <v>57</v>
      </c>
      <c r="F3631" t="s">
        <v>36</v>
      </c>
      <c r="G3631" t="s">
        <v>37</v>
      </c>
    </row>
    <row r="3632" spans="1:7" x14ac:dyDescent="0.3">
      <c r="A3632" t="s">
        <v>34</v>
      </c>
      <c r="B3632" t="s">
        <v>8</v>
      </c>
      <c r="C3632" t="s">
        <v>9</v>
      </c>
      <c r="D3632">
        <v>0</v>
      </c>
      <c r="E3632" t="s">
        <v>57</v>
      </c>
      <c r="F3632" t="s">
        <v>36</v>
      </c>
      <c r="G3632" t="s">
        <v>37</v>
      </c>
    </row>
    <row r="3633" spans="1:7" x14ac:dyDescent="0.3">
      <c r="A3633" t="s">
        <v>34</v>
      </c>
      <c r="B3633" t="s">
        <v>8</v>
      </c>
      <c r="C3633" t="s">
        <v>13</v>
      </c>
      <c r="D3633">
        <v>0</v>
      </c>
      <c r="E3633" t="s">
        <v>57</v>
      </c>
      <c r="F3633" t="s">
        <v>36</v>
      </c>
      <c r="G3633" t="s">
        <v>37</v>
      </c>
    </row>
    <row r="3634" spans="1:7" x14ac:dyDescent="0.3">
      <c r="A3634" t="s">
        <v>34</v>
      </c>
      <c r="B3634" t="s">
        <v>8</v>
      </c>
      <c r="C3634" t="s">
        <v>14</v>
      </c>
      <c r="D3634">
        <v>0</v>
      </c>
      <c r="E3634" t="s">
        <v>57</v>
      </c>
      <c r="F3634" t="s">
        <v>36</v>
      </c>
      <c r="G3634" t="s">
        <v>37</v>
      </c>
    </row>
    <row r="3635" spans="1:7" x14ac:dyDescent="0.3">
      <c r="A3635" t="s">
        <v>34</v>
      </c>
      <c r="B3635" t="s">
        <v>8</v>
      </c>
      <c r="C3635" t="s">
        <v>15</v>
      </c>
      <c r="D3635">
        <v>0</v>
      </c>
      <c r="E3635" t="s">
        <v>57</v>
      </c>
      <c r="F3635" t="s">
        <v>36</v>
      </c>
      <c r="G3635" t="s">
        <v>37</v>
      </c>
    </row>
    <row r="3636" spans="1:7" x14ac:dyDescent="0.3">
      <c r="A3636" t="s">
        <v>34</v>
      </c>
      <c r="B3636" t="s">
        <v>8</v>
      </c>
      <c r="C3636" t="s">
        <v>16</v>
      </c>
      <c r="D3636">
        <v>0</v>
      </c>
      <c r="E3636" t="s">
        <v>57</v>
      </c>
      <c r="F3636" t="s">
        <v>36</v>
      </c>
      <c r="G3636" t="s">
        <v>37</v>
      </c>
    </row>
    <row r="3637" spans="1:7" x14ac:dyDescent="0.3">
      <c r="A3637" t="s">
        <v>34</v>
      </c>
      <c r="B3637" t="s">
        <v>8</v>
      </c>
      <c r="C3637" t="s">
        <v>17</v>
      </c>
      <c r="D3637">
        <v>0</v>
      </c>
      <c r="E3637" t="s">
        <v>57</v>
      </c>
      <c r="F3637" t="s">
        <v>36</v>
      </c>
      <c r="G3637" t="s">
        <v>37</v>
      </c>
    </row>
    <row r="3638" spans="1:7" x14ac:dyDescent="0.3">
      <c r="A3638" t="s">
        <v>34</v>
      </c>
      <c r="B3638" t="s">
        <v>8</v>
      </c>
      <c r="C3638" t="s">
        <v>18</v>
      </c>
      <c r="D3638">
        <v>0</v>
      </c>
      <c r="E3638" t="s">
        <v>57</v>
      </c>
      <c r="F3638" t="s">
        <v>36</v>
      </c>
      <c r="G3638" t="s">
        <v>37</v>
      </c>
    </row>
    <row r="3639" spans="1:7" x14ac:dyDescent="0.3">
      <c r="A3639" t="s">
        <v>34</v>
      </c>
      <c r="B3639" t="s">
        <v>8</v>
      </c>
      <c r="C3639" t="s">
        <v>19</v>
      </c>
      <c r="D3639">
        <v>0</v>
      </c>
      <c r="E3639" t="s">
        <v>57</v>
      </c>
      <c r="F3639" t="s">
        <v>36</v>
      </c>
      <c r="G3639" t="s">
        <v>37</v>
      </c>
    </row>
    <row r="3640" spans="1:7" x14ac:dyDescent="0.3">
      <c r="A3640" t="s">
        <v>34</v>
      </c>
      <c r="B3640" t="s">
        <v>8</v>
      </c>
      <c r="C3640" t="s">
        <v>20</v>
      </c>
      <c r="D3640">
        <v>0</v>
      </c>
      <c r="E3640" t="s">
        <v>57</v>
      </c>
      <c r="F3640" t="s">
        <v>36</v>
      </c>
      <c r="G3640" t="s">
        <v>37</v>
      </c>
    </row>
    <row r="3641" spans="1:7" x14ac:dyDescent="0.3">
      <c r="A3641" t="s">
        <v>34</v>
      </c>
      <c r="B3641" t="s">
        <v>8</v>
      </c>
      <c r="C3641" t="s">
        <v>21</v>
      </c>
      <c r="D3641">
        <v>0</v>
      </c>
      <c r="E3641" t="s">
        <v>57</v>
      </c>
      <c r="F3641" t="s">
        <v>36</v>
      </c>
      <c r="G3641" t="s">
        <v>37</v>
      </c>
    </row>
    <row r="3642" spans="1:7" x14ac:dyDescent="0.3">
      <c r="A3642" t="s">
        <v>34</v>
      </c>
      <c r="B3642" t="s">
        <v>8</v>
      </c>
      <c r="C3642" t="s">
        <v>22</v>
      </c>
      <c r="D3642">
        <v>0</v>
      </c>
      <c r="E3642" t="s">
        <v>57</v>
      </c>
      <c r="F3642" t="s">
        <v>36</v>
      </c>
      <c r="G3642" t="s">
        <v>37</v>
      </c>
    </row>
    <row r="3643" spans="1:7" x14ac:dyDescent="0.3">
      <c r="A3643" t="s">
        <v>34</v>
      </c>
      <c r="B3643" t="s">
        <v>23</v>
      </c>
      <c r="C3643" t="s">
        <v>9</v>
      </c>
      <c r="D3643">
        <v>3103</v>
      </c>
      <c r="E3643" t="s">
        <v>57</v>
      </c>
      <c r="F3643" t="s">
        <v>36</v>
      </c>
      <c r="G3643" t="s">
        <v>37</v>
      </c>
    </row>
    <row r="3644" spans="1:7" x14ac:dyDescent="0.3">
      <c r="A3644" t="s">
        <v>34</v>
      </c>
      <c r="B3644" t="s">
        <v>23</v>
      </c>
      <c r="C3644" t="s">
        <v>13</v>
      </c>
      <c r="D3644">
        <v>38209</v>
      </c>
      <c r="E3644" t="s">
        <v>57</v>
      </c>
      <c r="F3644" t="s">
        <v>36</v>
      </c>
      <c r="G3644" t="s">
        <v>37</v>
      </c>
    </row>
    <row r="3645" spans="1:7" x14ac:dyDescent="0.3">
      <c r="A3645" t="s">
        <v>34</v>
      </c>
      <c r="B3645" t="s">
        <v>23</v>
      </c>
      <c r="C3645" t="s">
        <v>14</v>
      </c>
      <c r="D3645">
        <v>3002</v>
      </c>
      <c r="E3645" t="s">
        <v>57</v>
      </c>
      <c r="F3645" t="s">
        <v>36</v>
      </c>
      <c r="G3645" t="s">
        <v>37</v>
      </c>
    </row>
    <row r="3646" spans="1:7" x14ac:dyDescent="0.3">
      <c r="A3646" t="s">
        <v>34</v>
      </c>
      <c r="B3646" t="s">
        <v>23</v>
      </c>
      <c r="C3646" t="s">
        <v>15</v>
      </c>
      <c r="D3646">
        <v>28007</v>
      </c>
      <c r="E3646" t="s">
        <v>57</v>
      </c>
      <c r="F3646" t="s">
        <v>36</v>
      </c>
      <c r="G3646" t="s">
        <v>37</v>
      </c>
    </row>
    <row r="3647" spans="1:7" x14ac:dyDescent="0.3">
      <c r="A3647" t="s">
        <v>34</v>
      </c>
      <c r="B3647" t="s">
        <v>23</v>
      </c>
      <c r="C3647" t="s">
        <v>16</v>
      </c>
      <c r="D3647">
        <v>16249</v>
      </c>
      <c r="E3647" t="s">
        <v>57</v>
      </c>
      <c r="F3647" t="s">
        <v>36</v>
      </c>
      <c r="G3647" t="s">
        <v>37</v>
      </c>
    </row>
    <row r="3648" spans="1:7" x14ac:dyDescent="0.3">
      <c r="A3648" t="s">
        <v>34</v>
      </c>
      <c r="B3648" t="s">
        <v>23</v>
      </c>
      <c r="C3648" t="s">
        <v>17</v>
      </c>
      <c r="D3648">
        <v>96</v>
      </c>
      <c r="E3648" t="s">
        <v>57</v>
      </c>
      <c r="F3648" t="s">
        <v>36</v>
      </c>
      <c r="G3648" t="s">
        <v>37</v>
      </c>
    </row>
    <row r="3649" spans="1:7" x14ac:dyDescent="0.3">
      <c r="A3649" t="s">
        <v>34</v>
      </c>
      <c r="B3649" t="s">
        <v>23</v>
      </c>
      <c r="C3649" t="s">
        <v>18</v>
      </c>
      <c r="D3649">
        <v>2</v>
      </c>
      <c r="E3649" t="s">
        <v>57</v>
      </c>
      <c r="F3649" t="s">
        <v>36</v>
      </c>
      <c r="G3649" t="s">
        <v>37</v>
      </c>
    </row>
    <row r="3650" spans="1:7" x14ac:dyDescent="0.3">
      <c r="A3650" t="s">
        <v>34</v>
      </c>
      <c r="B3650" t="s">
        <v>23</v>
      </c>
      <c r="C3650" t="s">
        <v>19</v>
      </c>
      <c r="D3650">
        <v>6662</v>
      </c>
      <c r="E3650" t="s">
        <v>57</v>
      </c>
      <c r="F3650" t="s">
        <v>36</v>
      </c>
      <c r="G3650" t="s">
        <v>37</v>
      </c>
    </row>
    <row r="3651" spans="1:7" x14ac:dyDescent="0.3">
      <c r="A3651" t="s">
        <v>34</v>
      </c>
      <c r="B3651" t="s">
        <v>23</v>
      </c>
      <c r="C3651" t="s">
        <v>20</v>
      </c>
      <c r="D3651">
        <v>10023</v>
      </c>
      <c r="E3651" t="s">
        <v>57</v>
      </c>
      <c r="F3651" t="s">
        <v>36</v>
      </c>
      <c r="G3651" t="s">
        <v>37</v>
      </c>
    </row>
    <row r="3652" spans="1:7" x14ac:dyDescent="0.3">
      <c r="A3652" t="s">
        <v>34</v>
      </c>
      <c r="B3652" t="s">
        <v>23</v>
      </c>
      <c r="C3652" t="s">
        <v>21</v>
      </c>
      <c r="D3652">
        <v>758</v>
      </c>
      <c r="E3652" t="s">
        <v>57</v>
      </c>
      <c r="F3652" t="s">
        <v>36</v>
      </c>
      <c r="G3652" t="s">
        <v>37</v>
      </c>
    </row>
    <row r="3653" spans="1:7" x14ac:dyDescent="0.3">
      <c r="A3653" t="s">
        <v>34</v>
      </c>
      <c r="B3653" t="s">
        <v>23</v>
      </c>
      <c r="C3653" t="s">
        <v>22</v>
      </c>
      <c r="D3653">
        <v>495872</v>
      </c>
      <c r="E3653" t="s">
        <v>57</v>
      </c>
      <c r="F3653" t="s">
        <v>36</v>
      </c>
      <c r="G3653" t="s">
        <v>37</v>
      </c>
    </row>
    <row r="3654" spans="1:7" x14ac:dyDescent="0.3">
      <c r="A3654" t="s">
        <v>55</v>
      </c>
      <c r="B3654" t="s">
        <v>8</v>
      </c>
      <c r="C3654" t="s">
        <v>9</v>
      </c>
      <c r="D3654">
        <v>0</v>
      </c>
      <c r="E3654" t="s">
        <v>57</v>
      </c>
      <c r="F3654" t="s">
        <v>36</v>
      </c>
      <c r="G3654" t="s">
        <v>37</v>
      </c>
    </row>
    <row r="3655" spans="1:7" x14ac:dyDescent="0.3">
      <c r="A3655" t="s">
        <v>55</v>
      </c>
      <c r="B3655" t="s">
        <v>8</v>
      </c>
      <c r="C3655" t="s">
        <v>13</v>
      </c>
      <c r="D3655">
        <v>0</v>
      </c>
      <c r="E3655" t="s">
        <v>57</v>
      </c>
      <c r="F3655" t="s">
        <v>36</v>
      </c>
      <c r="G3655" t="s">
        <v>37</v>
      </c>
    </row>
    <row r="3656" spans="1:7" x14ac:dyDescent="0.3">
      <c r="A3656" t="s">
        <v>55</v>
      </c>
      <c r="B3656" t="s">
        <v>8</v>
      </c>
      <c r="C3656" t="s">
        <v>14</v>
      </c>
      <c r="D3656">
        <v>0</v>
      </c>
      <c r="E3656" t="s">
        <v>57</v>
      </c>
      <c r="F3656" t="s">
        <v>36</v>
      </c>
      <c r="G3656" t="s">
        <v>37</v>
      </c>
    </row>
    <row r="3657" spans="1:7" x14ac:dyDescent="0.3">
      <c r="A3657" t="s">
        <v>55</v>
      </c>
      <c r="B3657" t="s">
        <v>8</v>
      </c>
      <c r="C3657" t="s">
        <v>15</v>
      </c>
      <c r="D3657">
        <v>0</v>
      </c>
      <c r="E3657" t="s">
        <v>57</v>
      </c>
      <c r="F3657" t="s">
        <v>36</v>
      </c>
      <c r="G3657" t="s">
        <v>37</v>
      </c>
    </row>
    <row r="3658" spans="1:7" x14ac:dyDescent="0.3">
      <c r="A3658" t="s">
        <v>55</v>
      </c>
      <c r="B3658" t="s">
        <v>8</v>
      </c>
      <c r="C3658" t="s">
        <v>16</v>
      </c>
      <c r="D3658">
        <v>0</v>
      </c>
      <c r="E3658" t="s">
        <v>57</v>
      </c>
      <c r="F3658" t="s">
        <v>36</v>
      </c>
      <c r="G3658" t="s">
        <v>37</v>
      </c>
    </row>
    <row r="3659" spans="1:7" x14ac:dyDescent="0.3">
      <c r="A3659" t="s">
        <v>55</v>
      </c>
      <c r="B3659" t="s">
        <v>8</v>
      </c>
      <c r="C3659" t="s">
        <v>17</v>
      </c>
      <c r="D3659">
        <v>0</v>
      </c>
      <c r="E3659" t="s">
        <v>57</v>
      </c>
      <c r="F3659" t="s">
        <v>36</v>
      </c>
      <c r="G3659" t="s">
        <v>37</v>
      </c>
    </row>
    <row r="3660" spans="1:7" x14ac:dyDescent="0.3">
      <c r="A3660" t="s">
        <v>55</v>
      </c>
      <c r="B3660" t="s">
        <v>8</v>
      </c>
      <c r="C3660" t="s">
        <v>18</v>
      </c>
      <c r="D3660">
        <v>0</v>
      </c>
      <c r="E3660" t="s">
        <v>57</v>
      </c>
      <c r="F3660" t="s">
        <v>36</v>
      </c>
      <c r="G3660" t="s">
        <v>37</v>
      </c>
    </row>
    <row r="3661" spans="1:7" x14ac:dyDescent="0.3">
      <c r="A3661" t="s">
        <v>55</v>
      </c>
      <c r="B3661" t="s">
        <v>8</v>
      </c>
      <c r="C3661" t="s">
        <v>19</v>
      </c>
      <c r="D3661">
        <v>0</v>
      </c>
      <c r="E3661" t="s">
        <v>57</v>
      </c>
      <c r="F3661" t="s">
        <v>36</v>
      </c>
      <c r="G3661" t="s">
        <v>37</v>
      </c>
    </row>
    <row r="3662" spans="1:7" x14ac:dyDescent="0.3">
      <c r="A3662" t="s">
        <v>55</v>
      </c>
      <c r="B3662" t="s">
        <v>8</v>
      </c>
      <c r="C3662" t="s">
        <v>20</v>
      </c>
      <c r="D3662">
        <v>0</v>
      </c>
      <c r="E3662" t="s">
        <v>57</v>
      </c>
      <c r="F3662" t="s">
        <v>36</v>
      </c>
      <c r="G3662" t="s">
        <v>37</v>
      </c>
    </row>
    <row r="3663" spans="1:7" x14ac:dyDescent="0.3">
      <c r="A3663" t="s">
        <v>55</v>
      </c>
      <c r="B3663" t="s">
        <v>8</v>
      </c>
      <c r="C3663" t="s">
        <v>21</v>
      </c>
      <c r="D3663">
        <v>0</v>
      </c>
      <c r="E3663" t="s">
        <v>57</v>
      </c>
      <c r="F3663" t="s">
        <v>36</v>
      </c>
      <c r="G3663" t="s">
        <v>37</v>
      </c>
    </row>
    <row r="3664" spans="1:7" x14ac:dyDescent="0.3">
      <c r="A3664" t="s">
        <v>55</v>
      </c>
      <c r="B3664" t="s">
        <v>8</v>
      </c>
      <c r="C3664" t="s">
        <v>22</v>
      </c>
      <c r="D3664">
        <v>0</v>
      </c>
      <c r="E3664" t="s">
        <v>57</v>
      </c>
      <c r="F3664" t="s">
        <v>36</v>
      </c>
      <c r="G3664" t="s">
        <v>37</v>
      </c>
    </row>
    <row r="3665" spans="1:7" x14ac:dyDescent="0.3">
      <c r="A3665" t="s">
        <v>55</v>
      </c>
      <c r="B3665" t="s">
        <v>23</v>
      </c>
      <c r="C3665" t="s">
        <v>9</v>
      </c>
      <c r="D3665">
        <v>211461</v>
      </c>
      <c r="E3665" t="s">
        <v>57</v>
      </c>
      <c r="F3665" t="s">
        <v>36</v>
      </c>
      <c r="G3665" t="s">
        <v>37</v>
      </c>
    </row>
    <row r="3666" spans="1:7" x14ac:dyDescent="0.3">
      <c r="A3666" t="s">
        <v>55</v>
      </c>
      <c r="B3666" t="s">
        <v>23</v>
      </c>
      <c r="C3666" t="s">
        <v>13</v>
      </c>
      <c r="D3666">
        <v>1838</v>
      </c>
      <c r="E3666" t="s">
        <v>57</v>
      </c>
      <c r="F3666" t="s">
        <v>36</v>
      </c>
      <c r="G3666" t="s">
        <v>37</v>
      </c>
    </row>
    <row r="3667" spans="1:7" x14ac:dyDescent="0.3">
      <c r="A3667" t="s">
        <v>55</v>
      </c>
      <c r="B3667" t="s">
        <v>23</v>
      </c>
      <c r="C3667" t="s">
        <v>14</v>
      </c>
      <c r="D3667">
        <v>1640</v>
      </c>
      <c r="E3667" t="s">
        <v>57</v>
      </c>
      <c r="F3667" t="s">
        <v>36</v>
      </c>
      <c r="G3667" t="s">
        <v>37</v>
      </c>
    </row>
    <row r="3668" spans="1:7" x14ac:dyDescent="0.3">
      <c r="A3668" t="s">
        <v>55</v>
      </c>
      <c r="B3668" t="s">
        <v>23</v>
      </c>
      <c r="C3668" t="s">
        <v>15</v>
      </c>
      <c r="D3668">
        <v>2863</v>
      </c>
      <c r="E3668" t="s">
        <v>57</v>
      </c>
      <c r="F3668" t="s">
        <v>36</v>
      </c>
      <c r="G3668" t="s">
        <v>37</v>
      </c>
    </row>
    <row r="3669" spans="1:7" x14ac:dyDescent="0.3">
      <c r="A3669" t="s">
        <v>55</v>
      </c>
      <c r="B3669" t="s">
        <v>23</v>
      </c>
      <c r="C3669" t="s">
        <v>16</v>
      </c>
      <c r="D3669">
        <v>23880</v>
      </c>
      <c r="E3669" t="s">
        <v>57</v>
      </c>
      <c r="F3669" t="s">
        <v>36</v>
      </c>
      <c r="G3669" t="s">
        <v>37</v>
      </c>
    </row>
    <row r="3670" spans="1:7" x14ac:dyDescent="0.3">
      <c r="A3670" t="s">
        <v>55</v>
      </c>
      <c r="B3670" t="s">
        <v>23</v>
      </c>
      <c r="C3670" t="s">
        <v>17</v>
      </c>
      <c r="D3670">
        <v>480</v>
      </c>
      <c r="E3670" t="s">
        <v>57</v>
      </c>
      <c r="F3670" t="s">
        <v>36</v>
      </c>
      <c r="G3670" t="s">
        <v>37</v>
      </c>
    </row>
    <row r="3671" spans="1:7" x14ac:dyDescent="0.3">
      <c r="A3671" t="s">
        <v>55</v>
      </c>
      <c r="B3671" t="s">
        <v>23</v>
      </c>
      <c r="C3671" t="s">
        <v>18</v>
      </c>
      <c r="D3671">
        <v>0</v>
      </c>
      <c r="E3671" t="s">
        <v>57</v>
      </c>
      <c r="F3671" t="s">
        <v>36</v>
      </c>
      <c r="G3671" t="s">
        <v>37</v>
      </c>
    </row>
    <row r="3672" spans="1:7" x14ac:dyDescent="0.3">
      <c r="A3672" t="s">
        <v>55</v>
      </c>
      <c r="B3672" t="s">
        <v>23</v>
      </c>
      <c r="C3672" t="s">
        <v>19</v>
      </c>
      <c r="D3672">
        <v>1789</v>
      </c>
      <c r="E3672" t="s">
        <v>57</v>
      </c>
      <c r="F3672" t="s">
        <v>36</v>
      </c>
      <c r="G3672" t="s">
        <v>37</v>
      </c>
    </row>
    <row r="3673" spans="1:7" x14ac:dyDescent="0.3">
      <c r="A3673" t="s">
        <v>55</v>
      </c>
      <c r="B3673" t="s">
        <v>23</v>
      </c>
      <c r="C3673" t="s">
        <v>20</v>
      </c>
      <c r="D3673">
        <v>7196</v>
      </c>
      <c r="E3673" t="s">
        <v>57</v>
      </c>
      <c r="F3673" t="s">
        <v>36</v>
      </c>
      <c r="G3673" t="s">
        <v>37</v>
      </c>
    </row>
    <row r="3674" spans="1:7" x14ac:dyDescent="0.3">
      <c r="A3674" t="s">
        <v>55</v>
      </c>
      <c r="B3674" t="s">
        <v>23</v>
      </c>
      <c r="C3674" t="s">
        <v>21</v>
      </c>
      <c r="D3674">
        <v>372</v>
      </c>
      <c r="E3674" t="s">
        <v>57</v>
      </c>
      <c r="F3674" t="s">
        <v>36</v>
      </c>
      <c r="G3674" t="s">
        <v>37</v>
      </c>
    </row>
    <row r="3675" spans="1:7" x14ac:dyDescent="0.3">
      <c r="A3675" t="s">
        <v>55</v>
      </c>
      <c r="B3675" t="s">
        <v>23</v>
      </c>
      <c r="C3675" t="s">
        <v>22</v>
      </c>
      <c r="D3675">
        <v>294</v>
      </c>
      <c r="E3675" t="s">
        <v>57</v>
      </c>
      <c r="F3675" t="s">
        <v>36</v>
      </c>
      <c r="G3675" t="s">
        <v>37</v>
      </c>
    </row>
    <row r="3676" spans="1:7" x14ac:dyDescent="0.3">
      <c r="A3676" t="s">
        <v>35</v>
      </c>
      <c r="B3676" t="s">
        <v>8</v>
      </c>
      <c r="C3676" t="s">
        <v>9</v>
      </c>
      <c r="D3676">
        <v>0</v>
      </c>
      <c r="E3676" t="s">
        <v>57</v>
      </c>
      <c r="F3676" t="s">
        <v>36</v>
      </c>
      <c r="G3676" t="s">
        <v>37</v>
      </c>
    </row>
    <row r="3677" spans="1:7" x14ac:dyDescent="0.3">
      <c r="A3677" t="s">
        <v>35</v>
      </c>
      <c r="B3677" t="s">
        <v>8</v>
      </c>
      <c r="C3677" t="s">
        <v>13</v>
      </c>
      <c r="D3677">
        <v>0</v>
      </c>
      <c r="E3677" t="s">
        <v>57</v>
      </c>
      <c r="F3677" t="s">
        <v>36</v>
      </c>
      <c r="G3677" t="s">
        <v>37</v>
      </c>
    </row>
    <row r="3678" spans="1:7" x14ac:dyDescent="0.3">
      <c r="A3678" t="s">
        <v>35</v>
      </c>
      <c r="B3678" t="s">
        <v>8</v>
      </c>
      <c r="C3678" t="s">
        <v>14</v>
      </c>
      <c r="D3678">
        <v>0</v>
      </c>
      <c r="E3678" t="s">
        <v>57</v>
      </c>
      <c r="F3678" t="s">
        <v>36</v>
      </c>
      <c r="G3678" t="s">
        <v>37</v>
      </c>
    </row>
    <row r="3679" spans="1:7" x14ac:dyDescent="0.3">
      <c r="A3679" t="s">
        <v>35</v>
      </c>
      <c r="B3679" t="s">
        <v>8</v>
      </c>
      <c r="C3679" t="s">
        <v>15</v>
      </c>
      <c r="D3679">
        <v>0</v>
      </c>
      <c r="E3679" t="s">
        <v>57</v>
      </c>
      <c r="F3679" t="s">
        <v>36</v>
      </c>
      <c r="G3679" t="s">
        <v>37</v>
      </c>
    </row>
    <row r="3680" spans="1:7" x14ac:dyDescent="0.3">
      <c r="A3680" t="s">
        <v>35</v>
      </c>
      <c r="B3680" t="s">
        <v>8</v>
      </c>
      <c r="C3680" t="s">
        <v>16</v>
      </c>
      <c r="D3680">
        <v>0</v>
      </c>
      <c r="E3680" t="s">
        <v>57</v>
      </c>
      <c r="F3680" t="s">
        <v>36</v>
      </c>
      <c r="G3680" t="s">
        <v>37</v>
      </c>
    </row>
    <row r="3681" spans="1:7" x14ac:dyDescent="0.3">
      <c r="A3681" t="s">
        <v>35</v>
      </c>
      <c r="B3681" t="s">
        <v>8</v>
      </c>
      <c r="C3681" t="s">
        <v>17</v>
      </c>
      <c r="D3681">
        <v>0</v>
      </c>
      <c r="E3681" t="s">
        <v>57</v>
      </c>
      <c r="F3681" t="s">
        <v>36</v>
      </c>
      <c r="G3681" t="s">
        <v>37</v>
      </c>
    </row>
    <row r="3682" spans="1:7" x14ac:dyDescent="0.3">
      <c r="A3682" t="s">
        <v>35</v>
      </c>
      <c r="B3682" t="s">
        <v>8</v>
      </c>
      <c r="C3682" t="s">
        <v>18</v>
      </c>
      <c r="D3682">
        <v>0</v>
      </c>
      <c r="E3682" t="s">
        <v>57</v>
      </c>
      <c r="F3682" t="s">
        <v>36</v>
      </c>
      <c r="G3682" t="s">
        <v>37</v>
      </c>
    </row>
    <row r="3683" spans="1:7" x14ac:dyDescent="0.3">
      <c r="A3683" t="s">
        <v>35</v>
      </c>
      <c r="B3683" t="s">
        <v>8</v>
      </c>
      <c r="C3683" t="s">
        <v>19</v>
      </c>
      <c r="D3683">
        <v>0</v>
      </c>
      <c r="E3683" t="s">
        <v>57</v>
      </c>
      <c r="F3683" t="s">
        <v>36</v>
      </c>
      <c r="G3683" t="s">
        <v>37</v>
      </c>
    </row>
    <row r="3684" spans="1:7" x14ac:dyDescent="0.3">
      <c r="A3684" t="s">
        <v>35</v>
      </c>
      <c r="B3684" t="s">
        <v>8</v>
      </c>
      <c r="C3684" t="s">
        <v>20</v>
      </c>
      <c r="D3684">
        <v>0</v>
      </c>
      <c r="E3684" t="s">
        <v>57</v>
      </c>
      <c r="F3684" t="s">
        <v>36</v>
      </c>
      <c r="G3684" t="s">
        <v>37</v>
      </c>
    </row>
    <row r="3685" spans="1:7" x14ac:dyDescent="0.3">
      <c r="A3685" t="s">
        <v>35</v>
      </c>
      <c r="B3685" t="s">
        <v>8</v>
      </c>
      <c r="C3685" t="s">
        <v>21</v>
      </c>
      <c r="D3685">
        <v>0</v>
      </c>
      <c r="E3685" t="s">
        <v>57</v>
      </c>
      <c r="F3685" t="s">
        <v>36</v>
      </c>
      <c r="G3685" t="s">
        <v>37</v>
      </c>
    </row>
    <row r="3686" spans="1:7" x14ac:dyDescent="0.3">
      <c r="A3686" t="s">
        <v>35</v>
      </c>
      <c r="B3686" t="s">
        <v>8</v>
      </c>
      <c r="C3686" t="s">
        <v>22</v>
      </c>
      <c r="D3686">
        <v>0</v>
      </c>
      <c r="E3686" t="s">
        <v>57</v>
      </c>
      <c r="F3686" t="s">
        <v>36</v>
      </c>
      <c r="G3686" t="s">
        <v>37</v>
      </c>
    </row>
    <row r="3687" spans="1:7" x14ac:dyDescent="0.3">
      <c r="A3687" t="s">
        <v>35</v>
      </c>
      <c r="B3687" t="s">
        <v>23</v>
      </c>
      <c r="C3687" t="s">
        <v>9</v>
      </c>
      <c r="D3687">
        <v>1346</v>
      </c>
      <c r="E3687" t="s">
        <v>57</v>
      </c>
      <c r="F3687" t="s">
        <v>36</v>
      </c>
      <c r="G3687" t="s">
        <v>37</v>
      </c>
    </row>
    <row r="3688" spans="1:7" x14ac:dyDescent="0.3">
      <c r="A3688" t="s">
        <v>35</v>
      </c>
      <c r="B3688" t="s">
        <v>23</v>
      </c>
      <c r="C3688" t="s">
        <v>13</v>
      </c>
      <c r="D3688">
        <v>16566</v>
      </c>
      <c r="E3688" t="s">
        <v>57</v>
      </c>
      <c r="F3688" t="s">
        <v>36</v>
      </c>
      <c r="G3688" t="s">
        <v>37</v>
      </c>
    </row>
    <row r="3689" spans="1:7" x14ac:dyDescent="0.3">
      <c r="A3689" t="s">
        <v>35</v>
      </c>
      <c r="B3689" t="s">
        <v>23</v>
      </c>
      <c r="C3689" t="s">
        <v>14</v>
      </c>
      <c r="D3689">
        <v>1302</v>
      </c>
      <c r="E3689" t="s">
        <v>57</v>
      </c>
      <c r="F3689" t="s">
        <v>36</v>
      </c>
      <c r="G3689" t="s">
        <v>37</v>
      </c>
    </row>
    <row r="3690" spans="1:7" x14ac:dyDescent="0.3">
      <c r="A3690" t="s">
        <v>35</v>
      </c>
      <c r="B3690" t="s">
        <v>23</v>
      </c>
      <c r="C3690" t="s">
        <v>15</v>
      </c>
      <c r="D3690">
        <v>12143</v>
      </c>
      <c r="E3690" t="s">
        <v>57</v>
      </c>
      <c r="F3690" t="s">
        <v>36</v>
      </c>
      <c r="G3690" t="s">
        <v>37</v>
      </c>
    </row>
    <row r="3691" spans="1:7" x14ac:dyDescent="0.3">
      <c r="A3691" t="s">
        <v>35</v>
      </c>
      <c r="B3691" t="s">
        <v>23</v>
      </c>
      <c r="C3691" t="s">
        <v>16</v>
      </c>
      <c r="D3691">
        <v>7045</v>
      </c>
      <c r="E3691" t="s">
        <v>57</v>
      </c>
      <c r="F3691" t="s">
        <v>36</v>
      </c>
      <c r="G3691" t="s">
        <v>37</v>
      </c>
    </row>
    <row r="3692" spans="1:7" x14ac:dyDescent="0.3">
      <c r="A3692" t="s">
        <v>35</v>
      </c>
      <c r="B3692" t="s">
        <v>23</v>
      </c>
      <c r="C3692" t="s">
        <v>17</v>
      </c>
      <c r="D3692">
        <v>42</v>
      </c>
      <c r="E3692" t="s">
        <v>57</v>
      </c>
      <c r="F3692" t="s">
        <v>36</v>
      </c>
      <c r="G3692" t="s">
        <v>37</v>
      </c>
    </row>
    <row r="3693" spans="1:7" x14ac:dyDescent="0.3">
      <c r="A3693" t="s">
        <v>35</v>
      </c>
      <c r="B3693" t="s">
        <v>23</v>
      </c>
      <c r="C3693" t="s">
        <v>18</v>
      </c>
      <c r="D3693">
        <v>0</v>
      </c>
      <c r="E3693" t="s">
        <v>57</v>
      </c>
      <c r="F3693" t="s">
        <v>36</v>
      </c>
      <c r="G3693" t="s">
        <v>37</v>
      </c>
    </row>
    <row r="3694" spans="1:7" x14ac:dyDescent="0.3">
      <c r="A3694" t="s">
        <v>35</v>
      </c>
      <c r="B3694" t="s">
        <v>23</v>
      </c>
      <c r="C3694" t="s">
        <v>19</v>
      </c>
      <c r="D3694">
        <v>2888</v>
      </c>
      <c r="E3694" t="s">
        <v>57</v>
      </c>
      <c r="F3694" t="s">
        <v>36</v>
      </c>
      <c r="G3694" t="s">
        <v>37</v>
      </c>
    </row>
    <row r="3695" spans="1:7" x14ac:dyDescent="0.3">
      <c r="A3695" t="s">
        <v>35</v>
      </c>
      <c r="B3695" t="s">
        <v>23</v>
      </c>
      <c r="C3695" t="s">
        <v>20</v>
      </c>
      <c r="D3695">
        <v>4346</v>
      </c>
      <c r="E3695" t="s">
        <v>57</v>
      </c>
      <c r="F3695" t="s">
        <v>36</v>
      </c>
      <c r="G3695" t="s">
        <v>37</v>
      </c>
    </row>
    <row r="3696" spans="1:7" x14ac:dyDescent="0.3">
      <c r="A3696" t="s">
        <v>35</v>
      </c>
      <c r="B3696" t="s">
        <v>23</v>
      </c>
      <c r="C3696" t="s">
        <v>21</v>
      </c>
      <c r="D3696">
        <v>329</v>
      </c>
      <c r="E3696" t="s">
        <v>57</v>
      </c>
      <c r="F3696" t="s">
        <v>36</v>
      </c>
      <c r="G3696" t="s">
        <v>37</v>
      </c>
    </row>
    <row r="3697" spans="1:7" x14ac:dyDescent="0.3">
      <c r="A3697" t="s">
        <v>35</v>
      </c>
      <c r="B3697" t="s">
        <v>23</v>
      </c>
      <c r="C3697" t="s">
        <v>22</v>
      </c>
      <c r="D3697">
        <v>214995</v>
      </c>
      <c r="E3697" t="s">
        <v>57</v>
      </c>
      <c r="F3697" t="s">
        <v>36</v>
      </c>
      <c r="G3697" t="s">
        <v>37</v>
      </c>
    </row>
    <row r="3698" spans="1:7" x14ac:dyDescent="0.3">
      <c r="A3698" t="s">
        <v>56</v>
      </c>
      <c r="B3698" t="s">
        <v>8</v>
      </c>
      <c r="C3698" t="s">
        <v>9</v>
      </c>
      <c r="D3698">
        <v>0</v>
      </c>
      <c r="E3698" t="s">
        <v>57</v>
      </c>
      <c r="F3698" t="s">
        <v>36</v>
      </c>
      <c r="G3698" t="s">
        <v>37</v>
      </c>
    </row>
    <row r="3699" spans="1:7" x14ac:dyDescent="0.3">
      <c r="A3699" t="s">
        <v>56</v>
      </c>
      <c r="B3699" t="s">
        <v>8</v>
      </c>
      <c r="C3699" t="s">
        <v>13</v>
      </c>
      <c r="D3699">
        <v>0</v>
      </c>
      <c r="E3699" t="s">
        <v>57</v>
      </c>
      <c r="F3699" t="s">
        <v>36</v>
      </c>
      <c r="G3699" t="s">
        <v>37</v>
      </c>
    </row>
    <row r="3700" spans="1:7" x14ac:dyDescent="0.3">
      <c r="A3700" t="s">
        <v>56</v>
      </c>
      <c r="B3700" t="s">
        <v>8</v>
      </c>
      <c r="C3700" t="s">
        <v>14</v>
      </c>
      <c r="D3700">
        <v>0</v>
      </c>
      <c r="E3700" t="s">
        <v>57</v>
      </c>
      <c r="F3700" t="s">
        <v>36</v>
      </c>
      <c r="G3700" t="s">
        <v>37</v>
      </c>
    </row>
    <row r="3701" spans="1:7" x14ac:dyDescent="0.3">
      <c r="A3701" t="s">
        <v>56</v>
      </c>
      <c r="B3701" t="s">
        <v>8</v>
      </c>
      <c r="C3701" t="s">
        <v>15</v>
      </c>
      <c r="D3701">
        <v>0</v>
      </c>
      <c r="E3701" t="s">
        <v>57</v>
      </c>
      <c r="F3701" t="s">
        <v>36</v>
      </c>
      <c r="G3701" t="s">
        <v>37</v>
      </c>
    </row>
    <row r="3702" spans="1:7" x14ac:dyDescent="0.3">
      <c r="A3702" t="s">
        <v>56</v>
      </c>
      <c r="B3702" t="s">
        <v>8</v>
      </c>
      <c r="C3702" t="s">
        <v>16</v>
      </c>
      <c r="D3702">
        <v>0</v>
      </c>
      <c r="E3702" t="s">
        <v>57</v>
      </c>
      <c r="F3702" t="s">
        <v>36</v>
      </c>
      <c r="G3702" t="s">
        <v>37</v>
      </c>
    </row>
    <row r="3703" spans="1:7" x14ac:dyDescent="0.3">
      <c r="A3703" t="s">
        <v>56</v>
      </c>
      <c r="B3703" t="s">
        <v>8</v>
      </c>
      <c r="C3703" t="s">
        <v>17</v>
      </c>
      <c r="D3703">
        <v>0</v>
      </c>
      <c r="E3703" t="s">
        <v>57</v>
      </c>
      <c r="F3703" t="s">
        <v>36</v>
      </c>
      <c r="G3703" t="s">
        <v>37</v>
      </c>
    </row>
    <row r="3704" spans="1:7" x14ac:dyDescent="0.3">
      <c r="A3704" t="s">
        <v>56</v>
      </c>
      <c r="B3704" t="s">
        <v>8</v>
      </c>
      <c r="C3704" t="s">
        <v>18</v>
      </c>
      <c r="D3704">
        <v>0</v>
      </c>
      <c r="E3704" t="s">
        <v>57</v>
      </c>
      <c r="F3704" t="s">
        <v>36</v>
      </c>
      <c r="G3704" t="s">
        <v>37</v>
      </c>
    </row>
    <row r="3705" spans="1:7" x14ac:dyDescent="0.3">
      <c r="A3705" t="s">
        <v>56</v>
      </c>
      <c r="B3705" t="s">
        <v>8</v>
      </c>
      <c r="C3705" t="s">
        <v>19</v>
      </c>
      <c r="D3705">
        <v>0</v>
      </c>
      <c r="E3705" t="s">
        <v>57</v>
      </c>
      <c r="F3705" t="s">
        <v>36</v>
      </c>
      <c r="G3705" t="s">
        <v>37</v>
      </c>
    </row>
    <row r="3706" spans="1:7" x14ac:dyDescent="0.3">
      <c r="A3706" t="s">
        <v>56</v>
      </c>
      <c r="B3706" t="s">
        <v>8</v>
      </c>
      <c r="C3706" t="s">
        <v>20</v>
      </c>
      <c r="D3706">
        <v>0</v>
      </c>
      <c r="E3706" t="s">
        <v>57</v>
      </c>
      <c r="F3706" t="s">
        <v>36</v>
      </c>
      <c r="G3706" t="s">
        <v>37</v>
      </c>
    </row>
    <row r="3707" spans="1:7" x14ac:dyDescent="0.3">
      <c r="A3707" t="s">
        <v>56</v>
      </c>
      <c r="B3707" t="s">
        <v>8</v>
      </c>
      <c r="C3707" t="s">
        <v>21</v>
      </c>
      <c r="D3707">
        <v>0</v>
      </c>
      <c r="E3707" t="s">
        <v>57</v>
      </c>
      <c r="F3707" t="s">
        <v>36</v>
      </c>
      <c r="G3707" t="s">
        <v>37</v>
      </c>
    </row>
    <row r="3708" spans="1:7" x14ac:dyDescent="0.3">
      <c r="A3708" t="s">
        <v>56</v>
      </c>
      <c r="B3708" t="s">
        <v>8</v>
      </c>
      <c r="C3708" t="s">
        <v>22</v>
      </c>
      <c r="D3708">
        <v>0</v>
      </c>
      <c r="E3708" t="s">
        <v>57</v>
      </c>
      <c r="F3708" t="s">
        <v>36</v>
      </c>
      <c r="G3708" t="s">
        <v>37</v>
      </c>
    </row>
    <row r="3709" spans="1:7" x14ac:dyDescent="0.3">
      <c r="A3709" t="s">
        <v>56</v>
      </c>
      <c r="B3709" t="s">
        <v>23</v>
      </c>
      <c r="C3709" t="s">
        <v>9</v>
      </c>
      <c r="D3709">
        <v>727800</v>
      </c>
      <c r="E3709" t="s">
        <v>57</v>
      </c>
      <c r="F3709" t="s">
        <v>36</v>
      </c>
      <c r="G3709" t="s">
        <v>37</v>
      </c>
    </row>
    <row r="3710" spans="1:7" x14ac:dyDescent="0.3">
      <c r="A3710" t="s">
        <v>56</v>
      </c>
      <c r="B3710" t="s">
        <v>23</v>
      </c>
      <c r="C3710" t="s">
        <v>13</v>
      </c>
      <c r="D3710">
        <v>122139</v>
      </c>
      <c r="E3710" t="s">
        <v>57</v>
      </c>
      <c r="F3710" t="s">
        <v>36</v>
      </c>
      <c r="G3710" t="s">
        <v>37</v>
      </c>
    </row>
    <row r="3711" spans="1:7" x14ac:dyDescent="0.3">
      <c r="A3711" t="s">
        <v>56</v>
      </c>
      <c r="B3711" t="s">
        <v>23</v>
      </c>
      <c r="C3711" t="s">
        <v>14</v>
      </c>
      <c r="D3711">
        <v>9542</v>
      </c>
      <c r="E3711" t="s">
        <v>57</v>
      </c>
      <c r="F3711" t="s">
        <v>36</v>
      </c>
      <c r="G3711" t="s">
        <v>37</v>
      </c>
    </row>
    <row r="3712" spans="1:7" x14ac:dyDescent="0.3">
      <c r="A3712" t="s">
        <v>56</v>
      </c>
      <c r="B3712" t="s">
        <v>23</v>
      </c>
      <c r="C3712" t="s">
        <v>15</v>
      </c>
      <c r="D3712">
        <v>16232</v>
      </c>
      <c r="E3712" t="s">
        <v>57</v>
      </c>
      <c r="F3712" t="s">
        <v>36</v>
      </c>
      <c r="G3712" t="s">
        <v>37</v>
      </c>
    </row>
    <row r="3713" spans="1:7" x14ac:dyDescent="0.3">
      <c r="A3713" t="s">
        <v>56</v>
      </c>
      <c r="B3713" t="s">
        <v>23</v>
      </c>
      <c r="C3713" t="s">
        <v>16</v>
      </c>
      <c r="D3713">
        <v>1440611</v>
      </c>
      <c r="E3713" t="s">
        <v>57</v>
      </c>
      <c r="F3713" t="s">
        <v>36</v>
      </c>
      <c r="G3713" t="s">
        <v>37</v>
      </c>
    </row>
    <row r="3714" spans="1:7" x14ac:dyDescent="0.3">
      <c r="A3714" t="s">
        <v>56</v>
      </c>
      <c r="B3714" t="s">
        <v>23</v>
      </c>
      <c r="C3714" t="s">
        <v>17</v>
      </c>
      <c r="D3714">
        <v>1874</v>
      </c>
      <c r="E3714" t="s">
        <v>57</v>
      </c>
      <c r="F3714" t="s">
        <v>36</v>
      </c>
      <c r="G3714" t="s">
        <v>37</v>
      </c>
    </row>
    <row r="3715" spans="1:7" x14ac:dyDescent="0.3">
      <c r="A3715" t="s">
        <v>56</v>
      </c>
      <c r="B3715" t="s">
        <v>23</v>
      </c>
      <c r="C3715" t="s">
        <v>18</v>
      </c>
      <c r="D3715">
        <v>0</v>
      </c>
      <c r="E3715" t="s">
        <v>57</v>
      </c>
      <c r="F3715" t="s">
        <v>36</v>
      </c>
      <c r="G3715" t="s">
        <v>37</v>
      </c>
    </row>
    <row r="3716" spans="1:7" x14ac:dyDescent="0.3">
      <c r="A3716" t="s">
        <v>56</v>
      </c>
      <c r="B3716" t="s">
        <v>23</v>
      </c>
      <c r="C3716" t="s">
        <v>19</v>
      </c>
      <c r="D3716">
        <v>8576</v>
      </c>
      <c r="E3716" t="s">
        <v>57</v>
      </c>
      <c r="F3716" t="s">
        <v>36</v>
      </c>
      <c r="G3716" t="s">
        <v>37</v>
      </c>
    </row>
    <row r="3717" spans="1:7" x14ac:dyDescent="0.3">
      <c r="A3717" t="s">
        <v>56</v>
      </c>
      <c r="B3717" t="s">
        <v>23</v>
      </c>
      <c r="C3717" t="s">
        <v>20</v>
      </c>
      <c r="D3717">
        <v>31847</v>
      </c>
      <c r="E3717" t="s">
        <v>57</v>
      </c>
      <c r="F3717" t="s">
        <v>36</v>
      </c>
      <c r="G3717" t="s">
        <v>37</v>
      </c>
    </row>
    <row r="3718" spans="1:7" x14ac:dyDescent="0.3">
      <c r="A3718" t="s">
        <v>56</v>
      </c>
      <c r="B3718" t="s">
        <v>23</v>
      </c>
      <c r="C3718" t="s">
        <v>21</v>
      </c>
      <c r="D3718">
        <v>2833</v>
      </c>
      <c r="E3718" t="s">
        <v>57</v>
      </c>
      <c r="F3718" t="s">
        <v>36</v>
      </c>
      <c r="G3718" t="s">
        <v>37</v>
      </c>
    </row>
    <row r="3719" spans="1:7" x14ac:dyDescent="0.3">
      <c r="A3719" t="s">
        <v>56</v>
      </c>
      <c r="B3719" t="s">
        <v>23</v>
      </c>
      <c r="C3719" t="s">
        <v>22</v>
      </c>
      <c r="D3719">
        <v>11631</v>
      </c>
      <c r="E3719" t="s">
        <v>57</v>
      </c>
      <c r="F3719" t="s">
        <v>36</v>
      </c>
      <c r="G3719" t="s">
        <v>37</v>
      </c>
    </row>
    <row r="3720" spans="1:7" x14ac:dyDescent="0.3">
      <c r="A3720" t="s">
        <v>66</v>
      </c>
      <c r="B3720" t="s">
        <v>8</v>
      </c>
      <c r="C3720" t="s">
        <v>9</v>
      </c>
      <c r="D3720">
        <v>0</v>
      </c>
      <c r="E3720" t="s">
        <v>57</v>
      </c>
      <c r="F3720" t="s">
        <v>36</v>
      </c>
      <c r="G3720" t="s">
        <v>37</v>
      </c>
    </row>
    <row r="3721" spans="1:7" x14ac:dyDescent="0.3">
      <c r="A3721" t="s">
        <v>66</v>
      </c>
      <c r="B3721" t="s">
        <v>8</v>
      </c>
      <c r="C3721" t="s">
        <v>13</v>
      </c>
      <c r="D3721">
        <v>0</v>
      </c>
      <c r="E3721" t="s">
        <v>57</v>
      </c>
      <c r="F3721" t="s">
        <v>36</v>
      </c>
      <c r="G3721" t="s">
        <v>37</v>
      </c>
    </row>
    <row r="3722" spans="1:7" x14ac:dyDescent="0.3">
      <c r="A3722" t="s">
        <v>66</v>
      </c>
      <c r="B3722" t="s">
        <v>8</v>
      </c>
      <c r="C3722" t="s">
        <v>14</v>
      </c>
      <c r="D3722">
        <v>0</v>
      </c>
      <c r="E3722" t="s">
        <v>57</v>
      </c>
      <c r="F3722" t="s">
        <v>36</v>
      </c>
      <c r="G3722" t="s">
        <v>37</v>
      </c>
    </row>
    <row r="3723" spans="1:7" x14ac:dyDescent="0.3">
      <c r="A3723" t="s">
        <v>66</v>
      </c>
      <c r="B3723" t="s">
        <v>8</v>
      </c>
      <c r="C3723" t="s">
        <v>15</v>
      </c>
      <c r="D3723">
        <v>0</v>
      </c>
      <c r="E3723" t="s">
        <v>57</v>
      </c>
      <c r="F3723" t="s">
        <v>36</v>
      </c>
      <c r="G3723" t="s">
        <v>37</v>
      </c>
    </row>
    <row r="3724" spans="1:7" x14ac:dyDescent="0.3">
      <c r="A3724" t="s">
        <v>66</v>
      </c>
      <c r="B3724" t="s">
        <v>8</v>
      </c>
      <c r="C3724" t="s">
        <v>16</v>
      </c>
      <c r="D3724">
        <v>0</v>
      </c>
      <c r="E3724" t="s">
        <v>57</v>
      </c>
      <c r="F3724" t="s">
        <v>36</v>
      </c>
      <c r="G3724" t="s">
        <v>37</v>
      </c>
    </row>
    <row r="3725" spans="1:7" x14ac:dyDescent="0.3">
      <c r="A3725" t="s">
        <v>66</v>
      </c>
      <c r="B3725" t="s">
        <v>8</v>
      </c>
      <c r="C3725" t="s">
        <v>17</v>
      </c>
      <c r="D3725">
        <v>0</v>
      </c>
      <c r="E3725" t="s">
        <v>57</v>
      </c>
      <c r="F3725" t="s">
        <v>36</v>
      </c>
      <c r="G3725" t="s">
        <v>37</v>
      </c>
    </row>
    <row r="3726" spans="1:7" x14ac:dyDescent="0.3">
      <c r="A3726" t="s">
        <v>66</v>
      </c>
      <c r="B3726" t="s">
        <v>8</v>
      </c>
      <c r="C3726" t="s">
        <v>18</v>
      </c>
      <c r="D3726">
        <v>0</v>
      </c>
      <c r="E3726" t="s">
        <v>57</v>
      </c>
      <c r="F3726" t="s">
        <v>36</v>
      </c>
      <c r="G3726" t="s">
        <v>37</v>
      </c>
    </row>
    <row r="3727" spans="1:7" x14ac:dyDescent="0.3">
      <c r="A3727" t="s">
        <v>66</v>
      </c>
      <c r="B3727" t="s">
        <v>8</v>
      </c>
      <c r="C3727" t="s">
        <v>19</v>
      </c>
      <c r="D3727">
        <v>0</v>
      </c>
      <c r="E3727" t="s">
        <v>57</v>
      </c>
      <c r="F3727" t="s">
        <v>36</v>
      </c>
      <c r="G3727" t="s">
        <v>37</v>
      </c>
    </row>
    <row r="3728" spans="1:7" x14ac:dyDescent="0.3">
      <c r="A3728" t="s">
        <v>66</v>
      </c>
      <c r="B3728" t="s">
        <v>8</v>
      </c>
      <c r="C3728" t="s">
        <v>20</v>
      </c>
      <c r="D3728">
        <v>0</v>
      </c>
      <c r="E3728" t="s">
        <v>57</v>
      </c>
      <c r="F3728" t="s">
        <v>36</v>
      </c>
      <c r="G3728" t="s">
        <v>37</v>
      </c>
    </row>
    <row r="3729" spans="1:7" x14ac:dyDescent="0.3">
      <c r="A3729" t="s">
        <v>66</v>
      </c>
      <c r="B3729" t="s">
        <v>8</v>
      </c>
      <c r="C3729" t="s">
        <v>21</v>
      </c>
      <c r="D3729">
        <v>0</v>
      </c>
      <c r="E3729" t="s">
        <v>57</v>
      </c>
      <c r="F3729" t="s">
        <v>36</v>
      </c>
      <c r="G3729" t="s">
        <v>37</v>
      </c>
    </row>
    <row r="3730" spans="1:7" x14ac:dyDescent="0.3">
      <c r="A3730" t="s">
        <v>66</v>
      </c>
      <c r="B3730" t="s">
        <v>8</v>
      </c>
      <c r="C3730" t="s">
        <v>22</v>
      </c>
      <c r="D3730">
        <v>0</v>
      </c>
      <c r="E3730" t="s">
        <v>57</v>
      </c>
      <c r="F3730" t="s">
        <v>36</v>
      </c>
      <c r="G3730" t="s">
        <v>37</v>
      </c>
    </row>
    <row r="3731" spans="1:7" x14ac:dyDescent="0.3">
      <c r="A3731" t="s">
        <v>66</v>
      </c>
      <c r="B3731" t="s">
        <v>23</v>
      </c>
      <c r="C3731" t="s">
        <v>9</v>
      </c>
      <c r="D3731">
        <v>465325</v>
      </c>
      <c r="E3731" t="s">
        <v>57</v>
      </c>
      <c r="F3731" t="s">
        <v>36</v>
      </c>
      <c r="G3731" t="s">
        <v>37</v>
      </c>
    </row>
    <row r="3732" spans="1:7" x14ac:dyDescent="0.3">
      <c r="A3732" t="s">
        <v>66</v>
      </c>
      <c r="B3732" t="s">
        <v>23</v>
      </c>
      <c r="C3732" t="s">
        <v>13</v>
      </c>
      <c r="D3732">
        <v>4044</v>
      </c>
      <c r="E3732" t="s">
        <v>57</v>
      </c>
      <c r="F3732" t="s">
        <v>36</v>
      </c>
      <c r="G3732" t="s">
        <v>37</v>
      </c>
    </row>
    <row r="3733" spans="1:7" x14ac:dyDescent="0.3">
      <c r="A3733" t="s">
        <v>66</v>
      </c>
      <c r="B3733" t="s">
        <v>23</v>
      </c>
      <c r="C3733" t="s">
        <v>14</v>
      </c>
      <c r="D3733">
        <v>3610</v>
      </c>
      <c r="E3733" t="s">
        <v>57</v>
      </c>
      <c r="F3733" t="s">
        <v>36</v>
      </c>
      <c r="G3733" t="s">
        <v>37</v>
      </c>
    </row>
    <row r="3734" spans="1:7" x14ac:dyDescent="0.3">
      <c r="A3734" t="s">
        <v>66</v>
      </c>
      <c r="B3734" t="s">
        <v>23</v>
      </c>
      <c r="C3734" t="s">
        <v>15</v>
      </c>
      <c r="D3734">
        <v>6301</v>
      </c>
      <c r="E3734" t="s">
        <v>57</v>
      </c>
      <c r="F3734" t="s">
        <v>36</v>
      </c>
      <c r="G3734" t="s">
        <v>37</v>
      </c>
    </row>
    <row r="3735" spans="1:7" x14ac:dyDescent="0.3">
      <c r="A3735" t="s">
        <v>66</v>
      </c>
      <c r="B3735" t="s">
        <v>23</v>
      </c>
      <c r="C3735" t="s">
        <v>16</v>
      </c>
      <c r="D3735">
        <v>52547</v>
      </c>
      <c r="E3735" t="s">
        <v>57</v>
      </c>
      <c r="F3735" t="s">
        <v>36</v>
      </c>
      <c r="G3735" t="s">
        <v>37</v>
      </c>
    </row>
    <row r="3736" spans="1:7" x14ac:dyDescent="0.3">
      <c r="A3736" t="s">
        <v>66</v>
      </c>
      <c r="B3736" t="s">
        <v>23</v>
      </c>
      <c r="C3736" t="s">
        <v>17</v>
      </c>
      <c r="D3736">
        <v>1056</v>
      </c>
      <c r="E3736" t="s">
        <v>57</v>
      </c>
      <c r="F3736" t="s">
        <v>36</v>
      </c>
      <c r="G3736" t="s">
        <v>37</v>
      </c>
    </row>
    <row r="3737" spans="1:7" x14ac:dyDescent="0.3">
      <c r="A3737" t="s">
        <v>66</v>
      </c>
      <c r="B3737" t="s">
        <v>23</v>
      </c>
      <c r="C3737" t="s">
        <v>18</v>
      </c>
      <c r="D3737">
        <v>0</v>
      </c>
      <c r="E3737" t="s">
        <v>57</v>
      </c>
      <c r="F3737" t="s">
        <v>36</v>
      </c>
      <c r="G3737" t="s">
        <v>37</v>
      </c>
    </row>
    <row r="3738" spans="1:7" x14ac:dyDescent="0.3">
      <c r="A3738" t="s">
        <v>66</v>
      </c>
      <c r="B3738" t="s">
        <v>23</v>
      </c>
      <c r="C3738" t="s">
        <v>19</v>
      </c>
      <c r="D3738">
        <v>3938</v>
      </c>
      <c r="E3738" t="s">
        <v>57</v>
      </c>
      <c r="F3738" t="s">
        <v>36</v>
      </c>
      <c r="G3738" t="s">
        <v>37</v>
      </c>
    </row>
    <row r="3739" spans="1:7" x14ac:dyDescent="0.3">
      <c r="A3739" t="s">
        <v>66</v>
      </c>
      <c r="B3739" t="s">
        <v>23</v>
      </c>
      <c r="C3739" t="s">
        <v>20</v>
      </c>
      <c r="D3739">
        <v>15835</v>
      </c>
      <c r="E3739" t="s">
        <v>57</v>
      </c>
      <c r="F3739" t="s">
        <v>36</v>
      </c>
      <c r="G3739" t="s">
        <v>37</v>
      </c>
    </row>
    <row r="3740" spans="1:7" x14ac:dyDescent="0.3">
      <c r="A3740" t="s">
        <v>66</v>
      </c>
      <c r="B3740" t="s">
        <v>23</v>
      </c>
      <c r="C3740" t="s">
        <v>21</v>
      </c>
      <c r="D3740">
        <v>818</v>
      </c>
      <c r="E3740" t="s">
        <v>57</v>
      </c>
      <c r="F3740" t="s">
        <v>36</v>
      </c>
      <c r="G3740" t="s">
        <v>37</v>
      </c>
    </row>
    <row r="3741" spans="1:7" x14ac:dyDescent="0.3">
      <c r="A3741" t="s">
        <v>66</v>
      </c>
      <c r="B3741" t="s">
        <v>23</v>
      </c>
      <c r="C3741" t="s">
        <v>22</v>
      </c>
      <c r="D3741">
        <v>648</v>
      </c>
      <c r="E3741" t="s">
        <v>57</v>
      </c>
      <c r="F3741" t="s">
        <v>36</v>
      </c>
      <c r="G3741" t="s">
        <v>37</v>
      </c>
    </row>
    <row r="3742" spans="1:7" x14ac:dyDescent="0.3">
      <c r="A3742" t="s">
        <v>43</v>
      </c>
      <c r="B3742" t="s">
        <v>8</v>
      </c>
      <c r="C3742" t="s">
        <v>9</v>
      </c>
      <c r="D3742">
        <v>10</v>
      </c>
      <c r="E3742" t="s">
        <v>57</v>
      </c>
      <c r="F3742" t="s">
        <v>38</v>
      </c>
      <c r="G3742" t="s">
        <v>37</v>
      </c>
    </row>
    <row r="3743" spans="1:7" x14ac:dyDescent="0.3">
      <c r="A3743" t="s">
        <v>43</v>
      </c>
      <c r="B3743" t="s">
        <v>8</v>
      </c>
      <c r="C3743" t="s">
        <v>13</v>
      </c>
      <c r="D3743">
        <v>35</v>
      </c>
      <c r="E3743" t="s">
        <v>57</v>
      </c>
      <c r="F3743" t="s">
        <v>38</v>
      </c>
      <c r="G3743" t="s">
        <v>37</v>
      </c>
    </row>
    <row r="3744" spans="1:7" x14ac:dyDescent="0.3">
      <c r="A3744" t="s">
        <v>43</v>
      </c>
      <c r="B3744" t="s">
        <v>8</v>
      </c>
      <c r="C3744" t="s">
        <v>14</v>
      </c>
      <c r="D3744">
        <v>65037</v>
      </c>
      <c r="E3744" t="s">
        <v>57</v>
      </c>
      <c r="F3744" t="s">
        <v>38</v>
      </c>
      <c r="G3744" t="s">
        <v>37</v>
      </c>
    </row>
    <row r="3745" spans="1:7" x14ac:dyDescent="0.3">
      <c r="A3745" t="s">
        <v>43</v>
      </c>
      <c r="B3745" t="s">
        <v>8</v>
      </c>
      <c r="C3745" t="s">
        <v>15</v>
      </c>
      <c r="D3745">
        <v>19</v>
      </c>
      <c r="E3745" t="s">
        <v>57</v>
      </c>
      <c r="F3745" t="s">
        <v>38</v>
      </c>
      <c r="G3745" t="s">
        <v>37</v>
      </c>
    </row>
    <row r="3746" spans="1:7" x14ac:dyDescent="0.3">
      <c r="A3746" t="s">
        <v>43</v>
      </c>
      <c r="B3746" t="s">
        <v>8</v>
      </c>
      <c r="C3746" t="s">
        <v>16</v>
      </c>
      <c r="D3746">
        <v>548</v>
      </c>
      <c r="E3746" t="s">
        <v>57</v>
      </c>
      <c r="F3746" t="s">
        <v>38</v>
      </c>
      <c r="G3746" t="s">
        <v>37</v>
      </c>
    </row>
    <row r="3747" spans="1:7" x14ac:dyDescent="0.3">
      <c r="A3747" t="s">
        <v>43</v>
      </c>
      <c r="B3747" t="s">
        <v>8</v>
      </c>
      <c r="C3747" t="s">
        <v>17</v>
      </c>
      <c r="D3747">
        <v>113</v>
      </c>
      <c r="E3747" t="s">
        <v>57</v>
      </c>
      <c r="F3747" t="s">
        <v>38</v>
      </c>
      <c r="G3747" t="s">
        <v>37</v>
      </c>
    </row>
    <row r="3748" spans="1:7" x14ac:dyDescent="0.3">
      <c r="A3748" t="s">
        <v>43</v>
      </c>
      <c r="B3748" t="s">
        <v>8</v>
      </c>
      <c r="C3748" t="s">
        <v>18</v>
      </c>
      <c r="D3748">
        <v>0</v>
      </c>
      <c r="E3748" t="s">
        <v>57</v>
      </c>
      <c r="F3748" t="s">
        <v>38</v>
      </c>
      <c r="G3748" t="s">
        <v>37</v>
      </c>
    </row>
    <row r="3749" spans="1:7" x14ac:dyDescent="0.3">
      <c r="A3749" t="s">
        <v>43</v>
      </c>
      <c r="B3749" t="s">
        <v>8</v>
      </c>
      <c r="C3749" t="s">
        <v>19</v>
      </c>
      <c r="D3749">
        <v>4</v>
      </c>
      <c r="E3749" t="s">
        <v>57</v>
      </c>
      <c r="F3749" t="s">
        <v>38</v>
      </c>
      <c r="G3749" t="s">
        <v>37</v>
      </c>
    </row>
    <row r="3750" spans="1:7" x14ac:dyDescent="0.3">
      <c r="A3750" t="s">
        <v>43</v>
      </c>
      <c r="B3750" t="s">
        <v>8</v>
      </c>
      <c r="C3750" t="s">
        <v>20</v>
      </c>
      <c r="D3750">
        <v>6</v>
      </c>
      <c r="E3750" t="s">
        <v>57</v>
      </c>
      <c r="F3750" t="s">
        <v>38</v>
      </c>
      <c r="G3750" t="s">
        <v>37</v>
      </c>
    </row>
    <row r="3751" spans="1:7" x14ac:dyDescent="0.3">
      <c r="A3751" t="s">
        <v>43</v>
      </c>
      <c r="B3751" t="s">
        <v>8</v>
      </c>
      <c r="C3751" t="s">
        <v>21</v>
      </c>
      <c r="D3751">
        <v>13</v>
      </c>
      <c r="E3751" t="s">
        <v>57</v>
      </c>
      <c r="F3751" t="s">
        <v>38</v>
      </c>
      <c r="G3751" t="s">
        <v>37</v>
      </c>
    </row>
    <row r="3752" spans="1:7" x14ac:dyDescent="0.3">
      <c r="A3752" t="s">
        <v>43</v>
      </c>
      <c r="B3752" t="s">
        <v>8</v>
      </c>
      <c r="C3752" t="s">
        <v>22</v>
      </c>
      <c r="D3752">
        <v>178</v>
      </c>
      <c r="E3752" t="s">
        <v>57</v>
      </c>
      <c r="F3752" t="s">
        <v>38</v>
      </c>
      <c r="G3752" t="s">
        <v>37</v>
      </c>
    </row>
    <row r="3753" spans="1:7" x14ac:dyDescent="0.3">
      <c r="A3753" t="s">
        <v>43</v>
      </c>
      <c r="B3753" t="s">
        <v>23</v>
      </c>
      <c r="C3753" t="s">
        <v>9</v>
      </c>
      <c r="D3753">
        <v>4219</v>
      </c>
      <c r="E3753" t="s">
        <v>57</v>
      </c>
      <c r="F3753" t="s">
        <v>38</v>
      </c>
      <c r="G3753" t="s">
        <v>37</v>
      </c>
    </row>
    <row r="3754" spans="1:7" x14ac:dyDescent="0.3">
      <c r="A3754" t="s">
        <v>43</v>
      </c>
      <c r="B3754" t="s">
        <v>23</v>
      </c>
      <c r="C3754" t="s">
        <v>13</v>
      </c>
      <c r="D3754">
        <v>3415</v>
      </c>
      <c r="E3754" t="s">
        <v>57</v>
      </c>
      <c r="F3754" t="s">
        <v>38</v>
      </c>
      <c r="G3754" t="s">
        <v>37</v>
      </c>
    </row>
    <row r="3755" spans="1:7" x14ac:dyDescent="0.3">
      <c r="A3755" t="s">
        <v>43</v>
      </c>
      <c r="B3755" t="s">
        <v>23</v>
      </c>
      <c r="C3755" t="s">
        <v>14</v>
      </c>
      <c r="D3755">
        <v>5104797</v>
      </c>
      <c r="E3755" t="s">
        <v>57</v>
      </c>
      <c r="F3755" t="s">
        <v>38</v>
      </c>
      <c r="G3755" t="s">
        <v>37</v>
      </c>
    </row>
    <row r="3756" spans="1:7" x14ac:dyDescent="0.3">
      <c r="A3756" t="s">
        <v>43</v>
      </c>
      <c r="B3756" t="s">
        <v>23</v>
      </c>
      <c r="C3756" t="s">
        <v>15</v>
      </c>
      <c r="D3756">
        <v>12428</v>
      </c>
      <c r="E3756" t="s">
        <v>57</v>
      </c>
      <c r="F3756" t="s">
        <v>38</v>
      </c>
      <c r="G3756" t="s">
        <v>37</v>
      </c>
    </row>
    <row r="3757" spans="1:7" x14ac:dyDescent="0.3">
      <c r="A3757" t="s">
        <v>43</v>
      </c>
      <c r="B3757" t="s">
        <v>23</v>
      </c>
      <c r="C3757" t="s">
        <v>16</v>
      </c>
      <c r="D3757">
        <v>490244</v>
      </c>
      <c r="E3757" t="s">
        <v>57</v>
      </c>
      <c r="F3757" t="s">
        <v>38</v>
      </c>
      <c r="G3757" t="s">
        <v>37</v>
      </c>
    </row>
    <row r="3758" spans="1:7" x14ac:dyDescent="0.3">
      <c r="A3758" t="s">
        <v>43</v>
      </c>
      <c r="B3758" t="s">
        <v>23</v>
      </c>
      <c r="C3758" t="s">
        <v>17</v>
      </c>
      <c r="D3758">
        <v>370</v>
      </c>
      <c r="E3758" t="s">
        <v>57</v>
      </c>
      <c r="F3758" t="s">
        <v>38</v>
      </c>
      <c r="G3758" t="s">
        <v>37</v>
      </c>
    </row>
    <row r="3759" spans="1:7" x14ac:dyDescent="0.3">
      <c r="A3759" t="s">
        <v>43</v>
      </c>
      <c r="B3759" t="s">
        <v>23</v>
      </c>
      <c r="C3759" t="s">
        <v>18</v>
      </c>
      <c r="D3759">
        <v>0</v>
      </c>
      <c r="E3759" t="s">
        <v>57</v>
      </c>
      <c r="F3759" t="s">
        <v>38</v>
      </c>
      <c r="G3759" t="s">
        <v>37</v>
      </c>
    </row>
    <row r="3760" spans="1:7" x14ac:dyDescent="0.3">
      <c r="A3760" t="s">
        <v>43</v>
      </c>
      <c r="B3760" t="s">
        <v>23</v>
      </c>
      <c r="C3760" t="s">
        <v>19</v>
      </c>
      <c r="D3760">
        <v>19512</v>
      </c>
      <c r="E3760" t="s">
        <v>57</v>
      </c>
      <c r="F3760" t="s">
        <v>38</v>
      </c>
      <c r="G3760" t="s">
        <v>37</v>
      </c>
    </row>
    <row r="3761" spans="1:7" x14ac:dyDescent="0.3">
      <c r="A3761" t="s">
        <v>43</v>
      </c>
      <c r="B3761" t="s">
        <v>23</v>
      </c>
      <c r="C3761" t="s">
        <v>20</v>
      </c>
      <c r="D3761">
        <v>11532</v>
      </c>
      <c r="E3761" t="s">
        <v>57</v>
      </c>
      <c r="F3761" t="s">
        <v>38</v>
      </c>
      <c r="G3761" t="s">
        <v>37</v>
      </c>
    </row>
    <row r="3762" spans="1:7" x14ac:dyDescent="0.3">
      <c r="A3762" t="s">
        <v>43</v>
      </c>
      <c r="B3762" t="s">
        <v>23</v>
      </c>
      <c r="C3762" t="s">
        <v>21</v>
      </c>
      <c r="D3762">
        <v>8354</v>
      </c>
      <c r="E3762" t="s">
        <v>57</v>
      </c>
      <c r="F3762" t="s">
        <v>38</v>
      </c>
      <c r="G3762" t="s">
        <v>37</v>
      </c>
    </row>
    <row r="3763" spans="1:7" x14ac:dyDescent="0.3">
      <c r="A3763" t="s">
        <v>43</v>
      </c>
      <c r="B3763" t="s">
        <v>23</v>
      </c>
      <c r="C3763" t="s">
        <v>22</v>
      </c>
      <c r="D3763">
        <v>3386</v>
      </c>
      <c r="E3763" t="s">
        <v>57</v>
      </c>
      <c r="F3763" t="s">
        <v>38</v>
      </c>
      <c r="G3763" t="s">
        <v>37</v>
      </c>
    </row>
    <row r="3764" spans="1:7" x14ac:dyDescent="0.3">
      <c r="A3764" t="s">
        <v>7</v>
      </c>
      <c r="B3764" t="s">
        <v>8</v>
      </c>
      <c r="C3764" t="s">
        <v>9</v>
      </c>
      <c r="D3764">
        <v>385</v>
      </c>
      <c r="E3764" t="s">
        <v>57</v>
      </c>
      <c r="F3764" t="s">
        <v>38</v>
      </c>
      <c r="G3764" t="s">
        <v>37</v>
      </c>
    </row>
    <row r="3765" spans="1:7" x14ac:dyDescent="0.3">
      <c r="A3765" t="s">
        <v>7</v>
      </c>
      <c r="B3765" t="s">
        <v>8</v>
      </c>
      <c r="C3765" t="s">
        <v>13</v>
      </c>
      <c r="D3765">
        <v>1002</v>
      </c>
      <c r="E3765" t="s">
        <v>57</v>
      </c>
      <c r="F3765" t="s">
        <v>38</v>
      </c>
      <c r="G3765" t="s">
        <v>37</v>
      </c>
    </row>
    <row r="3766" spans="1:7" x14ac:dyDescent="0.3">
      <c r="A3766" t="s">
        <v>7</v>
      </c>
      <c r="B3766" t="s">
        <v>8</v>
      </c>
      <c r="C3766" t="s">
        <v>14</v>
      </c>
      <c r="D3766">
        <v>991</v>
      </c>
      <c r="E3766" t="s">
        <v>57</v>
      </c>
      <c r="F3766" t="s">
        <v>38</v>
      </c>
      <c r="G3766" t="s">
        <v>37</v>
      </c>
    </row>
    <row r="3767" spans="1:7" x14ac:dyDescent="0.3">
      <c r="A3767" t="s">
        <v>7</v>
      </c>
      <c r="B3767" t="s">
        <v>8</v>
      </c>
      <c r="C3767" t="s">
        <v>15</v>
      </c>
      <c r="D3767">
        <v>73</v>
      </c>
      <c r="E3767" t="s">
        <v>57</v>
      </c>
      <c r="F3767" t="s">
        <v>38</v>
      </c>
      <c r="G3767" t="s">
        <v>37</v>
      </c>
    </row>
    <row r="3768" spans="1:7" x14ac:dyDescent="0.3">
      <c r="A3768" t="s">
        <v>7</v>
      </c>
      <c r="B3768" t="s">
        <v>8</v>
      </c>
      <c r="C3768" t="s">
        <v>16</v>
      </c>
      <c r="D3768">
        <v>1337</v>
      </c>
      <c r="E3768" t="s">
        <v>57</v>
      </c>
      <c r="F3768" t="s">
        <v>38</v>
      </c>
      <c r="G3768" t="s">
        <v>37</v>
      </c>
    </row>
    <row r="3769" spans="1:7" x14ac:dyDescent="0.3">
      <c r="A3769" t="s">
        <v>7</v>
      </c>
      <c r="B3769" t="s">
        <v>8</v>
      </c>
      <c r="C3769" t="s">
        <v>17</v>
      </c>
      <c r="D3769">
        <v>227</v>
      </c>
      <c r="E3769" t="s">
        <v>57</v>
      </c>
      <c r="F3769" t="s">
        <v>38</v>
      </c>
      <c r="G3769" t="s">
        <v>37</v>
      </c>
    </row>
    <row r="3770" spans="1:7" x14ac:dyDescent="0.3">
      <c r="A3770" t="s">
        <v>7</v>
      </c>
      <c r="B3770" t="s">
        <v>8</v>
      </c>
      <c r="C3770" t="s">
        <v>18</v>
      </c>
      <c r="D3770">
        <v>0</v>
      </c>
      <c r="E3770" t="s">
        <v>57</v>
      </c>
      <c r="F3770" t="s">
        <v>38</v>
      </c>
      <c r="G3770" t="s">
        <v>37</v>
      </c>
    </row>
    <row r="3771" spans="1:7" x14ac:dyDescent="0.3">
      <c r="A3771" t="s">
        <v>7</v>
      </c>
      <c r="B3771" t="s">
        <v>8</v>
      </c>
      <c r="C3771" t="s">
        <v>19</v>
      </c>
      <c r="D3771">
        <v>14</v>
      </c>
      <c r="E3771" t="s">
        <v>57</v>
      </c>
      <c r="F3771" t="s">
        <v>38</v>
      </c>
      <c r="G3771" t="s">
        <v>37</v>
      </c>
    </row>
    <row r="3772" spans="1:7" x14ac:dyDescent="0.3">
      <c r="A3772" t="s">
        <v>7</v>
      </c>
      <c r="B3772" t="s">
        <v>8</v>
      </c>
      <c r="C3772" t="s">
        <v>20</v>
      </c>
      <c r="D3772">
        <v>213</v>
      </c>
      <c r="E3772" t="s">
        <v>57</v>
      </c>
      <c r="F3772" t="s">
        <v>38</v>
      </c>
      <c r="G3772" t="s">
        <v>37</v>
      </c>
    </row>
    <row r="3773" spans="1:7" x14ac:dyDescent="0.3">
      <c r="A3773" t="s">
        <v>7</v>
      </c>
      <c r="B3773" t="s">
        <v>8</v>
      </c>
      <c r="C3773" t="s">
        <v>21</v>
      </c>
      <c r="D3773">
        <v>1215</v>
      </c>
      <c r="E3773" t="s">
        <v>57</v>
      </c>
      <c r="F3773" t="s">
        <v>38</v>
      </c>
      <c r="G3773" t="s">
        <v>37</v>
      </c>
    </row>
    <row r="3774" spans="1:7" x14ac:dyDescent="0.3">
      <c r="A3774" t="s">
        <v>7</v>
      </c>
      <c r="B3774" t="s">
        <v>8</v>
      </c>
      <c r="C3774" t="s">
        <v>22</v>
      </c>
      <c r="D3774">
        <v>62192</v>
      </c>
      <c r="E3774" t="s">
        <v>57</v>
      </c>
      <c r="F3774" t="s">
        <v>38</v>
      </c>
      <c r="G3774" t="s">
        <v>37</v>
      </c>
    </row>
    <row r="3775" spans="1:7" x14ac:dyDescent="0.3">
      <c r="A3775" t="s">
        <v>7</v>
      </c>
      <c r="B3775" t="s">
        <v>23</v>
      </c>
      <c r="C3775" t="s">
        <v>9</v>
      </c>
      <c r="D3775">
        <v>112461</v>
      </c>
      <c r="E3775" t="s">
        <v>57</v>
      </c>
      <c r="F3775" t="s">
        <v>38</v>
      </c>
      <c r="G3775" t="s">
        <v>37</v>
      </c>
    </row>
    <row r="3776" spans="1:7" x14ac:dyDescent="0.3">
      <c r="A3776" t="s">
        <v>7</v>
      </c>
      <c r="B3776" t="s">
        <v>23</v>
      </c>
      <c r="C3776" t="s">
        <v>13</v>
      </c>
      <c r="D3776">
        <v>857783</v>
      </c>
      <c r="E3776" t="s">
        <v>57</v>
      </c>
      <c r="F3776" t="s">
        <v>38</v>
      </c>
      <c r="G3776" t="s">
        <v>37</v>
      </c>
    </row>
    <row r="3777" spans="1:7" x14ac:dyDescent="0.3">
      <c r="A3777" t="s">
        <v>7</v>
      </c>
      <c r="B3777" t="s">
        <v>23</v>
      </c>
      <c r="C3777" t="s">
        <v>14</v>
      </c>
      <c r="D3777">
        <v>898354</v>
      </c>
      <c r="E3777" t="s">
        <v>57</v>
      </c>
      <c r="F3777" t="s">
        <v>38</v>
      </c>
      <c r="G3777" t="s">
        <v>37</v>
      </c>
    </row>
    <row r="3778" spans="1:7" x14ac:dyDescent="0.3">
      <c r="A3778" t="s">
        <v>7</v>
      </c>
      <c r="B3778" t="s">
        <v>23</v>
      </c>
      <c r="C3778" t="s">
        <v>15</v>
      </c>
      <c r="D3778">
        <v>28252</v>
      </c>
      <c r="E3778" t="s">
        <v>57</v>
      </c>
      <c r="F3778" t="s">
        <v>38</v>
      </c>
      <c r="G3778" t="s">
        <v>37</v>
      </c>
    </row>
    <row r="3779" spans="1:7" x14ac:dyDescent="0.3">
      <c r="A3779" t="s">
        <v>7</v>
      </c>
      <c r="B3779" t="s">
        <v>23</v>
      </c>
      <c r="C3779" t="s">
        <v>16</v>
      </c>
      <c r="D3779">
        <v>296051</v>
      </c>
      <c r="E3779" t="s">
        <v>57</v>
      </c>
      <c r="F3779" t="s">
        <v>38</v>
      </c>
      <c r="G3779" t="s">
        <v>37</v>
      </c>
    </row>
    <row r="3780" spans="1:7" x14ac:dyDescent="0.3">
      <c r="A3780" t="s">
        <v>7</v>
      </c>
      <c r="B3780" t="s">
        <v>23</v>
      </c>
      <c r="C3780" t="s">
        <v>17</v>
      </c>
      <c r="D3780">
        <v>30423</v>
      </c>
      <c r="E3780" t="s">
        <v>57</v>
      </c>
      <c r="F3780" t="s">
        <v>38</v>
      </c>
      <c r="G3780" t="s">
        <v>37</v>
      </c>
    </row>
    <row r="3781" spans="1:7" x14ac:dyDescent="0.3">
      <c r="A3781" t="s">
        <v>7</v>
      </c>
      <c r="B3781" t="s">
        <v>23</v>
      </c>
      <c r="C3781" t="s">
        <v>18</v>
      </c>
      <c r="D3781">
        <v>1</v>
      </c>
      <c r="E3781" t="s">
        <v>57</v>
      </c>
      <c r="F3781" t="s">
        <v>38</v>
      </c>
      <c r="G3781" t="s">
        <v>37</v>
      </c>
    </row>
    <row r="3782" spans="1:7" x14ac:dyDescent="0.3">
      <c r="A3782" t="s">
        <v>7</v>
      </c>
      <c r="B3782" t="s">
        <v>23</v>
      </c>
      <c r="C3782" t="s">
        <v>19</v>
      </c>
      <c r="D3782">
        <v>119741</v>
      </c>
      <c r="E3782" t="s">
        <v>57</v>
      </c>
      <c r="F3782" t="s">
        <v>38</v>
      </c>
      <c r="G3782" t="s">
        <v>37</v>
      </c>
    </row>
    <row r="3783" spans="1:7" x14ac:dyDescent="0.3">
      <c r="A3783" t="s">
        <v>7</v>
      </c>
      <c r="B3783" t="s">
        <v>23</v>
      </c>
      <c r="C3783" t="s">
        <v>20</v>
      </c>
      <c r="D3783">
        <v>33305</v>
      </c>
      <c r="E3783" t="s">
        <v>57</v>
      </c>
      <c r="F3783" t="s">
        <v>38</v>
      </c>
      <c r="G3783" t="s">
        <v>37</v>
      </c>
    </row>
    <row r="3784" spans="1:7" x14ac:dyDescent="0.3">
      <c r="A3784" t="s">
        <v>7</v>
      </c>
      <c r="B3784" t="s">
        <v>23</v>
      </c>
      <c r="C3784" t="s">
        <v>21</v>
      </c>
      <c r="D3784">
        <v>19588</v>
      </c>
      <c r="E3784" t="s">
        <v>57</v>
      </c>
      <c r="F3784" t="s">
        <v>38</v>
      </c>
      <c r="G3784" t="s">
        <v>37</v>
      </c>
    </row>
    <row r="3785" spans="1:7" x14ac:dyDescent="0.3">
      <c r="A3785" t="s">
        <v>7</v>
      </c>
      <c r="B3785" t="s">
        <v>23</v>
      </c>
      <c r="C3785" t="s">
        <v>22</v>
      </c>
      <c r="D3785">
        <v>2632031</v>
      </c>
      <c r="E3785" t="s">
        <v>57</v>
      </c>
      <c r="F3785" t="s">
        <v>38</v>
      </c>
      <c r="G3785" t="s">
        <v>37</v>
      </c>
    </row>
    <row r="3786" spans="1:7" x14ac:dyDescent="0.3">
      <c r="A3786" t="s">
        <v>44</v>
      </c>
      <c r="B3786" t="s">
        <v>8</v>
      </c>
      <c r="C3786" t="s">
        <v>9</v>
      </c>
      <c r="D3786">
        <v>13</v>
      </c>
      <c r="E3786" t="s">
        <v>57</v>
      </c>
      <c r="F3786" t="s">
        <v>38</v>
      </c>
      <c r="G3786" t="s">
        <v>37</v>
      </c>
    </row>
    <row r="3787" spans="1:7" x14ac:dyDescent="0.3">
      <c r="A3787" t="s">
        <v>44</v>
      </c>
      <c r="B3787" t="s">
        <v>8</v>
      </c>
      <c r="C3787" t="s">
        <v>13</v>
      </c>
      <c r="D3787">
        <v>47</v>
      </c>
      <c r="E3787" t="s">
        <v>57</v>
      </c>
      <c r="F3787" t="s">
        <v>38</v>
      </c>
      <c r="G3787" t="s">
        <v>37</v>
      </c>
    </row>
    <row r="3788" spans="1:7" x14ac:dyDescent="0.3">
      <c r="A3788" t="s">
        <v>44</v>
      </c>
      <c r="B3788" t="s">
        <v>8</v>
      </c>
      <c r="C3788" t="s">
        <v>14</v>
      </c>
      <c r="D3788">
        <v>85881</v>
      </c>
      <c r="E3788" t="s">
        <v>57</v>
      </c>
      <c r="F3788" t="s">
        <v>38</v>
      </c>
      <c r="G3788" t="s">
        <v>37</v>
      </c>
    </row>
    <row r="3789" spans="1:7" x14ac:dyDescent="0.3">
      <c r="A3789" t="s">
        <v>44</v>
      </c>
      <c r="B3789" t="s">
        <v>8</v>
      </c>
      <c r="C3789" t="s">
        <v>15</v>
      </c>
      <c r="D3789">
        <v>25</v>
      </c>
      <c r="E3789" t="s">
        <v>57</v>
      </c>
      <c r="F3789" t="s">
        <v>38</v>
      </c>
      <c r="G3789" t="s">
        <v>37</v>
      </c>
    </row>
    <row r="3790" spans="1:7" x14ac:dyDescent="0.3">
      <c r="A3790" t="s">
        <v>44</v>
      </c>
      <c r="B3790" t="s">
        <v>8</v>
      </c>
      <c r="C3790" t="s">
        <v>16</v>
      </c>
      <c r="D3790">
        <v>723</v>
      </c>
      <c r="E3790" t="s">
        <v>57</v>
      </c>
      <c r="F3790" t="s">
        <v>38</v>
      </c>
      <c r="G3790" t="s">
        <v>37</v>
      </c>
    </row>
    <row r="3791" spans="1:7" x14ac:dyDescent="0.3">
      <c r="A3791" t="s">
        <v>44</v>
      </c>
      <c r="B3791" t="s">
        <v>8</v>
      </c>
      <c r="C3791" t="s">
        <v>17</v>
      </c>
      <c r="D3791">
        <v>149</v>
      </c>
      <c r="E3791" t="s">
        <v>57</v>
      </c>
      <c r="F3791" t="s">
        <v>38</v>
      </c>
      <c r="G3791" t="s">
        <v>37</v>
      </c>
    </row>
    <row r="3792" spans="1:7" x14ac:dyDescent="0.3">
      <c r="A3792" t="s">
        <v>44</v>
      </c>
      <c r="B3792" t="s">
        <v>8</v>
      </c>
      <c r="C3792" t="s">
        <v>18</v>
      </c>
      <c r="D3792">
        <v>0</v>
      </c>
      <c r="E3792" t="s">
        <v>57</v>
      </c>
      <c r="F3792" t="s">
        <v>38</v>
      </c>
      <c r="G3792" t="s">
        <v>37</v>
      </c>
    </row>
    <row r="3793" spans="1:7" x14ac:dyDescent="0.3">
      <c r="A3793" t="s">
        <v>44</v>
      </c>
      <c r="B3793" t="s">
        <v>8</v>
      </c>
      <c r="C3793" t="s">
        <v>19</v>
      </c>
      <c r="D3793">
        <v>5</v>
      </c>
      <c r="E3793" t="s">
        <v>57</v>
      </c>
      <c r="F3793" t="s">
        <v>38</v>
      </c>
      <c r="G3793" t="s">
        <v>37</v>
      </c>
    </row>
    <row r="3794" spans="1:7" x14ac:dyDescent="0.3">
      <c r="A3794" t="s">
        <v>44</v>
      </c>
      <c r="B3794" t="s">
        <v>8</v>
      </c>
      <c r="C3794" t="s">
        <v>20</v>
      </c>
      <c r="D3794">
        <v>8</v>
      </c>
      <c r="E3794" t="s">
        <v>57</v>
      </c>
      <c r="F3794" t="s">
        <v>38</v>
      </c>
      <c r="G3794" t="s">
        <v>37</v>
      </c>
    </row>
    <row r="3795" spans="1:7" x14ac:dyDescent="0.3">
      <c r="A3795" t="s">
        <v>44</v>
      </c>
      <c r="B3795" t="s">
        <v>8</v>
      </c>
      <c r="C3795" t="s">
        <v>21</v>
      </c>
      <c r="D3795">
        <v>17</v>
      </c>
      <c r="E3795" t="s">
        <v>57</v>
      </c>
      <c r="F3795" t="s">
        <v>38</v>
      </c>
      <c r="G3795" t="s">
        <v>37</v>
      </c>
    </row>
    <row r="3796" spans="1:7" x14ac:dyDescent="0.3">
      <c r="A3796" t="s">
        <v>44</v>
      </c>
      <c r="B3796" t="s">
        <v>8</v>
      </c>
      <c r="C3796" t="s">
        <v>22</v>
      </c>
      <c r="D3796">
        <v>235</v>
      </c>
      <c r="E3796" t="s">
        <v>57</v>
      </c>
      <c r="F3796" t="s">
        <v>38</v>
      </c>
      <c r="G3796" t="s">
        <v>37</v>
      </c>
    </row>
    <row r="3797" spans="1:7" x14ac:dyDescent="0.3">
      <c r="A3797" t="s">
        <v>44</v>
      </c>
      <c r="B3797" t="s">
        <v>23</v>
      </c>
      <c r="C3797" t="s">
        <v>9</v>
      </c>
      <c r="D3797">
        <v>5571</v>
      </c>
      <c r="E3797" t="s">
        <v>57</v>
      </c>
      <c r="F3797" t="s">
        <v>38</v>
      </c>
      <c r="G3797" t="s">
        <v>37</v>
      </c>
    </row>
    <row r="3798" spans="1:7" x14ac:dyDescent="0.3">
      <c r="A3798" t="s">
        <v>44</v>
      </c>
      <c r="B3798" t="s">
        <v>23</v>
      </c>
      <c r="C3798" t="s">
        <v>13</v>
      </c>
      <c r="D3798">
        <v>4509</v>
      </c>
      <c r="E3798" t="s">
        <v>57</v>
      </c>
      <c r="F3798" t="s">
        <v>38</v>
      </c>
      <c r="G3798" t="s">
        <v>37</v>
      </c>
    </row>
    <row r="3799" spans="1:7" x14ac:dyDescent="0.3">
      <c r="A3799" t="s">
        <v>44</v>
      </c>
      <c r="B3799" t="s">
        <v>23</v>
      </c>
      <c r="C3799" t="s">
        <v>14</v>
      </c>
      <c r="D3799">
        <v>6740816</v>
      </c>
      <c r="E3799" t="s">
        <v>57</v>
      </c>
      <c r="F3799" t="s">
        <v>38</v>
      </c>
      <c r="G3799" t="s">
        <v>37</v>
      </c>
    </row>
    <row r="3800" spans="1:7" x14ac:dyDescent="0.3">
      <c r="A3800" t="s">
        <v>44</v>
      </c>
      <c r="B3800" t="s">
        <v>23</v>
      </c>
      <c r="C3800" t="s">
        <v>15</v>
      </c>
      <c r="D3800">
        <v>16412</v>
      </c>
      <c r="E3800" t="s">
        <v>57</v>
      </c>
      <c r="F3800" t="s">
        <v>38</v>
      </c>
      <c r="G3800" t="s">
        <v>37</v>
      </c>
    </row>
    <row r="3801" spans="1:7" x14ac:dyDescent="0.3">
      <c r="A3801" t="s">
        <v>44</v>
      </c>
      <c r="B3801" t="s">
        <v>23</v>
      </c>
      <c r="C3801" t="s">
        <v>16</v>
      </c>
      <c r="D3801">
        <v>647361</v>
      </c>
      <c r="E3801" t="s">
        <v>57</v>
      </c>
      <c r="F3801" t="s">
        <v>38</v>
      </c>
      <c r="G3801" t="s">
        <v>37</v>
      </c>
    </row>
    <row r="3802" spans="1:7" x14ac:dyDescent="0.3">
      <c r="A3802" t="s">
        <v>44</v>
      </c>
      <c r="B3802" t="s">
        <v>23</v>
      </c>
      <c r="C3802" t="s">
        <v>17</v>
      </c>
      <c r="D3802">
        <v>489</v>
      </c>
      <c r="E3802" t="s">
        <v>57</v>
      </c>
      <c r="F3802" t="s">
        <v>38</v>
      </c>
      <c r="G3802" t="s">
        <v>37</v>
      </c>
    </row>
    <row r="3803" spans="1:7" x14ac:dyDescent="0.3">
      <c r="A3803" t="s">
        <v>44</v>
      </c>
      <c r="B3803" t="s">
        <v>23</v>
      </c>
      <c r="C3803" t="s">
        <v>18</v>
      </c>
      <c r="D3803">
        <v>0</v>
      </c>
      <c r="E3803" t="s">
        <v>57</v>
      </c>
      <c r="F3803" t="s">
        <v>38</v>
      </c>
      <c r="G3803" t="s">
        <v>37</v>
      </c>
    </row>
    <row r="3804" spans="1:7" x14ac:dyDescent="0.3">
      <c r="A3804" t="s">
        <v>44</v>
      </c>
      <c r="B3804" t="s">
        <v>23</v>
      </c>
      <c r="C3804" t="s">
        <v>19</v>
      </c>
      <c r="D3804">
        <v>25765</v>
      </c>
      <c r="E3804" t="s">
        <v>57</v>
      </c>
      <c r="F3804" t="s">
        <v>38</v>
      </c>
      <c r="G3804" t="s">
        <v>37</v>
      </c>
    </row>
    <row r="3805" spans="1:7" x14ac:dyDescent="0.3">
      <c r="A3805" t="s">
        <v>44</v>
      </c>
      <c r="B3805" t="s">
        <v>23</v>
      </c>
      <c r="C3805" t="s">
        <v>20</v>
      </c>
      <c r="D3805">
        <v>15228</v>
      </c>
      <c r="E3805" t="s">
        <v>57</v>
      </c>
      <c r="F3805" t="s">
        <v>38</v>
      </c>
      <c r="G3805" t="s">
        <v>37</v>
      </c>
    </row>
    <row r="3806" spans="1:7" x14ac:dyDescent="0.3">
      <c r="A3806" t="s">
        <v>44</v>
      </c>
      <c r="B3806" t="s">
        <v>23</v>
      </c>
      <c r="C3806" t="s">
        <v>21</v>
      </c>
      <c r="D3806">
        <v>11031</v>
      </c>
      <c r="E3806" t="s">
        <v>57</v>
      </c>
      <c r="F3806" t="s">
        <v>38</v>
      </c>
      <c r="G3806" t="s">
        <v>37</v>
      </c>
    </row>
    <row r="3807" spans="1:7" x14ac:dyDescent="0.3">
      <c r="A3807" t="s">
        <v>44</v>
      </c>
      <c r="B3807" t="s">
        <v>23</v>
      </c>
      <c r="C3807" t="s">
        <v>22</v>
      </c>
      <c r="D3807">
        <v>4471</v>
      </c>
      <c r="E3807" t="s">
        <v>57</v>
      </c>
      <c r="F3807" t="s">
        <v>38</v>
      </c>
      <c r="G3807" t="s">
        <v>37</v>
      </c>
    </row>
    <row r="3808" spans="1:7" x14ac:dyDescent="0.3">
      <c r="A3808" t="s">
        <v>45</v>
      </c>
      <c r="B3808" t="s">
        <v>8</v>
      </c>
      <c r="C3808" t="s">
        <v>9</v>
      </c>
      <c r="D3808">
        <v>6489</v>
      </c>
      <c r="E3808" t="s">
        <v>57</v>
      </c>
      <c r="F3808" t="s">
        <v>38</v>
      </c>
      <c r="G3808" t="s">
        <v>37</v>
      </c>
    </row>
    <row r="3809" spans="1:7" x14ac:dyDescent="0.3">
      <c r="A3809" t="s">
        <v>45</v>
      </c>
      <c r="B3809" t="s">
        <v>8</v>
      </c>
      <c r="C3809" t="s">
        <v>13</v>
      </c>
      <c r="D3809">
        <v>2618</v>
      </c>
      <c r="E3809" t="s">
        <v>57</v>
      </c>
      <c r="F3809" t="s">
        <v>38</v>
      </c>
      <c r="G3809" t="s">
        <v>37</v>
      </c>
    </row>
    <row r="3810" spans="1:7" x14ac:dyDescent="0.3">
      <c r="A3810" t="s">
        <v>45</v>
      </c>
      <c r="B3810" t="s">
        <v>8</v>
      </c>
      <c r="C3810" t="s">
        <v>14</v>
      </c>
      <c r="D3810">
        <v>3914</v>
      </c>
      <c r="E3810" t="s">
        <v>57</v>
      </c>
      <c r="F3810" t="s">
        <v>38</v>
      </c>
      <c r="G3810" t="s">
        <v>37</v>
      </c>
    </row>
    <row r="3811" spans="1:7" x14ac:dyDescent="0.3">
      <c r="A3811" t="s">
        <v>45</v>
      </c>
      <c r="B3811" t="s">
        <v>8</v>
      </c>
      <c r="C3811" t="s">
        <v>15</v>
      </c>
      <c r="D3811">
        <v>223</v>
      </c>
      <c r="E3811" t="s">
        <v>57</v>
      </c>
      <c r="F3811" t="s">
        <v>38</v>
      </c>
      <c r="G3811" t="s">
        <v>37</v>
      </c>
    </row>
    <row r="3812" spans="1:7" x14ac:dyDescent="0.3">
      <c r="A3812" t="s">
        <v>45</v>
      </c>
      <c r="B3812" t="s">
        <v>8</v>
      </c>
      <c r="C3812" t="s">
        <v>16</v>
      </c>
      <c r="D3812">
        <v>63186</v>
      </c>
      <c r="E3812" t="s">
        <v>57</v>
      </c>
      <c r="F3812" t="s">
        <v>38</v>
      </c>
      <c r="G3812" t="s">
        <v>37</v>
      </c>
    </row>
    <row r="3813" spans="1:7" x14ac:dyDescent="0.3">
      <c r="A3813" t="s">
        <v>45</v>
      </c>
      <c r="B3813" t="s">
        <v>8</v>
      </c>
      <c r="C3813" t="s">
        <v>17</v>
      </c>
      <c r="D3813">
        <v>1050</v>
      </c>
      <c r="E3813" t="s">
        <v>57</v>
      </c>
      <c r="F3813" t="s">
        <v>38</v>
      </c>
      <c r="G3813" t="s">
        <v>37</v>
      </c>
    </row>
    <row r="3814" spans="1:7" x14ac:dyDescent="0.3">
      <c r="A3814" t="s">
        <v>45</v>
      </c>
      <c r="B3814" t="s">
        <v>8</v>
      </c>
      <c r="C3814" t="s">
        <v>18</v>
      </c>
      <c r="D3814">
        <v>0</v>
      </c>
      <c r="E3814" t="s">
        <v>57</v>
      </c>
      <c r="F3814" t="s">
        <v>38</v>
      </c>
      <c r="G3814" t="s">
        <v>37</v>
      </c>
    </row>
    <row r="3815" spans="1:7" x14ac:dyDescent="0.3">
      <c r="A3815" t="s">
        <v>45</v>
      </c>
      <c r="B3815" t="s">
        <v>8</v>
      </c>
      <c r="C3815" t="s">
        <v>19</v>
      </c>
      <c r="D3815">
        <v>40860</v>
      </c>
      <c r="E3815" t="s">
        <v>57</v>
      </c>
      <c r="F3815" t="s">
        <v>38</v>
      </c>
      <c r="G3815" t="s">
        <v>37</v>
      </c>
    </row>
    <row r="3816" spans="1:7" x14ac:dyDescent="0.3">
      <c r="A3816" t="s">
        <v>45</v>
      </c>
      <c r="B3816" t="s">
        <v>8</v>
      </c>
      <c r="C3816" t="s">
        <v>20</v>
      </c>
      <c r="D3816">
        <v>59</v>
      </c>
      <c r="E3816" t="s">
        <v>57</v>
      </c>
      <c r="F3816" t="s">
        <v>38</v>
      </c>
      <c r="G3816" t="s">
        <v>37</v>
      </c>
    </row>
    <row r="3817" spans="1:7" x14ac:dyDescent="0.3">
      <c r="A3817" t="s">
        <v>45</v>
      </c>
      <c r="B3817" t="s">
        <v>8</v>
      </c>
      <c r="C3817" t="s">
        <v>21</v>
      </c>
      <c r="D3817">
        <v>44</v>
      </c>
      <c r="E3817" t="s">
        <v>57</v>
      </c>
      <c r="F3817" t="s">
        <v>38</v>
      </c>
      <c r="G3817" t="s">
        <v>37</v>
      </c>
    </row>
    <row r="3818" spans="1:7" x14ac:dyDescent="0.3">
      <c r="A3818" t="s">
        <v>45</v>
      </c>
      <c r="B3818" t="s">
        <v>8</v>
      </c>
      <c r="C3818" t="s">
        <v>22</v>
      </c>
      <c r="D3818">
        <v>557</v>
      </c>
      <c r="E3818" t="s">
        <v>57</v>
      </c>
      <c r="F3818" t="s">
        <v>38</v>
      </c>
      <c r="G3818" t="s">
        <v>37</v>
      </c>
    </row>
    <row r="3819" spans="1:7" x14ac:dyDescent="0.3">
      <c r="A3819" t="s">
        <v>45</v>
      </c>
      <c r="B3819" t="s">
        <v>23</v>
      </c>
      <c r="C3819" t="s">
        <v>9</v>
      </c>
      <c r="D3819">
        <v>475360</v>
      </c>
      <c r="E3819" t="s">
        <v>57</v>
      </c>
      <c r="F3819" t="s">
        <v>38</v>
      </c>
      <c r="G3819" t="s">
        <v>37</v>
      </c>
    </row>
    <row r="3820" spans="1:7" x14ac:dyDescent="0.3">
      <c r="A3820" t="s">
        <v>45</v>
      </c>
      <c r="B3820" t="s">
        <v>23</v>
      </c>
      <c r="C3820" t="s">
        <v>13</v>
      </c>
      <c r="D3820">
        <v>51001</v>
      </c>
      <c r="E3820" t="s">
        <v>57</v>
      </c>
      <c r="F3820" t="s">
        <v>38</v>
      </c>
      <c r="G3820" t="s">
        <v>37</v>
      </c>
    </row>
    <row r="3821" spans="1:7" x14ac:dyDescent="0.3">
      <c r="A3821" t="s">
        <v>45</v>
      </c>
      <c r="B3821" t="s">
        <v>23</v>
      </c>
      <c r="C3821" t="s">
        <v>14</v>
      </c>
      <c r="D3821">
        <v>336625</v>
      </c>
      <c r="E3821" t="s">
        <v>57</v>
      </c>
      <c r="F3821" t="s">
        <v>38</v>
      </c>
      <c r="G3821" t="s">
        <v>37</v>
      </c>
    </row>
    <row r="3822" spans="1:7" x14ac:dyDescent="0.3">
      <c r="A3822" t="s">
        <v>45</v>
      </c>
      <c r="B3822" t="s">
        <v>23</v>
      </c>
      <c r="C3822" t="s">
        <v>15</v>
      </c>
      <c r="D3822">
        <v>14259</v>
      </c>
      <c r="E3822" t="s">
        <v>57</v>
      </c>
      <c r="F3822" t="s">
        <v>38</v>
      </c>
      <c r="G3822" t="s">
        <v>37</v>
      </c>
    </row>
    <row r="3823" spans="1:7" x14ac:dyDescent="0.3">
      <c r="A3823" t="s">
        <v>45</v>
      </c>
      <c r="B3823" t="s">
        <v>23</v>
      </c>
      <c r="C3823" t="s">
        <v>16</v>
      </c>
      <c r="D3823">
        <v>1984266</v>
      </c>
      <c r="E3823" t="s">
        <v>57</v>
      </c>
      <c r="F3823" t="s">
        <v>38</v>
      </c>
      <c r="G3823" t="s">
        <v>37</v>
      </c>
    </row>
    <row r="3824" spans="1:7" x14ac:dyDescent="0.3">
      <c r="A3824" t="s">
        <v>45</v>
      </c>
      <c r="B3824" t="s">
        <v>23</v>
      </c>
      <c r="C3824" t="s">
        <v>17</v>
      </c>
      <c r="D3824">
        <v>9131</v>
      </c>
      <c r="E3824" t="s">
        <v>57</v>
      </c>
      <c r="F3824" t="s">
        <v>38</v>
      </c>
      <c r="G3824" t="s">
        <v>37</v>
      </c>
    </row>
    <row r="3825" spans="1:7" x14ac:dyDescent="0.3">
      <c r="A3825" t="s">
        <v>45</v>
      </c>
      <c r="B3825" t="s">
        <v>23</v>
      </c>
      <c r="C3825" t="s">
        <v>18</v>
      </c>
      <c r="D3825">
        <v>12</v>
      </c>
      <c r="E3825" t="s">
        <v>57</v>
      </c>
      <c r="F3825" t="s">
        <v>38</v>
      </c>
      <c r="G3825" t="s">
        <v>37</v>
      </c>
    </row>
    <row r="3826" spans="1:7" x14ac:dyDescent="0.3">
      <c r="A3826" t="s">
        <v>45</v>
      </c>
      <c r="B3826" t="s">
        <v>23</v>
      </c>
      <c r="C3826" t="s">
        <v>19</v>
      </c>
      <c r="D3826">
        <v>2947360</v>
      </c>
      <c r="E3826" t="s">
        <v>57</v>
      </c>
      <c r="F3826" t="s">
        <v>38</v>
      </c>
      <c r="G3826" t="s">
        <v>37</v>
      </c>
    </row>
    <row r="3827" spans="1:7" x14ac:dyDescent="0.3">
      <c r="A3827" t="s">
        <v>45</v>
      </c>
      <c r="B3827" t="s">
        <v>23</v>
      </c>
      <c r="C3827" t="s">
        <v>20</v>
      </c>
      <c r="D3827">
        <v>30363</v>
      </c>
      <c r="E3827" t="s">
        <v>57</v>
      </c>
      <c r="F3827" t="s">
        <v>38</v>
      </c>
      <c r="G3827" t="s">
        <v>37</v>
      </c>
    </row>
    <row r="3828" spans="1:7" x14ac:dyDescent="0.3">
      <c r="A3828" t="s">
        <v>45</v>
      </c>
      <c r="B3828" t="s">
        <v>23</v>
      </c>
      <c r="C3828" t="s">
        <v>21</v>
      </c>
      <c r="D3828">
        <v>5634</v>
      </c>
      <c r="E3828" t="s">
        <v>57</v>
      </c>
      <c r="F3828" t="s">
        <v>38</v>
      </c>
      <c r="G3828" t="s">
        <v>37</v>
      </c>
    </row>
    <row r="3829" spans="1:7" x14ac:dyDescent="0.3">
      <c r="A3829" t="s">
        <v>45</v>
      </c>
      <c r="B3829" t="s">
        <v>23</v>
      </c>
      <c r="C3829" t="s">
        <v>22</v>
      </c>
      <c r="D3829">
        <v>8733</v>
      </c>
      <c r="E3829" t="s">
        <v>57</v>
      </c>
      <c r="F3829" t="s">
        <v>38</v>
      </c>
      <c r="G3829" t="s">
        <v>37</v>
      </c>
    </row>
    <row r="3830" spans="1:7" x14ac:dyDescent="0.3">
      <c r="A3830" t="s">
        <v>58</v>
      </c>
      <c r="B3830" t="s">
        <v>8</v>
      </c>
      <c r="C3830" t="s">
        <v>9</v>
      </c>
      <c r="D3830">
        <v>315</v>
      </c>
      <c r="E3830" t="s">
        <v>57</v>
      </c>
      <c r="F3830" t="s">
        <v>38</v>
      </c>
      <c r="G3830" t="s">
        <v>37</v>
      </c>
    </row>
    <row r="3831" spans="1:7" x14ac:dyDescent="0.3">
      <c r="A3831" t="s">
        <v>58</v>
      </c>
      <c r="B3831" t="s">
        <v>8</v>
      </c>
      <c r="C3831" t="s">
        <v>13</v>
      </c>
      <c r="D3831">
        <v>7</v>
      </c>
      <c r="E3831" t="s">
        <v>57</v>
      </c>
      <c r="F3831" t="s">
        <v>38</v>
      </c>
      <c r="G3831" t="s">
        <v>37</v>
      </c>
    </row>
    <row r="3832" spans="1:7" x14ac:dyDescent="0.3">
      <c r="A3832" t="s">
        <v>58</v>
      </c>
      <c r="B3832" t="s">
        <v>8</v>
      </c>
      <c r="C3832" t="s">
        <v>14</v>
      </c>
      <c r="D3832">
        <v>2117</v>
      </c>
      <c r="E3832" t="s">
        <v>57</v>
      </c>
      <c r="F3832" t="s">
        <v>38</v>
      </c>
      <c r="G3832" t="s">
        <v>37</v>
      </c>
    </row>
    <row r="3833" spans="1:7" x14ac:dyDescent="0.3">
      <c r="A3833" t="s">
        <v>58</v>
      </c>
      <c r="B3833" t="s">
        <v>8</v>
      </c>
      <c r="C3833" t="s">
        <v>15</v>
      </c>
      <c r="D3833">
        <v>7</v>
      </c>
      <c r="E3833" t="s">
        <v>57</v>
      </c>
      <c r="F3833" t="s">
        <v>38</v>
      </c>
      <c r="G3833" t="s">
        <v>37</v>
      </c>
    </row>
    <row r="3834" spans="1:7" x14ac:dyDescent="0.3">
      <c r="A3834" t="s">
        <v>58</v>
      </c>
      <c r="B3834" t="s">
        <v>8</v>
      </c>
      <c r="C3834" t="s">
        <v>16</v>
      </c>
      <c r="D3834">
        <v>56135</v>
      </c>
      <c r="E3834" t="s">
        <v>57</v>
      </c>
      <c r="F3834" t="s">
        <v>38</v>
      </c>
      <c r="G3834" t="s">
        <v>37</v>
      </c>
    </row>
    <row r="3835" spans="1:7" x14ac:dyDescent="0.3">
      <c r="A3835" t="s">
        <v>58</v>
      </c>
      <c r="B3835" t="s">
        <v>8</v>
      </c>
      <c r="C3835" t="s">
        <v>17</v>
      </c>
      <c r="D3835">
        <v>548</v>
      </c>
      <c r="E3835" t="s">
        <v>57</v>
      </c>
      <c r="F3835" t="s">
        <v>38</v>
      </c>
      <c r="G3835" t="s">
        <v>37</v>
      </c>
    </row>
    <row r="3836" spans="1:7" x14ac:dyDescent="0.3">
      <c r="A3836" t="s">
        <v>58</v>
      </c>
      <c r="B3836" t="s">
        <v>8</v>
      </c>
      <c r="C3836" t="s">
        <v>18</v>
      </c>
      <c r="D3836">
        <v>0</v>
      </c>
      <c r="E3836" t="s">
        <v>57</v>
      </c>
      <c r="F3836" t="s">
        <v>38</v>
      </c>
      <c r="G3836" t="s">
        <v>37</v>
      </c>
    </row>
    <row r="3837" spans="1:7" x14ac:dyDescent="0.3">
      <c r="A3837" t="s">
        <v>58</v>
      </c>
      <c r="B3837" t="s">
        <v>8</v>
      </c>
      <c r="C3837" t="s">
        <v>19</v>
      </c>
      <c r="D3837">
        <v>1</v>
      </c>
      <c r="E3837" t="s">
        <v>57</v>
      </c>
      <c r="F3837" t="s">
        <v>38</v>
      </c>
      <c r="G3837" t="s">
        <v>37</v>
      </c>
    </row>
    <row r="3838" spans="1:7" x14ac:dyDescent="0.3">
      <c r="A3838" t="s">
        <v>58</v>
      </c>
      <c r="B3838" t="s">
        <v>8</v>
      </c>
      <c r="C3838" t="s">
        <v>20</v>
      </c>
      <c r="D3838">
        <v>42</v>
      </c>
      <c r="E3838" t="s">
        <v>57</v>
      </c>
      <c r="F3838" t="s">
        <v>38</v>
      </c>
      <c r="G3838" t="s">
        <v>37</v>
      </c>
    </row>
    <row r="3839" spans="1:7" x14ac:dyDescent="0.3">
      <c r="A3839" t="s">
        <v>58</v>
      </c>
      <c r="B3839" t="s">
        <v>8</v>
      </c>
      <c r="C3839" t="s">
        <v>21</v>
      </c>
      <c r="D3839">
        <v>9</v>
      </c>
      <c r="E3839" t="s">
        <v>57</v>
      </c>
      <c r="F3839" t="s">
        <v>38</v>
      </c>
      <c r="G3839" t="s">
        <v>37</v>
      </c>
    </row>
    <row r="3840" spans="1:7" x14ac:dyDescent="0.3">
      <c r="A3840" t="s">
        <v>58</v>
      </c>
      <c r="B3840" t="s">
        <v>8</v>
      </c>
      <c r="C3840" t="s">
        <v>22</v>
      </c>
      <c r="D3840">
        <v>131</v>
      </c>
      <c r="E3840" t="s">
        <v>57</v>
      </c>
      <c r="F3840" t="s">
        <v>38</v>
      </c>
      <c r="G3840" t="s">
        <v>37</v>
      </c>
    </row>
    <row r="3841" spans="1:7" x14ac:dyDescent="0.3">
      <c r="A3841" t="s">
        <v>58</v>
      </c>
      <c r="B3841" t="s">
        <v>23</v>
      </c>
      <c r="C3841" t="s">
        <v>9</v>
      </c>
      <c r="D3841">
        <v>1454</v>
      </c>
      <c r="E3841" t="s">
        <v>57</v>
      </c>
      <c r="F3841" t="s">
        <v>38</v>
      </c>
      <c r="G3841" t="s">
        <v>37</v>
      </c>
    </row>
    <row r="3842" spans="1:7" x14ac:dyDescent="0.3">
      <c r="A3842" t="s">
        <v>58</v>
      </c>
      <c r="B3842" t="s">
        <v>23</v>
      </c>
      <c r="C3842" t="s">
        <v>13</v>
      </c>
      <c r="D3842">
        <v>2640</v>
      </c>
      <c r="E3842" t="s">
        <v>57</v>
      </c>
      <c r="F3842" t="s">
        <v>38</v>
      </c>
      <c r="G3842" t="s">
        <v>37</v>
      </c>
    </row>
    <row r="3843" spans="1:7" x14ac:dyDescent="0.3">
      <c r="A3843" t="s">
        <v>58</v>
      </c>
      <c r="B3843" t="s">
        <v>23</v>
      </c>
      <c r="C3843" t="s">
        <v>14</v>
      </c>
      <c r="D3843">
        <v>7989</v>
      </c>
      <c r="E3843" t="s">
        <v>57</v>
      </c>
      <c r="F3843" t="s">
        <v>38</v>
      </c>
      <c r="G3843" t="s">
        <v>37</v>
      </c>
    </row>
    <row r="3844" spans="1:7" x14ac:dyDescent="0.3">
      <c r="A3844" t="s">
        <v>58</v>
      </c>
      <c r="B3844" t="s">
        <v>23</v>
      </c>
      <c r="C3844" t="s">
        <v>15</v>
      </c>
      <c r="D3844">
        <v>268</v>
      </c>
      <c r="E3844" t="s">
        <v>57</v>
      </c>
      <c r="F3844" t="s">
        <v>38</v>
      </c>
      <c r="G3844" t="s">
        <v>37</v>
      </c>
    </row>
    <row r="3845" spans="1:7" x14ac:dyDescent="0.3">
      <c r="A3845" t="s">
        <v>58</v>
      </c>
      <c r="B3845" t="s">
        <v>23</v>
      </c>
      <c r="C3845" t="s">
        <v>16</v>
      </c>
      <c r="D3845">
        <v>1651779</v>
      </c>
      <c r="E3845" t="s">
        <v>57</v>
      </c>
      <c r="F3845" t="s">
        <v>38</v>
      </c>
      <c r="G3845" t="s">
        <v>37</v>
      </c>
    </row>
    <row r="3846" spans="1:7" x14ac:dyDescent="0.3">
      <c r="A3846" t="s">
        <v>58</v>
      </c>
      <c r="B3846" t="s">
        <v>23</v>
      </c>
      <c r="C3846" t="s">
        <v>17</v>
      </c>
      <c r="D3846">
        <v>335</v>
      </c>
      <c r="E3846" t="s">
        <v>57</v>
      </c>
      <c r="F3846" t="s">
        <v>38</v>
      </c>
      <c r="G3846" t="s">
        <v>37</v>
      </c>
    </row>
    <row r="3847" spans="1:7" x14ac:dyDescent="0.3">
      <c r="A3847" t="s">
        <v>58</v>
      </c>
      <c r="B3847" t="s">
        <v>23</v>
      </c>
      <c r="C3847" t="s">
        <v>18</v>
      </c>
      <c r="D3847">
        <v>11</v>
      </c>
      <c r="E3847" t="s">
        <v>57</v>
      </c>
      <c r="F3847" t="s">
        <v>38</v>
      </c>
      <c r="G3847" t="s">
        <v>37</v>
      </c>
    </row>
    <row r="3848" spans="1:7" x14ac:dyDescent="0.3">
      <c r="A3848" t="s">
        <v>58</v>
      </c>
      <c r="B3848" t="s">
        <v>23</v>
      </c>
      <c r="C3848" t="s">
        <v>19</v>
      </c>
      <c r="D3848">
        <v>523</v>
      </c>
      <c r="E3848" t="s">
        <v>57</v>
      </c>
      <c r="F3848" t="s">
        <v>38</v>
      </c>
      <c r="G3848" t="s">
        <v>37</v>
      </c>
    </row>
    <row r="3849" spans="1:7" x14ac:dyDescent="0.3">
      <c r="A3849" t="s">
        <v>58</v>
      </c>
      <c r="B3849" t="s">
        <v>23</v>
      </c>
      <c r="C3849" t="s">
        <v>20</v>
      </c>
      <c r="D3849">
        <v>21686</v>
      </c>
      <c r="E3849" t="s">
        <v>57</v>
      </c>
      <c r="F3849" t="s">
        <v>38</v>
      </c>
      <c r="G3849" t="s">
        <v>37</v>
      </c>
    </row>
    <row r="3850" spans="1:7" x14ac:dyDescent="0.3">
      <c r="A3850" t="s">
        <v>58</v>
      </c>
      <c r="B3850" t="s">
        <v>23</v>
      </c>
      <c r="C3850" t="s">
        <v>21</v>
      </c>
      <c r="D3850">
        <v>622</v>
      </c>
      <c r="E3850" t="s">
        <v>57</v>
      </c>
      <c r="F3850" t="s">
        <v>38</v>
      </c>
      <c r="G3850" t="s">
        <v>37</v>
      </c>
    </row>
    <row r="3851" spans="1:7" x14ac:dyDescent="0.3">
      <c r="A3851" t="s">
        <v>58</v>
      </c>
      <c r="B3851" t="s">
        <v>23</v>
      </c>
      <c r="C3851" t="s">
        <v>22</v>
      </c>
      <c r="D3851">
        <v>3198</v>
      </c>
      <c r="E3851" t="s">
        <v>57</v>
      </c>
      <c r="F3851" t="s">
        <v>38</v>
      </c>
      <c r="G3851" t="s">
        <v>37</v>
      </c>
    </row>
    <row r="3852" spans="1:7" x14ac:dyDescent="0.3">
      <c r="A3852" t="s">
        <v>59</v>
      </c>
      <c r="B3852" t="s">
        <v>8</v>
      </c>
      <c r="C3852" t="s">
        <v>9</v>
      </c>
      <c r="D3852">
        <v>28219</v>
      </c>
      <c r="E3852" t="s">
        <v>57</v>
      </c>
      <c r="F3852" t="s">
        <v>38</v>
      </c>
      <c r="G3852" t="s">
        <v>37</v>
      </c>
    </row>
    <row r="3853" spans="1:7" x14ac:dyDescent="0.3">
      <c r="A3853" t="s">
        <v>59</v>
      </c>
      <c r="B3853" t="s">
        <v>8</v>
      </c>
      <c r="C3853" t="s">
        <v>13</v>
      </c>
      <c r="D3853">
        <v>505</v>
      </c>
      <c r="E3853" t="s">
        <v>57</v>
      </c>
      <c r="F3853" t="s">
        <v>38</v>
      </c>
      <c r="G3853" t="s">
        <v>37</v>
      </c>
    </row>
    <row r="3854" spans="1:7" x14ac:dyDescent="0.3">
      <c r="A3854" t="s">
        <v>59</v>
      </c>
      <c r="B3854" t="s">
        <v>8</v>
      </c>
      <c r="C3854" t="s">
        <v>14</v>
      </c>
      <c r="D3854">
        <v>903</v>
      </c>
      <c r="E3854" t="s">
        <v>57</v>
      </c>
      <c r="F3854" t="s">
        <v>38</v>
      </c>
      <c r="G3854" t="s">
        <v>37</v>
      </c>
    </row>
    <row r="3855" spans="1:7" x14ac:dyDescent="0.3">
      <c r="A3855" t="s">
        <v>59</v>
      </c>
      <c r="B3855" t="s">
        <v>8</v>
      </c>
      <c r="C3855" t="s">
        <v>15</v>
      </c>
      <c r="D3855">
        <v>88</v>
      </c>
      <c r="E3855" t="s">
        <v>57</v>
      </c>
      <c r="F3855" t="s">
        <v>38</v>
      </c>
      <c r="G3855" t="s">
        <v>37</v>
      </c>
    </row>
    <row r="3856" spans="1:7" x14ac:dyDescent="0.3">
      <c r="A3856" t="s">
        <v>59</v>
      </c>
      <c r="B3856" t="s">
        <v>8</v>
      </c>
      <c r="C3856" t="s">
        <v>16</v>
      </c>
      <c r="D3856">
        <v>548</v>
      </c>
      <c r="E3856" t="s">
        <v>57</v>
      </c>
      <c r="F3856" t="s">
        <v>38</v>
      </c>
      <c r="G3856" t="s">
        <v>37</v>
      </c>
    </row>
    <row r="3857" spans="1:7" x14ac:dyDescent="0.3">
      <c r="A3857" t="s">
        <v>59</v>
      </c>
      <c r="B3857" t="s">
        <v>8</v>
      </c>
      <c r="C3857" t="s">
        <v>17</v>
      </c>
      <c r="D3857">
        <v>1927</v>
      </c>
      <c r="E3857" t="s">
        <v>57</v>
      </c>
      <c r="F3857" t="s">
        <v>38</v>
      </c>
      <c r="G3857" t="s">
        <v>37</v>
      </c>
    </row>
    <row r="3858" spans="1:7" x14ac:dyDescent="0.3">
      <c r="A3858" t="s">
        <v>59</v>
      </c>
      <c r="B3858" t="s">
        <v>8</v>
      </c>
      <c r="C3858" t="s">
        <v>18</v>
      </c>
      <c r="D3858">
        <v>0</v>
      </c>
      <c r="E3858" t="s">
        <v>57</v>
      </c>
      <c r="F3858" t="s">
        <v>38</v>
      </c>
      <c r="G3858" t="s">
        <v>37</v>
      </c>
    </row>
    <row r="3859" spans="1:7" x14ac:dyDescent="0.3">
      <c r="A3859" t="s">
        <v>59</v>
      </c>
      <c r="B3859" t="s">
        <v>8</v>
      </c>
      <c r="C3859" t="s">
        <v>19</v>
      </c>
      <c r="D3859">
        <v>35</v>
      </c>
      <c r="E3859" t="s">
        <v>57</v>
      </c>
      <c r="F3859" t="s">
        <v>38</v>
      </c>
      <c r="G3859" t="s">
        <v>37</v>
      </c>
    </row>
    <row r="3860" spans="1:7" x14ac:dyDescent="0.3">
      <c r="A3860" t="s">
        <v>59</v>
      </c>
      <c r="B3860" t="s">
        <v>8</v>
      </c>
      <c r="C3860" t="s">
        <v>20</v>
      </c>
      <c r="D3860">
        <v>38</v>
      </c>
      <c r="E3860" t="s">
        <v>57</v>
      </c>
      <c r="F3860" t="s">
        <v>38</v>
      </c>
      <c r="G3860" t="s">
        <v>37</v>
      </c>
    </row>
    <row r="3861" spans="1:7" x14ac:dyDescent="0.3">
      <c r="A3861" t="s">
        <v>59</v>
      </c>
      <c r="B3861" t="s">
        <v>8</v>
      </c>
      <c r="C3861" t="s">
        <v>21</v>
      </c>
      <c r="D3861">
        <v>140</v>
      </c>
      <c r="E3861" t="s">
        <v>57</v>
      </c>
      <c r="F3861" t="s">
        <v>38</v>
      </c>
      <c r="G3861" t="s">
        <v>37</v>
      </c>
    </row>
    <row r="3862" spans="1:7" x14ac:dyDescent="0.3">
      <c r="A3862" t="s">
        <v>59</v>
      </c>
      <c r="B3862" t="s">
        <v>8</v>
      </c>
      <c r="C3862" t="s">
        <v>22</v>
      </c>
      <c r="D3862">
        <v>1374</v>
      </c>
      <c r="E3862" t="s">
        <v>57</v>
      </c>
      <c r="F3862" t="s">
        <v>38</v>
      </c>
      <c r="G3862" t="s">
        <v>37</v>
      </c>
    </row>
    <row r="3863" spans="1:7" x14ac:dyDescent="0.3">
      <c r="A3863" t="s">
        <v>59</v>
      </c>
      <c r="B3863" t="s">
        <v>23</v>
      </c>
      <c r="C3863" t="s">
        <v>9</v>
      </c>
      <c r="D3863">
        <v>2176116</v>
      </c>
      <c r="E3863" t="s">
        <v>57</v>
      </c>
      <c r="F3863" t="s">
        <v>38</v>
      </c>
      <c r="G3863" t="s">
        <v>37</v>
      </c>
    </row>
    <row r="3864" spans="1:7" x14ac:dyDescent="0.3">
      <c r="A3864" t="s">
        <v>59</v>
      </c>
      <c r="B3864" t="s">
        <v>23</v>
      </c>
      <c r="C3864" t="s">
        <v>13</v>
      </c>
      <c r="D3864">
        <v>97944</v>
      </c>
      <c r="E3864" t="s">
        <v>57</v>
      </c>
      <c r="F3864" t="s">
        <v>38</v>
      </c>
      <c r="G3864" t="s">
        <v>37</v>
      </c>
    </row>
    <row r="3865" spans="1:7" x14ac:dyDescent="0.3">
      <c r="A3865" t="s">
        <v>59</v>
      </c>
      <c r="B3865" t="s">
        <v>23</v>
      </c>
      <c r="C3865" t="s">
        <v>14</v>
      </c>
      <c r="D3865">
        <v>1188216</v>
      </c>
      <c r="E3865" t="s">
        <v>57</v>
      </c>
      <c r="F3865" t="s">
        <v>38</v>
      </c>
      <c r="G3865" t="s">
        <v>37</v>
      </c>
    </row>
    <row r="3866" spans="1:7" x14ac:dyDescent="0.3">
      <c r="A3866" t="s">
        <v>59</v>
      </c>
      <c r="B3866" t="s">
        <v>23</v>
      </c>
      <c r="C3866" t="s">
        <v>15</v>
      </c>
      <c r="D3866">
        <v>20516</v>
      </c>
      <c r="E3866" t="s">
        <v>57</v>
      </c>
      <c r="F3866" t="s">
        <v>38</v>
      </c>
      <c r="G3866" t="s">
        <v>37</v>
      </c>
    </row>
    <row r="3867" spans="1:7" x14ac:dyDescent="0.3">
      <c r="A3867" t="s">
        <v>59</v>
      </c>
      <c r="B3867" t="s">
        <v>23</v>
      </c>
      <c r="C3867" t="s">
        <v>16</v>
      </c>
      <c r="D3867">
        <v>589629</v>
      </c>
      <c r="E3867" t="s">
        <v>57</v>
      </c>
      <c r="F3867" t="s">
        <v>38</v>
      </c>
      <c r="G3867" t="s">
        <v>37</v>
      </c>
    </row>
    <row r="3868" spans="1:7" x14ac:dyDescent="0.3">
      <c r="A3868" t="s">
        <v>59</v>
      </c>
      <c r="B3868" t="s">
        <v>23</v>
      </c>
      <c r="C3868" t="s">
        <v>17</v>
      </c>
      <c r="D3868">
        <v>40002</v>
      </c>
      <c r="E3868" t="s">
        <v>57</v>
      </c>
      <c r="F3868" t="s">
        <v>38</v>
      </c>
      <c r="G3868" t="s">
        <v>37</v>
      </c>
    </row>
    <row r="3869" spans="1:7" x14ac:dyDescent="0.3">
      <c r="A3869" t="s">
        <v>59</v>
      </c>
      <c r="B3869" t="s">
        <v>23</v>
      </c>
      <c r="C3869" t="s">
        <v>18</v>
      </c>
      <c r="D3869">
        <v>0</v>
      </c>
      <c r="E3869" t="s">
        <v>57</v>
      </c>
      <c r="F3869" t="s">
        <v>38</v>
      </c>
      <c r="G3869" t="s">
        <v>37</v>
      </c>
    </row>
    <row r="3870" spans="1:7" x14ac:dyDescent="0.3">
      <c r="A3870" t="s">
        <v>59</v>
      </c>
      <c r="B3870" t="s">
        <v>23</v>
      </c>
      <c r="C3870" t="s">
        <v>19</v>
      </c>
      <c r="D3870">
        <v>39479</v>
      </c>
      <c r="E3870" t="s">
        <v>57</v>
      </c>
      <c r="F3870" t="s">
        <v>38</v>
      </c>
      <c r="G3870" t="s">
        <v>37</v>
      </c>
    </row>
    <row r="3871" spans="1:7" x14ac:dyDescent="0.3">
      <c r="A3871" t="s">
        <v>59</v>
      </c>
      <c r="B3871" t="s">
        <v>23</v>
      </c>
      <c r="C3871" t="s">
        <v>20</v>
      </c>
      <c r="D3871">
        <v>22589</v>
      </c>
      <c r="E3871" t="s">
        <v>57</v>
      </c>
      <c r="F3871" t="s">
        <v>38</v>
      </c>
      <c r="G3871" t="s">
        <v>37</v>
      </c>
    </row>
    <row r="3872" spans="1:7" x14ac:dyDescent="0.3">
      <c r="A3872" t="s">
        <v>59</v>
      </c>
      <c r="B3872" t="s">
        <v>23</v>
      </c>
      <c r="C3872" t="s">
        <v>21</v>
      </c>
      <c r="D3872">
        <v>21822</v>
      </c>
      <c r="E3872" t="s">
        <v>57</v>
      </c>
      <c r="F3872" t="s">
        <v>38</v>
      </c>
      <c r="G3872" t="s">
        <v>37</v>
      </c>
    </row>
    <row r="3873" spans="1:7" x14ac:dyDescent="0.3">
      <c r="A3873" t="s">
        <v>59</v>
      </c>
      <c r="B3873" t="s">
        <v>23</v>
      </c>
      <c r="C3873" t="s">
        <v>22</v>
      </c>
      <c r="D3873">
        <v>10445</v>
      </c>
      <c r="E3873" t="s">
        <v>57</v>
      </c>
      <c r="F3873" t="s">
        <v>38</v>
      </c>
      <c r="G3873" t="s">
        <v>37</v>
      </c>
    </row>
    <row r="3874" spans="1:7" x14ac:dyDescent="0.3">
      <c r="A3874" t="s">
        <v>60</v>
      </c>
      <c r="B3874" t="s">
        <v>8</v>
      </c>
      <c r="C3874" t="s">
        <v>9</v>
      </c>
      <c r="D3874">
        <v>198</v>
      </c>
      <c r="E3874" t="s">
        <v>57</v>
      </c>
      <c r="F3874" t="s">
        <v>38</v>
      </c>
      <c r="G3874" t="s">
        <v>37</v>
      </c>
    </row>
    <row r="3875" spans="1:7" x14ac:dyDescent="0.3">
      <c r="A3875" t="s">
        <v>60</v>
      </c>
      <c r="B3875" t="s">
        <v>8</v>
      </c>
      <c r="C3875" t="s">
        <v>13</v>
      </c>
      <c r="D3875">
        <v>514</v>
      </c>
      <c r="E3875" t="s">
        <v>57</v>
      </c>
      <c r="F3875" t="s">
        <v>38</v>
      </c>
      <c r="G3875" t="s">
        <v>37</v>
      </c>
    </row>
    <row r="3876" spans="1:7" x14ac:dyDescent="0.3">
      <c r="A3876" t="s">
        <v>60</v>
      </c>
      <c r="B3876" t="s">
        <v>8</v>
      </c>
      <c r="C3876" t="s">
        <v>14</v>
      </c>
      <c r="D3876">
        <v>508</v>
      </c>
      <c r="E3876" t="s">
        <v>57</v>
      </c>
      <c r="F3876" t="s">
        <v>38</v>
      </c>
      <c r="G3876" t="s">
        <v>37</v>
      </c>
    </row>
    <row r="3877" spans="1:7" x14ac:dyDescent="0.3">
      <c r="A3877" t="s">
        <v>60</v>
      </c>
      <c r="B3877" t="s">
        <v>8</v>
      </c>
      <c r="C3877" t="s">
        <v>15</v>
      </c>
      <c r="D3877">
        <v>37</v>
      </c>
      <c r="E3877" t="s">
        <v>57</v>
      </c>
      <c r="F3877" t="s">
        <v>38</v>
      </c>
      <c r="G3877" t="s">
        <v>37</v>
      </c>
    </row>
    <row r="3878" spans="1:7" x14ac:dyDescent="0.3">
      <c r="A3878" t="s">
        <v>60</v>
      </c>
      <c r="B3878" t="s">
        <v>8</v>
      </c>
      <c r="C3878" t="s">
        <v>16</v>
      </c>
      <c r="D3878">
        <v>686</v>
      </c>
      <c r="E3878" t="s">
        <v>57</v>
      </c>
      <c r="F3878" t="s">
        <v>38</v>
      </c>
      <c r="G3878" t="s">
        <v>37</v>
      </c>
    </row>
    <row r="3879" spans="1:7" x14ac:dyDescent="0.3">
      <c r="A3879" t="s">
        <v>60</v>
      </c>
      <c r="B3879" t="s">
        <v>8</v>
      </c>
      <c r="C3879" t="s">
        <v>17</v>
      </c>
      <c r="D3879">
        <v>116</v>
      </c>
      <c r="E3879" t="s">
        <v>57</v>
      </c>
      <c r="F3879" t="s">
        <v>38</v>
      </c>
      <c r="G3879" t="s">
        <v>37</v>
      </c>
    </row>
    <row r="3880" spans="1:7" x14ac:dyDescent="0.3">
      <c r="A3880" t="s">
        <v>60</v>
      </c>
      <c r="B3880" t="s">
        <v>8</v>
      </c>
      <c r="C3880" t="s">
        <v>18</v>
      </c>
      <c r="D3880">
        <v>0</v>
      </c>
      <c r="E3880" t="s">
        <v>57</v>
      </c>
      <c r="F3880" t="s">
        <v>38</v>
      </c>
      <c r="G3880" t="s">
        <v>37</v>
      </c>
    </row>
    <row r="3881" spans="1:7" x14ac:dyDescent="0.3">
      <c r="A3881" t="s">
        <v>60</v>
      </c>
      <c r="B3881" t="s">
        <v>8</v>
      </c>
      <c r="C3881" t="s">
        <v>19</v>
      </c>
      <c r="D3881">
        <v>7</v>
      </c>
      <c r="E3881" t="s">
        <v>57</v>
      </c>
      <c r="F3881" t="s">
        <v>38</v>
      </c>
      <c r="G3881" t="s">
        <v>37</v>
      </c>
    </row>
    <row r="3882" spans="1:7" x14ac:dyDescent="0.3">
      <c r="A3882" t="s">
        <v>60</v>
      </c>
      <c r="B3882" t="s">
        <v>8</v>
      </c>
      <c r="C3882" t="s">
        <v>20</v>
      </c>
      <c r="D3882">
        <v>109</v>
      </c>
      <c r="E3882" t="s">
        <v>57</v>
      </c>
      <c r="F3882" t="s">
        <v>38</v>
      </c>
      <c r="G3882" t="s">
        <v>37</v>
      </c>
    </row>
    <row r="3883" spans="1:7" x14ac:dyDescent="0.3">
      <c r="A3883" t="s">
        <v>60</v>
      </c>
      <c r="B3883" t="s">
        <v>8</v>
      </c>
      <c r="C3883" t="s">
        <v>21</v>
      </c>
      <c r="D3883">
        <v>623</v>
      </c>
      <c r="E3883" t="s">
        <v>57</v>
      </c>
      <c r="F3883" t="s">
        <v>38</v>
      </c>
      <c r="G3883" t="s">
        <v>37</v>
      </c>
    </row>
    <row r="3884" spans="1:7" x14ac:dyDescent="0.3">
      <c r="A3884" t="s">
        <v>60</v>
      </c>
      <c r="B3884" t="s">
        <v>8</v>
      </c>
      <c r="C3884" t="s">
        <v>22</v>
      </c>
      <c r="D3884">
        <v>31905</v>
      </c>
      <c r="E3884" t="s">
        <v>57</v>
      </c>
      <c r="F3884" t="s">
        <v>38</v>
      </c>
      <c r="G3884" t="s">
        <v>37</v>
      </c>
    </row>
    <row r="3885" spans="1:7" x14ac:dyDescent="0.3">
      <c r="A3885" t="s">
        <v>60</v>
      </c>
      <c r="B3885" t="s">
        <v>23</v>
      </c>
      <c r="C3885" t="s">
        <v>9</v>
      </c>
      <c r="D3885">
        <v>57693</v>
      </c>
      <c r="E3885" t="s">
        <v>57</v>
      </c>
      <c r="F3885" t="s">
        <v>38</v>
      </c>
      <c r="G3885" t="s">
        <v>37</v>
      </c>
    </row>
    <row r="3886" spans="1:7" x14ac:dyDescent="0.3">
      <c r="A3886" t="s">
        <v>60</v>
      </c>
      <c r="B3886" t="s">
        <v>23</v>
      </c>
      <c r="C3886" t="s">
        <v>13</v>
      </c>
      <c r="D3886">
        <v>440048</v>
      </c>
      <c r="E3886" t="s">
        <v>57</v>
      </c>
      <c r="F3886" t="s">
        <v>38</v>
      </c>
      <c r="G3886" t="s">
        <v>37</v>
      </c>
    </row>
    <row r="3887" spans="1:7" x14ac:dyDescent="0.3">
      <c r="A3887" t="s">
        <v>60</v>
      </c>
      <c r="B3887" t="s">
        <v>23</v>
      </c>
      <c r="C3887" t="s">
        <v>14</v>
      </c>
      <c r="D3887">
        <v>460861</v>
      </c>
      <c r="E3887" t="s">
        <v>57</v>
      </c>
      <c r="F3887" t="s">
        <v>38</v>
      </c>
      <c r="G3887" t="s">
        <v>37</v>
      </c>
    </row>
    <row r="3888" spans="1:7" x14ac:dyDescent="0.3">
      <c r="A3888" t="s">
        <v>60</v>
      </c>
      <c r="B3888" t="s">
        <v>23</v>
      </c>
      <c r="C3888" t="s">
        <v>15</v>
      </c>
      <c r="D3888">
        <v>14493</v>
      </c>
      <c r="E3888" t="s">
        <v>57</v>
      </c>
      <c r="F3888" t="s">
        <v>38</v>
      </c>
      <c r="G3888" t="s">
        <v>37</v>
      </c>
    </row>
    <row r="3889" spans="1:7" x14ac:dyDescent="0.3">
      <c r="A3889" t="s">
        <v>60</v>
      </c>
      <c r="B3889" t="s">
        <v>23</v>
      </c>
      <c r="C3889" t="s">
        <v>16</v>
      </c>
      <c r="D3889">
        <v>151876</v>
      </c>
      <c r="E3889" t="s">
        <v>57</v>
      </c>
      <c r="F3889" t="s">
        <v>38</v>
      </c>
      <c r="G3889" t="s">
        <v>37</v>
      </c>
    </row>
    <row r="3890" spans="1:7" x14ac:dyDescent="0.3">
      <c r="A3890" t="s">
        <v>60</v>
      </c>
      <c r="B3890" t="s">
        <v>23</v>
      </c>
      <c r="C3890" t="s">
        <v>17</v>
      </c>
      <c r="D3890">
        <v>15607</v>
      </c>
      <c r="E3890" t="s">
        <v>57</v>
      </c>
      <c r="F3890" t="s">
        <v>38</v>
      </c>
      <c r="G3890" t="s">
        <v>37</v>
      </c>
    </row>
    <row r="3891" spans="1:7" x14ac:dyDescent="0.3">
      <c r="A3891" t="s">
        <v>60</v>
      </c>
      <c r="B3891" t="s">
        <v>23</v>
      </c>
      <c r="C3891" t="s">
        <v>18</v>
      </c>
      <c r="D3891">
        <v>0</v>
      </c>
      <c r="E3891" t="s">
        <v>57</v>
      </c>
      <c r="F3891" t="s">
        <v>38</v>
      </c>
      <c r="G3891" t="s">
        <v>37</v>
      </c>
    </row>
    <row r="3892" spans="1:7" x14ac:dyDescent="0.3">
      <c r="A3892" t="s">
        <v>60</v>
      </c>
      <c r="B3892" t="s">
        <v>23</v>
      </c>
      <c r="C3892" t="s">
        <v>19</v>
      </c>
      <c r="D3892">
        <v>61428</v>
      </c>
      <c r="E3892" t="s">
        <v>57</v>
      </c>
      <c r="F3892" t="s">
        <v>38</v>
      </c>
      <c r="G3892" t="s">
        <v>37</v>
      </c>
    </row>
    <row r="3893" spans="1:7" x14ac:dyDescent="0.3">
      <c r="A3893" t="s">
        <v>60</v>
      </c>
      <c r="B3893" t="s">
        <v>23</v>
      </c>
      <c r="C3893" t="s">
        <v>20</v>
      </c>
      <c r="D3893">
        <v>17086</v>
      </c>
      <c r="E3893" t="s">
        <v>57</v>
      </c>
      <c r="F3893" t="s">
        <v>38</v>
      </c>
      <c r="G3893" t="s">
        <v>37</v>
      </c>
    </row>
    <row r="3894" spans="1:7" x14ac:dyDescent="0.3">
      <c r="A3894" t="s">
        <v>60</v>
      </c>
      <c r="B3894" t="s">
        <v>23</v>
      </c>
      <c r="C3894" t="s">
        <v>21</v>
      </c>
      <c r="D3894">
        <v>10049</v>
      </c>
      <c r="E3894" t="s">
        <v>57</v>
      </c>
      <c r="F3894" t="s">
        <v>38</v>
      </c>
      <c r="G3894" t="s">
        <v>37</v>
      </c>
    </row>
    <row r="3895" spans="1:7" x14ac:dyDescent="0.3">
      <c r="A3895" t="s">
        <v>60</v>
      </c>
      <c r="B3895" t="s">
        <v>23</v>
      </c>
      <c r="C3895" t="s">
        <v>22</v>
      </c>
      <c r="D3895">
        <v>1350249</v>
      </c>
      <c r="E3895" t="s">
        <v>57</v>
      </c>
      <c r="F3895" t="s">
        <v>38</v>
      </c>
      <c r="G3895" t="s">
        <v>37</v>
      </c>
    </row>
    <row r="3896" spans="1:7" x14ac:dyDescent="0.3">
      <c r="A3896" t="s">
        <v>25</v>
      </c>
      <c r="B3896" t="s">
        <v>8</v>
      </c>
      <c r="C3896" t="s">
        <v>9</v>
      </c>
      <c r="D3896">
        <v>674</v>
      </c>
      <c r="E3896" t="s">
        <v>57</v>
      </c>
      <c r="F3896" t="s">
        <v>38</v>
      </c>
      <c r="G3896" t="s">
        <v>37</v>
      </c>
    </row>
    <row r="3897" spans="1:7" x14ac:dyDescent="0.3">
      <c r="A3897" t="s">
        <v>25</v>
      </c>
      <c r="B3897" t="s">
        <v>8</v>
      </c>
      <c r="C3897" t="s">
        <v>13</v>
      </c>
      <c r="D3897">
        <v>7760</v>
      </c>
      <c r="E3897" t="s">
        <v>57</v>
      </c>
      <c r="F3897" t="s">
        <v>38</v>
      </c>
      <c r="G3897" t="s">
        <v>37</v>
      </c>
    </row>
    <row r="3898" spans="1:7" x14ac:dyDescent="0.3">
      <c r="A3898" t="s">
        <v>25</v>
      </c>
      <c r="B3898" t="s">
        <v>8</v>
      </c>
      <c r="C3898" t="s">
        <v>14</v>
      </c>
      <c r="D3898">
        <v>1734</v>
      </c>
      <c r="E3898" t="s">
        <v>57</v>
      </c>
      <c r="F3898" t="s">
        <v>38</v>
      </c>
      <c r="G3898" t="s">
        <v>37</v>
      </c>
    </row>
    <row r="3899" spans="1:7" x14ac:dyDescent="0.3">
      <c r="A3899" t="s">
        <v>25</v>
      </c>
      <c r="B3899" t="s">
        <v>8</v>
      </c>
      <c r="C3899" t="s">
        <v>15</v>
      </c>
      <c r="D3899">
        <v>134</v>
      </c>
      <c r="E3899" t="s">
        <v>57</v>
      </c>
      <c r="F3899" t="s">
        <v>38</v>
      </c>
      <c r="G3899" t="s">
        <v>37</v>
      </c>
    </row>
    <row r="3900" spans="1:7" x14ac:dyDescent="0.3">
      <c r="A3900" t="s">
        <v>25</v>
      </c>
      <c r="B3900" t="s">
        <v>8</v>
      </c>
      <c r="C3900" t="s">
        <v>16</v>
      </c>
      <c r="D3900">
        <v>2344</v>
      </c>
      <c r="E3900" t="s">
        <v>57</v>
      </c>
      <c r="F3900" t="s">
        <v>38</v>
      </c>
      <c r="G3900" t="s">
        <v>37</v>
      </c>
    </row>
    <row r="3901" spans="1:7" x14ac:dyDescent="0.3">
      <c r="A3901" t="s">
        <v>25</v>
      </c>
      <c r="B3901" t="s">
        <v>8</v>
      </c>
      <c r="C3901" t="s">
        <v>17</v>
      </c>
      <c r="D3901">
        <v>417</v>
      </c>
      <c r="E3901" t="s">
        <v>57</v>
      </c>
      <c r="F3901" t="s">
        <v>38</v>
      </c>
      <c r="G3901" t="s">
        <v>37</v>
      </c>
    </row>
    <row r="3902" spans="1:7" x14ac:dyDescent="0.3">
      <c r="A3902" t="s">
        <v>25</v>
      </c>
      <c r="B3902" t="s">
        <v>8</v>
      </c>
      <c r="C3902" t="s">
        <v>18</v>
      </c>
      <c r="D3902">
        <v>0</v>
      </c>
      <c r="E3902" t="s">
        <v>57</v>
      </c>
      <c r="F3902" t="s">
        <v>38</v>
      </c>
      <c r="G3902" t="s">
        <v>37</v>
      </c>
    </row>
    <row r="3903" spans="1:7" x14ac:dyDescent="0.3">
      <c r="A3903" t="s">
        <v>25</v>
      </c>
      <c r="B3903" t="s">
        <v>8</v>
      </c>
      <c r="C3903" t="s">
        <v>19</v>
      </c>
      <c r="D3903">
        <v>40</v>
      </c>
      <c r="E3903" t="s">
        <v>57</v>
      </c>
      <c r="F3903" t="s">
        <v>38</v>
      </c>
      <c r="G3903" t="s">
        <v>37</v>
      </c>
    </row>
    <row r="3904" spans="1:7" x14ac:dyDescent="0.3">
      <c r="A3904" t="s">
        <v>25</v>
      </c>
      <c r="B3904" t="s">
        <v>8</v>
      </c>
      <c r="C3904" t="s">
        <v>20</v>
      </c>
      <c r="D3904">
        <v>372</v>
      </c>
      <c r="E3904" t="s">
        <v>57</v>
      </c>
      <c r="F3904" t="s">
        <v>38</v>
      </c>
      <c r="G3904" t="s">
        <v>37</v>
      </c>
    </row>
    <row r="3905" spans="1:7" x14ac:dyDescent="0.3">
      <c r="A3905" t="s">
        <v>25</v>
      </c>
      <c r="B3905" t="s">
        <v>8</v>
      </c>
      <c r="C3905" t="s">
        <v>21</v>
      </c>
      <c r="D3905">
        <v>2122</v>
      </c>
      <c r="E3905" t="s">
        <v>57</v>
      </c>
      <c r="F3905" t="s">
        <v>38</v>
      </c>
      <c r="G3905" t="s">
        <v>37</v>
      </c>
    </row>
    <row r="3906" spans="1:7" x14ac:dyDescent="0.3">
      <c r="A3906" t="s">
        <v>25</v>
      </c>
      <c r="B3906" t="s">
        <v>8</v>
      </c>
      <c r="C3906" t="s">
        <v>22</v>
      </c>
      <c r="D3906">
        <v>109762</v>
      </c>
      <c r="E3906" t="s">
        <v>57</v>
      </c>
      <c r="F3906" t="s">
        <v>38</v>
      </c>
      <c r="G3906" t="s">
        <v>37</v>
      </c>
    </row>
    <row r="3907" spans="1:7" x14ac:dyDescent="0.3">
      <c r="A3907" t="s">
        <v>25</v>
      </c>
      <c r="B3907" t="s">
        <v>23</v>
      </c>
      <c r="C3907" t="s">
        <v>9</v>
      </c>
      <c r="D3907">
        <v>200667</v>
      </c>
      <c r="E3907" t="s">
        <v>57</v>
      </c>
      <c r="F3907" t="s">
        <v>38</v>
      </c>
      <c r="G3907" t="s">
        <v>37</v>
      </c>
    </row>
    <row r="3908" spans="1:7" x14ac:dyDescent="0.3">
      <c r="A3908" t="s">
        <v>25</v>
      </c>
      <c r="B3908" t="s">
        <v>23</v>
      </c>
      <c r="C3908" t="s">
        <v>13</v>
      </c>
      <c r="D3908">
        <v>2379531</v>
      </c>
      <c r="E3908" t="s">
        <v>57</v>
      </c>
      <c r="F3908" t="s">
        <v>38</v>
      </c>
      <c r="G3908" t="s">
        <v>37</v>
      </c>
    </row>
    <row r="3909" spans="1:7" x14ac:dyDescent="0.3">
      <c r="A3909" t="s">
        <v>25</v>
      </c>
      <c r="B3909" t="s">
        <v>23</v>
      </c>
      <c r="C3909" t="s">
        <v>14</v>
      </c>
      <c r="D3909">
        <v>1661072</v>
      </c>
      <c r="E3909" t="s">
        <v>57</v>
      </c>
      <c r="F3909" t="s">
        <v>38</v>
      </c>
      <c r="G3909" t="s">
        <v>37</v>
      </c>
    </row>
    <row r="3910" spans="1:7" x14ac:dyDescent="0.3">
      <c r="A3910" t="s">
        <v>25</v>
      </c>
      <c r="B3910" t="s">
        <v>23</v>
      </c>
      <c r="C3910" t="s">
        <v>15</v>
      </c>
      <c r="D3910">
        <v>51681</v>
      </c>
      <c r="E3910" t="s">
        <v>57</v>
      </c>
      <c r="F3910" t="s">
        <v>38</v>
      </c>
      <c r="G3910" t="s">
        <v>37</v>
      </c>
    </row>
    <row r="3911" spans="1:7" x14ac:dyDescent="0.3">
      <c r="A3911" t="s">
        <v>25</v>
      </c>
      <c r="B3911" t="s">
        <v>23</v>
      </c>
      <c r="C3911" t="s">
        <v>16</v>
      </c>
      <c r="D3911">
        <v>523760</v>
      </c>
      <c r="E3911" t="s">
        <v>57</v>
      </c>
      <c r="F3911" t="s">
        <v>38</v>
      </c>
      <c r="G3911" t="s">
        <v>37</v>
      </c>
    </row>
    <row r="3912" spans="1:7" x14ac:dyDescent="0.3">
      <c r="A3912" t="s">
        <v>25</v>
      </c>
      <c r="B3912" t="s">
        <v>23</v>
      </c>
      <c r="C3912" t="s">
        <v>17</v>
      </c>
      <c r="D3912">
        <v>53557</v>
      </c>
      <c r="E3912" t="s">
        <v>57</v>
      </c>
      <c r="F3912" t="s">
        <v>38</v>
      </c>
      <c r="G3912" t="s">
        <v>37</v>
      </c>
    </row>
    <row r="3913" spans="1:7" x14ac:dyDescent="0.3">
      <c r="A3913" t="s">
        <v>25</v>
      </c>
      <c r="B3913" t="s">
        <v>23</v>
      </c>
      <c r="C3913" t="s">
        <v>18</v>
      </c>
      <c r="D3913">
        <v>3</v>
      </c>
      <c r="E3913" t="s">
        <v>57</v>
      </c>
      <c r="F3913" t="s">
        <v>38</v>
      </c>
      <c r="G3913" t="s">
        <v>37</v>
      </c>
    </row>
    <row r="3914" spans="1:7" x14ac:dyDescent="0.3">
      <c r="A3914" t="s">
        <v>25</v>
      </c>
      <c r="B3914" t="s">
        <v>23</v>
      </c>
      <c r="C3914" t="s">
        <v>19</v>
      </c>
      <c r="D3914">
        <v>233172</v>
      </c>
      <c r="E3914" t="s">
        <v>57</v>
      </c>
      <c r="F3914" t="s">
        <v>38</v>
      </c>
      <c r="G3914" t="s">
        <v>37</v>
      </c>
    </row>
    <row r="3915" spans="1:7" x14ac:dyDescent="0.3">
      <c r="A3915" t="s">
        <v>25</v>
      </c>
      <c r="B3915" t="s">
        <v>23</v>
      </c>
      <c r="C3915" t="s">
        <v>20</v>
      </c>
      <c r="D3915">
        <v>60202</v>
      </c>
      <c r="E3915" t="s">
        <v>57</v>
      </c>
      <c r="F3915" t="s">
        <v>38</v>
      </c>
      <c r="G3915" t="s">
        <v>37</v>
      </c>
    </row>
    <row r="3916" spans="1:7" x14ac:dyDescent="0.3">
      <c r="A3916" t="s">
        <v>25</v>
      </c>
      <c r="B3916" t="s">
        <v>23</v>
      </c>
      <c r="C3916" t="s">
        <v>21</v>
      </c>
      <c r="D3916">
        <v>35525</v>
      </c>
      <c r="E3916" t="s">
        <v>57</v>
      </c>
      <c r="F3916" t="s">
        <v>38</v>
      </c>
      <c r="G3916" t="s">
        <v>37</v>
      </c>
    </row>
    <row r="3917" spans="1:7" x14ac:dyDescent="0.3">
      <c r="A3917" t="s">
        <v>25</v>
      </c>
      <c r="B3917" t="s">
        <v>23</v>
      </c>
      <c r="C3917" t="s">
        <v>22</v>
      </c>
      <c r="D3917">
        <v>4647588</v>
      </c>
      <c r="E3917" t="s">
        <v>57</v>
      </c>
      <c r="F3917" t="s">
        <v>38</v>
      </c>
      <c r="G3917" t="s">
        <v>37</v>
      </c>
    </row>
    <row r="3918" spans="1:7" x14ac:dyDescent="0.3">
      <c r="A3918" t="s">
        <v>61</v>
      </c>
      <c r="B3918" t="s">
        <v>8</v>
      </c>
      <c r="C3918" t="s">
        <v>9</v>
      </c>
      <c r="D3918">
        <v>294</v>
      </c>
      <c r="E3918" t="s">
        <v>57</v>
      </c>
      <c r="F3918" t="s">
        <v>38</v>
      </c>
      <c r="G3918" t="s">
        <v>37</v>
      </c>
    </row>
    <row r="3919" spans="1:7" x14ac:dyDescent="0.3">
      <c r="A3919" t="s">
        <v>61</v>
      </c>
      <c r="B3919" t="s">
        <v>8</v>
      </c>
      <c r="C3919" t="s">
        <v>13</v>
      </c>
      <c r="D3919">
        <v>765</v>
      </c>
      <c r="E3919" t="s">
        <v>57</v>
      </c>
      <c r="F3919" t="s">
        <v>38</v>
      </c>
      <c r="G3919" t="s">
        <v>37</v>
      </c>
    </row>
    <row r="3920" spans="1:7" x14ac:dyDescent="0.3">
      <c r="A3920" t="s">
        <v>61</v>
      </c>
      <c r="B3920" t="s">
        <v>8</v>
      </c>
      <c r="C3920" t="s">
        <v>14</v>
      </c>
      <c r="D3920">
        <v>757</v>
      </c>
      <c r="E3920" t="s">
        <v>57</v>
      </c>
      <c r="F3920" t="s">
        <v>38</v>
      </c>
      <c r="G3920" t="s">
        <v>37</v>
      </c>
    </row>
    <row r="3921" spans="1:7" x14ac:dyDescent="0.3">
      <c r="A3921" t="s">
        <v>61</v>
      </c>
      <c r="B3921" t="s">
        <v>8</v>
      </c>
      <c r="C3921" t="s">
        <v>15</v>
      </c>
      <c r="D3921">
        <v>56</v>
      </c>
      <c r="E3921" t="s">
        <v>57</v>
      </c>
      <c r="F3921" t="s">
        <v>38</v>
      </c>
      <c r="G3921" t="s">
        <v>37</v>
      </c>
    </row>
    <row r="3922" spans="1:7" x14ac:dyDescent="0.3">
      <c r="A3922" t="s">
        <v>61</v>
      </c>
      <c r="B3922" t="s">
        <v>8</v>
      </c>
      <c r="C3922" t="s">
        <v>16</v>
      </c>
      <c r="D3922">
        <v>1021</v>
      </c>
      <c r="E3922" t="s">
        <v>57</v>
      </c>
      <c r="F3922" t="s">
        <v>38</v>
      </c>
      <c r="G3922" t="s">
        <v>37</v>
      </c>
    </row>
    <row r="3923" spans="1:7" x14ac:dyDescent="0.3">
      <c r="A3923" t="s">
        <v>61</v>
      </c>
      <c r="B3923" t="s">
        <v>8</v>
      </c>
      <c r="C3923" t="s">
        <v>17</v>
      </c>
      <c r="D3923">
        <v>173</v>
      </c>
      <c r="E3923" t="s">
        <v>57</v>
      </c>
      <c r="F3923" t="s">
        <v>38</v>
      </c>
      <c r="G3923" t="s">
        <v>37</v>
      </c>
    </row>
    <row r="3924" spans="1:7" x14ac:dyDescent="0.3">
      <c r="A3924" t="s">
        <v>61</v>
      </c>
      <c r="B3924" t="s">
        <v>8</v>
      </c>
      <c r="C3924" t="s">
        <v>18</v>
      </c>
      <c r="D3924">
        <v>0</v>
      </c>
      <c r="E3924" t="s">
        <v>57</v>
      </c>
      <c r="F3924" t="s">
        <v>38</v>
      </c>
      <c r="G3924" t="s">
        <v>37</v>
      </c>
    </row>
    <row r="3925" spans="1:7" x14ac:dyDescent="0.3">
      <c r="A3925" t="s">
        <v>61</v>
      </c>
      <c r="B3925" t="s">
        <v>8</v>
      </c>
      <c r="C3925" t="s">
        <v>19</v>
      </c>
      <c r="D3925">
        <v>10</v>
      </c>
      <c r="E3925" t="s">
        <v>57</v>
      </c>
      <c r="F3925" t="s">
        <v>38</v>
      </c>
      <c r="G3925" t="s">
        <v>37</v>
      </c>
    </row>
    <row r="3926" spans="1:7" x14ac:dyDescent="0.3">
      <c r="A3926" t="s">
        <v>61</v>
      </c>
      <c r="B3926" t="s">
        <v>8</v>
      </c>
      <c r="C3926" t="s">
        <v>20</v>
      </c>
      <c r="D3926">
        <v>163</v>
      </c>
      <c r="E3926" t="s">
        <v>57</v>
      </c>
      <c r="F3926" t="s">
        <v>38</v>
      </c>
      <c r="G3926" t="s">
        <v>37</v>
      </c>
    </row>
    <row r="3927" spans="1:7" x14ac:dyDescent="0.3">
      <c r="A3927" t="s">
        <v>61</v>
      </c>
      <c r="B3927" t="s">
        <v>8</v>
      </c>
      <c r="C3927" t="s">
        <v>21</v>
      </c>
      <c r="D3927">
        <v>928</v>
      </c>
      <c r="E3927" t="s">
        <v>57</v>
      </c>
      <c r="F3927" t="s">
        <v>38</v>
      </c>
      <c r="G3927" t="s">
        <v>37</v>
      </c>
    </row>
    <row r="3928" spans="1:7" x14ac:dyDescent="0.3">
      <c r="A3928" t="s">
        <v>61</v>
      </c>
      <c r="B3928" t="s">
        <v>8</v>
      </c>
      <c r="C3928" t="s">
        <v>22</v>
      </c>
      <c r="D3928">
        <v>47486</v>
      </c>
      <c r="E3928" t="s">
        <v>57</v>
      </c>
      <c r="F3928" t="s">
        <v>38</v>
      </c>
      <c r="G3928" t="s">
        <v>37</v>
      </c>
    </row>
    <row r="3929" spans="1:7" x14ac:dyDescent="0.3">
      <c r="A3929" t="s">
        <v>61</v>
      </c>
      <c r="B3929" t="s">
        <v>23</v>
      </c>
      <c r="C3929" t="s">
        <v>9</v>
      </c>
      <c r="D3929">
        <v>85869</v>
      </c>
      <c r="E3929" t="s">
        <v>57</v>
      </c>
      <c r="F3929" t="s">
        <v>38</v>
      </c>
      <c r="G3929" t="s">
        <v>37</v>
      </c>
    </row>
    <row r="3930" spans="1:7" x14ac:dyDescent="0.3">
      <c r="A3930" t="s">
        <v>61</v>
      </c>
      <c r="B3930" t="s">
        <v>23</v>
      </c>
      <c r="C3930" t="s">
        <v>13</v>
      </c>
      <c r="D3930">
        <v>654955</v>
      </c>
      <c r="E3930" t="s">
        <v>57</v>
      </c>
      <c r="F3930" t="s">
        <v>38</v>
      </c>
      <c r="G3930" t="s">
        <v>37</v>
      </c>
    </row>
    <row r="3931" spans="1:7" x14ac:dyDescent="0.3">
      <c r="A3931" t="s">
        <v>61</v>
      </c>
      <c r="B3931" t="s">
        <v>23</v>
      </c>
      <c r="C3931" t="s">
        <v>14</v>
      </c>
      <c r="D3931">
        <v>685933</v>
      </c>
      <c r="E3931" t="s">
        <v>57</v>
      </c>
      <c r="F3931" t="s">
        <v>38</v>
      </c>
      <c r="G3931" t="s">
        <v>37</v>
      </c>
    </row>
    <row r="3932" spans="1:7" x14ac:dyDescent="0.3">
      <c r="A3932" t="s">
        <v>61</v>
      </c>
      <c r="B3932" t="s">
        <v>23</v>
      </c>
      <c r="C3932" t="s">
        <v>15</v>
      </c>
      <c r="D3932">
        <v>21572</v>
      </c>
      <c r="E3932" t="s">
        <v>57</v>
      </c>
      <c r="F3932" t="s">
        <v>38</v>
      </c>
      <c r="G3932" t="s">
        <v>37</v>
      </c>
    </row>
    <row r="3933" spans="1:7" x14ac:dyDescent="0.3">
      <c r="A3933" t="s">
        <v>61</v>
      </c>
      <c r="B3933" t="s">
        <v>23</v>
      </c>
      <c r="C3933" t="s">
        <v>16</v>
      </c>
      <c r="D3933">
        <v>226048</v>
      </c>
      <c r="E3933" t="s">
        <v>57</v>
      </c>
      <c r="F3933" t="s">
        <v>38</v>
      </c>
      <c r="G3933" t="s">
        <v>37</v>
      </c>
    </row>
    <row r="3934" spans="1:7" x14ac:dyDescent="0.3">
      <c r="A3934" t="s">
        <v>61</v>
      </c>
      <c r="B3934" t="s">
        <v>23</v>
      </c>
      <c r="C3934" t="s">
        <v>17</v>
      </c>
      <c r="D3934">
        <v>23230</v>
      </c>
      <c r="E3934" t="s">
        <v>57</v>
      </c>
      <c r="F3934" t="s">
        <v>38</v>
      </c>
      <c r="G3934" t="s">
        <v>37</v>
      </c>
    </row>
    <row r="3935" spans="1:7" x14ac:dyDescent="0.3">
      <c r="A3935" t="s">
        <v>61</v>
      </c>
      <c r="B3935" t="s">
        <v>23</v>
      </c>
      <c r="C3935" t="s">
        <v>18</v>
      </c>
      <c r="D3935">
        <v>1</v>
      </c>
      <c r="E3935" t="s">
        <v>57</v>
      </c>
      <c r="F3935" t="s">
        <v>38</v>
      </c>
      <c r="G3935" t="s">
        <v>37</v>
      </c>
    </row>
    <row r="3936" spans="1:7" x14ac:dyDescent="0.3">
      <c r="A3936" t="s">
        <v>61</v>
      </c>
      <c r="B3936" t="s">
        <v>23</v>
      </c>
      <c r="C3936" t="s">
        <v>19</v>
      </c>
      <c r="D3936">
        <v>91428</v>
      </c>
      <c r="E3936" t="s">
        <v>57</v>
      </c>
      <c r="F3936" t="s">
        <v>38</v>
      </c>
      <c r="G3936" t="s">
        <v>37</v>
      </c>
    </row>
    <row r="3937" spans="1:7" x14ac:dyDescent="0.3">
      <c r="A3937" t="s">
        <v>61</v>
      </c>
      <c r="B3937" t="s">
        <v>23</v>
      </c>
      <c r="C3937" t="s">
        <v>20</v>
      </c>
      <c r="D3937">
        <v>25430</v>
      </c>
      <c r="E3937" t="s">
        <v>57</v>
      </c>
      <c r="F3937" t="s">
        <v>38</v>
      </c>
      <c r="G3937" t="s">
        <v>37</v>
      </c>
    </row>
    <row r="3938" spans="1:7" x14ac:dyDescent="0.3">
      <c r="A3938" t="s">
        <v>61</v>
      </c>
      <c r="B3938" t="s">
        <v>23</v>
      </c>
      <c r="C3938" t="s">
        <v>21</v>
      </c>
      <c r="D3938">
        <v>14956</v>
      </c>
      <c r="E3938" t="s">
        <v>57</v>
      </c>
      <c r="F3938" t="s">
        <v>38</v>
      </c>
      <c r="G3938" t="s">
        <v>37</v>
      </c>
    </row>
    <row r="3939" spans="1:7" x14ac:dyDescent="0.3">
      <c r="A3939" t="s">
        <v>61</v>
      </c>
      <c r="B3939" t="s">
        <v>23</v>
      </c>
      <c r="C3939" t="s">
        <v>22</v>
      </c>
      <c r="D3939">
        <v>2009672</v>
      </c>
      <c r="E3939" t="s">
        <v>57</v>
      </c>
      <c r="F3939" t="s">
        <v>38</v>
      </c>
      <c r="G3939" t="s">
        <v>37</v>
      </c>
    </row>
    <row r="3940" spans="1:7" x14ac:dyDescent="0.3">
      <c r="A3940" t="s">
        <v>62</v>
      </c>
      <c r="B3940" t="s">
        <v>8</v>
      </c>
      <c r="C3940" t="s">
        <v>9</v>
      </c>
      <c r="D3940">
        <v>391</v>
      </c>
      <c r="E3940" t="s">
        <v>57</v>
      </c>
      <c r="F3940" t="s">
        <v>38</v>
      </c>
      <c r="G3940" t="s">
        <v>37</v>
      </c>
    </row>
    <row r="3941" spans="1:7" x14ac:dyDescent="0.3">
      <c r="A3941" t="s">
        <v>62</v>
      </c>
      <c r="B3941" t="s">
        <v>8</v>
      </c>
      <c r="C3941" t="s">
        <v>13</v>
      </c>
      <c r="D3941">
        <v>1016</v>
      </c>
      <c r="E3941" t="s">
        <v>57</v>
      </c>
      <c r="F3941" t="s">
        <v>38</v>
      </c>
      <c r="G3941" t="s">
        <v>37</v>
      </c>
    </row>
    <row r="3942" spans="1:7" x14ac:dyDescent="0.3">
      <c r="A3942" t="s">
        <v>62</v>
      </c>
      <c r="B3942" t="s">
        <v>8</v>
      </c>
      <c r="C3942" t="s">
        <v>14</v>
      </c>
      <c r="D3942">
        <v>1005</v>
      </c>
      <c r="E3942" t="s">
        <v>57</v>
      </c>
      <c r="F3942" t="s">
        <v>38</v>
      </c>
      <c r="G3942" t="s">
        <v>37</v>
      </c>
    </row>
    <row r="3943" spans="1:7" x14ac:dyDescent="0.3">
      <c r="A3943" t="s">
        <v>62</v>
      </c>
      <c r="B3943" t="s">
        <v>8</v>
      </c>
      <c r="C3943" t="s">
        <v>15</v>
      </c>
      <c r="D3943">
        <v>74</v>
      </c>
      <c r="E3943" t="s">
        <v>57</v>
      </c>
      <c r="F3943" t="s">
        <v>38</v>
      </c>
      <c r="G3943" t="s">
        <v>37</v>
      </c>
    </row>
    <row r="3944" spans="1:7" x14ac:dyDescent="0.3">
      <c r="A3944" t="s">
        <v>62</v>
      </c>
      <c r="B3944" t="s">
        <v>8</v>
      </c>
      <c r="C3944" t="s">
        <v>16</v>
      </c>
      <c r="D3944">
        <v>1357</v>
      </c>
      <c r="E3944" t="s">
        <v>57</v>
      </c>
      <c r="F3944" t="s">
        <v>38</v>
      </c>
      <c r="G3944" t="s">
        <v>37</v>
      </c>
    </row>
    <row r="3945" spans="1:7" x14ac:dyDescent="0.3">
      <c r="A3945" t="s">
        <v>62</v>
      </c>
      <c r="B3945" t="s">
        <v>8</v>
      </c>
      <c r="C3945" t="s">
        <v>17</v>
      </c>
      <c r="D3945">
        <v>230</v>
      </c>
      <c r="E3945" t="s">
        <v>57</v>
      </c>
      <c r="F3945" t="s">
        <v>38</v>
      </c>
      <c r="G3945" t="s">
        <v>37</v>
      </c>
    </row>
    <row r="3946" spans="1:7" x14ac:dyDescent="0.3">
      <c r="A3946" t="s">
        <v>62</v>
      </c>
      <c r="B3946" t="s">
        <v>8</v>
      </c>
      <c r="C3946" t="s">
        <v>18</v>
      </c>
      <c r="D3946">
        <v>0</v>
      </c>
      <c r="E3946" t="s">
        <v>57</v>
      </c>
      <c r="F3946" t="s">
        <v>38</v>
      </c>
      <c r="G3946" t="s">
        <v>37</v>
      </c>
    </row>
    <row r="3947" spans="1:7" x14ac:dyDescent="0.3">
      <c r="A3947" t="s">
        <v>62</v>
      </c>
      <c r="B3947" t="s">
        <v>8</v>
      </c>
      <c r="C3947" t="s">
        <v>19</v>
      </c>
      <c r="D3947">
        <v>14</v>
      </c>
      <c r="E3947" t="s">
        <v>57</v>
      </c>
      <c r="F3947" t="s">
        <v>38</v>
      </c>
      <c r="G3947" t="s">
        <v>37</v>
      </c>
    </row>
    <row r="3948" spans="1:7" x14ac:dyDescent="0.3">
      <c r="A3948" t="s">
        <v>62</v>
      </c>
      <c r="B3948" t="s">
        <v>8</v>
      </c>
      <c r="C3948" t="s">
        <v>20</v>
      </c>
      <c r="D3948">
        <v>216</v>
      </c>
      <c r="E3948" t="s">
        <v>57</v>
      </c>
      <c r="F3948" t="s">
        <v>38</v>
      </c>
      <c r="G3948" t="s">
        <v>37</v>
      </c>
    </row>
    <row r="3949" spans="1:7" x14ac:dyDescent="0.3">
      <c r="A3949" t="s">
        <v>62</v>
      </c>
      <c r="B3949" t="s">
        <v>8</v>
      </c>
      <c r="C3949" t="s">
        <v>21</v>
      </c>
      <c r="D3949">
        <v>1233</v>
      </c>
      <c r="E3949" t="s">
        <v>57</v>
      </c>
      <c r="F3949" t="s">
        <v>38</v>
      </c>
      <c r="G3949" t="s">
        <v>37</v>
      </c>
    </row>
    <row r="3950" spans="1:7" x14ac:dyDescent="0.3">
      <c r="A3950" t="s">
        <v>62</v>
      </c>
      <c r="B3950" t="s">
        <v>8</v>
      </c>
      <c r="C3950" t="s">
        <v>22</v>
      </c>
      <c r="D3950">
        <v>63110</v>
      </c>
      <c r="E3950" t="s">
        <v>57</v>
      </c>
      <c r="F3950" t="s">
        <v>38</v>
      </c>
      <c r="G3950" t="s">
        <v>37</v>
      </c>
    </row>
    <row r="3951" spans="1:7" x14ac:dyDescent="0.3">
      <c r="A3951" t="s">
        <v>62</v>
      </c>
      <c r="B3951" t="s">
        <v>23</v>
      </c>
      <c r="C3951" t="s">
        <v>9</v>
      </c>
      <c r="D3951">
        <v>114122</v>
      </c>
      <c r="E3951" t="s">
        <v>57</v>
      </c>
      <c r="F3951" t="s">
        <v>38</v>
      </c>
      <c r="G3951" t="s">
        <v>37</v>
      </c>
    </row>
    <row r="3952" spans="1:7" x14ac:dyDescent="0.3">
      <c r="A3952" t="s">
        <v>62</v>
      </c>
      <c r="B3952" t="s">
        <v>23</v>
      </c>
      <c r="C3952" t="s">
        <v>13</v>
      </c>
      <c r="D3952">
        <v>870450</v>
      </c>
      <c r="E3952" t="s">
        <v>57</v>
      </c>
      <c r="F3952" t="s">
        <v>38</v>
      </c>
      <c r="G3952" t="s">
        <v>37</v>
      </c>
    </row>
    <row r="3953" spans="1:7" x14ac:dyDescent="0.3">
      <c r="A3953" t="s">
        <v>62</v>
      </c>
      <c r="B3953" t="s">
        <v>23</v>
      </c>
      <c r="C3953" t="s">
        <v>14</v>
      </c>
      <c r="D3953">
        <v>911621</v>
      </c>
      <c r="E3953" t="s">
        <v>57</v>
      </c>
      <c r="F3953" t="s">
        <v>38</v>
      </c>
      <c r="G3953" t="s">
        <v>37</v>
      </c>
    </row>
    <row r="3954" spans="1:7" x14ac:dyDescent="0.3">
      <c r="A3954" t="s">
        <v>62</v>
      </c>
      <c r="B3954" t="s">
        <v>23</v>
      </c>
      <c r="C3954" t="s">
        <v>15</v>
      </c>
      <c r="D3954">
        <v>28669</v>
      </c>
      <c r="E3954" t="s">
        <v>57</v>
      </c>
      <c r="F3954" t="s">
        <v>38</v>
      </c>
      <c r="G3954" t="s">
        <v>37</v>
      </c>
    </row>
    <row r="3955" spans="1:7" x14ac:dyDescent="0.3">
      <c r="A3955" t="s">
        <v>62</v>
      </c>
      <c r="B3955" t="s">
        <v>23</v>
      </c>
      <c r="C3955" t="s">
        <v>16</v>
      </c>
      <c r="D3955">
        <v>300423</v>
      </c>
      <c r="E3955" t="s">
        <v>57</v>
      </c>
      <c r="F3955" t="s">
        <v>38</v>
      </c>
      <c r="G3955" t="s">
        <v>37</v>
      </c>
    </row>
    <row r="3956" spans="1:7" x14ac:dyDescent="0.3">
      <c r="A3956" t="s">
        <v>62</v>
      </c>
      <c r="B3956" t="s">
        <v>23</v>
      </c>
      <c r="C3956" t="s">
        <v>17</v>
      </c>
      <c r="D3956">
        <v>30873</v>
      </c>
      <c r="E3956" t="s">
        <v>57</v>
      </c>
      <c r="F3956" t="s">
        <v>38</v>
      </c>
      <c r="G3956" t="s">
        <v>37</v>
      </c>
    </row>
    <row r="3957" spans="1:7" x14ac:dyDescent="0.3">
      <c r="A3957" t="s">
        <v>62</v>
      </c>
      <c r="B3957" t="s">
        <v>23</v>
      </c>
      <c r="C3957" t="s">
        <v>18</v>
      </c>
      <c r="D3957">
        <v>1</v>
      </c>
      <c r="E3957" t="s">
        <v>57</v>
      </c>
      <c r="F3957" t="s">
        <v>38</v>
      </c>
      <c r="G3957" t="s">
        <v>37</v>
      </c>
    </row>
    <row r="3958" spans="1:7" x14ac:dyDescent="0.3">
      <c r="A3958" t="s">
        <v>62</v>
      </c>
      <c r="B3958" t="s">
        <v>23</v>
      </c>
      <c r="C3958" t="s">
        <v>19</v>
      </c>
      <c r="D3958">
        <v>121510</v>
      </c>
      <c r="E3958" t="s">
        <v>57</v>
      </c>
      <c r="F3958" t="s">
        <v>38</v>
      </c>
      <c r="G3958" t="s">
        <v>37</v>
      </c>
    </row>
    <row r="3959" spans="1:7" x14ac:dyDescent="0.3">
      <c r="A3959" t="s">
        <v>62</v>
      </c>
      <c r="B3959" t="s">
        <v>23</v>
      </c>
      <c r="C3959" t="s">
        <v>20</v>
      </c>
      <c r="D3959">
        <v>33797</v>
      </c>
      <c r="E3959" t="s">
        <v>57</v>
      </c>
      <c r="F3959" t="s">
        <v>38</v>
      </c>
      <c r="G3959" t="s">
        <v>37</v>
      </c>
    </row>
    <row r="3960" spans="1:7" x14ac:dyDescent="0.3">
      <c r="A3960" t="s">
        <v>62</v>
      </c>
      <c r="B3960" t="s">
        <v>23</v>
      </c>
      <c r="C3960" t="s">
        <v>21</v>
      </c>
      <c r="D3960">
        <v>19877</v>
      </c>
      <c r="E3960" t="s">
        <v>57</v>
      </c>
      <c r="F3960" t="s">
        <v>38</v>
      </c>
      <c r="G3960" t="s">
        <v>37</v>
      </c>
    </row>
    <row r="3961" spans="1:7" x14ac:dyDescent="0.3">
      <c r="A3961" t="s">
        <v>62</v>
      </c>
      <c r="B3961" t="s">
        <v>23</v>
      </c>
      <c r="C3961" t="s">
        <v>22</v>
      </c>
      <c r="D3961">
        <v>2670901</v>
      </c>
      <c r="E3961" t="s">
        <v>57</v>
      </c>
      <c r="F3961" t="s">
        <v>38</v>
      </c>
      <c r="G3961" t="s">
        <v>37</v>
      </c>
    </row>
    <row r="3962" spans="1:7" x14ac:dyDescent="0.3">
      <c r="A3962" t="s">
        <v>26</v>
      </c>
      <c r="B3962" t="s">
        <v>8</v>
      </c>
      <c r="C3962" t="s">
        <v>9</v>
      </c>
      <c r="D3962">
        <v>32</v>
      </c>
      <c r="E3962" t="s">
        <v>57</v>
      </c>
      <c r="F3962" t="s">
        <v>38</v>
      </c>
      <c r="G3962" t="s">
        <v>37</v>
      </c>
    </row>
    <row r="3963" spans="1:7" x14ac:dyDescent="0.3">
      <c r="A3963" t="s">
        <v>26</v>
      </c>
      <c r="B3963" t="s">
        <v>8</v>
      </c>
      <c r="C3963" t="s">
        <v>13</v>
      </c>
      <c r="D3963">
        <v>85</v>
      </c>
      <c r="E3963" t="s">
        <v>57</v>
      </c>
      <c r="F3963" t="s">
        <v>38</v>
      </c>
      <c r="G3963" t="s">
        <v>37</v>
      </c>
    </row>
    <row r="3964" spans="1:7" x14ac:dyDescent="0.3">
      <c r="A3964" t="s">
        <v>26</v>
      </c>
      <c r="B3964" t="s">
        <v>8</v>
      </c>
      <c r="C3964" t="s">
        <v>14</v>
      </c>
      <c r="D3964">
        <v>84</v>
      </c>
      <c r="E3964" t="s">
        <v>57</v>
      </c>
      <c r="F3964" t="s">
        <v>38</v>
      </c>
      <c r="G3964" t="s">
        <v>37</v>
      </c>
    </row>
    <row r="3965" spans="1:7" x14ac:dyDescent="0.3">
      <c r="A3965" t="s">
        <v>26</v>
      </c>
      <c r="B3965" t="s">
        <v>8</v>
      </c>
      <c r="C3965" t="s">
        <v>15</v>
      </c>
      <c r="D3965">
        <v>6</v>
      </c>
      <c r="E3965" t="s">
        <v>57</v>
      </c>
      <c r="F3965" t="s">
        <v>38</v>
      </c>
      <c r="G3965" t="s">
        <v>37</v>
      </c>
    </row>
    <row r="3966" spans="1:7" x14ac:dyDescent="0.3">
      <c r="A3966" t="s">
        <v>26</v>
      </c>
      <c r="B3966" t="s">
        <v>8</v>
      </c>
      <c r="C3966" t="s">
        <v>16</v>
      </c>
      <c r="D3966">
        <v>113</v>
      </c>
      <c r="E3966" t="s">
        <v>57</v>
      </c>
      <c r="F3966" t="s">
        <v>38</v>
      </c>
      <c r="G3966" t="s">
        <v>37</v>
      </c>
    </row>
    <row r="3967" spans="1:7" x14ac:dyDescent="0.3">
      <c r="A3967" t="s">
        <v>26</v>
      </c>
      <c r="B3967" t="s">
        <v>8</v>
      </c>
      <c r="C3967" t="s">
        <v>17</v>
      </c>
      <c r="D3967">
        <v>19</v>
      </c>
      <c r="E3967" t="s">
        <v>57</v>
      </c>
      <c r="F3967" t="s">
        <v>38</v>
      </c>
      <c r="G3967" t="s">
        <v>37</v>
      </c>
    </row>
    <row r="3968" spans="1:7" x14ac:dyDescent="0.3">
      <c r="A3968" t="s">
        <v>26</v>
      </c>
      <c r="B3968" t="s">
        <v>8</v>
      </c>
      <c r="C3968" t="s">
        <v>18</v>
      </c>
      <c r="D3968">
        <v>0</v>
      </c>
      <c r="E3968" t="s">
        <v>57</v>
      </c>
      <c r="F3968" t="s">
        <v>38</v>
      </c>
      <c r="G3968" t="s">
        <v>37</v>
      </c>
    </row>
    <row r="3969" spans="1:7" x14ac:dyDescent="0.3">
      <c r="A3969" t="s">
        <v>26</v>
      </c>
      <c r="B3969" t="s">
        <v>8</v>
      </c>
      <c r="C3969" t="s">
        <v>19</v>
      </c>
      <c r="D3969">
        <v>1</v>
      </c>
      <c r="E3969" t="s">
        <v>57</v>
      </c>
      <c r="F3969" t="s">
        <v>38</v>
      </c>
      <c r="G3969" t="s">
        <v>37</v>
      </c>
    </row>
    <row r="3970" spans="1:7" x14ac:dyDescent="0.3">
      <c r="A3970" t="s">
        <v>26</v>
      </c>
      <c r="B3970" t="s">
        <v>8</v>
      </c>
      <c r="C3970" t="s">
        <v>20</v>
      </c>
      <c r="D3970">
        <v>18</v>
      </c>
      <c r="E3970" t="s">
        <v>57</v>
      </c>
      <c r="F3970" t="s">
        <v>38</v>
      </c>
      <c r="G3970" t="s">
        <v>37</v>
      </c>
    </row>
    <row r="3971" spans="1:7" x14ac:dyDescent="0.3">
      <c r="A3971" t="s">
        <v>26</v>
      </c>
      <c r="B3971" t="s">
        <v>8</v>
      </c>
      <c r="C3971" t="s">
        <v>21</v>
      </c>
      <c r="D3971">
        <v>103</v>
      </c>
      <c r="E3971" t="s">
        <v>57</v>
      </c>
      <c r="F3971" t="s">
        <v>38</v>
      </c>
      <c r="G3971" t="s">
        <v>37</v>
      </c>
    </row>
    <row r="3972" spans="1:7" x14ac:dyDescent="0.3">
      <c r="A3972" t="s">
        <v>26</v>
      </c>
      <c r="B3972" t="s">
        <v>8</v>
      </c>
      <c r="C3972" t="s">
        <v>22</v>
      </c>
      <c r="D3972">
        <v>5248</v>
      </c>
      <c r="E3972" t="s">
        <v>57</v>
      </c>
      <c r="F3972" t="s">
        <v>38</v>
      </c>
      <c r="G3972" t="s">
        <v>37</v>
      </c>
    </row>
    <row r="3973" spans="1:7" x14ac:dyDescent="0.3">
      <c r="A3973" t="s">
        <v>26</v>
      </c>
      <c r="B3973" t="s">
        <v>23</v>
      </c>
      <c r="C3973" t="s">
        <v>9</v>
      </c>
      <c r="D3973">
        <v>9490</v>
      </c>
      <c r="E3973" t="s">
        <v>57</v>
      </c>
      <c r="F3973" t="s">
        <v>38</v>
      </c>
      <c r="G3973" t="s">
        <v>37</v>
      </c>
    </row>
    <row r="3974" spans="1:7" x14ac:dyDescent="0.3">
      <c r="A3974" t="s">
        <v>26</v>
      </c>
      <c r="B3974" t="s">
        <v>23</v>
      </c>
      <c r="C3974" t="s">
        <v>13</v>
      </c>
      <c r="D3974">
        <v>72387</v>
      </c>
      <c r="E3974" t="s">
        <v>57</v>
      </c>
      <c r="F3974" t="s">
        <v>38</v>
      </c>
      <c r="G3974" t="s">
        <v>37</v>
      </c>
    </row>
    <row r="3975" spans="1:7" x14ac:dyDescent="0.3">
      <c r="A3975" t="s">
        <v>26</v>
      </c>
      <c r="B3975" t="s">
        <v>23</v>
      </c>
      <c r="C3975" t="s">
        <v>14</v>
      </c>
      <c r="D3975">
        <v>75810</v>
      </c>
      <c r="E3975" t="s">
        <v>57</v>
      </c>
      <c r="F3975" t="s">
        <v>38</v>
      </c>
      <c r="G3975" t="s">
        <v>37</v>
      </c>
    </row>
    <row r="3976" spans="1:7" x14ac:dyDescent="0.3">
      <c r="A3976" t="s">
        <v>26</v>
      </c>
      <c r="B3976" t="s">
        <v>23</v>
      </c>
      <c r="C3976" t="s">
        <v>15</v>
      </c>
      <c r="D3976">
        <v>2384</v>
      </c>
      <c r="E3976" t="s">
        <v>57</v>
      </c>
      <c r="F3976" t="s">
        <v>38</v>
      </c>
      <c r="G3976" t="s">
        <v>37</v>
      </c>
    </row>
    <row r="3977" spans="1:7" x14ac:dyDescent="0.3">
      <c r="A3977" t="s">
        <v>26</v>
      </c>
      <c r="B3977" t="s">
        <v>23</v>
      </c>
      <c r="C3977" t="s">
        <v>16</v>
      </c>
      <c r="D3977">
        <v>24983</v>
      </c>
      <c r="E3977" t="s">
        <v>57</v>
      </c>
      <c r="F3977" t="s">
        <v>38</v>
      </c>
      <c r="G3977" t="s">
        <v>37</v>
      </c>
    </row>
    <row r="3978" spans="1:7" x14ac:dyDescent="0.3">
      <c r="A3978" t="s">
        <v>26</v>
      </c>
      <c r="B3978" t="s">
        <v>23</v>
      </c>
      <c r="C3978" t="s">
        <v>17</v>
      </c>
      <c r="D3978">
        <v>2567</v>
      </c>
      <c r="E3978" t="s">
        <v>57</v>
      </c>
      <c r="F3978" t="s">
        <v>38</v>
      </c>
      <c r="G3978" t="s">
        <v>37</v>
      </c>
    </row>
    <row r="3979" spans="1:7" x14ac:dyDescent="0.3">
      <c r="A3979" t="s">
        <v>26</v>
      </c>
      <c r="B3979" t="s">
        <v>23</v>
      </c>
      <c r="C3979" t="s">
        <v>18</v>
      </c>
      <c r="D3979">
        <v>0</v>
      </c>
      <c r="E3979" t="s">
        <v>57</v>
      </c>
      <c r="F3979" t="s">
        <v>38</v>
      </c>
      <c r="G3979" t="s">
        <v>37</v>
      </c>
    </row>
    <row r="3980" spans="1:7" x14ac:dyDescent="0.3">
      <c r="A3980" t="s">
        <v>26</v>
      </c>
      <c r="B3980" t="s">
        <v>23</v>
      </c>
      <c r="C3980" t="s">
        <v>19</v>
      </c>
      <c r="D3980">
        <v>10105</v>
      </c>
      <c r="E3980" t="s">
        <v>57</v>
      </c>
      <c r="F3980" t="s">
        <v>38</v>
      </c>
      <c r="G3980" t="s">
        <v>37</v>
      </c>
    </row>
    <row r="3981" spans="1:7" x14ac:dyDescent="0.3">
      <c r="A3981" t="s">
        <v>26</v>
      </c>
      <c r="B3981" t="s">
        <v>23</v>
      </c>
      <c r="C3981" t="s">
        <v>20</v>
      </c>
      <c r="D3981">
        <v>2811</v>
      </c>
      <c r="E3981" t="s">
        <v>57</v>
      </c>
      <c r="F3981" t="s">
        <v>38</v>
      </c>
      <c r="G3981" t="s">
        <v>37</v>
      </c>
    </row>
    <row r="3982" spans="1:7" x14ac:dyDescent="0.3">
      <c r="A3982" t="s">
        <v>26</v>
      </c>
      <c r="B3982" t="s">
        <v>23</v>
      </c>
      <c r="C3982" t="s">
        <v>21</v>
      </c>
      <c r="D3982">
        <v>1653</v>
      </c>
      <c r="E3982" t="s">
        <v>57</v>
      </c>
      <c r="F3982" t="s">
        <v>38</v>
      </c>
      <c r="G3982" t="s">
        <v>37</v>
      </c>
    </row>
    <row r="3983" spans="1:7" x14ac:dyDescent="0.3">
      <c r="A3983" t="s">
        <v>26</v>
      </c>
      <c r="B3983" t="s">
        <v>23</v>
      </c>
      <c r="C3983" t="s">
        <v>22</v>
      </c>
      <c r="D3983">
        <v>222112</v>
      </c>
      <c r="E3983" t="s">
        <v>57</v>
      </c>
      <c r="F3983" t="s">
        <v>38</v>
      </c>
      <c r="G3983" t="s">
        <v>37</v>
      </c>
    </row>
    <row r="3984" spans="1:7" x14ac:dyDescent="0.3">
      <c r="A3984" t="s">
        <v>27</v>
      </c>
      <c r="B3984" t="s">
        <v>8</v>
      </c>
      <c r="C3984" t="s">
        <v>9</v>
      </c>
      <c r="D3984">
        <v>2616</v>
      </c>
      <c r="E3984" t="s">
        <v>57</v>
      </c>
      <c r="F3984" t="s">
        <v>38</v>
      </c>
      <c r="G3984" t="s">
        <v>37</v>
      </c>
    </row>
    <row r="3985" spans="1:7" x14ac:dyDescent="0.3">
      <c r="A3985" t="s">
        <v>27</v>
      </c>
      <c r="B3985" t="s">
        <v>8</v>
      </c>
      <c r="C3985" t="s">
        <v>13</v>
      </c>
      <c r="D3985">
        <v>359</v>
      </c>
      <c r="E3985" t="s">
        <v>57</v>
      </c>
      <c r="F3985" t="s">
        <v>38</v>
      </c>
      <c r="G3985" t="s">
        <v>37</v>
      </c>
    </row>
    <row r="3986" spans="1:7" x14ac:dyDescent="0.3">
      <c r="A3986" t="s">
        <v>27</v>
      </c>
      <c r="B3986" t="s">
        <v>8</v>
      </c>
      <c r="C3986" t="s">
        <v>14</v>
      </c>
      <c r="D3986">
        <v>95573</v>
      </c>
      <c r="E3986" t="s">
        <v>57</v>
      </c>
      <c r="F3986" t="s">
        <v>38</v>
      </c>
      <c r="G3986" t="s">
        <v>37</v>
      </c>
    </row>
    <row r="3987" spans="1:7" x14ac:dyDescent="0.3">
      <c r="A3987" t="s">
        <v>27</v>
      </c>
      <c r="B3987" t="s">
        <v>8</v>
      </c>
      <c r="C3987" t="s">
        <v>15</v>
      </c>
      <c r="D3987">
        <v>118</v>
      </c>
      <c r="E3987" t="s">
        <v>57</v>
      </c>
      <c r="F3987" t="s">
        <v>38</v>
      </c>
      <c r="G3987" t="s">
        <v>37</v>
      </c>
    </row>
    <row r="3988" spans="1:7" x14ac:dyDescent="0.3">
      <c r="A3988" t="s">
        <v>27</v>
      </c>
      <c r="B3988" t="s">
        <v>8</v>
      </c>
      <c r="C3988" t="s">
        <v>16</v>
      </c>
      <c r="D3988">
        <v>446609</v>
      </c>
      <c r="E3988" t="s">
        <v>57</v>
      </c>
      <c r="F3988" t="s">
        <v>38</v>
      </c>
      <c r="G3988" t="s">
        <v>37</v>
      </c>
    </row>
    <row r="3989" spans="1:7" x14ac:dyDescent="0.3">
      <c r="A3989" t="s">
        <v>27</v>
      </c>
      <c r="B3989" t="s">
        <v>8</v>
      </c>
      <c r="C3989" t="s">
        <v>17</v>
      </c>
      <c r="D3989">
        <v>28094</v>
      </c>
      <c r="E3989" t="s">
        <v>57</v>
      </c>
      <c r="F3989" t="s">
        <v>38</v>
      </c>
      <c r="G3989" t="s">
        <v>37</v>
      </c>
    </row>
    <row r="3990" spans="1:7" x14ac:dyDescent="0.3">
      <c r="A3990" t="s">
        <v>27</v>
      </c>
      <c r="B3990" t="s">
        <v>8</v>
      </c>
      <c r="C3990" t="s">
        <v>18</v>
      </c>
      <c r="D3990">
        <v>0</v>
      </c>
      <c r="E3990" t="s">
        <v>57</v>
      </c>
      <c r="F3990" t="s">
        <v>38</v>
      </c>
      <c r="G3990" t="s">
        <v>37</v>
      </c>
    </row>
    <row r="3991" spans="1:7" x14ac:dyDescent="0.3">
      <c r="A3991" t="s">
        <v>27</v>
      </c>
      <c r="B3991" t="s">
        <v>8</v>
      </c>
      <c r="C3991" t="s">
        <v>19</v>
      </c>
      <c r="D3991">
        <v>20</v>
      </c>
      <c r="E3991" t="s">
        <v>57</v>
      </c>
      <c r="F3991" t="s">
        <v>38</v>
      </c>
      <c r="G3991" t="s">
        <v>37</v>
      </c>
    </row>
    <row r="3992" spans="1:7" x14ac:dyDescent="0.3">
      <c r="A3992" t="s">
        <v>27</v>
      </c>
      <c r="B3992" t="s">
        <v>8</v>
      </c>
      <c r="C3992" t="s">
        <v>20</v>
      </c>
      <c r="D3992">
        <v>416</v>
      </c>
      <c r="E3992" t="s">
        <v>57</v>
      </c>
      <c r="F3992" t="s">
        <v>38</v>
      </c>
      <c r="G3992" t="s">
        <v>37</v>
      </c>
    </row>
    <row r="3993" spans="1:7" x14ac:dyDescent="0.3">
      <c r="A3993" t="s">
        <v>27</v>
      </c>
      <c r="B3993" t="s">
        <v>8</v>
      </c>
      <c r="C3993" t="s">
        <v>21</v>
      </c>
      <c r="D3993">
        <v>384</v>
      </c>
      <c r="E3993" t="s">
        <v>57</v>
      </c>
      <c r="F3993" t="s">
        <v>38</v>
      </c>
      <c r="G3993" t="s">
        <v>37</v>
      </c>
    </row>
    <row r="3994" spans="1:7" x14ac:dyDescent="0.3">
      <c r="A3994" t="s">
        <v>27</v>
      </c>
      <c r="B3994" t="s">
        <v>8</v>
      </c>
      <c r="C3994" t="s">
        <v>22</v>
      </c>
      <c r="D3994">
        <v>16686</v>
      </c>
      <c r="E3994" t="s">
        <v>57</v>
      </c>
      <c r="F3994" t="s">
        <v>38</v>
      </c>
      <c r="G3994" t="s">
        <v>37</v>
      </c>
    </row>
    <row r="3995" spans="1:7" x14ac:dyDescent="0.3">
      <c r="A3995" t="s">
        <v>27</v>
      </c>
      <c r="B3995" t="s">
        <v>23</v>
      </c>
      <c r="C3995" t="s">
        <v>9</v>
      </c>
      <c r="D3995">
        <v>90775</v>
      </c>
      <c r="E3995" t="s">
        <v>57</v>
      </c>
      <c r="F3995" t="s">
        <v>38</v>
      </c>
      <c r="G3995" t="s">
        <v>37</v>
      </c>
    </row>
    <row r="3996" spans="1:7" x14ac:dyDescent="0.3">
      <c r="A3996" t="s">
        <v>27</v>
      </c>
      <c r="B3996" t="s">
        <v>23</v>
      </c>
      <c r="C3996" t="s">
        <v>13</v>
      </c>
      <c r="D3996">
        <v>238314</v>
      </c>
      <c r="E3996" t="s">
        <v>57</v>
      </c>
      <c r="F3996" t="s">
        <v>38</v>
      </c>
      <c r="G3996" t="s">
        <v>37</v>
      </c>
    </row>
    <row r="3997" spans="1:7" x14ac:dyDescent="0.3">
      <c r="A3997" t="s">
        <v>27</v>
      </c>
      <c r="B3997" t="s">
        <v>23</v>
      </c>
      <c r="C3997" t="s">
        <v>14</v>
      </c>
      <c r="D3997">
        <v>6548605</v>
      </c>
      <c r="E3997" t="s">
        <v>57</v>
      </c>
      <c r="F3997" t="s">
        <v>38</v>
      </c>
      <c r="G3997" t="s">
        <v>37</v>
      </c>
    </row>
    <row r="3998" spans="1:7" x14ac:dyDescent="0.3">
      <c r="A3998" t="s">
        <v>27</v>
      </c>
      <c r="B3998" t="s">
        <v>23</v>
      </c>
      <c r="C3998" t="s">
        <v>15</v>
      </c>
      <c r="D3998">
        <v>26823</v>
      </c>
      <c r="E3998" t="s">
        <v>57</v>
      </c>
      <c r="F3998" t="s">
        <v>38</v>
      </c>
      <c r="G3998" t="s">
        <v>37</v>
      </c>
    </row>
    <row r="3999" spans="1:7" x14ac:dyDescent="0.3">
      <c r="A3999" t="s">
        <v>27</v>
      </c>
      <c r="B3999" t="s">
        <v>23</v>
      </c>
      <c r="C3999" t="s">
        <v>16</v>
      </c>
      <c r="D3999">
        <v>13804326</v>
      </c>
      <c r="E3999" t="s">
        <v>57</v>
      </c>
      <c r="F3999" t="s">
        <v>38</v>
      </c>
      <c r="G3999" t="s">
        <v>37</v>
      </c>
    </row>
    <row r="4000" spans="1:7" x14ac:dyDescent="0.3">
      <c r="A4000" t="s">
        <v>27</v>
      </c>
      <c r="B4000" t="s">
        <v>23</v>
      </c>
      <c r="C4000" t="s">
        <v>17</v>
      </c>
      <c r="D4000">
        <v>1742135</v>
      </c>
      <c r="E4000" t="s">
        <v>57</v>
      </c>
      <c r="F4000" t="s">
        <v>38</v>
      </c>
      <c r="G4000" t="s">
        <v>37</v>
      </c>
    </row>
    <row r="4001" spans="1:7" x14ac:dyDescent="0.3">
      <c r="A4001" t="s">
        <v>27</v>
      </c>
      <c r="B4001" t="s">
        <v>23</v>
      </c>
      <c r="C4001" t="s">
        <v>18</v>
      </c>
      <c r="D4001">
        <v>88</v>
      </c>
      <c r="E4001" t="s">
        <v>57</v>
      </c>
      <c r="F4001" t="s">
        <v>38</v>
      </c>
      <c r="G4001" t="s">
        <v>37</v>
      </c>
    </row>
    <row r="4002" spans="1:7" x14ac:dyDescent="0.3">
      <c r="A4002" t="s">
        <v>27</v>
      </c>
      <c r="B4002" t="s">
        <v>23</v>
      </c>
      <c r="C4002" t="s">
        <v>19</v>
      </c>
      <c r="D4002">
        <v>61529</v>
      </c>
      <c r="E4002" t="s">
        <v>57</v>
      </c>
      <c r="F4002" t="s">
        <v>38</v>
      </c>
      <c r="G4002" t="s">
        <v>37</v>
      </c>
    </row>
    <row r="4003" spans="1:7" x14ac:dyDescent="0.3">
      <c r="A4003" t="s">
        <v>27</v>
      </c>
      <c r="B4003" t="s">
        <v>23</v>
      </c>
      <c r="C4003" t="s">
        <v>20</v>
      </c>
      <c r="D4003">
        <v>202712</v>
      </c>
      <c r="E4003" t="s">
        <v>57</v>
      </c>
      <c r="F4003" t="s">
        <v>38</v>
      </c>
      <c r="G4003" t="s">
        <v>37</v>
      </c>
    </row>
    <row r="4004" spans="1:7" x14ac:dyDescent="0.3">
      <c r="A4004" t="s">
        <v>27</v>
      </c>
      <c r="B4004" t="s">
        <v>23</v>
      </c>
      <c r="C4004" t="s">
        <v>21</v>
      </c>
      <c r="D4004">
        <v>20638</v>
      </c>
      <c r="E4004" t="s">
        <v>57</v>
      </c>
      <c r="F4004" t="s">
        <v>38</v>
      </c>
      <c r="G4004" t="s">
        <v>37</v>
      </c>
    </row>
    <row r="4005" spans="1:7" x14ac:dyDescent="0.3">
      <c r="A4005" t="s">
        <v>27</v>
      </c>
      <c r="B4005" t="s">
        <v>23</v>
      </c>
      <c r="C4005" t="s">
        <v>22</v>
      </c>
      <c r="D4005">
        <v>675396</v>
      </c>
      <c r="E4005" t="s">
        <v>57</v>
      </c>
      <c r="F4005" t="s">
        <v>38</v>
      </c>
      <c r="G4005" t="s">
        <v>37</v>
      </c>
    </row>
    <row r="4006" spans="1:7" x14ac:dyDescent="0.3">
      <c r="A4006" t="s">
        <v>63</v>
      </c>
      <c r="B4006" t="s">
        <v>8</v>
      </c>
      <c r="C4006" t="s">
        <v>9</v>
      </c>
      <c r="D4006">
        <v>71959</v>
      </c>
      <c r="E4006" t="s">
        <v>57</v>
      </c>
      <c r="F4006" t="s">
        <v>38</v>
      </c>
      <c r="G4006" t="s">
        <v>37</v>
      </c>
    </row>
    <row r="4007" spans="1:7" x14ac:dyDescent="0.3">
      <c r="A4007" t="s">
        <v>63</v>
      </c>
      <c r="B4007" t="s">
        <v>8</v>
      </c>
      <c r="C4007" t="s">
        <v>13</v>
      </c>
      <c r="D4007">
        <v>1286</v>
      </c>
      <c r="E4007" t="s">
        <v>57</v>
      </c>
      <c r="F4007" t="s">
        <v>38</v>
      </c>
      <c r="G4007" t="s">
        <v>37</v>
      </c>
    </row>
    <row r="4008" spans="1:7" x14ac:dyDescent="0.3">
      <c r="A4008" t="s">
        <v>63</v>
      </c>
      <c r="B4008" t="s">
        <v>8</v>
      </c>
      <c r="C4008" t="s">
        <v>14</v>
      </c>
      <c r="D4008">
        <v>2302</v>
      </c>
      <c r="E4008" t="s">
        <v>57</v>
      </c>
      <c r="F4008" t="s">
        <v>38</v>
      </c>
      <c r="G4008" t="s">
        <v>37</v>
      </c>
    </row>
    <row r="4009" spans="1:7" x14ac:dyDescent="0.3">
      <c r="A4009" t="s">
        <v>63</v>
      </c>
      <c r="B4009" t="s">
        <v>8</v>
      </c>
      <c r="C4009" t="s">
        <v>15</v>
      </c>
      <c r="D4009">
        <v>224</v>
      </c>
      <c r="E4009" t="s">
        <v>57</v>
      </c>
      <c r="F4009" t="s">
        <v>38</v>
      </c>
      <c r="G4009" t="s">
        <v>37</v>
      </c>
    </row>
    <row r="4010" spans="1:7" x14ac:dyDescent="0.3">
      <c r="A4010" t="s">
        <v>63</v>
      </c>
      <c r="B4010" t="s">
        <v>8</v>
      </c>
      <c r="C4010" t="s">
        <v>16</v>
      </c>
      <c r="D4010">
        <v>1398</v>
      </c>
      <c r="E4010" t="s">
        <v>57</v>
      </c>
      <c r="F4010" t="s">
        <v>38</v>
      </c>
      <c r="G4010" t="s">
        <v>37</v>
      </c>
    </row>
    <row r="4011" spans="1:7" x14ac:dyDescent="0.3">
      <c r="A4011" t="s">
        <v>63</v>
      </c>
      <c r="B4011" t="s">
        <v>8</v>
      </c>
      <c r="C4011" t="s">
        <v>17</v>
      </c>
      <c r="D4011">
        <v>4914</v>
      </c>
      <c r="E4011" t="s">
        <v>57</v>
      </c>
      <c r="F4011" t="s">
        <v>38</v>
      </c>
      <c r="G4011" t="s">
        <v>37</v>
      </c>
    </row>
    <row r="4012" spans="1:7" x14ac:dyDescent="0.3">
      <c r="A4012" t="s">
        <v>63</v>
      </c>
      <c r="B4012" t="s">
        <v>8</v>
      </c>
      <c r="C4012" t="s">
        <v>18</v>
      </c>
      <c r="D4012">
        <v>0</v>
      </c>
      <c r="E4012" t="s">
        <v>57</v>
      </c>
      <c r="F4012" t="s">
        <v>38</v>
      </c>
      <c r="G4012" t="s">
        <v>37</v>
      </c>
    </row>
    <row r="4013" spans="1:7" x14ac:dyDescent="0.3">
      <c r="A4013" t="s">
        <v>63</v>
      </c>
      <c r="B4013" t="s">
        <v>8</v>
      </c>
      <c r="C4013" t="s">
        <v>19</v>
      </c>
      <c r="D4013">
        <v>89</v>
      </c>
      <c r="E4013" t="s">
        <v>57</v>
      </c>
      <c r="F4013" t="s">
        <v>38</v>
      </c>
      <c r="G4013" t="s">
        <v>37</v>
      </c>
    </row>
    <row r="4014" spans="1:7" x14ac:dyDescent="0.3">
      <c r="A4014" t="s">
        <v>63</v>
      </c>
      <c r="B4014" t="s">
        <v>8</v>
      </c>
      <c r="C4014" t="s">
        <v>20</v>
      </c>
      <c r="D4014">
        <v>97</v>
      </c>
      <c r="E4014" t="s">
        <v>57</v>
      </c>
      <c r="F4014" t="s">
        <v>38</v>
      </c>
      <c r="G4014" t="s">
        <v>37</v>
      </c>
    </row>
    <row r="4015" spans="1:7" x14ac:dyDescent="0.3">
      <c r="A4015" t="s">
        <v>63</v>
      </c>
      <c r="B4015" t="s">
        <v>8</v>
      </c>
      <c r="C4015" t="s">
        <v>21</v>
      </c>
      <c r="D4015">
        <v>357</v>
      </c>
      <c r="E4015" t="s">
        <v>57</v>
      </c>
      <c r="F4015" t="s">
        <v>38</v>
      </c>
      <c r="G4015" t="s">
        <v>37</v>
      </c>
    </row>
    <row r="4016" spans="1:7" x14ac:dyDescent="0.3">
      <c r="A4016" t="s">
        <v>63</v>
      </c>
      <c r="B4016" t="s">
        <v>8</v>
      </c>
      <c r="C4016" t="s">
        <v>22</v>
      </c>
      <c r="D4016">
        <v>3504</v>
      </c>
      <c r="E4016" t="s">
        <v>57</v>
      </c>
      <c r="F4016" t="s">
        <v>38</v>
      </c>
      <c r="G4016" t="s">
        <v>37</v>
      </c>
    </row>
    <row r="4017" spans="1:7" x14ac:dyDescent="0.3">
      <c r="A4017" t="s">
        <v>63</v>
      </c>
      <c r="B4017" t="s">
        <v>23</v>
      </c>
      <c r="C4017" t="s">
        <v>9</v>
      </c>
      <c r="D4017">
        <v>5549096</v>
      </c>
      <c r="E4017" t="s">
        <v>57</v>
      </c>
      <c r="F4017" t="s">
        <v>38</v>
      </c>
      <c r="G4017" t="s">
        <v>37</v>
      </c>
    </row>
    <row r="4018" spans="1:7" x14ac:dyDescent="0.3">
      <c r="A4018" t="s">
        <v>63</v>
      </c>
      <c r="B4018" t="s">
        <v>23</v>
      </c>
      <c r="C4018" t="s">
        <v>13</v>
      </c>
      <c r="D4018">
        <v>249756</v>
      </c>
      <c r="E4018" t="s">
        <v>57</v>
      </c>
      <c r="F4018" t="s">
        <v>38</v>
      </c>
      <c r="G4018" t="s">
        <v>37</v>
      </c>
    </row>
    <row r="4019" spans="1:7" x14ac:dyDescent="0.3">
      <c r="A4019" t="s">
        <v>63</v>
      </c>
      <c r="B4019" t="s">
        <v>23</v>
      </c>
      <c r="C4019" t="s">
        <v>14</v>
      </c>
      <c r="D4019">
        <v>3029952</v>
      </c>
      <c r="E4019" t="s">
        <v>57</v>
      </c>
      <c r="F4019" t="s">
        <v>38</v>
      </c>
      <c r="G4019" t="s">
        <v>37</v>
      </c>
    </row>
    <row r="4020" spans="1:7" x14ac:dyDescent="0.3">
      <c r="A4020" t="s">
        <v>63</v>
      </c>
      <c r="B4020" t="s">
        <v>23</v>
      </c>
      <c r="C4020" t="s">
        <v>15</v>
      </c>
      <c r="D4020">
        <v>52315</v>
      </c>
      <c r="E4020" t="s">
        <v>57</v>
      </c>
      <c r="F4020" t="s">
        <v>38</v>
      </c>
      <c r="G4020" t="s">
        <v>37</v>
      </c>
    </row>
    <row r="4021" spans="1:7" x14ac:dyDescent="0.3">
      <c r="A4021" t="s">
        <v>63</v>
      </c>
      <c r="B4021" t="s">
        <v>23</v>
      </c>
      <c r="C4021" t="s">
        <v>16</v>
      </c>
      <c r="D4021">
        <v>1503555</v>
      </c>
      <c r="E4021" t="s">
        <v>57</v>
      </c>
      <c r="F4021" t="s">
        <v>38</v>
      </c>
      <c r="G4021" t="s">
        <v>37</v>
      </c>
    </row>
    <row r="4022" spans="1:7" x14ac:dyDescent="0.3">
      <c r="A4022" t="s">
        <v>63</v>
      </c>
      <c r="B4022" t="s">
        <v>23</v>
      </c>
      <c r="C4022" t="s">
        <v>17</v>
      </c>
      <c r="D4022">
        <v>102004</v>
      </c>
      <c r="E4022" t="s">
        <v>57</v>
      </c>
      <c r="F4022" t="s">
        <v>38</v>
      </c>
      <c r="G4022" t="s">
        <v>37</v>
      </c>
    </row>
    <row r="4023" spans="1:7" x14ac:dyDescent="0.3">
      <c r="A4023" t="s">
        <v>63</v>
      </c>
      <c r="B4023" t="s">
        <v>23</v>
      </c>
      <c r="C4023" t="s">
        <v>18</v>
      </c>
      <c r="D4023">
        <v>0</v>
      </c>
      <c r="E4023" t="s">
        <v>57</v>
      </c>
      <c r="F4023" t="s">
        <v>38</v>
      </c>
      <c r="G4023" t="s">
        <v>37</v>
      </c>
    </row>
    <row r="4024" spans="1:7" x14ac:dyDescent="0.3">
      <c r="A4024" t="s">
        <v>63</v>
      </c>
      <c r="B4024" t="s">
        <v>23</v>
      </c>
      <c r="C4024" t="s">
        <v>19</v>
      </c>
      <c r="D4024">
        <v>100672</v>
      </c>
      <c r="E4024" t="s">
        <v>57</v>
      </c>
      <c r="F4024" t="s">
        <v>38</v>
      </c>
      <c r="G4024" t="s">
        <v>37</v>
      </c>
    </row>
    <row r="4025" spans="1:7" x14ac:dyDescent="0.3">
      <c r="A4025" t="s">
        <v>63</v>
      </c>
      <c r="B4025" t="s">
        <v>23</v>
      </c>
      <c r="C4025" t="s">
        <v>20</v>
      </c>
      <c r="D4025">
        <v>57601</v>
      </c>
      <c r="E4025" t="s">
        <v>57</v>
      </c>
      <c r="F4025" t="s">
        <v>38</v>
      </c>
      <c r="G4025" t="s">
        <v>37</v>
      </c>
    </row>
    <row r="4026" spans="1:7" x14ac:dyDescent="0.3">
      <c r="A4026" t="s">
        <v>63</v>
      </c>
      <c r="B4026" t="s">
        <v>23</v>
      </c>
      <c r="C4026" t="s">
        <v>21</v>
      </c>
      <c r="D4026">
        <v>55646</v>
      </c>
      <c r="E4026" t="s">
        <v>57</v>
      </c>
      <c r="F4026" t="s">
        <v>38</v>
      </c>
      <c r="G4026" t="s">
        <v>37</v>
      </c>
    </row>
    <row r="4027" spans="1:7" x14ac:dyDescent="0.3">
      <c r="A4027" t="s">
        <v>63</v>
      </c>
      <c r="B4027" t="s">
        <v>23</v>
      </c>
      <c r="C4027" t="s">
        <v>22</v>
      </c>
      <c r="D4027">
        <v>26636</v>
      </c>
      <c r="E4027" t="s">
        <v>57</v>
      </c>
      <c r="F4027" t="s">
        <v>38</v>
      </c>
      <c r="G4027" t="s">
        <v>37</v>
      </c>
    </row>
    <row r="4028" spans="1:7" x14ac:dyDescent="0.3">
      <c r="A4028" t="s">
        <v>52</v>
      </c>
      <c r="B4028" t="s">
        <v>8</v>
      </c>
      <c r="C4028" t="s">
        <v>9</v>
      </c>
      <c r="D4028">
        <v>21490</v>
      </c>
      <c r="E4028" t="s">
        <v>57</v>
      </c>
      <c r="F4028" t="s">
        <v>38</v>
      </c>
      <c r="G4028" t="s">
        <v>37</v>
      </c>
    </row>
    <row r="4029" spans="1:7" x14ac:dyDescent="0.3">
      <c r="A4029" t="s">
        <v>52</v>
      </c>
      <c r="B4029" t="s">
        <v>8</v>
      </c>
      <c r="C4029" t="s">
        <v>13</v>
      </c>
      <c r="D4029">
        <v>384</v>
      </c>
      <c r="E4029" t="s">
        <v>57</v>
      </c>
      <c r="F4029" t="s">
        <v>38</v>
      </c>
      <c r="G4029" t="s">
        <v>37</v>
      </c>
    </row>
    <row r="4030" spans="1:7" x14ac:dyDescent="0.3">
      <c r="A4030" t="s">
        <v>52</v>
      </c>
      <c r="B4030" t="s">
        <v>8</v>
      </c>
      <c r="C4030" t="s">
        <v>14</v>
      </c>
      <c r="D4030">
        <v>687</v>
      </c>
      <c r="E4030" t="s">
        <v>57</v>
      </c>
      <c r="F4030" t="s">
        <v>38</v>
      </c>
      <c r="G4030" t="s">
        <v>37</v>
      </c>
    </row>
    <row r="4031" spans="1:7" x14ac:dyDescent="0.3">
      <c r="A4031" t="s">
        <v>52</v>
      </c>
      <c r="B4031" t="s">
        <v>8</v>
      </c>
      <c r="C4031" t="s">
        <v>15</v>
      </c>
      <c r="D4031">
        <v>67</v>
      </c>
      <c r="E4031" t="s">
        <v>57</v>
      </c>
      <c r="F4031" t="s">
        <v>38</v>
      </c>
      <c r="G4031" t="s">
        <v>37</v>
      </c>
    </row>
    <row r="4032" spans="1:7" x14ac:dyDescent="0.3">
      <c r="A4032" t="s">
        <v>52</v>
      </c>
      <c r="B4032" t="s">
        <v>8</v>
      </c>
      <c r="C4032" t="s">
        <v>16</v>
      </c>
      <c r="D4032">
        <v>418</v>
      </c>
      <c r="E4032" t="s">
        <v>57</v>
      </c>
      <c r="F4032" t="s">
        <v>38</v>
      </c>
      <c r="G4032" t="s">
        <v>37</v>
      </c>
    </row>
    <row r="4033" spans="1:7" x14ac:dyDescent="0.3">
      <c r="A4033" t="s">
        <v>52</v>
      </c>
      <c r="B4033" t="s">
        <v>8</v>
      </c>
      <c r="C4033" t="s">
        <v>17</v>
      </c>
      <c r="D4033">
        <v>1467</v>
      </c>
      <c r="E4033" t="s">
        <v>57</v>
      </c>
      <c r="F4033" t="s">
        <v>38</v>
      </c>
      <c r="G4033" t="s">
        <v>37</v>
      </c>
    </row>
    <row r="4034" spans="1:7" x14ac:dyDescent="0.3">
      <c r="A4034" t="s">
        <v>52</v>
      </c>
      <c r="B4034" t="s">
        <v>8</v>
      </c>
      <c r="C4034" t="s">
        <v>18</v>
      </c>
      <c r="D4034">
        <v>0</v>
      </c>
      <c r="E4034" t="s">
        <v>57</v>
      </c>
      <c r="F4034" t="s">
        <v>38</v>
      </c>
      <c r="G4034" t="s">
        <v>37</v>
      </c>
    </row>
    <row r="4035" spans="1:7" x14ac:dyDescent="0.3">
      <c r="A4035" t="s">
        <v>52</v>
      </c>
      <c r="B4035" t="s">
        <v>8</v>
      </c>
      <c r="C4035" t="s">
        <v>19</v>
      </c>
      <c r="D4035">
        <v>27</v>
      </c>
      <c r="E4035" t="s">
        <v>57</v>
      </c>
      <c r="F4035" t="s">
        <v>38</v>
      </c>
      <c r="G4035" t="s">
        <v>37</v>
      </c>
    </row>
    <row r="4036" spans="1:7" x14ac:dyDescent="0.3">
      <c r="A4036" t="s">
        <v>52</v>
      </c>
      <c r="B4036" t="s">
        <v>8</v>
      </c>
      <c r="C4036" t="s">
        <v>20</v>
      </c>
      <c r="D4036">
        <v>29</v>
      </c>
      <c r="E4036" t="s">
        <v>57</v>
      </c>
      <c r="F4036" t="s">
        <v>38</v>
      </c>
      <c r="G4036" t="s">
        <v>37</v>
      </c>
    </row>
    <row r="4037" spans="1:7" x14ac:dyDescent="0.3">
      <c r="A4037" t="s">
        <v>52</v>
      </c>
      <c r="B4037" t="s">
        <v>8</v>
      </c>
      <c r="C4037" t="s">
        <v>21</v>
      </c>
      <c r="D4037">
        <v>107</v>
      </c>
      <c r="E4037" t="s">
        <v>57</v>
      </c>
      <c r="F4037" t="s">
        <v>38</v>
      </c>
      <c r="G4037" t="s">
        <v>37</v>
      </c>
    </row>
    <row r="4038" spans="1:7" x14ac:dyDescent="0.3">
      <c r="A4038" t="s">
        <v>52</v>
      </c>
      <c r="B4038" t="s">
        <v>8</v>
      </c>
      <c r="C4038" t="s">
        <v>22</v>
      </c>
      <c r="D4038">
        <v>1047</v>
      </c>
      <c r="E4038" t="s">
        <v>57</v>
      </c>
      <c r="F4038" t="s">
        <v>38</v>
      </c>
      <c r="G4038" t="s">
        <v>37</v>
      </c>
    </row>
    <row r="4039" spans="1:7" x14ac:dyDescent="0.3">
      <c r="A4039" t="s">
        <v>52</v>
      </c>
      <c r="B4039" t="s">
        <v>23</v>
      </c>
      <c r="C4039" t="s">
        <v>9</v>
      </c>
      <c r="D4039">
        <v>1657196</v>
      </c>
      <c r="E4039" t="s">
        <v>57</v>
      </c>
      <c r="F4039" t="s">
        <v>38</v>
      </c>
      <c r="G4039" t="s">
        <v>37</v>
      </c>
    </row>
    <row r="4040" spans="1:7" x14ac:dyDescent="0.3">
      <c r="A4040" t="s">
        <v>52</v>
      </c>
      <c r="B4040" t="s">
        <v>23</v>
      </c>
      <c r="C4040" t="s">
        <v>13</v>
      </c>
      <c r="D4040">
        <v>74588</v>
      </c>
      <c r="E4040" t="s">
        <v>57</v>
      </c>
      <c r="F4040" t="s">
        <v>38</v>
      </c>
      <c r="G4040" t="s">
        <v>37</v>
      </c>
    </row>
    <row r="4041" spans="1:7" x14ac:dyDescent="0.3">
      <c r="A4041" t="s">
        <v>52</v>
      </c>
      <c r="B4041" t="s">
        <v>23</v>
      </c>
      <c r="C4041" t="s">
        <v>14</v>
      </c>
      <c r="D4041">
        <v>904872</v>
      </c>
      <c r="E4041" t="s">
        <v>57</v>
      </c>
      <c r="F4041" t="s">
        <v>38</v>
      </c>
      <c r="G4041" t="s">
        <v>37</v>
      </c>
    </row>
    <row r="4042" spans="1:7" x14ac:dyDescent="0.3">
      <c r="A4042" t="s">
        <v>52</v>
      </c>
      <c r="B4042" t="s">
        <v>23</v>
      </c>
      <c r="C4042" t="s">
        <v>15</v>
      </c>
      <c r="D4042">
        <v>15624</v>
      </c>
      <c r="E4042" t="s">
        <v>57</v>
      </c>
      <c r="F4042" t="s">
        <v>38</v>
      </c>
      <c r="G4042" t="s">
        <v>37</v>
      </c>
    </row>
    <row r="4043" spans="1:7" x14ac:dyDescent="0.3">
      <c r="A4043" t="s">
        <v>52</v>
      </c>
      <c r="B4043" t="s">
        <v>23</v>
      </c>
      <c r="C4043" t="s">
        <v>16</v>
      </c>
      <c r="D4043">
        <v>449026</v>
      </c>
      <c r="E4043" t="s">
        <v>57</v>
      </c>
      <c r="F4043" t="s">
        <v>38</v>
      </c>
      <c r="G4043" t="s">
        <v>37</v>
      </c>
    </row>
    <row r="4044" spans="1:7" x14ac:dyDescent="0.3">
      <c r="A4044" t="s">
        <v>52</v>
      </c>
      <c r="B4044" t="s">
        <v>23</v>
      </c>
      <c r="C4044" t="s">
        <v>17</v>
      </c>
      <c r="D4044">
        <v>30463</v>
      </c>
      <c r="E4044" t="s">
        <v>57</v>
      </c>
      <c r="F4044" t="s">
        <v>38</v>
      </c>
      <c r="G4044" t="s">
        <v>37</v>
      </c>
    </row>
    <row r="4045" spans="1:7" x14ac:dyDescent="0.3">
      <c r="A4045" t="s">
        <v>52</v>
      </c>
      <c r="B4045" t="s">
        <v>23</v>
      </c>
      <c r="C4045" t="s">
        <v>18</v>
      </c>
      <c r="D4045">
        <v>0</v>
      </c>
      <c r="E4045" t="s">
        <v>57</v>
      </c>
      <c r="F4045" t="s">
        <v>38</v>
      </c>
      <c r="G4045" t="s">
        <v>37</v>
      </c>
    </row>
    <row r="4046" spans="1:7" x14ac:dyDescent="0.3">
      <c r="A4046" t="s">
        <v>52</v>
      </c>
      <c r="B4046" t="s">
        <v>23</v>
      </c>
      <c r="C4046" t="s">
        <v>19</v>
      </c>
      <c r="D4046">
        <v>30065</v>
      </c>
      <c r="E4046" t="s">
        <v>57</v>
      </c>
      <c r="F4046" t="s">
        <v>38</v>
      </c>
      <c r="G4046" t="s">
        <v>37</v>
      </c>
    </row>
    <row r="4047" spans="1:7" x14ac:dyDescent="0.3">
      <c r="A4047" t="s">
        <v>52</v>
      </c>
      <c r="B4047" t="s">
        <v>23</v>
      </c>
      <c r="C4047" t="s">
        <v>20</v>
      </c>
      <c r="D4047">
        <v>17202</v>
      </c>
      <c r="E4047" t="s">
        <v>57</v>
      </c>
      <c r="F4047" t="s">
        <v>38</v>
      </c>
      <c r="G4047" t="s">
        <v>37</v>
      </c>
    </row>
    <row r="4048" spans="1:7" x14ac:dyDescent="0.3">
      <c r="A4048" t="s">
        <v>52</v>
      </c>
      <c r="B4048" t="s">
        <v>23</v>
      </c>
      <c r="C4048" t="s">
        <v>21</v>
      </c>
      <c r="D4048">
        <v>16618</v>
      </c>
      <c r="E4048" t="s">
        <v>57</v>
      </c>
      <c r="F4048" t="s">
        <v>38</v>
      </c>
      <c r="G4048" t="s">
        <v>37</v>
      </c>
    </row>
    <row r="4049" spans="1:7" x14ac:dyDescent="0.3">
      <c r="A4049" t="s">
        <v>52</v>
      </c>
      <c r="B4049" t="s">
        <v>23</v>
      </c>
      <c r="C4049" t="s">
        <v>22</v>
      </c>
      <c r="D4049">
        <v>7955</v>
      </c>
      <c r="E4049" t="s">
        <v>57</v>
      </c>
      <c r="F4049" t="s">
        <v>38</v>
      </c>
      <c r="G4049" t="s">
        <v>37</v>
      </c>
    </row>
    <row r="4050" spans="1:7" x14ac:dyDescent="0.3">
      <c r="A4050" t="s">
        <v>64</v>
      </c>
      <c r="B4050" t="s">
        <v>8</v>
      </c>
      <c r="C4050" t="s">
        <v>9</v>
      </c>
      <c r="D4050">
        <v>559</v>
      </c>
      <c r="E4050" t="s">
        <v>57</v>
      </c>
      <c r="F4050" t="s">
        <v>38</v>
      </c>
      <c r="G4050" t="s">
        <v>37</v>
      </c>
    </row>
    <row r="4051" spans="1:7" x14ac:dyDescent="0.3">
      <c r="A4051" t="s">
        <v>64</v>
      </c>
      <c r="B4051" t="s">
        <v>8</v>
      </c>
      <c r="C4051" t="s">
        <v>13</v>
      </c>
      <c r="D4051">
        <v>12</v>
      </c>
      <c r="E4051" t="s">
        <v>57</v>
      </c>
      <c r="F4051" t="s">
        <v>38</v>
      </c>
      <c r="G4051" t="s">
        <v>37</v>
      </c>
    </row>
    <row r="4052" spans="1:7" x14ac:dyDescent="0.3">
      <c r="A4052" t="s">
        <v>64</v>
      </c>
      <c r="B4052" t="s">
        <v>8</v>
      </c>
      <c r="C4052" t="s">
        <v>14</v>
      </c>
      <c r="D4052">
        <v>3755</v>
      </c>
      <c r="E4052" t="s">
        <v>57</v>
      </c>
      <c r="F4052" t="s">
        <v>38</v>
      </c>
      <c r="G4052" t="s">
        <v>37</v>
      </c>
    </row>
    <row r="4053" spans="1:7" x14ac:dyDescent="0.3">
      <c r="A4053" t="s">
        <v>64</v>
      </c>
      <c r="B4053" t="s">
        <v>8</v>
      </c>
      <c r="C4053" t="s">
        <v>15</v>
      </c>
      <c r="D4053">
        <v>13</v>
      </c>
      <c r="E4053" t="s">
        <v>57</v>
      </c>
      <c r="F4053" t="s">
        <v>38</v>
      </c>
      <c r="G4053" t="s">
        <v>37</v>
      </c>
    </row>
    <row r="4054" spans="1:7" x14ac:dyDescent="0.3">
      <c r="A4054" t="s">
        <v>64</v>
      </c>
      <c r="B4054" t="s">
        <v>8</v>
      </c>
      <c r="C4054" t="s">
        <v>16</v>
      </c>
      <c r="D4054">
        <v>99577</v>
      </c>
      <c r="E4054" t="s">
        <v>57</v>
      </c>
      <c r="F4054" t="s">
        <v>38</v>
      </c>
      <c r="G4054" t="s">
        <v>37</v>
      </c>
    </row>
    <row r="4055" spans="1:7" x14ac:dyDescent="0.3">
      <c r="A4055" t="s">
        <v>64</v>
      </c>
      <c r="B4055" t="s">
        <v>8</v>
      </c>
      <c r="C4055" t="s">
        <v>17</v>
      </c>
      <c r="D4055">
        <v>973</v>
      </c>
      <c r="E4055" t="s">
        <v>57</v>
      </c>
      <c r="F4055" t="s">
        <v>38</v>
      </c>
      <c r="G4055" t="s">
        <v>37</v>
      </c>
    </row>
    <row r="4056" spans="1:7" x14ac:dyDescent="0.3">
      <c r="A4056" t="s">
        <v>64</v>
      </c>
      <c r="B4056" t="s">
        <v>8</v>
      </c>
      <c r="C4056" t="s">
        <v>18</v>
      </c>
      <c r="D4056">
        <v>0</v>
      </c>
      <c r="E4056" t="s">
        <v>57</v>
      </c>
      <c r="F4056" t="s">
        <v>38</v>
      </c>
      <c r="G4056" t="s">
        <v>37</v>
      </c>
    </row>
    <row r="4057" spans="1:7" x14ac:dyDescent="0.3">
      <c r="A4057" t="s">
        <v>64</v>
      </c>
      <c r="B4057" t="s">
        <v>8</v>
      </c>
      <c r="C4057" t="s">
        <v>19</v>
      </c>
      <c r="D4057">
        <v>2</v>
      </c>
      <c r="E4057" t="s">
        <v>57</v>
      </c>
      <c r="F4057" t="s">
        <v>38</v>
      </c>
      <c r="G4057" t="s">
        <v>37</v>
      </c>
    </row>
    <row r="4058" spans="1:7" x14ac:dyDescent="0.3">
      <c r="A4058" t="s">
        <v>64</v>
      </c>
      <c r="B4058" t="s">
        <v>8</v>
      </c>
      <c r="C4058" t="s">
        <v>20</v>
      </c>
      <c r="D4058">
        <v>75</v>
      </c>
      <c r="E4058" t="s">
        <v>57</v>
      </c>
      <c r="F4058" t="s">
        <v>38</v>
      </c>
      <c r="G4058" t="s">
        <v>37</v>
      </c>
    </row>
    <row r="4059" spans="1:7" x14ac:dyDescent="0.3">
      <c r="A4059" t="s">
        <v>64</v>
      </c>
      <c r="B4059" t="s">
        <v>8</v>
      </c>
      <c r="C4059" t="s">
        <v>21</v>
      </c>
      <c r="D4059">
        <v>15</v>
      </c>
      <c r="E4059" t="s">
        <v>57</v>
      </c>
      <c r="F4059" t="s">
        <v>38</v>
      </c>
      <c r="G4059" t="s">
        <v>37</v>
      </c>
    </row>
    <row r="4060" spans="1:7" x14ac:dyDescent="0.3">
      <c r="A4060" t="s">
        <v>64</v>
      </c>
      <c r="B4060" t="s">
        <v>8</v>
      </c>
      <c r="C4060" t="s">
        <v>22</v>
      </c>
      <c r="D4060">
        <v>233</v>
      </c>
      <c r="E4060" t="s">
        <v>57</v>
      </c>
      <c r="F4060" t="s">
        <v>38</v>
      </c>
      <c r="G4060" t="s">
        <v>37</v>
      </c>
    </row>
    <row r="4061" spans="1:7" x14ac:dyDescent="0.3">
      <c r="A4061" t="s">
        <v>64</v>
      </c>
      <c r="B4061" t="s">
        <v>23</v>
      </c>
      <c r="C4061" t="s">
        <v>9</v>
      </c>
      <c r="D4061">
        <v>2579</v>
      </c>
      <c r="E4061" t="s">
        <v>57</v>
      </c>
      <c r="F4061" t="s">
        <v>38</v>
      </c>
      <c r="G4061" t="s">
        <v>37</v>
      </c>
    </row>
    <row r="4062" spans="1:7" x14ac:dyDescent="0.3">
      <c r="A4062" t="s">
        <v>64</v>
      </c>
      <c r="B4062" t="s">
        <v>23</v>
      </c>
      <c r="C4062" t="s">
        <v>13</v>
      </c>
      <c r="D4062">
        <v>4684</v>
      </c>
      <c r="E4062" t="s">
        <v>57</v>
      </c>
      <c r="F4062" t="s">
        <v>38</v>
      </c>
      <c r="G4062" t="s">
        <v>37</v>
      </c>
    </row>
    <row r="4063" spans="1:7" x14ac:dyDescent="0.3">
      <c r="A4063" t="s">
        <v>64</v>
      </c>
      <c r="B4063" t="s">
        <v>23</v>
      </c>
      <c r="C4063" t="s">
        <v>14</v>
      </c>
      <c r="D4063">
        <v>14172</v>
      </c>
      <c r="E4063" t="s">
        <v>57</v>
      </c>
      <c r="F4063" t="s">
        <v>38</v>
      </c>
      <c r="G4063" t="s">
        <v>37</v>
      </c>
    </row>
    <row r="4064" spans="1:7" x14ac:dyDescent="0.3">
      <c r="A4064" t="s">
        <v>64</v>
      </c>
      <c r="B4064" t="s">
        <v>23</v>
      </c>
      <c r="C4064" t="s">
        <v>15</v>
      </c>
      <c r="D4064">
        <v>475</v>
      </c>
      <c r="E4064" t="s">
        <v>57</v>
      </c>
      <c r="F4064" t="s">
        <v>38</v>
      </c>
      <c r="G4064" t="s">
        <v>37</v>
      </c>
    </row>
    <row r="4065" spans="1:7" x14ac:dyDescent="0.3">
      <c r="A4065" t="s">
        <v>64</v>
      </c>
      <c r="B4065" t="s">
        <v>23</v>
      </c>
      <c r="C4065" t="s">
        <v>16</v>
      </c>
      <c r="D4065">
        <v>2930071</v>
      </c>
      <c r="E4065" t="s">
        <v>57</v>
      </c>
      <c r="F4065" t="s">
        <v>38</v>
      </c>
      <c r="G4065" t="s">
        <v>37</v>
      </c>
    </row>
    <row r="4066" spans="1:7" x14ac:dyDescent="0.3">
      <c r="A4066" t="s">
        <v>64</v>
      </c>
      <c r="B4066" t="s">
        <v>23</v>
      </c>
      <c r="C4066" t="s">
        <v>17</v>
      </c>
      <c r="D4066">
        <v>593</v>
      </c>
      <c r="E4066" t="s">
        <v>57</v>
      </c>
      <c r="F4066" t="s">
        <v>38</v>
      </c>
      <c r="G4066" t="s">
        <v>37</v>
      </c>
    </row>
    <row r="4067" spans="1:7" x14ac:dyDescent="0.3">
      <c r="A4067" t="s">
        <v>64</v>
      </c>
      <c r="B4067" t="s">
        <v>23</v>
      </c>
      <c r="C4067" t="s">
        <v>18</v>
      </c>
      <c r="D4067">
        <v>19</v>
      </c>
      <c r="E4067" t="s">
        <v>57</v>
      </c>
      <c r="F4067" t="s">
        <v>38</v>
      </c>
      <c r="G4067" t="s">
        <v>37</v>
      </c>
    </row>
    <row r="4068" spans="1:7" x14ac:dyDescent="0.3">
      <c r="A4068" t="s">
        <v>64</v>
      </c>
      <c r="B4068" t="s">
        <v>23</v>
      </c>
      <c r="C4068" t="s">
        <v>19</v>
      </c>
      <c r="D4068">
        <v>927</v>
      </c>
      <c r="E4068" t="s">
        <v>57</v>
      </c>
      <c r="F4068" t="s">
        <v>38</v>
      </c>
      <c r="G4068" t="s">
        <v>37</v>
      </c>
    </row>
    <row r="4069" spans="1:7" x14ac:dyDescent="0.3">
      <c r="A4069" t="s">
        <v>64</v>
      </c>
      <c r="B4069" t="s">
        <v>23</v>
      </c>
      <c r="C4069" t="s">
        <v>20</v>
      </c>
      <c r="D4069">
        <v>38468</v>
      </c>
      <c r="E4069" t="s">
        <v>57</v>
      </c>
      <c r="F4069" t="s">
        <v>38</v>
      </c>
      <c r="G4069" t="s">
        <v>37</v>
      </c>
    </row>
    <row r="4070" spans="1:7" x14ac:dyDescent="0.3">
      <c r="A4070" t="s">
        <v>64</v>
      </c>
      <c r="B4070" t="s">
        <v>23</v>
      </c>
      <c r="C4070" t="s">
        <v>21</v>
      </c>
      <c r="D4070">
        <v>1103</v>
      </c>
      <c r="E4070" t="s">
        <v>57</v>
      </c>
      <c r="F4070" t="s">
        <v>38</v>
      </c>
      <c r="G4070" t="s">
        <v>37</v>
      </c>
    </row>
    <row r="4071" spans="1:7" x14ac:dyDescent="0.3">
      <c r="A4071" t="s">
        <v>64</v>
      </c>
      <c r="B4071" t="s">
        <v>23</v>
      </c>
      <c r="C4071" t="s">
        <v>22</v>
      </c>
      <c r="D4071">
        <v>5674</v>
      </c>
      <c r="E4071" t="s">
        <v>57</v>
      </c>
      <c r="F4071" t="s">
        <v>38</v>
      </c>
      <c r="G4071" t="s">
        <v>37</v>
      </c>
    </row>
    <row r="4072" spans="1:7" x14ac:dyDescent="0.3">
      <c r="A4072" t="s">
        <v>32</v>
      </c>
      <c r="B4072" t="s">
        <v>8</v>
      </c>
      <c r="C4072" t="s">
        <v>9</v>
      </c>
      <c r="D4072">
        <v>817</v>
      </c>
      <c r="E4072" t="s">
        <v>57</v>
      </c>
      <c r="F4072" t="s">
        <v>38</v>
      </c>
      <c r="G4072" t="s">
        <v>37</v>
      </c>
    </row>
    <row r="4073" spans="1:7" x14ac:dyDescent="0.3">
      <c r="A4073" t="s">
        <v>32</v>
      </c>
      <c r="B4073" t="s">
        <v>8</v>
      </c>
      <c r="C4073" t="s">
        <v>13</v>
      </c>
      <c r="D4073">
        <v>2126</v>
      </c>
      <c r="E4073" t="s">
        <v>57</v>
      </c>
      <c r="F4073" t="s">
        <v>38</v>
      </c>
      <c r="G4073" t="s">
        <v>37</v>
      </c>
    </row>
    <row r="4074" spans="1:7" x14ac:dyDescent="0.3">
      <c r="A4074" t="s">
        <v>32</v>
      </c>
      <c r="B4074" t="s">
        <v>8</v>
      </c>
      <c r="C4074" t="s">
        <v>14</v>
      </c>
      <c r="D4074">
        <v>2103</v>
      </c>
      <c r="E4074" t="s">
        <v>57</v>
      </c>
      <c r="F4074" t="s">
        <v>38</v>
      </c>
      <c r="G4074" t="s">
        <v>37</v>
      </c>
    </row>
    <row r="4075" spans="1:7" x14ac:dyDescent="0.3">
      <c r="A4075" t="s">
        <v>32</v>
      </c>
      <c r="B4075" t="s">
        <v>8</v>
      </c>
      <c r="C4075" t="s">
        <v>15</v>
      </c>
      <c r="D4075">
        <v>155</v>
      </c>
      <c r="E4075" t="s">
        <v>57</v>
      </c>
      <c r="F4075" t="s">
        <v>38</v>
      </c>
      <c r="G4075" t="s">
        <v>37</v>
      </c>
    </row>
    <row r="4076" spans="1:7" x14ac:dyDescent="0.3">
      <c r="A4076" t="s">
        <v>32</v>
      </c>
      <c r="B4076" t="s">
        <v>8</v>
      </c>
      <c r="C4076" t="s">
        <v>16</v>
      </c>
      <c r="D4076">
        <v>2838</v>
      </c>
      <c r="E4076" t="s">
        <v>57</v>
      </c>
      <c r="F4076" t="s">
        <v>38</v>
      </c>
      <c r="G4076" t="s">
        <v>37</v>
      </c>
    </row>
    <row r="4077" spans="1:7" x14ac:dyDescent="0.3">
      <c r="A4077" t="s">
        <v>32</v>
      </c>
      <c r="B4077" t="s">
        <v>8</v>
      </c>
      <c r="C4077" t="s">
        <v>17</v>
      </c>
      <c r="D4077">
        <v>481</v>
      </c>
      <c r="E4077" t="s">
        <v>57</v>
      </c>
      <c r="F4077" t="s">
        <v>38</v>
      </c>
      <c r="G4077" t="s">
        <v>37</v>
      </c>
    </row>
    <row r="4078" spans="1:7" x14ac:dyDescent="0.3">
      <c r="A4078" t="s">
        <v>32</v>
      </c>
      <c r="B4078" t="s">
        <v>8</v>
      </c>
      <c r="C4078" t="s">
        <v>18</v>
      </c>
      <c r="D4078">
        <v>0</v>
      </c>
      <c r="E4078" t="s">
        <v>57</v>
      </c>
      <c r="F4078" t="s">
        <v>38</v>
      </c>
      <c r="G4078" t="s">
        <v>37</v>
      </c>
    </row>
    <row r="4079" spans="1:7" x14ac:dyDescent="0.3">
      <c r="A4079" t="s">
        <v>32</v>
      </c>
      <c r="B4079" t="s">
        <v>8</v>
      </c>
      <c r="C4079" t="s">
        <v>19</v>
      </c>
      <c r="D4079">
        <v>29</v>
      </c>
      <c r="E4079" t="s">
        <v>57</v>
      </c>
      <c r="F4079" t="s">
        <v>38</v>
      </c>
      <c r="G4079" t="s">
        <v>37</v>
      </c>
    </row>
    <row r="4080" spans="1:7" x14ac:dyDescent="0.3">
      <c r="A4080" t="s">
        <v>32</v>
      </c>
      <c r="B4080" t="s">
        <v>8</v>
      </c>
      <c r="C4080" t="s">
        <v>20</v>
      </c>
      <c r="D4080">
        <v>452</v>
      </c>
      <c r="E4080" t="s">
        <v>57</v>
      </c>
      <c r="F4080" t="s">
        <v>38</v>
      </c>
      <c r="G4080" t="s">
        <v>37</v>
      </c>
    </row>
    <row r="4081" spans="1:7" x14ac:dyDescent="0.3">
      <c r="A4081" t="s">
        <v>32</v>
      </c>
      <c r="B4081" t="s">
        <v>8</v>
      </c>
      <c r="C4081" t="s">
        <v>21</v>
      </c>
      <c r="D4081">
        <v>2579</v>
      </c>
      <c r="E4081" t="s">
        <v>57</v>
      </c>
      <c r="F4081" t="s">
        <v>38</v>
      </c>
      <c r="G4081" t="s">
        <v>37</v>
      </c>
    </row>
    <row r="4082" spans="1:7" x14ac:dyDescent="0.3">
      <c r="A4082" t="s">
        <v>32</v>
      </c>
      <c r="B4082" t="s">
        <v>8</v>
      </c>
      <c r="C4082" t="s">
        <v>22</v>
      </c>
      <c r="D4082">
        <v>131997</v>
      </c>
      <c r="E4082" t="s">
        <v>57</v>
      </c>
      <c r="F4082" t="s">
        <v>38</v>
      </c>
      <c r="G4082" t="s">
        <v>37</v>
      </c>
    </row>
    <row r="4083" spans="1:7" x14ac:dyDescent="0.3">
      <c r="A4083" t="s">
        <v>32</v>
      </c>
      <c r="B4083" t="s">
        <v>23</v>
      </c>
      <c r="C4083" t="s">
        <v>9</v>
      </c>
      <c r="D4083">
        <v>238688</v>
      </c>
      <c r="E4083" t="s">
        <v>57</v>
      </c>
      <c r="F4083" t="s">
        <v>38</v>
      </c>
      <c r="G4083" t="s">
        <v>37</v>
      </c>
    </row>
    <row r="4084" spans="1:7" x14ac:dyDescent="0.3">
      <c r="A4084" t="s">
        <v>32</v>
      </c>
      <c r="B4084" t="s">
        <v>23</v>
      </c>
      <c r="C4084" t="s">
        <v>13</v>
      </c>
      <c r="D4084">
        <v>1820570</v>
      </c>
      <c r="E4084" t="s">
        <v>57</v>
      </c>
      <c r="F4084" t="s">
        <v>38</v>
      </c>
      <c r="G4084" t="s">
        <v>37</v>
      </c>
    </row>
    <row r="4085" spans="1:7" x14ac:dyDescent="0.3">
      <c r="A4085" t="s">
        <v>32</v>
      </c>
      <c r="B4085" t="s">
        <v>23</v>
      </c>
      <c r="C4085" t="s">
        <v>14</v>
      </c>
      <c r="D4085">
        <v>1906680</v>
      </c>
      <c r="E4085" t="s">
        <v>57</v>
      </c>
      <c r="F4085" t="s">
        <v>38</v>
      </c>
      <c r="G4085" t="s">
        <v>37</v>
      </c>
    </row>
    <row r="4086" spans="1:7" x14ac:dyDescent="0.3">
      <c r="A4086" t="s">
        <v>32</v>
      </c>
      <c r="B4086" t="s">
        <v>23</v>
      </c>
      <c r="C4086" t="s">
        <v>15</v>
      </c>
      <c r="D4086">
        <v>59962</v>
      </c>
      <c r="E4086" t="s">
        <v>57</v>
      </c>
      <c r="F4086" t="s">
        <v>38</v>
      </c>
      <c r="G4086" t="s">
        <v>37</v>
      </c>
    </row>
    <row r="4087" spans="1:7" x14ac:dyDescent="0.3">
      <c r="A4087" t="s">
        <v>32</v>
      </c>
      <c r="B4087" t="s">
        <v>23</v>
      </c>
      <c r="C4087" t="s">
        <v>16</v>
      </c>
      <c r="D4087">
        <v>628342</v>
      </c>
      <c r="E4087" t="s">
        <v>57</v>
      </c>
      <c r="F4087" t="s">
        <v>38</v>
      </c>
      <c r="G4087" t="s">
        <v>37</v>
      </c>
    </row>
    <row r="4088" spans="1:7" x14ac:dyDescent="0.3">
      <c r="A4088" t="s">
        <v>32</v>
      </c>
      <c r="B4088" t="s">
        <v>23</v>
      </c>
      <c r="C4088" t="s">
        <v>17</v>
      </c>
      <c r="D4088">
        <v>64571</v>
      </c>
      <c r="E4088" t="s">
        <v>57</v>
      </c>
      <c r="F4088" t="s">
        <v>38</v>
      </c>
      <c r="G4088" t="s">
        <v>37</v>
      </c>
    </row>
    <row r="4089" spans="1:7" x14ac:dyDescent="0.3">
      <c r="A4089" t="s">
        <v>32</v>
      </c>
      <c r="B4089" t="s">
        <v>23</v>
      </c>
      <c r="C4089" t="s">
        <v>18</v>
      </c>
      <c r="D4089">
        <v>3</v>
      </c>
      <c r="E4089" t="s">
        <v>57</v>
      </c>
      <c r="F4089" t="s">
        <v>38</v>
      </c>
      <c r="G4089" t="s">
        <v>37</v>
      </c>
    </row>
    <row r="4090" spans="1:7" x14ac:dyDescent="0.3">
      <c r="A4090" t="s">
        <v>32</v>
      </c>
      <c r="B4090" t="s">
        <v>23</v>
      </c>
      <c r="C4090" t="s">
        <v>19</v>
      </c>
      <c r="D4090">
        <v>254141</v>
      </c>
      <c r="E4090" t="s">
        <v>57</v>
      </c>
      <c r="F4090" t="s">
        <v>38</v>
      </c>
      <c r="G4090" t="s">
        <v>37</v>
      </c>
    </row>
    <row r="4091" spans="1:7" x14ac:dyDescent="0.3">
      <c r="A4091" t="s">
        <v>32</v>
      </c>
      <c r="B4091" t="s">
        <v>23</v>
      </c>
      <c r="C4091" t="s">
        <v>20</v>
      </c>
      <c r="D4091">
        <v>70688</v>
      </c>
      <c r="E4091" t="s">
        <v>57</v>
      </c>
      <c r="F4091" t="s">
        <v>38</v>
      </c>
      <c r="G4091" t="s">
        <v>37</v>
      </c>
    </row>
    <row r="4092" spans="1:7" x14ac:dyDescent="0.3">
      <c r="A4092" t="s">
        <v>32</v>
      </c>
      <c r="B4092" t="s">
        <v>23</v>
      </c>
      <c r="C4092" t="s">
        <v>21</v>
      </c>
      <c r="D4092">
        <v>41573</v>
      </c>
      <c r="E4092" t="s">
        <v>57</v>
      </c>
      <c r="F4092" t="s">
        <v>38</v>
      </c>
      <c r="G4092" t="s">
        <v>37</v>
      </c>
    </row>
    <row r="4093" spans="1:7" x14ac:dyDescent="0.3">
      <c r="A4093" t="s">
        <v>32</v>
      </c>
      <c r="B4093" t="s">
        <v>23</v>
      </c>
      <c r="C4093" t="s">
        <v>22</v>
      </c>
      <c r="D4093">
        <v>5586261</v>
      </c>
      <c r="E4093" t="s">
        <v>57</v>
      </c>
      <c r="F4093" t="s">
        <v>38</v>
      </c>
      <c r="G4093" t="s">
        <v>37</v>
      </c>
    </row>
    <row r="4094" spans="1:7" x14ac:dyDescent="0.3">
      <c r="A4094" t="s">
        <v>65</v>
      </c>
      <c r="B4094" t="s">
        <v>8</v>
      </c>
      <c r="C4094" t="s">
        <v>9</v>
      </c>
      <c r="D4094">
        <v>484</v>
      </c>
      <c r="E4094" t="s">
        <v>57</v>
      </c>
      <c r="F4094" t="s">
        <v>38</v>
      </c>
      <c r="G4094" t="s">
        <v>37</v>
      </c>
    </row>
    <row r="4095" spans="1:7" x14ac:dyDescent="0.3">
      <c r="A4095" t="s">
        <v>65</v>
      </c>
      <c r="B4095" t="s">
        <v>8</v>
      </c>
      <c r="C4095" t="s">
        <v>13</v>
      </c>
      <c r="D4095">
        <v>11</v>
      </c>
      <c r="E4095" t="s">
        <v>57</v>
      </c>
      <c r="F4095" t="s">
        <v>38</v>
      </c>
      <c r="G4095" t="s">
        <v>37</v>
      </c>
    </row>
    <row r="4096" spans="1:7" x14ac:dyDescent="0.3">
      <c r="A4096" t="s">
        <v>65</v>
      </c>
      <c r="B4096" t="s">
        <v>8</v>
      </c>
      <c r="C4096" t="s">
        <v>14</v>
      </c>
      <c r="D4096">
        <v>3254</v>
      </c>
      <c r="E4096" t="s">
        <v>57</v>
      </c>
      <c r="F4096" t="s">
        <v>38</v>
      </c>
      <c r="G4096" t="s">
        <v>37</v>
      </c>
    </row>
    <row r="4097" spans="1:7" x14ac:dyDescent="0.3">
      <c r="A4097" t="s">
        <v>65</v>
      </c>
      <c r="B4097" t="s">
        <v>8</v>
      </c>
      <c r="C4097" t="s">
        <v>15</v>
      </c>
      <c r="D4097">
        <v>11</v>
      </c>
      <c r="E4097" t="s">
        <v>57</v>
      </c>
      <c r="F4097" t="s">
        <v>38</v>
      </c>
      <c r="G4097" t="s">
        <v>37</v>
      </c>
    </row>
    <row r="4098" spans="1:7" x14ac:dyDescent="0.3">
      <c r="A4098" t="s">
        <v>65</v>
      </c>
      <c r="B4098" t="s">
        <v>8</v>
      </c>
      <c r="C4098" t="s">
        <v>16</v>
      </c>
      <c r="D4098">
        <v>86300</v>
      </c>
      <c r="E4098" t="s">
        <v>57</v>
      </c>
      <c r="F4098" t="s">
        <v>38</v>
      </c>
      <c r="G4098" t="s">
        <v>37</v>
      </c>
    </row>
    <row r="4099" spans="1:7" x14ac:dyDescent="0.3">
      <c r="A4099" t="s">
        <v>65</v>
      </c>
      <c r="B4099" t="s">
        <v>8</v>
      </c>
      <c r="C4099" t="s">
        <v>17</v>
      </c>
      <c r="D4099">
        <v>843</v>
      </c>
      <c r="E4099" t="s">
        <v>57</v>
      </c>
      <c r="F4099" t="s">
        <v>38</v>
      </c>
      <c r="G4099" t="s">
        <v>37</v>
      </c>
    </row>
    <row r="4100" spans="1:7" x14ac:dyDescent="0.3">
      <c r="A4100" t="s">
        <v>65</v>
      </c>
      <c r="B4100" t="s">
        <v>8</v>
      </c>
      <c r="C4100" t="s">
        <v>18</v>
      </c>
      <c r="D4100">
        <v>0</v>
      </c>
      <c r="E4100" t="s">
        <v>57</v>
      </c>
      <c r="F4100" t="s">
        <v>38</v>
      </c>
      <c r="G4100" t="s">
        <v>37</v>
      </c>
    </row>
    <row r="4101" spans="1:7" x14ac:dyDescent="0.3">
      <c r="A4101" t="s">
        <v>65</v>
      </c>
      <c r="B4101" t="s">
        <v>8</v>
      </c>
      <c r="C4101" t="s">
        <v>19</v>
      </c>
      <c r="D4101">
        <v>2</v>
      </c>
      <c r="E4101" t="s">
        <v>57</v>
      </c>
      <c r="F4101" t="s">
        <v>38</v>
      </c>
      <c r="G4101" t="s">
        <v>37</v>
      </c>
    </row>
    <row r="4102" spans="1:7" x14ac:dyDescent="0.3">
      <c r="A4102" t="s">
        <v>65</v>
      </c>
      <c r="B4102" t="s">
        <v>8</v>
      </c>
      <c r="C4102" t="s">
        <v>20</v>
      </c>
      <c r="D4102">
        <v>65</v>
      </c>
      <c r="E4102" t="s">
        <v>57</v>
      </c>
      <c r="F4102" t="s">
        <v>38</v>
      </c>
      <c r="G4102" t="s">
        <v>37</v>
      </c>
    </row>
    <row r="4103" spans="1:7" x14ac:dyDescent="0.3">
      <c r="A4103" t="s">
        <v>65</v>
      </c>
      <c r="B4103" t="s">
        <v>8</v>
      </c>
      <c r="C4103" t="s">
        <v>21</v>
      </c>
      <c r="D4103">
        <v>13</v>
      </c>
      <c r="E4103" t="s">
        <v>57</v>
      </c>
      <c r="F4103" t="s">
        <v>38</v>
      </c>
      <c r="G4103" t="s">
        <v>37</v>
      </c>
    </row>
    <row r="4104" spans="1:7" x14ac:dyDescent="0.3">
      <c r="A4104" t="s">
        <v>65</v>
      </c>
      <c r="B4104" t="s">
        <v>8</v>
      </c>
      <c r="C4104" t="s">
        <v>22</v>
      </c>
      <c r="D4104">
        <v>202</v>
      </c>
      <c r="E4104" t="s">
        <v>57</v>
      </c>
      <c r="F4104" t="s">
        <v>38</v>
      </c>
      <c r="G4104" t="s">
        <v>37</v>
      </c>
    </row>
    <row r="4105" spans="1:7" x14ac:dyDescent="0.3">
      <c r="A4105" t="s">
        <v>65</v>
      </c>
      <c r="B4105" t="s">
        <v>23</v>
      </c>
      <c r="C4105" t="s">
        <v>9</v>
      </c>
      <c r="D4105">
        <v>2235</v>
      </c>
      <c r="E4105" t="s">
        <v>57</v>
      </c>
      <c r="F4105" t="s">
        <v>38</v>
      </c>
      <c r="G4105" t="s">
        <v>37</v>
      </c>
    </row>
    <row r="4106" spans="1:7" x14ac:dyDescent="0.3">
      <c r="A4106" t="s">
        <v>65</v>
      </c>
      <c r="B4106" t="s">
        <v>23</v>
      </c>
      <c r="C4106" t="s">
        <v>13</v>
      </c>
      <c r="D4106">
        <v>4059</v>
      </c>
      <c r="E4106" t="s">
        <v>57</v>
      </c>
      <c r="F4106" t="s">
        <v>38</v>
      </c>
      <c r="G4106" t="s">
        <v>37</v>
      </c>
    </row>
    <row r="4107" spans="1:7" x14ac:dyDescent="0.3">
      <c r="A4107" t="s">
        <v>65</v>
      </c>
      <c r="B4107" t="s">
        <v>23</v>
      </c>
      <c r="C4107" t="s">
        <v>14</v>
      </c>
      <c r="D4107">
        <v>12283</v>
      </c>
      <c r="E4107" t="s">
        <v>57</v>
      </c>
      <c r="F4107" t="s">
        <v>38</v>
      </c>
      <c r="G4107" t="s">
        <v>37</v>
      </c>
    </row>
    <row r="4108" spans="1:7" x14ac:dyDescent="0.3">
      <c r="A4108" t="s">
        <v>65</v>
      </c>
      <c r="B4108" t="s">
        <v>23</v>
      </c>
      <c r="C4108" t="s">
        <v>15</v>
      </c>
      <c r="D4108">
        <v>412</v>
      </c>
      <c r="E4108" t="s">
        <v>57</v>
      </c>
      <c r="F4108" t="s">
        <v>38</v>
      </c>
      <c r="G4108" t="s">
        <v>37</v>
      </c>
    </row>
    <row r="4109" spans="1:7" x14ac:dyDescent="0.3">
      <c r="A4109" t="s">
        <v>65</v>
      </c>
      <c r="B4109" t="s">
        <v>23</v>
      </c>
      <c r="C4109" t="s">
        <v>16</v>
      </c>
      <c r="D4109">
        <v>2539395</v>
      </c>
      <c r="E4109" t="s">
        <v>57</v>
      </c>
      <c r="F4109" t="s">
        <v>38</v>
      </c>
      <c r="G4109" t="s">
        <v>37</v>
      </c>
    </row>
    <row r="4110" spans="1:7" x14ac:dyDescent="0.3">
      <c r="A4110" t="s">
        <v>65</v>
      </c>
      <c r="B4110" t="s">
        <v>23</v>
      </c>
      <c r="C4110" t="s">
        <v>17</v>
      </c>
      <c r="D4110">
        <v>514</v>
      </c>
      <c r="E4110" t="s">
        <v>57</v>
      </c>
      <c r="F4110" t="s">
        <v>38</v>
      </c>
      <c r="G4110" t="s">
        <v>37</v>
      </c>
    </row>
    <row r="4111" spans="1:7" x14ac:dyDescent="0.3">
      <c r="A4111" t="s">
        <v>65</v>
      </c>
      <c r="B4111" t="s">
        <v>23</v>
      </c>
      <c r="C4111" t="s">
        <v>18</v>
      </c>
      <c r="D4111">
        <v>16</v>
      </c>
      <c r="E4111" t="s">
        <v>57</v>
      </c>
      <c r="F4111" t="s">
        <v>38</v>
      </c>
      <c r="G4111" t="s">
        <v>37</v>
      </c>
    </row>
    <row r="4112" spans="1:7" x14ac:dyDescent="0.3">
      <c r="A4112" t="s">
        <v>65</v>
      </c>
      <c r="B4112" t="s">
        <v>23</v>
      </c>
      <c r="C4112" t="s">
        <v>19</v>
      </c>
      <c r="D4112">
        <v>804</v>
      </c>
      <c r="E4112" t="s">
        <v>57</v>
      </c>
      <c r="F4112" t="s">
        <v>38</v>
      </c>
      <c r="G4112" t="s">
        <v>37</v>
      </c>
    </row>
    <row r="4113" spans="1:7" x14ac:dyDescent="0.3">
      <c r="A4113" t="s">
        <v>65</v>
      </c>
      <c r="B4113" t="s">
        <v>23</v>
      </c>
      <c r="C4113" t="s">
        <v>20</v>
      </c>
      <c r="D4113">
        <v>33339</v>
      </c>
      <c r="E4113" t="s">
        <v>57</v>
      </c>
      <c r="F4113" t="s">
        <v>38</v>
      </c>
      <c r="G4113" t="s">
        <v>37</v>
      </c>
    </row>
    <row r="4114" spans="1:7" x14ac:dyDescent="0.3">
      <c r="A4114" t="s">
        <v>65</v>
      </c>
      <c r="B4114" t="s">
        <v>23</v>
      </c>
      <c r="C4114" t="s">
        <v>21</v>
      </c>
      <c r="D4114">
        <v>956</v>
      </c>
      <c r="E4114" t="s">
        <v>57</v>
      </c>
      <c r="F4114" t="s">
        <v>38</v>
      </c>
      <c r="G4114" t="s">
        <v>37</v>
      </c>
    </row>
    <row r="4115" spans="1:7" x14ac:dyDescent="0.3">
      <c r="A4115" t="s">
        <v>65</v>
      </c>
      <c r="B4115" t="s">
        <v>23</v>
      </c>
      <c r="C4115" t="s">
        <v>22</v>
      </c>
      <c r="D4115">
        <v>4917</v>
      </c>
      <c r="E4115" t="s">
        <v>57</v>
      </c>
      <c r="F4115" t="s">
        <v>38</v>
      </c>
      <c r="G4115" t="s">
        <v>37</v>
      </c>
    </row>
    <row r="4116" spans="1:7" x14ac:dyDescent="0.3">
      <c r="A4116" t="s">
        <v>33</v>
      </c>
      <c r="B4116" t="s">
        <v>8</v>
      </c>
      <c r="C4116" t="s">
        <v>9</v>
      </c>
      <c r="D4116">
        <v>1916</v>
      </c>
      <c r="E4116" t="s">
        <v>57</v>
      </c>
      <c r="F4116" t="s">
        <v>38</v>
      </c>
      <c r="G4116" t="s">
        <v>37</v>
      </c>
    </row>
    <row r="4117" spans="1:7" x14ac:dyDescent="0.3">
      <c r="A4117" t="s">
        <v>33</v>
      </c>
      <c r="B4117" t="s">
        <v>8</v>
      </c>
      <c r="C4117" t="s">
        <v>13</v>
      </c>
      <c r="D4117">
        <v>42</v>
      </c>
      <c r="E4117" t="s">
        <v>57</v>
      </c>
      <c r="F4117" t="s">
        <v>38</v>
      </c>
      <c r="G4117" t="s">
        <v>37</v>
      </c>
    </row>
    <row r="4118" spans="1:7" x14ac:dyDescent="0.3">
      <c r="A4118" t="s">
        <v>33</v>
      </c>
      <c r="B4118" t="s">
        <v>8</v>
      </c>
      <c r="C4118" t="s">
        <v>14</v>
      </c>
      <c r="D4118">
        <v>12874</v>
      </c>
      <c r="E4118" t="s">
        <v>57</v>
      </c>
      <c r="F4118" t="s">
        <v>38</v>
      </c>
      <c r="G4118" t="s">
        <v>37</v>
      </c>
    </row>
    <row r="4119" spans="1:7" x14ac:dyDescent="0.3">
      <c r="A4119" t="s">
        <v>33</v>
      </c>
      <c r="B4119" t="s">
        <v>8</v>
      </c>
      <c r="C4119" t="s">
        <v>15</v>
      </c>
      <c r="D4119">
        <v>43</v>
      </c>
      <c r="E4119" t="s">
        <v>57</v>
      </c>
      <c r="F4119" t="s">
        <v>38</v>
      </c>
      <c r="G4119" t="s">
        <v>37</v>
      </c>
    </row>
    <row r="4120" spans="1:7" x14ac:dyDescent="0.3">
      <c r="A4120" t="s">
        <v>33</v>
      </c>
      <c r="B4120" t="s">
        <v>8</v>
      </c>
      <c r="C4120" t="s">
        <v>16</v>
      </c>
      <c r="D4120">
        <v>341438</v>
      </c>
      <c r="E4120" t="s">
        <v>57</v>
      </c>
      <c r="F4120" t="s">
        <v>38</v>
      </c>
      <c r="G4120" t="s">
        <v>37</v>
      </c>
    </row>
    <row r="4121" spans="1:7" x14ac:dyDescent="0.3">
      <c r="A4121" t="s">
        <v>33</v>
      </c>
      <c r="B4121" t="s">
        <v>8</v>
      </c>
      <c r="C4121" t="s">
        <v>17</v>
      </c>
      <c r="D4121">
        <v>3336</v>
      </c>
      <c r="E4121" t="s">
        <v>57</v>
      </c>
      <c r="F4121" t="s">
        <v>38</v>
      </c>
      <c r="G4121" t="s">
        <v>37</v>
      </c>
    </row>
    <row r="4122" spans="1:7" x14ac:dyDescent="0.3">
      <c r="A4122" t="s">
        <v>33</v>
      </c>
      <c r="B4122" t="s">
        <v>8</v>
      </c>
      <c r="C4122" t="s">
        <v>18</v>
      </c>
      <c r="D4122">
        <v>0</v>
      </c>
      <c r="E4122" t="s">
        <v>57</v>
      </c>
      <c r="F4122" t="s">
        <v>38</v>
      </c>
      <c r="G4122" t="s">
        <v>37</v>
      </c>
    </row>
    <row r="4123" spans="1:7" x14ac:dyDescent="0.3">
      <c r="A4123" t="s">
        <v>33</v>
      </c>
      <c r="B4123" t="s">
        <v>8</v>
      </c>
      <c r="C4123" t="s">
        <v>19</v>
      </c>
      <c r="D4123">
        <v>8</v>
      </c>
      <c r="E4123" t="s">
        <v>57</v>
      </c>
      <c r="F4123" t="s">
        <v>38</v>
      </c>
      <c r="G4123" t="s">
        <v>37</v>
      </c>
    </row>
    <row r="4124" spans="1:7" x14ac:dyDescent="0.3">
      <c r="A4124" t="s">
        <v>33</v>
      </c>
      <c r="B4124" t="s">
        <v>8</v>
      </c>
      <c r="C4124" t="s">
        <v>20</v>
      </c>
      <c r="D4124">
        <v>256</v>
      </c>
      <c r="E4124" t="s">
        <v>57</v>
      </c>
      <c r="F4124" t="s">
        <v>38</v>
      </c>
      <c r="G4124" t="s">
        <v>37</v>
      </c>
    </row>
    <row r="4125" spans="1:7" x14ac:dyDescent="0.3">
      <c r="A4125" t="s">
        <v>33</v>
      </c>
      <c r="B4125" t="s">
        <v>8</v>
      </c>
      <c r="C4125" t="s">
        <v>21</v>
      </c>
      <c r="D4125">
        <v>53</v>
      </c>
      <c r="E4125" t="s">
        <v>57</v>
      </c>
      <c r="F4125" t="s">
        <v>38</v>
      </c>
      <c r="G4125" t="s">
        <v>37</v>
      </c>
    </row>
    <row r="4126" spans="1:7" x14ac:dyDescent="0.3">
      <c r="A4126" t="s">
        <v>33</v>
      </c>
      <c r="B4126" t="s">
        <v>8</v>
      </c>
      <c r="C4126" t="s">
        <v>22</v>
      </c>
      <c r="D4126">
        <v>799</v>
      </c>
      <c r="E4126" t="s">
        <v>57</v>
      </c>
      <c r="F4126" t="s">
        <v>38</v>
      </c>
      <c r="G4126" t="s">
        <v>37</v>
      </c>
    </row>
    <row r="4127" spans="1:7" x14ac:dyDescent="0.3">
      <c r="A4127" t="s">
        <v>33</v>
      </c>
      <c r="B4127" t="s">
        <v>23</v>
      </c>
      <c r="C4127" t="s">
        <v>9</v>
      </c>
      <c r="D4127">
        <v>8842</v>
      </c>
      <c r="E4127" t="s">
        <v>57</v>
      </c>
      <c r="F4127" t="s">
        <v>38</v>
      </c>
      <c r="G4127" t="s">
        <v>37</v>
      </c>
    </row>
    <row r="4128" spans="1:7" x14ac:dyDescent="0.3">
      <c r="A4128" t="s">
        <v>33</v>
      </c>
      <c r="B4128" t="s">
        <v>23</v>
      </c>
      <c r="C4128" t="s">
        <v>13</v>
      </c>
      <c r="D4128">
        <v>16060</v>
      </c>
      <c r="E4128" t="s">
        <v>57</v>
      </c>
      <c r="F4128" t="s">
        <v>38</v>
      </c>
      <c r="G4128" t="s">
        <v>37</v>
      </c>
    </row>
    <row r="4129" spans="1:7" x14ac:dyDescent="0.3">
      <c r="A4129" t="s">
        <v>33</v>
      </c>
      <c r="B4129" t="s">
        <v>23</v>
      </c>
      <c r="C4129" t="s">
        <v>14</v>
      </c>
      <c r="D4129">
        <v>48595</v>
      </c>
      <c r="E4129" t="s">
        <v>57</v>
      </c>
      <c r="F4129" t="s">
        <v>38</v>
      </c>
      <c r="G4129" t="s">
        <v>37</v>
      </c>
    </row>
    <row r="4130" spans="1:7" x14ac:dyDescent="0.3">
      <c r="A4130" t="s">
        <v>33</v>
      </c>
      <c r="B4130" t="s">
        <v>23</v>
      </c>
      <c r="C4130" t="s">
        <v>15</v>
      </c>
      <c r="D4130">
        <v>1629</v>
      </c>
      <c r="E4130" t="s">
        <v>57</v>
      </c>
      <c r="F4130" t="s">
        <v>38</v>
      </c>
      <c r="G4130" t="s">
        <v>37</v>
      </c>
    </row>
    <row r="4131" spans="1:7" x14ac:dyDescent="0.3">
      <c r="A4131" t="s">
        <v>33</v>
      </c>
      <c r="B4131" t="s">
        <v>23</v>
      </c>
      <c r="C4131" t="s">
        <v>16</v>
      </c>
      <c r="D4131">
        <v>10046863</v>
      </c>
      <c r="E4131" t="s">
        <v>57</v>
      </c>
      <c r="F4131" t="s">
        <v>38</v>
      </c>
      <c r="G4131" t="s">
        <v>37</v>
      </c>
    </row>
    <row r="4132" spans="1:7" x14ac:dyDescent="0.3">
      <c r="A4132" t="s">
        <v>33</v>
      </c>
      <c r="B4132" t="s">
        <v>23</v>
      </c>
      <c r="C4132" t="s">
        <v>17</v>
      </c>
      <c r="D4132">
        <v>2035</v>
      </c>
      <c r="E4132" t="s">
        <v>57</v>
      </c>
      <c r="F4132" t="s">
        <v>38</v>
      </c>
      <c r="G4132" t="s">
        <v>37</v>
      </c>
    </row>
    <row r="4133" spans="1:7" x14ac:dyDescent="0.3">
      <c r="A4133" t="s">
        <v>33</v>
      </c>
      <c r="B4133" t="s">
        <v>23</v>
      </c>
      <c r="C4133" t="s">
        <v>18</v>
      </c>
      <c r="D4133">
        <v>65</v>
      </c>
      <c r="E4133" t="s">
        <v>57</v>
      </c>
      <c r="F4133" t="s">
        <v>38</v>
      </c>
      <c r="G4133" t="s">
        <v>37</v>
      </c>
    </row>
    <row r="4134" spans="1:7" x14ac:dyDescent="0.3">
      <c r="A4134" t="s">
        <v>33</v>
      </c>
      <c r="B4134" t="s">
        <v>23</v>
      </c>
      <c r="C4134" t="s">
        <v>19</v>
      </c>
      <c r="D4134">
        <v>3180</v>
      </c>
      <c r="E4134" t="s">
        <v>57</v>
      </c>
      <c r="F4134" t="s">
        <v>38</v>
      </c>
      <c r="G4134" t="s">
        <v>37</v>
      </c>
    </row>
    <row r="4135" spans="1:7" x14ac:dyDescent="0.3">
      <c r="A4135" t="s">
        <v>33</v>
      </c>
      <c r="B4135" t="s">
        <v>23</v>
      </c>
      <c r="C4135" t="s">
        <v>20</v>
      </c>
      <c r="D4135">
        <v>131903</v>
      </c>
      <c r="E4135" t="s">
        <v>57</v>
      </c>
      <c r="F4135" t="s">
        <v>38</v>
      </c>
      <c r="G4135" t="s">
        <v>37</v>
      </c>
    </row>
    <row r="4136" spans="1:7" x14ac:dyDescent="0.3">
      <c r="A4136" t="s">
        <v>33</v>
      </c>
      <c r="B4136" t="s">
        <v>23</v>
      </c>
      <c r="C4136" t="s">
        <v>21</v>
      </c>
      <c r="D4136">
        <v>3782</v>
      </c>
      <c r="E4136" t="s">
        <v>57</v>
      </c>
      <c r="F4136" t="s">
        <v>38</v>
      </c>
      <c r="G4136" t="s">
        <v>37</v>
      </c>
    </row>
    <row r="4137" spans="1:7" x14ac:dyDescent="0.3">
      <c r="A4137" t="s">
        <v>33</v>
      </c>
      <c r="B4137" t="s">
        <v>23</v>
      </c>
      <c r="C4137" t="s">
        <v>22</v>
      </c>
      <c r="D4137">
        <v>19454</v>
      </c>
      <c r="E4137" t="s">
        <v>57</v>
      </c>
      <c r="F4137" t="s">
        <v>38</v>
      </c>
      <c r="G4137" t="s">
        <v>37</v>
      </c>
    </row>
    <row r="4138" spans="1:7" x14ac:dyDescent="0.3">
      <c r="A4138" t="s">
        <v>34</v>
      </c>
      <c r="B4138" t="s">
        <v>8</v>
      </c>
      <c r="C4138" t="s">
        <v>9</v>
      </c>
      <c r="D4138">
        <v>699</v>
      </c>
      <c r="E4138" t="s">
        <v>57</v>
      </c>
      <c r="F4138" t="s">
        <v>38</v>
      </c>
      <c r="G4138" t="s">
        <v>37</v>
      </c>
    </row>
    <row r="4139" spans="1:7" x14ac:dyDescent="0.3">
      <c r="A4139" t="s">
        <v>34</v>
      </c>
      <c r="B4139" t="s">
        <v>8</v>
      </c>
      <c r="C4139" t="s">
        <v>13</v>
      </c>
      <c r="D4139">
        <v>1819</v>
      </c>
      <c r="E4139" t="s">
        <v>57</v>
      </c>
      <c r="F4139" t="s">
        <v>38</v>
      </c>
      <c r="G4139" t="s">
        <v>37</v>
      </c>
    </row>
    <row r="4140" spans="1:7" x14ac:dyDescent="0.3">
      <c r="A4140" t="s">
        <v>34</v>
      </c>
      <c r="B4140" t="s">
        <v>8</v>
      </c>
      <c r="C4140" t="s">
        <v>14</v>
      </c>
      <c r="D4140">
        <v>1799</v>
      </c>
      <c r="E4140" t="s">
        <v>57</v>
      </c>
      <c r="F4140" t="s">
        <v>38</v>
      </c>
      <c r="G4140" t="s">
        <v>37</v>
      </c>
    </row>
    <row r="4141" spans="1:7" x14ac:dyDescent="0.3">
      <c r="A4141" t="s">
        <v>34</v>
      </c>
      <c r="B4141" t="s">
        <v>8</v>
      </c>
      <c r="C4141" t="s">
        <v>15</v>
      </c>
      <c r="D4141">
        <v>133</v>
      </c>
      <c r="E4141" t="s">
        <v>57</v>
      </c>
      <c r="F4141" t="s">
        <v>38</v>
      </c>
      <c r="G4141" t="s">
        <v>37</v>
      </c>
    </row>
    <row r="4142" spans="1:7" x14ac:dyDescent="0.3">
      <c r="A4142" t="s">
        <v>34</v>
      </c>
      <c r="B4142" t="s">
        <v>8</v>
      </c>
      <c r="C4142" t="s">
        <v>16</v>
      </c>
      <c r="D4142">
        <v>2429</v>
      </c>
      <c r="E4142" t="s">
        <v>57</v>
      </c>
      <c r="F4142" t="s">
        <v>38</v>
      </c>
      <c r="G4142" t="s">
        <v>37</v>
      </c>
    </row>
    <row r="4143" spans="1:7" x14ac:dyDescent="0.3">
      <c r="A4143" t="s">
        <v>34</v>
      </c>
      <c r="B4143" t="s">
        <v>8</v>
      </c>
      <c r="C4143" t="s">
        <v>17</v>
      </c>
      <c r="D4143">
        <v>411</v>
      </c>
      <c r="E4143" t="s">
        <v>57</v>
      </c>
      <c r="F4143" t="s">
        <v>38</v>
      </c>
      <c r="G4143" t="s">
        <v>37</v>
      </c>
    </row>
    <row r="4144" spans="1:7" x14ac:dyDescent="0.3">
      <c r="A4144" t="s">
        <v>34</v>
      </c>
      <c r="B4144" t="s">
        <v>8</v>
      </c>
      <c r="C4144" t="s">
        <v>18</v>
      </c>
      <c r="D4144">
        <v>0</v>
      </c>
      <c r="E4144" t="s">
        <v>57</v>
      </c>
      <c r="F4144" t="s">
        <v>38</v>
      </c>
      <c r="G4144" t="s">
        <v>37</v>
      </c>
    </row>
    <row r="4145" spans="1:7" x14ac:dyDescent="0.3">
      <c r="A4145" t="s">
        <v>34</v>
      </c>
      <c r="B4145" t="s">
        <v>8</v>
      </c>
      <c r="C4145" t="s">
        <v>19</v>
      </c>
      <c r="D4145">
        <v>25</v>
      </c>
      <c r="E4145" t="s">
        <v>57</v>
      </c>
      <c r="F4145" t="s">
        <v>38</v>
      </c>
      <c r="G4145" t="s">
        <v>37</v>
      </c>
    </row>
    <row r="4146" spans="1:7" x14ac:dyDescent="0.3">
      <c r="A4146" t="s">
        <v>34</v>
      </c>
      <c r="B4146" t="s">
        <v>8</v>
      </c>
      <c r="C4146" t="s">
        <v>20</v>
      </c>
      <c r="D4146">
        <v>387</v>
      </c>
      <c r="E4146" t="s">
        <v>57</v>
      </c>
      <c r="F4146" t="s">
        <v>38</v>
      </c>
      <c r="G4146" t="s">
        <v>37</v>
      </c>
    </row>
    <row r="4147" spans="1:7" x14ac:dyDescent="0.3">
      <c r="A4147" t="s">
        <v>34</v>
      </c>
      <c r="B4147" t="s">
        <v>8</v>
      </c>
      <c r="C4147" t="s">
        <v>21</v>
      </c>
      <c r="D4147">
        <v>2207</v>
      </c>
      <c r="E4147" t="s">
        <v>57</v>
      </c>
      <c r="F4147" t="s">
        <v>38</v>
      </c>
      <c r="G4147" t="s">
        <v>37</v>
      </c>
    </row>
    <row r="4148" spans="1:7" x14ac:dyDescent="0.3">
      <c r="A4148" t="s">
        <v>34</v>
      </c>
      <c r="B4148" t="s">
        <v>8</v>
      </c>
      <c r="C4148" t="s">
        <v>22</v>
      </c>
      <c r="D4148">
        <v>112946</v>
      </c>
      <c r="E4148" t="s">
        <v>57</v>
      </c>
      <c r="F4148" t="s">
        <v>38</v>
      </c>
      <c r="G4148" t="s">
        <v>37</v>
      </c>
    </row>
    <row r="4149" spans="1:7" x14ac:dyDescent="0.3">
      <c r="A4149" t="s">
        <v>34</v>
      </c>
      <c r="B4149" t="s">
        <v>23</v>
      </c>
      <c r="C4149" t="s">
        <v>9</v>
      </c>
      <c r="D4149">
        <v>204240</v>
      </c>
      <c r="E4149" t="s">
        <v>57</v>
      </c>
      <c r="F4149" t="s">
        <v>38</v>
      </c>
      <c r="G4149" t="s">
        <v>37</v>
      </c>
    </row>
    <row r="4150" spans="1:7" x14ac:dyDescent="0.3">
      <c r="A4150" t="s">
        <v>34</v>
      </c>
      <c r="B4150" t="s">
        <v>23</v>
      </c>
      <c r="C4150" t="s">
        <v>13</v>
      </c>
      <c r="D4150">
        <v>1557819</v>
      </c>
      <c r="E4150" t="s">
        <v>57</v>
      </c>
      <c r="F4150" t="s">
        <v>38</v>
      </c>
      <c r="G4150" t="s">
        <v>37</v>
      </c>
    </row>
    <row r="4151" spans="1:7" x14ac:dyDescent="0.3">
      <c r="A4151" t="s">
        <v>34</v>
      </c>
      <c r="B4151" t="s">
        <v>23</v>
      </c>
      <c r="C4151" t="s">
        <v>14</v>
      </c>
      <c r="D4151">
        <v>1631501</v>
      </c>
      <c r="E4151" t="s">
        <v>57</v>
      </c>
      <c r="F4151" t="s">
        <v>38</v>
      </c>
      <c r="G4151" t="s">
        <v>37</v>
      </c>
    </row>
    <row r="4152" spans="1:7" x14ac:dyDescent="0.3">
      <c r="A4152" t="s">
        <v>34</v>
      </c>
      <c r="B4152" t="s">
        <v>23</v>
      </c>
      <c r="C4152" t="s">
        <v>15</v>
      </c>
      <c r="D4152">
        <v>51308</v>
      </c>
      <c r="E4152" t="s">
        <v>57</v>
      </c>
      <c r="F4152" t="s">
        <v>38</v>
      </c>
      <c r="G4152" t="s">
        <v>37</v>
      </c>
    </row>
    <row r="4153" spans="1:7" x14ac:dyDescent="0.3">
      <c r="A4153" t="s">
        <v>34</v>
      </c>
      <c r="B4153" t="s">
        <v>23</v>
      </c>
      <c r="C4153" t="s">
        <v>16</v>
      </c>
      <c r="D4153">
        <v>537658</v>
      </c>
      <c r="E4153" t="s">
        <v>57</v>
      </c>
      <c r="F4153" t="s">
        <v>38</v>
      </c>
      <c r="G4153" t="s">
        <v>37</v>
      </c>
    </row>
    <row r="4154" spans="1:7" x14ac:dyDescent="0.3">
      <c r="A4154" t="s">
        <v>34</v>
      </c>
      <c r="B4154" t="s">
        <v>23</v>
      </c>
      <c r="C4154" t="s">
        <v>17</v>
      </c>
      <c r="D4154">
        <v>55252</v>
      </c>
      <c r="E4154" t="s">
        <v>57</v>
      </c>
      <c r="F4154" t="s">
        <v>38</v>
      </c>
      <c r="G4154" t="s">
        <v>37</v>
      </c>
    </row>
    <row r="4155" spans="1:7" x14ac:dyDescent="0.3">
      <c r="A4155" t="s">
        <v>34</v>
      </c>
      <c r="B4155" t="s">
        <v>23</v>
      </c>
      <c r="C4155" t="s">
        <v>18</v>
      </c>
      <c r="D4155">
        <v>3</v>
      </c>
      <c r="E4155" t="s">
        <v>57</v>
      </c>
      <c r="F4155" t="s">
        <v>38</v>
      </c>
      <c r="G4155" t="s">
        <v>37</v>
      </c>
    </row>
    <row r="4156" spans="1:7" x14ac:dyDescent="0.3">
      <c r="A4156" t="s">
        <v>34</v>
      </c>
      <c r="B4156" t="s">
        <v>23</v>
      </c>
      <c r="C4156" t="s">
        <v>19</v>
      </c>
      <c r="D4156">
        <v>217462</v>
      </c>
      <c r="E4156" t="s">
        <v>57</v>
      </c>
      <c r="F4156" t="s">
        <v>38</v>
      </c>
      <c r="G4156" t="s">
        <v>37</v>
      </c>
    </row>
    <row r="4157" spans="1:7" x14ac:dyDescent="0.3">
      <c r="A4157" t="s">
        <v>34</v>
      </c>
      <c r="B4157" t="s">
        <v>23</v>
      </c>
      <c r="C4157" t="s">
        <v>20</v>
      </c>
      <c r="D4157">
        <v>60486</v>
      </c>
      <c r="E4157" t="s">
        <v>57</v>
      </c>
      <c r="F4157" t="s">
        <v>38</v>
      </c>
      <c r="G4157" t="s">
        <v>37</v>
      </c>
    </row>
    <row r="4158" spans="1:7" x14ac:dyDescent="0.3">
      <c r="A4158" t="s">
        <v>34</v>
      </c>
      <c r="B4158" t="s">
        <v>23</v>
      </c>
      <c r="C4158" t="s">
        <v>21</v>
      </c>
      <c r="D4158">
        <v>35573</v>
      </c>
      <c r="E4158" t="s">
        <v>57</v>
      </c>
      <c r="F4158" t="s">
        <v>38</v>
      </c>
      <c r="G4158" t="s">
        <v>37</v>
      </c>
    </row>
    <row r="4159" spans="1:7" x14ac:dyDescent="0.3">
      <c r="A4159" t="s">
        <v>34</v>
      </c>
      <c r="B4159" t="s">
        <v>23</v>
      </c>
      <c r="C4159" t="s">
        <v>22</v>
      </c>
      <c r="D4159">
        <v>4780032</v>
      </c>
      <c r="E4159" t="s">
        <v>57</v>
      </c>
      <c r="F4159" t="s">
        <v>38</v>
      </c>
      <c r="G4159" t="s">
        <v>37</v>
      </c>
    </row>
    <row r="4160" spans="1:7" x14ac:dyDescent="0.3">
      <c r="A4160" t="s">
        <v>55</v>
      </c>
      <c r="B4160" t="s">
        <v>8</v>
      </c>
      <c r="C4160" t="s">
        <v>9</v>
      </c>
      <c r="D4160">
        <v>20839</v>
      </c>
      <c r="E4160" t="s">
        <v>57</v>
      </c>
      <c r="F4160" t="s">
        <v>38</v>
      </c>
      <c r="G4160" t="s">
        <v>37</v>
      </c>
    </row>
    <row r="4161" spans="1:7" x14ac:dyDescent="0.3">
      <c r="A4161" t="s">
        <v>55</v>
      </c>
      <c r="B4161" t="s">
        <v>8</v>
      </c>
      <c r="C4161" t="s">
        <v>13</v>
      </c>
      <c r="D4161">
        <v>373</v>
      </c>
      <c r="E4161" t="s">
        <v>57</v>
      </c>
      <c r="F4161" t="s">
        <v>38</v>
      </c>
      <c r="G4161" t="s">
        <v>37</v>
      </c>
    </row>
    <row r="4162" spans="1:7" x14ac:dyDescent="0.3">
      <c r="A4162" t="s">
        <v>55</v>
      </c>
      <c r="B4162" t="s">
        <v>8</v>
      </c>
      <c r="C4162" t="s">
        <v>14</v>
      </c>
      <c r="D4162">
        <v>667</v>
      </c>
      <c r="E4162" t="s">
        <v>57</v>
      </c>
      <c r="F4162" t="s">
        <v>38</v>
      </c>
      <c r="G4162" t="s">
        <v>37</v>
      </c>
    </row>
    <row r="4163" spans="1:7" x14ac:dyDescent="0.3">
      <c r="A4163" t="s">
        <v>55</v>
      </c>
      <c r="B4163" t="s">
        <v>8</v>
      </c>
      <c r="C4163" t="s">
        <v>15</v>
      </c>
      <c r="D4163">
        <v>65</v>
      </c>
      <c r="E4163" t="s">
        <v>57</v>
      </c>
      <c r="F4163" t="s">
        <v>38</v>
      </c>
      <c r="G4163" t="s">
        <v>37</v>
      </c>
    </row>
    <row r="4164" spans="1:7" x14ac:dyDescent="0.3">
      <c r="A4164" t="s">
        <v>55</v>
      </c>
      <c r="B4164" t="s">
        <v>8</v>
      </c>
      <c r="C4164" t="s">
        <v>16</v>
      </c>
      <c r="D4164">
        <v>405</v>
      </c>
      <c r="E4164" t="s">
        <v>57</v>
      </c>
      <c r="F4164" t="s">
        <v>38</v>
      </c>
      <c r="G4164" t="s">
        <v>37</v>
      </c>
    </row>
    <row r="4165" spans="1:7" x14ac:dyDescent="0.3">
      <c r="A4165" t="s">
        <v>55</v>
      </c>
      <c r="B4165" t="s">
        <v>8</v>
      </c>
      <c r="C4165" t="s">
        <v>17</v>
      </c>
      <c r="D4165">
        <v>1423</v>
      </c>
      <c r="E4165" t="s">
        <v>57</v>
      </c>
      <c r="F4165" t="s">
        <v>38</v>
      </c>
      <c r="G4165" t="s">
        <v>37</v>
      </c>
    </row>
    <row r="4166" spans="1:7" x14ac:dyDescent="0.3">
      <c r="A4166" t="s">
        <v>55</v>
      </c>
      <c r="B4166" t="s">
        <v>8</v>
      </c>
      <c r="C4166" t="s">
        <v>18</v>
      </c>
      <c r="D4166">
        <v>0</v>
      </c>
      <c r="E4166" t="s">
        <v>57</v>
      </c>
      <c r="F4166" t="s">
        <v>38</v>
      </c>
      <c r="G4166" t="s">
        <v>37</v>
      </c>
    </row>
    <row r="4167" spans="1:7" x14ac:dyDescent="0.3">
      <c r="A4167" t="s">
        <v>55</v>
      </c>
      <c r="B4167" t="s">
        <v>8</v>
      </c>
      <c r="C4167" t="s">
        <v>19</v>
      </c>
      <c r="D4167">
        <v>26</v>
      </c>
      <c r="E4167" t="s">
        <v>57</v>
      </c>
      <c r="F4167" t="s">
        <v>38</v>
      </c>
      <c r="G4167" t="s">
        <v>37</v>
      </c>
    </row>
    <row r="4168" spans="1:7" x14ac:dyDescent="0.3">
      <c r="A4168" t="s">
        <v>55</v>
      </c>
      <c r="B4168" t="s">
        <v>8</v>
      </c>
      <c r="C4168" t="s">
        <v>20</v>
      </c>
      <c r="D4168">
        <v>28</v>
      </c>
      <c r="E4168" t="s">
        <v>57</v>
      </c>
      <c r="F4168" t="s">
        <v>38</v>
      </c>
      <c r="G4168" t="s">
        <v>37</v>
      </c>
    </row>
    <row r="4169" spans="1:7" x14ac:dyDescent="0.3">
      <c r="A4169" t="s">
        <v>55</v>
      </c>
      <c r="B4169" t="s">
        <v>8</v>
      </c>
      <c r="C4169" t="s">
        <v>21</v>
      </c>
      <c r="D4169">
        <v>103</v>
      </c>
      <c r="E4169" t="s">
        <v>57</v>
      </c>
      <c r="F4169" t="s">
        <v>38</v>
      </c>
      <c r="G4169" t="s">
        <v>37</v>
      </c>
    </row>
    <row r="4170" spans="1:7" x14ac:dyDescent="0.3">
      <c r="A4170" t="s">
        <v>55</v>
      </c>
      <c r="B4170" t="s">
        <v>8</v>
      </c>
      <c r="C4170" t="s">
        <v>22</v>
      </c>
      <c r="D4170">
        <v>1015</v>
      </c>
      <c r="E4170" t="s">
        <v>57</v>
      </c>
      <c r="F4170" t="s">
        <v>38</v>
      </c>
      <c r="G4170" t="s">
        <v>37</v>
      </c>
    </row>
    <row r="4171" spans="1:7" x14ac:dyDescent="0.3">
      <c r="A4171" t="s">
        <v>55</v>
      </c>
      <c r="B4171" t="s">
        <v>23</v>
      </c>
      <c r="C4171" t="s">
        <v>9</v>
      </c>
      <c r="D4171">
        <v>1606978</v>
      </c>
      <c r="E4171" t="s">
        <v>57</v>
      </c>
      <c r="F4171" t="s">
        <v>38</v>
      </c>
      <c r="G4171" t="s">
        <v>37</v>
      </c>
    </row>
    <row r="4172" spans="1:7" x14ac:dyDescent="0.3">
      <c r="A4172" t="s">
        <v>55</v>
      </c>
      <c r="B4172" t="s">
        <v>23</v>
      </c>
      <c r="C4172" t="s">
        <v>13</v>
      </c>
      <c r="D4172">
        <v>72328</v>
      </c>
      <c r="E4172" t="s">
        <v>57</v>
      </c>
      <c r="F4172" t="s">
        <v>38</v>
      </c>
      <c r="G4172" t="s">
        <v>37</v>
      </c>
    </row>
    <row r="4173" spans="1:7" x14ac:dyDescent="0.3">
      <c r="A4173" t="s">
        <v>55</v>
      </c>
      <c r="B4173" t="s">
        <v>23</v>
      </c>
      <c r="C4173" t="s">
        <v>14</v>
      </c>
      <c r="D4173">
        <v>877452</v>
      </c>
      <c r="E4173" t="s">
        <v>57</v>
      </c>
      <c r="F4173" t="s">
        <v>38</v>
      </c>
      <c r="G4173" t="s">
        <v>37</v>
      </c>
    </row>
    <row r="4174" spans="1:7" x14ac:dyDescent="0.3">
      <c r="A4174" t="s">
        <v>55</v>
      </c>
      <c r="B4174" t="s">
        <v>23</v>
      </c>
      <c r="C4174" t="s">
        <v>15</v>
      </c>
      <c r="D4174">
        <v>15150</v>
      </c>
      <c r="E4174" t="s">
        <v>57</v>
      </c>
      <c r="F4174" t="s">
        <v>38</v>
      </c>
      <c r="G4174" t="s">
        <v>37</v>
      </c>
    </row>
    <row r="4175" spans="1:7" x14ac:dyDescent="0.3">
      <c r="A4175" t="s">
        <v>55</v>
      </c>
      <c r="B4175" t="s">
        <v>23</v>
      </c>
      <c r="C4175" t="s">
        <v>16</v>
      </c>
      <c r="D4175">
        <v>435419</v>
      </c>
      <c r="E4175" t="s">
        <v>57</v>
      </c>
      <c r="F4175" t="s">
        <v>38</v>
      </c>
      <c r="G4175" t="s">
        <v>37</v>
      </c>
    </row>
    <row r="4176" spans="1:7" x14ac:dyDescent="0.3">
      <c r="A4176" t="s">
        <v>55</v>
      </c>
      <c r="B4176" t="s">
        <v>23</v>
      </c>
      <c r="C4176" t="s">
        <v>17</v>
      </c>
      <c r="D4176">
        <v>29540</v>
      </c>
      <c r="E4176" t="s">
        <v>57</v>
      </c>
      <c r="F4176" t="s">
        <v>38</v>
      </c>
      <c r="G4176" t="s">
        <v>37</v>
      </c>
    </row>
    <row r="4177" spans="1:7" x14ac:dyDescent="0.3">
      <c r="A4177" t="s">
        <v>55</v>
      </c>
      <c r="B4177" t="s">
        <v>23</v>
      </c>
      <c r="C4177" t="s">
        <v>18</v>
      </c>
      <c r="D4177">
        <v>0</v>
      </c>
      <c r="E4177" t="s">
        <v>57</v>
      </c>
      <c r="F4177" t="s">
        <v>38</v>
      </c>
      <c r="G4177" t="s">
        <v>37</v>
      </c>
    </row>
    <row r="4178" spans="1:7" x14ac:dyDescent="0.3">
      <c r="A4178" t="s">
        <v>55</v>
      </c>
      <c r="B4178" t="s">
        <v>23</v>
      </c>
      <c r="C4178" t="s">
        <v>19</v>
      </c>
      <c r="D4178">
        <v>29154</v>
      </c>
      <c r="E4178" t="s">
        <v>57</v>
      </c>
      <c r="F4178" t="s">
        <v>38</v>
      </c>
      <c r="G4178" t="s">
        <v>37</v>
      </c>
    </row>
    <row r="4179" spans="1:7" x14ac:dyDescent="0.3">
      <c r="A4179" t="s">
        <v>55</v>
      </c>
      <c r="B4179" t="s">
        <v>23</v>
      </c>
      <c r="C4179" t="s">
        <v>20</v>
      </c>
      <c r="D4179">
        <v>16681</v>
      </c>
      <c r="E4179" t="s">
        <v>57</v>
      </c>
      <c r="F4179" t="s">
        <v>38</v>
      </c>
      <c r="G4179" t="s">
        <v>37</v>
      </c>
    </row>
    <row r="4180" spans="1:7" x14ac:dyDescent="0.3">
      <c r="A4180" t="s">
        <v>55</v>
      </c>
      <c r="B4180" t="s">
        <v>23</v>
      </c>
      <c r="C4180" t="s">
        <v>21</v>
      </c>
      <c r="D4180">
        <v>16115</v>
      </c>
      <c r="E4180" t="s">
        <v>57</v>
      </c>
      <c r="F4180" t="s">
        <v>38</v>
      </c>
      <c r="G4180" t="s">
        <v>37</v>
      </c>
    </row>
    <row r="4181" spans="1:7" x14ac:dyDescent="0.3">
      <c r="A4181" t="s">
        <v>55</v>
      </c>
      <c r="B4181" t="s">
        <v>23</v>
      </c>
      <c r="C4181" t="s">
        <v>22</v>
      </c>
      <c r="D4181">
        <v>7714</v>
      </c>
      <c r="E4181" t="s">
        <v>57</v>
      </c>
      <c r="F4181" t="s">
        <v>38</v>
      </c>
      <c r="G4181" t="s">
        <v>37</v>
      </c>
    </row>
    <row r="4182" spans="1:7" x14ac:dyDescent="0.3">
      <c r="A4182" t="s">
        <v>35</v>
      </c>
      <c r="B4182" t="s">
        <v>8</v>
      </c>
      <c r="C4182" t="s">
        <v>9</v>
      </c>
      <c r="D4182">
        <v>303</v>
      </c>
      <c r="E4182" t="s">
        <v>57</v>
      </c>
      <c r="F4182" t="s">
        <v>38</v>
      </c>
      <c r="G4182" t="s">
        <v>37</v>
      </c>
    </row>
    <row r="4183" spans="1:7" x14ac:dyDescent="0.3">
      <c r="A4183" t="s">
        <v>35</v>
      </c>
      <c r="B4183" t="s">
        <v>8</v>
      </c>
      <c r="C4183" t="s">
        <v>13</v>
      </c>
      <c r="D4183">
        <v>789</v>
      </c>
      <c r="E4183" t="s">
        <v>57</v>
      </c>
      <c r="F4183" t="s">
        <v>38</v>
      </c>
      <c r="G4183" t="s">
        <v>37</v>
      </c>
    </row>
    <row r="4184" spans="1:7" x14ac:dyDescent="0.3">
      <c r="A4184" t="s">
        <v>35</v>
      </c>
      <c r="B4184" t="s">
        <v>8</v>
      </c>
      <c r="C4184" t="s">
        <v>14</v>
      </c>
      <c r="D4184">
        <v>780</v>
      </c>
      <c r="E4184" t="s">
        <v>57</v>
      </c>
      <c r="F4184" t="s">
        <v>38</v>
      </c>
      <c r="G4184" t="s">
        <v>37</v>
      </c>
    </row>
    <row r="4185" spans="1:7" x14ac:dyDescent="0.3">
      <c r="A4185" t="s">
        <v>35</v>
      </c>
      <c r="B4185" t="s">
        <v>8</v>
      </c>
      <c r="C4185" t="s">
        <v>15</v>
      </c>
      <c r="D4185">
        <v>57</v>
      </c>
      <c r="E4185" t="s">
        <v>57</v>
      </c>
      <c r="F4185" t="s">
        <v>38</v>
      </c>
      <c r="G4185" t="s">
        <v>37</v>
      </c>
    </row>
    <row r="4186" spans="1:7" x14ac:dyDescent="0.3">
      <c r="A4186" t="s">
        <v>35</v>
      </c>
      <c r="B4186" t="s">
        <v>8</v>
      </c>
      <c r="C4186" t="s">
        <v>16</v>
      </c>
      <c r="D4186">
        <v>1053</v>
      </c>
      <c r="E4186" t="s">
        <v>57</v>
      </c>
      <c r="F4186" t="s">
        <v>38</v>
      </c>
      <c r="G4186" t="s">
        <v>37</v>
      </c>
    </row>
    <row r="4187" spans="1:7" x14ac:dyDescent="0.3">
      <c r="A4187" t="s">
        <v>35</v>
      </c>
      <c r="B4187" t="s">
        <v>8</v>
      </c>
      <c r="C4187" t="s">
        <v>17</v>
      </c>
      <c r="D4187">
        <v>178</v>
      </c>
      <c r="E4187" t="s">
        <v>57</v>
      </c>
      <c r="F4187" t="s">
        <v>38</v>
      </c>
      <c r="G4187" t="s">
        <v>37</v>
      </c>
    </row>
    <row r="4188" spans="1:7" x14ac:dyDescent="0.3">
      <c r="A4188" t="s">
        <v>35</v>
      </c>
      <c r="B4188" t="s">
        <v>8</v>
      </c>
      <c r="C4188" t="s">
        <v>18</v>
      </c>
      <c r="D4188">
        <v>0</v>
      </c>
      <c r="E4188" t="s">
        <v>57</v>
      </c>
      <c r="F4188" t="s">
        <v>38</v>
      </c>
      <c r="G4188" t="s">
        <v>37</v>
      </c>
    </row>
    <row r="4189" spans="1:7" x14ac:dyDescent="0.3">
      <c r="A4189" t="s">
        <v>35</v>
      </c>
      <c r="B4189" t="s">
        <v>8</v>
      </c>
      <c r="C4189" t="s">
        <v>19</v>
      </c>
      <c r="D4189">
        <v>11</v>
      </c>
      <c r="E4189" t="s">
        <v>57</v>
      </c>
      <c r="F4189" t="s">
        <v>38</v>
      </c>
      <c r="G4189" t="s">
        <v>37</v>
      </c>
    </row>
    <row r="4190" spans="1:7" x14ac:dyDescent="0.3">
      <c r="A4190" t="s">
        <v>35</v>
      </c>
      <c r="B4190" t="s">
        <v>8</v>
      </c>
      <c r="C4190" t="s">
        <v>20</v>
      </c>
      <c r="D4190">
        <v>168</v>
      </c>
      <c r="E4190" t="s">
        <v>57</v>
      </c>
      <c r="F4190" t="s">
        <v>38</v>
      </c>
      <c r="G4190" t="s">
        <v>37</v>
      </c>
    </row>
    <row r="4191" spans="1:7" x14ac:dyDescent="0.3">
      <c r="A4191" t="s">
        <v>35</v>
      </c>
      <c r="B4191" t="s">
        <v>8</v>
      </c>
      <c r="C4191" t="s">
        <v>21</v>
      </c>
      <c r="D4191">
        <v>957</v>
      </c>
      <c r="E4191" t="s">
        <v>57</v>
      </c>
      <c r="F4191" t="s">
        <v>38</v>
      </c>
      <c r="G4191" t="s">
        <v>37</v>
      </c>
    </row>
    <row r="4192" spans="1:7" x14ac:dyDescent="0.3">
      <c r="A4192" t="s">
        <v>35</v>
      </c>
      <c r="B4192" t="s">
        <v>8</v>
      </c>
      <c r="C4192" t="s">
        <v>22</v>
      </c>
      <c r="D4192">
        <v>48970</v>
      </c>
      <c r="E4192" t="s">
        <v>57</v>
      </c>
      <c r="F4192" t="s">
        <v>38</v>
      </c>
      <c r="G4192" t="s">
        <v>37</v>
      </c>
    </row>
    <row r="4193" spans="1:7" x14ac:dyDescent="0.3">
      <c r="A4193" t="s">
        <v>35</v>
      </c>
      <c r="B4193" t="s">
        <v>23</v>
      </c>
      <c r="C4193" t="s">
        <v>9</v>
      </c>
      <c r="D4193">
        <v>88552</v>
      </c>
      <c r="E4193" t="s">
        <v>57</v>
      </c>
      <c r="F4193" t="s">
        <v>38</v>
      </c>
      <c r="G4193" t="s">
        <v>37</v>
      </c>
    </row>
    <row r="4194" spans="1:7" x14ac:dyDescent="0.3">
      <c r="A4194" t="s">
        <v>35</v>
      </c>
      <c r="B4194" t="s">
        <v>23</v>
      </c>
      <c r="C4194" t="s">
        <v>13</v>
      </c>
      <c r="D4194">
        <v>675422</v>
      </c>
      <c r="E4194" t="s">
        <v>57</v>
      </c>
      <c r="F4194" t="s">
        <v>38</v>
      </c>
      <c r="G4194" t="s">
        <v>37</v>
      </c>
    </row>
    <row r="4195" spans="1:7" x14ac:dyDescent="0.3">
      <c r="A4195" t="s">
        <v>35</v>
      </c>
      <c r="B4195" t="s">
        <v>23</v>
      </c>
      <c r="C4195" t="s">
        <v>14</v>
      </c>
      <c r="D4195">
        <v>707369</v>
      </c>
      <c r="E4195" t="s">
        <v>57</v>
      </c>
      <c r="F4195" t="s">
        <v>38</v>
      </c>
      <c r="G4195" t="s">
        <v>37</v>
      </c>
    </row>
    <row r="4196" spans="1:7" x14ac:dyDescent="0.3">
      <c r="A4196" t="s">
        <v>35</v>
      </c>
      <c r="B4196" t="s">
        <v>23</v>
      </c>
      <c r="C4196" t="s">
        <v>15</v>
      </c>
      <c r="D4196">
        <v>22246</v>
      </c>
      <c r="E4196" t="s">
        <v>57</v>
      </c>
      <c r="F4196" t="s">
        <v>38</v>
      </c>
      <c r="G4196" t="s">
        <v>37</v>
      </c>
    </row>
    <row r="4197" spans="1:7" x14ac:dyDescent="0.3">
      <c r="A4197" t="s">
        <v>35</v>
      </c>
      <c r="B4197" t="s">
        <v>23</v>
      </c>
      <c r="C4197" t="s">
        <v>16</v>
      </c>
      <c r="D4197">
        <v>233112</v>
      </c>
      <c r="E4197" t="s">
        <v>57</v>
      </c>
      <c r="F4197" t="s">
        <v>38</v>
      </c>
      <c r="G4197" t="s">
        <v>37</v>
      </c>
    </row>
    <row r="4198" spans="1:7" x14ac:dyDescent="0.3">
      <c r="A4198" t="s">
        <v>35</v>
      </c>
      <c r="B4198" t="s">
        <v>23</v>
      </c>
      <c r="C4198" t="s">
        <v>17</v>
      </c>
      <c r="D4198">
        <v>23955</v>
      </c>
      <c r="E4198" t="s">
        <v>57</v>
      </c>
      <c r="F4198" t="s">
        <v>38</v>
      </c>
      <c r="G4198" t="s">
        <v>37</v>
      </c>
    </row>
    <row r="4199" spans="1:7" x14ac:dyDescent="0.3">
      <c r="A4199" t="s">
        <v>35</v>
      </c>
      <c r="B4199" t="s">
        <v>23</v>
      </c>
      <c r="C4199" t="s">
        <v>18</v>
      </c>
      <c r="D4199">
        <v>1</v>
      </c>
      <c r="E4199" t="s">
        <v>57</v>
      </c>
      <c r="F4199" t="s">
        <v>38</v>
      </c>
      <c r="G4199" t="s">
        <v>37</v>
      </c>
    </row>
    <row r="4200" spans="1:7" x14ac:dyDescent="0.3">
      <c r="A4200" t="s">
        <v>35</v>
      </c>
      <c r="B4200" t="s">
        <v>23</v>
      </c>
      <c r="C4200" t="s">
        <v>19</v>
      </c>
      <c r="D4200">
        <v>94285</v>
      </c>
      <c r="E4200" t="s">
        <v>57</v>
      </c>
      <c r="F4200" t="s">
        <v>38</v>
      </c>
      <c r="G4200" t="s">
        <v>37</v>
      </c>
    </row>
    <row r="4201" spans="1:7" x14ac:dyDescent="0.3">
      <c r="A4201" t="s">
        <v>35</v>
      </c>
      <c r="B4201" t="s">
        <v>23</v>
      </c>
      <c r="C4201" t="s">
        <v>20</v>
      </c>
      <c r="D4201">
        <v>26225</v>
      </c>
      <c r="E4201" t="s">
        <v>57</v>
      </c>
      <c r="F4201" t="s">
        <v>38</v>
      </c>
      <c r="G4201" t="s">
        <v>37</v>
      </c>
    </row>
    <row r="4202" spans="1:7" x14ac:dyDescent="0.3">
      <c r="A4202" t="s">
        <v>35</v>
      </c>
      <c r="B4202" t="s">
        <v>23</v>
      </c>
      <c r="C4202" t="s">
        <v>21</v>
      </c>
      <c r="D4202">
        <v>15423</v>
      </c>
      <c r="E4202" t="s">
        <v>57</v>
      </c>
      <c r="F4202" t="s">
        <v>38</v>
      </c>
      <c r="G4202" t="s">
        <v>37</v>
      </c>
    </row>
    <row r="4203" spans="1:7" x14ac:dyDescent="0.3">
      <c r="A4203" t="s">
        <v>35</v>
      </c>
      <c r="B4203" t="s">
        <v>23</v>
      </c>
      <c r="C4203" t="s">
        <v>22</v>
      </c>
      <c r="D4203">
        <v>2072475</v>
      </c>
      <c r="E4203" t="s">
        <v>57</v>
      </c>
      <c r="F4203" t="s">
        <v>38</v>
      </c>
      <c r="G4203" t="s">
        <v>37</v>
      </c>
    </row>
    <row r="4204" spans="1:7" x14ac:dyDescent="0.3">
      <c r="A4204" t="s">
        <v>56</v>
      </c>
      <c r="B4204" t="s">
        <v>8</v>
      </c>
      <c r="C4204" t="s">
        <v>9</v>
      </c>
      <c r="D4204">
        <v>74295</v>
      </c>
      <c r="E4204" t="s">
        <v>57</v>
      </c>
      <c r="F4204" t="s">
        <v>38</v>
      </c>
      <c r="G4204" t="s">
        <v>37</v>
      </c>
    </row>
    <row r="4205" spans="1:7" x14ac:dyDescent="0.3">
      <c r="A4205" t="s">
        <v>56</v>
      </c>
      <c r="B4205" t="s">
        <v>8</v>
      </c>
      <c r="C4205" t="s">
        <v>13</v>
      </c>
      <c r="D4205">
        <v>30985</v>
      </c>
      <c r="E4205" t="s">
        <v>57</v>
      </c>
      <c r="F4205" t="s">
        <v>38</v>
      </c>
      <c r="G4205" t="s">
        <v>37</v>
      </c>
    </row>
    <row r="4206" spans="1:7" x14ac:dyDescent="0.3">
      <c r="A4206" t="s">
        <v>56</v>
      </c>
      <c r="B4206" t="s">
        <v>8</v>
      </c>
      <c r="C4206" t="s">
        <v>14</v>
      </c>
      <c r="D4206">
        <v>20930</v>
      </c>
      <c r="E4206" t="s">
        <v>57</v>
      </c>
      <c r="F4206" t="s">
        <v>38</v>
      </c>
      <c r="G4206" t="s">
        <v>37</v>
      </c>
    </row>
    <row r="4207" spans="1:7" x14ac:dyDescent="0.3">
      <c r="A4207" t="s">
        <v>56</v>
      </c>
      <c r="B4207" t="s">
        <v>8</v>
      </c>
      <c r="C4207" t="s">
        <v>15</v>
      </c>
      <c r="D4207">
        <v>319</v>
      </c>
      <c r="E4207" t="s">
        <v>57</v>
      </c>
      <c r="F4207" t="s">
        <v>38</v>
      </c>
      <c r="G4207" t="s">
        <v>37</v>
      </c>
    </row>
    <row r="4208" spans="1:7" x14ac:dyDescent="0.3">
      <c r="A4208" t="s">
        <v>56</v>
      </c>
      <c r="B4208" t="s">
        <v>8</v>
      </c>
      <c r="C4208" t="s">
        <v>16</v>
      </c>
      <c r="D4208">
        <v>494870</v>
      </c>
      <c r="E4208" t="s">
        <v>57</v>
      </c>
      <c r="F4208" t="s">
        <v>38</v>
      </c>
      <c r="G4208" t="s">
        <v>37</v>
      </c>
    </row>
    <row r="4209" spans="1:7" x14ac:dyDescent="0.3">
      <c r="A4209" t="s">
        <v>56</v>
      </c>
      <c r="B4209" t="s">
        <v>8</v>
      </c>
      <c r="C4209" t="s">
        <v>17</v>
      </c>
      <c r="D4209">
        <v>9815</v>
      </c>
      <c r="E4209" t="s">
        <v>57</v>
      </c>
      <c r="F4209" t="s">
        <v>38</v>
      </c>
      <c r="G4209" t="s">
        <v>37</v>
      </c>
    </row>
    <row r="4210" spans="1:7" x14ac:dyDescent="0.3">
      <c r="A4210" t="s">
        <v>56</v>
      </c>
      <c r="B4210" t="s">
        <v>8</v>
      </c>
      <c r="C4210" t="s">
        <v>18</v>
      </c>
      <c r="D4210">
        <v>0</v>
      </c>
      <c r="E4210" t="s">
        <v>57</v>
      </c>
      <c r="F4210" t="s">
        <v>38</v>
      </c>
      <c r="G4210" t="s">
        <v>37</v>
      </c>
    </row>
    <row r="4211" spans="1:7" x14ac:dyDescent="0.3">
      <c r="A4211" t="s">
        <v>56</v>
      </c>
      <c r="B4211" t="s">
        <v>8</v>
      </c>
      <c r="C4211" t="s">
        <v>19</v>
      </c>
      <c r="D4211">
        <v>181</v>
      </c>
      <c r="E4211" t="s">
        <v>57</v>
      </c>
      <c r="F4211" t="s">
        <v>38</v>
      </c>
      <c r="G4211" t="s">
        <v>37</v>
      </c>
    </row>
    <row r="4212" spans="1:7" x14ac:dyDescent="0.3">
      <c r="A4212" t="s">
        <v>56</v>
      </c>
      <c r="B4212" t="s">
        <v>8</v>
      </c>
      <c r="C4212" t="s">
        <v>20</v>
      </c>
      <c r="D4212">
        <v>472</v>
      </c>
      <c r="E4212" t="s">
        <v>57</v>
      </c>
      <c r="F4212" t="s">
        <v>38</v>
      </c>
      <c r="G4212" t="s">
        <v>37</v>
      </c>
    </row>
    <row r="4213" spans="1:7" x14ac:dyDescent="0.3">
      <c r="A4213" t="s">
        <v>56</v>
      </c>
      <c r="B4213" t="s">
        <v>8</v>
      </c>
      <c r="C4213" t="s">
        <v>21</v>
      </c>
      <c r="D4213">
        <v>455</v>
      </c>
      <c r="E4213" t="s">
        <v>57</v>
      </c>
      <c r="F4213" t="s">
        <v>38</v>
      </c>
      <c r="G4213" t="s">
        <v>37</v>
      </c>
    </row>
    <row r="4214" spans="1:7" x14ac:dyDescent="0.3">
      <c r="A4214" t="s">
        <v>56</v>
      </c>
      <c r="B4214" t="s">
        <v>8</v>
      </c>
      <c r="C4214" t="s">
        <v>22</v>
      </c>
      <c r="D4214">
        <v>11454</v>
      </c>
      <c r="E4214" t="s">
        <v>57</v>
      </c>
      <c r="F4214" t="s">
        <v>38</v>
      </c>
      <c r="G4214" t="s">
        <v>37</v>
      </c>
    </row>
    <row r="4215" spans="1:7" x14ac:dyDescent="0.3">
      <c r="A4215" t="s">
        <v>56</v>
      </c>
      <c r="B4215" t="s">
        <v>23</v>
      </c>
      <c r="C4215" t="s">
        <v>9</v>
      </c>
      <c r="D4215">
        <v>5550634</v>
      </c>
      <c r="E4215" t="s">
        <v>57</v>
      </c>
      <c r="F4215" t="s">
        <v>38</v>
      </c>
      <c r="G4215" t="s">
        <v>37</v>
      </c>
    </row>
    <row r="4216" spans="1:7" x14ac:dyDescent="0.3">
      <c r="A4216" t="s">
        <v>56</v>
      </c>
      <c r="B4216" t="s">
        <v>23</v>
      </c>
      <c r="C4216" t="s">
        <v>13</v>
      </c>
      <c r="D4216">
        <v>4632145</v>
      </c>
      <c r="E4216" t="s">
        <v>57</v>
      </c>
      <c r="F4216" t="s">
        <v>38</v>
      </c>
      <c r="G4216" t="s">
        <v>37</v>
      </c>
    </row>
    <row r="4217" spans="1:7" x14ac:dyDescent="0.3">
      <c r="A4217" t="s">
        <v>56</v>
      </c>
      <c r="B4217" t="s">
        <v>23</v>
      </c>
      <c r="C4217" t="s">
        <v>14</v>
      </c>
      <c r="D4217">
        <v>3552402</v>
      </c>
      <c r="E4217" t="s">
        <v>57</v>
      </c>
      <c r="F4217" t="s">
        <v>38</v>
      </c>
      <c r="G4217" t="s">
        <v>37</v>
      </c>
    </row>
    <row r="4218" spans="1:7" x14ac:dyDescent="0.3">
      <c r="A4218" t="s">
        <v>56</v>
      </c>
      <c r="B4218" t="s">
        <v>23</v>
      </c>
      <c r="C4218" t="s">
        <v>15</v>
      </c>
      <c r="D4218">
        <v>66408</v>
      </c>
      <c r="E4218" t="s">
        <v>57</v>
      </c>
      <c r="F4218" t="s">
        <v>38</v>
      </c>
      <c r="G4218" t="s">
        <v>37</v>
      </c>
    </row>
    <row r="4219" spans="1:7" x14ac:dyDescent="0.3">
      <c r="A4219" t="s">
        <v>56</v>
      </c>
      <c r="B4219" t="s">
        <v>23</v>
      </c>
      <c r="C4219" t="s">
        <v>16</v>
      </c>
      <c r="D4219">
        <v>16051667</v>
      </c>
      <c r="E4219" t="s">
        <v>57</v>
      </c>
      <c r="F4219" t="s">
        <v>38</v>
      </c>
      <c r="G4219" t="s">
        <v>37</v>
      </c>
    </row>
    <row r="4220" spans="1:7" x14ac:dyDescent="0.3">
      <c r="A4220" t="s">
        <v>56</v>
      </c>
      <c r="B4220" t="s">
        <v>23</v>
      </c>
      <c r="C4220" t="s">
        <v>17</v>
      </c>
      <c r="D4220">
        <v>106975</v>
      </c>
      <c r="E4220" t="s">
        <v>57</v>
      </c>
      <c r="F4220" t="s">
        <v>38</v>
      </c>
      <c r="G4220" t="s">
        <v>37</v>
      </c>
    </row>
    <row r="4221" spans="1:7" x14ac:dyDescent="0.3">
      <c r="A4221" t="s">
        <v>56</v>
      </c>
      <c r="B4221" t="s">
        <v>23</v>
      </c>
      <c r="C4221" t="s">
        <v>18</v>
      </c>
      <c r="D4221">
        <v>95</v>
      </c>
      <c r="E4221" t="s">
        <v>57</v>
      </c>
      <c r="F4221" t="s">
        <v>38</v>
      </c>
      <c r="G4221" t="s">
        <v>37</v>
      </c>
    </row>
    <row r="4222" spans="1:7" x14ac:dyDescent="0.3">
      <c r="A4222" t="s">
        <v>56</v>
      </c>
      <c r="B4222" t="s">
        <v>23</v>
      </c>
      <c r="C4222" t="s">
        <v>19</v>
      </c>
      <c r="D4222">
        <v>225427</v>
      </c>
      <c r="E4222" t="s">
        <v>57</v>
      </c>
      <c r="F4222" t="s">
        <v>38</v>
      </c>
      <c r="G4222" t="s">
        <v>37</v>
      </c>
    </row>
    <row r="4223" spans="1:7" x14ac:dyDescent="0.3">
      <c r="A4223" t="s">
        <v>56</v>
      </c>
      <c r="B4223" t="s">
        <v>23</v>
      </c>
      <c r="C4223" t="s">
        <v>20</v>
      </c>
      <c r="D4223">
        <v>258515</v>
      </c>
      <c r="E4223" t="s">
        <v>57</v>
      </c>
      <c r="F4223" t="s">
        <v>38</v>
      </c>
      <c r="G4223" t="s">
        <v>37</v>
      </c>
    </row>
    <row r="4224" spans="1:7" x14ac:dyDescent="0.3">
      <c r="A4224" t="s">
        <v>56</v>
      </c>
      <c r="B4224" t="s">
        <v>23</v>
      </c>
      <c r="C4224" t="s">
        <v>21</v>
      </c>
      <c r="D4224">
        <v>67623</v>
      </c>
      <c r="E4224" t="s">
        <v>57</v>
      </c>
      <c r="F4224" t="s">
        <v>38</v>
      </c>
      <c r="G4224" t="s">
        <v>37</v>
      </c>
    </row>
    <row r="4225" spans="1:7" x14ac:dyDescent="0.3">
      <c r="A4225" t="s">
        <v>56</v>
      </c>
      <c r="B4225" t="s">
        <v>23</v>
      </c>
      <c r="C4225" t="s">
        <v>22</v>
      </c>
      <c r="D4225">
        <v>354635</v>
      </c>
      <c r="E4225" t="s">
        <v>57</v>
      </c>
      <c r="F4225" t="s">
        <v>38</v>
      </c>
      <c r="G4225" t="s">
        <v>37</v>
      </c>
    </row>
    <row r="4226" spans="1:7" x14ac:dyDescent="0.3">
      <c r="A4226" t="s">
        <v>66</v>
      </c>
      <c r="B4226" t="s">
        <v>8</v>
      </c>
      <c r="C4226" t="s">
        <v>9</v>
      </c>
      <c r="D4226">
        <v>45856</v>
      </c>
      <c r="E4226" t="s">
        <v>57</v>
      </c>
      <c r="F4226" t="s">
        <v>38</v>
      </c>
      <c r="G4226" t="s">
        <v>37</v>
      </c>
    </row>
    <row r="4227" spans="1:7" x14ac:dyDescent="0.3">
      <c r="A4227" t="s">
        <v>66</v>
      </c>
      <c r="B4227" t="s">
        <v>8</v>
      </c>
      <c r="C4227" t="s">
        <v>13</v>
      </c>
      <c r="D4227">
        <v>820</v>
      </c>
      <c r="E4227" t="s">
        <v>57</v>
      </c>
      <c r="F4227" t="s">
        <v>38</v>
      </c>
      <c r="G4227" t="s">
        <v>37</v>
      </c>
    </row>
    <row r="4228" spans="1:7" x14ac:dyDescent="0.3">
      <c r="A4228" t="s">
        <v>66</v>
      </c>
      <c r="B4228" t="s">
        <v>8</v>
      </c>
      <c r="C4228" t="s">
        <v>14</v>
      </c>
      <c r="D4228">
        <v>1467</v>
      </c>
      <c r="E4228" t="s">
        <v>57</v>
      </c>
      <c r="F4228" t="s">
        <v>38</v>
      </c>
      <c r="G4228" t="s">
        <v>37</v>
      </c>
    </row>
    <row r="4229" spans="1:7" x14ac:dyDescent="0.3">
      <c r="A4229" t="s">
        <v>66</v>
      </c>
      <c r="B4229" t="s">
        <v>8</v>
      </c>
      <c r="C4229" t="s">
        <v>15</v>
      </c>
      <c r="D4229">
        <v>143</v>
      </c>
      <c r="E4229" t="s">
        <v>57</v>
      </c>
      <c r="F4229" t="s">
        <v>38</v>
      </c>
      <c r="G4229" t="s">
        <v>37</v>
      </c>
    </row>
    <row r="4230" spans="1:7" x14ac:dyDescent="0.3">
      <c r="A4230" t="s">
        <v>66</v>
      </c>
      <c r="B4230" t="s">
        <v>8</v>
      </c>
      <c r="C4230" t="s">
        <v>16</v>
      </c>
      <c r="D4230">
        <v>891</v>
      </c>
      <c r="E4230" t="s">
        <v>57</v>
      </c>
      <c r="F4230" t="s">
        <v>38</v>
      </c>
      <c r="G4230" t="s">
        <v>37</v>
      </c>
    </row>
    <row r="4231" spans="1:7" x14ac:dyDescent="0.3">
      <c r="A4231" t="s">
        <v>66</v>
      </c>
      <c r="B4231" t="s">
        <v>8</v>
      </c>
      <c r="C4231" t="s">
        <v>17</v>
      </c>
      <c r="D4231">
        <v>3131</v>
      </c>
      <c r="E4231" t="s">
        <v>57</v>
      </c>
      <c r="F4231" t="s">
        <v>38</v>
      </c>
      <c r="G4231" t="s">
        <v>37</v>
      </c>
    </row>
    <row r="4232" spans="1:7" x14ac:dyDescent="0.3">
      <c r="A4232" t="s">
        <v>66</v>
      </c>
      <c r="B4232" t="s">
        <v>8</v>
      </c>
      <c r="C4232" t="s">
        <v>18</v>
      </c>
      <c r="D4232">
        <v>0</v>
      </c>
      <c r="E4232" t="s">
        <v>57</v>
      </c>
      <c r="F4232" t="s">
        <v>38</v>
      </c>
      <c r="G4232" t="s">
        <v>37</v>
      </c>
    </row>
    <row r="4233" spans="1:7" x14ac:dyDescent="0.3">
      <c r="A4233" t="s">
        <v>66</v>
      </c>
      <c r="B4233" t="s">
        <v>8</v>
      </c>
      <c r="C4233" t="s">
        <v>19</v>
      </c>
      <c r="D4233">
        <v>57</v>
      </c>
      <c r="E4233" t="s">
        <v>57</v>
      </c>
      <c r="F4233" t="s">
        <v>38</v>
      </c>
      <c r="G4233" t="s">
        <v>37</v>
      </c>
    </row>
    <row r="4234" spans="1:7" x14ac:dyDescent="0.3">
      <c r="A4234" t="s">
        <v>66</v>
      </c>
      <c r="B4234" t="s">
        <v>8</v>
      </c>
      <c r="C4234" t="s">
        <v>20</v>
      </c>
      <c r="D4234">
        <v>62</v>
      </c>
      <c r="E4234" t="s">
        <v>57</v>
      </c>
      <c r="F4234" t="s">
        <v>38</v>
      </c>
      <c r="G4234" t="s">
        <v>37</v>
      </c>
    </row>
    <row r="4235" spans="1:7" x14ac:dyDescent="0.3">
      <c r="A4235" t="s">
        <v>66</v>
      </c>
      <c r="B4235" t="s">
        <v>8</v>
      </c>
      <c r="C4235" t="s">
        <v>21</v>
      </c>
      <c r="D4235">
        <v>227</v>
      </c>
      <c r="E4235" t="s">
        <v>57</v>
      </c>
      <c r="F4235" t="s">
        <v>38</v>
      </c>
      <c r="G4235" t="s">
        <v>37</v>
      </c>
    </row>
    <row r="4236" spans="1:7" x14ac:dyDescent="0.3">
      <c r="A4236" t="s">
        <v>66</v>
      </c>
      <c r="B4236" t="s">
        <v>8</v>
      </c>
      <c r="C4236" t="s">
        <v>22</v>
      </c>
      <c r="D4236">
        <v>2233</v>
      </c>
      <c r="E4236" t="s">
        <v>57</v>
      </c>
      <c r="F4236" t="s">
        <v>38</v>
      </c>
      <c r="G4236" t="s">
        <v>37</v>
      </c>
    </row>
    <row r="4237" spans="1:7" x14ac:dyDescent="0.3">
      <c r="A4237" t="s">
        <v>66</v>
      </c>
      <c r="B4237" t="s">
        <v>23</v>
      </c>
      <c r="C4237" t="s">
        <v>9</v>
      </c>
      <c r="D4237">
        <v>3536189</v>
      </c>
      <c r="E4237" t="s">
        <v>57</v>
      </c>
      <c r="F4237" t="s">
        <v>38</v>
      </c>
      <c r="G4237" t="s">
        <v>37</v>
      </c>
    </row>
    <row r="4238" spans="1:7" x14ac:dyDescent="0.3">
      <c r="A4238" t="s">
        <v>66</v>
      </c>
      <c r="B4238" t="s">
        <v>23</v>
      </c>
      <c r="C4238" t="s">
        <v>13</v>
      </c>
      <c r="D4238">
        <v>159158</v>
      </c>
      <c r="E4238" t="s">
        <v>57</v>
      </c>
      <c r="F4238" t="s">
        <v>38</v>
      </c>
      <c r="G4238" t="s">
        <v>37</v>
      </c>
    </row>
    <row r="4239" spans="1:7" x14ac:dyDescent="0.3">
      <c r="A4239" t="s">
        <v>66</v>
      </c>
      <c r="B4239" t="s">
        <v>23</v>
      </c>
      <c r="C4239" t="s">
        <v>14</v>
      </c>
      <c r="D4239">
        <v>1930852</v>
      </c>
      <c r="E4239" t="s">
        <v>57</v>
      </c>
      <c r="F4239" t="s">
        <v>38</v>
      </c>
      <c r="G4239" t="s">
        <v>37</v>
      </c>
    </row>
    <row r="4240" spans="1:7" x14ac:dyDescent="0.3">
      <c r="A4240" t="s">
        <v>66</v>
      </c>
      <c r="B4240" t="s">
        <v>23</v>
      </c>
      <c r="C4240" t="s">
        <v>15</v>
      </c>
      <c r="D4240">
        <v>33338</v>
      </c>
      <c r="E4240" t="s">
        <v>57</v>
      </c>
      <c r="F4240" t="s">
        <v>38</v>
      </c>
      <c r="G4240" t="s">
        <v>37</v>
      </c>
    </row>
    <row r="4241" spans="1:7" x14ac:dyDescent="0.3">
      <c r="A4241" t="s">
        <v>66</v>
      </c>
      <c r="B4241" t="s">
        <v>23</v>
      </c>
      <c r="C4241" t="s">
        <v>16</v>
      </c>
      <c r="D4241">
        <v>958148</v>
      </c>
      <c r="E4241" t="s">
        <v>57</v>
      </c>
      <c r="F4241" t="s">
        <v>38</v>
      </c>
      <c r="G4241" t="s">
        <v>37</v>
      </c>
    </row>
    <row r="4242" spans="1:7" x14ac:dyDescent="0.3">
      <c r="A4242" t="s">
        <v>66</v>
      </c>
      <c r="B4242" t="s">
        <v>23</v>
      </c>
      <c r="C4242" t="s">
        <v>17</v>
      </c>
      <c r="D4242">
        <v>65003</v>
      </c>
      <c r="E4242" t="s">
        <v>57</v>
      </c>
      <c r="F4242" t="s">
        <v>38</v>
      </c>
      <c r="G4242" t="s">
        <v>37</v>
      </c>
    </row>
    <row r="4243" spans="1:7" x14ac:dyDescent="0.3">
      <c r="A4243" t="s">
        <v>66</v>
      </c>
      <c r="B4243" t="s">
        <v>23</v>
      </c>
      <c r="C4243" t="s">
        <v>18</v>
      </c>
      <c r="D4243">
        <v>0</v>
      </c>
      <c r="E4243" t="s">
        <v>57</v>
      </c>
      <c r="F4243" t="s">
        <v>38</v>
      </c>
      <c r="G4243" t="s">
        <v>37</v>
      </c>
    </row>
    <row r="4244" spans="1:7" x14ac:dyDescent="0.3">
      <c r="A4244" t="s">
        <v>66</v>
      </c>
      <c r="B4244" t="s">
        <v>23</v>
      </c>
      <c r="C4244" t="s">
        <v>19</v>
      </c>
      <c r="D4244">
        <v>64154</v>
      </c>
      <c r="E4244" t="s">
        <v>57</v>
      </c>
      <c r="F4244" t="s">
        <v>38</v>
      </c>
      <c r="G4244" t="s">
        <v>37</v>
      </c>
    </row>
    <row r="4245" spans="1:7" x14ac:dyDescent="0.3">
      <c r="A4245" t="s">
        <v>66</v>
      </c>
      <c r="B4245" t="s">
        <v>23</v>
      </c>
      <c r="C4245" t="s">
        <v>20</v>
      </c>
      <c r="D4245">
        <v>36707</v>
      </c>
      <c r="E4245" t="s">
        <v>57</v>
      </c>
      <c r="F4245" t="s">
        <v>38</v>
      </c>
      <c r="G4245" t="s">
        <v>37</v>
      </c>
    </row>
    <row r="4246" spans="1:7" x14ac:dyDescent="0.3">
      <c r="A4246" t="s">
        <v>66</v>
      </c>
      <c r="B4246" t="s">
        <v>23</v>
      </c>
      <c r="C4246" t="s">
        <v>21</v>
      </c>
      <c r="D4246">
        <v>35461</v>
      </c>
      <c r="E4246" t="s">
        <v>57</v>
      </c>
      <c r="F4246" t="s">
        <v>38</v>
      </c>
      <c r="G4246" t="s">
        <v>37</v>
      </c>
    </row>
    <row r="4247" spans="1:7" x14ac:dyDescent="0.3">
      <c r="A4247" t="s">
        <v>66</v>
      </c>
      <c r="B4247" t="s">
        <v>23</v>
      </c>
      <c r="C4247" t="s">
        <v>22</v>
      </c>
      <c r="D4247">
        <v>16974</v>
      </c>
      <c r="E4247" t="s">
        <v>57</v>
      </c>
      <c r="F4247" t="s">
        <v>38</v>
      </c>
      <c r="G4247" t="s">
        <v>37</v>
      </c>
    </row>
    <row r="4248" spans="1:7" x14ac:dyDescent="0.3">
      <c r="A4248" t="s">
        <v>43</v>
      </c>
      <c r="B4248" t="s">
        <v>8</v>
      </c>
      <c r="C4248" t="s">
        <v>9</v>
      </c>
      <c r="D4248">
        <v>0</v>
      </c>
      <c r="E4248" t="s">
        <v>57</v>
      </c>
      <c r="F4248" t="s">
        <v>39</v>
      </c>
      <c r="G4248" t="s">
        <v>40</v>
      </c>
    </row>
    <row r="4249" spans="1:7" x14ac:dyDescent="0.3">
      <c r="A4249" t="s">
        <v>43</v>
      </c>
      <c r="B4249" t="s">
        <v>8</v>
      </c>
      <c r="C4249" t="s">
        <v>13</v>
      </c>
      <c r="D4249">
        <v>0</v>
      </c>
      <c r="E4249" t="s">
        <v>57</v>
      </c>
      <c r="F4249" t="s">
        <v>39</v>
      </c>
      <c r="G4249" t="s">
        <v>40</v>
      </c>
    </row>
    <row r="4250" spans="1:7" x14ac:dyDescent="0.3">
      <c r="A4250" t="s">
        <v>43</v>
      </c>
      <c r="B4250" t="s">
        <v>8</v>
      </c>
      <c r="C4250" t="s">
        <v>14</v>
      </c>
      <c r="D4250">
        <v>56</v>
      </c>
      <c r="E4250" t="s">
        <v>57</v>
      </c>
      <c r="F4250" t="s">
        <v>39</v>
      </c>
      <c r="G4250" t="s">
        <v>40</v>
      </c>
    </row>
    <row r="4251" spans="1:7" x14ac:dyDescent="0.3">
      <c r="A4251" t="s">
        <v>43</v>
      </c>
      <c r="B4251" t="s">
        <v>8</v>
      </c>
      <c r="C4251" t="s">
        <v>15</v>
      </c>
      <c r="D4251">
        <v>0</v>
      </c>
      <c r="E4251" t="s">
        <v>57</v>
      </c>
      <c r="F4251" t="s">
        <v>39</v>
      </c>
      <c r="G4251" t="s">
        <v>40</v>
      </c>
    </row>
    <row r="4252" spans="1:7" x14ac:dyDescent="0.3">
      <c r="A4252" t="s">
        <v>43</v>
      </c>
      <c r="B4252" t="s">
        <v>8</v>
      </c>
      <c r="C4252" t="s">
        <v>16</v>
      </c>
      <c r="D4252">
        <v>2</v>
      </c>
      <c r="E4252" t="s">
        <v>57</v>
      </c>
      <c r="F4252" t="s">
        <v>39</v>
      </c>
      <c r="G4252" t="s">
        <v>40</v>
      </c>
    </row>
    <row r="4253" spans="1:7" x14ac:dyDescent="0.3">
      <c r="A4253" t="s">
        <v>43</v>
      </c>
      <c r="B4253" t="s">
        <v>8</v>
      </c>
      <c r="C4253" t="s">
        <v>17</v>
      </c>
      <c r="D4253">
        <v>0</v>
      </c>
      <c r="E4253" t="s">
        <v>57</v>
      </c>
      <c r="F4253" t="s">
        <v>39</v>
      </c>
      <c r="G4253" t="s">
        <v>40</v>
      </c>
    </row>
    <row r="4254" spans="1:7" x14ac:dyDescent="0.3">
      <c r="A4254" t="s">
        <v>43</v>
      </c>
      <c r="B4254" t="s">
        <v>8</v>
      </c>
      <c r="C4254" t="s">
        <v>18</v>
      </c>
      <c r="D4254">
        <v>0</v>
      </c>
      <c r="E4254" t="s">
        <v>57</v>
      </c>
      <c r="F4254" t="s">
        <v>39</v>
      </c>
      <c r="G4254" t="s">
        <v>40</v>
      </c>
    </row>
    <row r="4255" spans="1:7" x14ac:dyDescent="0.3">
      <c r="A4255" t="s">
        <v>43</v>
      </c>
      <c r="B4255" t="s">
        <v>8</v>
      </c>
      <c r="C4255" t="s">
        <v>19</v>
      </c>
      <c r="D4255">
        <v>0</v>
      </c>
      <c r="E4255" t="s">
        <v>57</v>
      </c>
      <c r="F4255" t="s">
        <v>39</v>
      </c>
      <c r="G4255" t="s">
        <v>40</v>
      </c>
    </row>
    <row r="4256" spans="1:7" x14ac:dyDescent="0.3">
      <c r="A4256" t="s">
        <v>43</v>
      </c>
      <c r="B4256" t="s">
        <v>8</v>
      </c>
      <c r="C4256" t="s">
        <v>20</v>
      </c>
      <c r="D4256">
        <v>0</v>
      </c>
      <c r="E4256" t="s">
        <v>57</v>
      </c>
      <c r="F4256" t="s">
        <v>39</v>
      </c>
      <c r="G4256" t="s">
        <v>40</v>
      </c>
    </row>
    <row r="4257" spans="1:7" x14ac:dyDescent="0.3">
      <c r="A4257" t="s">
        <v>43</v>
      </c>
      <c r="B4257" t="s">
        <v>8</v>
      </c>
      <c r="C4257" t="s">
        <v>21</v>
      </c>
      <c r="D4257">
        <v>0</v>
      </c>
      <c r="E4257" t="s">
        <v>57</v>
      </c>
      <c r="F4257" t="s">
        <v>39</v>
      </c>
      <c r="G4257" t="s">
        <v>40</v>
      </c>
    </row>
    <row r="4258" spans="1:7" x14ac:dyDescent="0.3">
      <c r="A4258" t="s">
        <v>43</v>
      </c>
      <c r="B4258" t="s">
        <v>8</v>
      </c>
      <c r="C4258" t="s">
        <v>22</v>
      </c>
      <c r="D4258">
        <v>11</v>
      </c>
      <c r="E4258" t="s">
        <v>57</v>
      </c>
      <c r="F4258" t="s">
        <v>39</v>
      </c>
      <c r="G4258" t="s">
        <v>40</v>
      </c>
    </row>
    <row r="4259" spans="1:7" x14ac:dyDescent="0.3">
      <c r="A4259" t="s">
        <v>43</v>
      </c>
      <c r="B4259" t="s">
        <v>23</v>
      </c>
      <c r="C4259" t="s">
        <v>9</v>
      </c>
      <c r="D4259">
        <v>59</v>
      </c>
      <c r="E4259" t="s">
        <v>57</v>
      </c>
      <c r="F4259" t="s">
        <v>39</v>
      </c>
      <c r="G4259" t="s">
        <v>40</v>
      </c>
    </row>
    <row r="4260" spans="1:7" x14ac:dyDescent="0.3">
      <c r="A4260" t="s">
        <v>43</v>
      </c>
      <c r="B4260" t="s">
        <v>23</v>
      </c>
      <c r="C4260" t="s">
        <v>13</v>
      </c>
      <c r="D4260">
        <v>40</v>
      </c>
      <c r="E4260" t="s">
        <v>57</v>
      </c>
      <c r="F4260" t="s">
        <v>39</v>
      </c>
      <c r="G4260" t="s">
        <v>40</v>
      </c>
    </row>
    <row r="4261" spans="1:7" x14ac:dyDescent="0.3">
      <c r="A4261" t="s">
        <v>43</v>
      </c>
      <c r="B4261" t="s">
        <v>23</v>
      </c>
      <c r="C4261" t="s">
        <v>14</v>
      </c>
      <c r="D4261">
        <v>25647</v>
      </c>
      <c r="E4261" t="s">
        <v>57</v>
      </c>
      <c r="F4261" t="s">
        <v>39</v>
      </c>
      <c r="G4261" t="s">
        <v>40</v>
      </c>
    </row>
    <row r="4262" spans="1:7" x14ac:dyDescent="0.3">
      <c r="A4262" t="s">
        <v>43</v>
      </c>
      <c r="B4262" t="s">
        <v>23</v>
      </c>
      <c r="C4262" t="s">
        <v>15</v>
      </c>
      <c r="D4262">
        <v>11</v>
      </c>
      <c r="E4262" t="s">
        <v>57</v>
      </c>
      <c r="F4262" t="s">
        <v>39</v>
      </c>
      <c r="G4262" t="s">
        <v>40</v>
      </c>
    </row>
    <row r="4263" spans="1:7" x14ac:dyDescent="0.3">
      <c r="A4263" t="s">
        <v>43</v>
      </c>
      <c r="B4263" t="s">
        <v>23</v>
      </c>
      <c r="C4263" t="s">
        <v>16</v>
      </c>
      <c r="D4263">
        <v>6735</v>
      </c>
      <c r="E4263" t="s">
        <v>57</v>
      </c>
      <c r="F4263" t="s">
        <v>39</v>
      </c>
      <c r="G4263" t="s">
        <v>40</v>
      </c>
    </row>
    <row r="4264" spans="1:7" x14ac:dyDescent="0.3">
      <c r="A4264" t="s">
        <v>43</v>
      </c>
      <c r="B4264" t="s">
        <v>23</v>
      </c>
      <c r="C4264" t="s">
        <v>17</v>
      </c>
      <c r="D4264">
        <v>3</v>
      </c>
      <c r="E4264" t="s">
        <v>57</v>
      </c>
      <c r="F4264" t="s">
        <v>39</v>
      </c>
      <c r="G4264" t="s">
        <v>40</v>
      </c>
    </row>
    <row r="4265" spans="1:7" x14ac:dyDescent="0.3">
      <c r="A4265" t="s">
        <v>43</v>
      </c>
      <c r="B4265" t="s">
        <v>23</v>
      </c>
      <c r="C4265" t="s">
        <v>18</v>
      </c>
      <c r="D4265">
        <v>0</v>
      </c>
      <c r="E4265" t="s">
        <v>57</v>
      </c>
      <c r="F4265" t="s">
        <v>39</v>
      </c>
      <c r="G4265" t="s">
        <v>40</v>
      </c>
    </row>
    <row r="4266" spans="1:7" x14ac:dyDescent="0.3">
      <c r="A4266" t="s">
        <v>43</v>
      </c>
      <c r="B4266" t="s">
        <v>23</v>
      </c>
      <c r="C4266" t="s">
        <v>19</v>
      </c>
      <c r="D4266">
        <v>2</v>
      </c>
      <c r="E4266" t="s">
        <v>57</v>
      </c>
      <c r="F4266" t="s">
        <v>39</v>
      </c>
      <c r="G4266" t="s">
        <v>40</v>
      </c>
    </row>
    <row r="4267" spans="1:7" x14ac:dyDescent="0.3">
      <c r="A4267" t="s">
        <v>43</v>
      </c>
      <c r="B4267" t="s">
        <v>23</v>
      </c>
      <c r="C4267" t="s">
        <v>20</v>
      </c>
      <c r="D4267">
        <v>63</v>
      </c>
      <c r="E4267" t="s">
        <v>57</v>
      </c>
      <c r="F4267" t="s">
        <v>39</v>
      </c>
      <c r="G4267" t="s">
        <v>40</v>
      </c>
    </row>
    <row r="4268" spans="1:7" x14ac:dyDescent="0.3">
      <c r="A4268" t="s">
        <v>43</v>
      </c>
      <c r="B4268" t="s">
        <v>23</v>
      </c>
      <c r="C4268" t="s">
        <v>21</v>
      </c>
      <c r="D4268">
        <v>7</v>
      </c>
      <c r="E4268" t="s">
        <v>57</v>
      </c>
      <c r="F4268" t="s">
        <v>39</v>
      </c>
      <c r="G4268" t="s">
        <v>40</v>
      </c>
    </row>
    <row r="4269" spans="1:7" x14ac:dyDescent="0.3">
      <c r="A4269" t="s">
        <v>43</v>
      </c>
      <c r="B4269" t="s">
        <v>23</v>
      </c>
      <c r="C4269" t="s">
        <v>22</v>
      </c>
      <c r="D4269">
        <v>75</v>
      </c>
      <c r="E4269" t="s">
        <v>57</v>
      </c>
      <c r="F4269" t="s">
        <v>39</v>
      </c>
      <c r="G4269" t="s">
        <v>40</v>
      </c>
    </row>
    <row r="4270" spans="1:7" x14ac:dyDescent="0.3">
      <c r="A4270" t="s">
        <v>7</v>
      </c>
      <c r="B4270" t="s">
        <v>8</v>
      </c>
      <c r="C4270" t="s">
        <v>9</v>
      </c>
      <c r="D4270">
        <v>0</v>
      </c>
      <c r="E4270" t="s">
        <v>57</v>
      </c>
      <c r="F4270" t="s">
        <v>39</v>
      </c>
      <c r="G4270" t="s">
        <v>40</v>
      </c>
    </row>
    <row r="4271" spans="1:7" x14ac:dyDescent="0.3">
      <c r="A4271" t="s">
        <v>7</v>
      </c>
      <c r="B4271" t="s">
        <v>8</v>
      </c>
      <c r="C4271" t="s">
        <v>13</v>
      </c>
      <c r="D4271">
        <v>4</v>
      </c>
      <c r="E4271" t="s">
        <v>57</v>
      </c>
      <c r="F4271" t="s">
        <v>39</v>
      </c>
      <c r="G4271" t="s">
        <v>40</v>
      </c>
    </row>
    <row r="4272" spans="1:7" x14ac:dyDescent="0.3">
      <c r="A4272" t="s">
        <v>7</v>
      </c>
      <c r="B4272" t="s">
        <v>8</v>
      </c>
      <c r="C4272" t="s">
        <v>14</v>
      </c>
      <c r="D4272">
        <v>0</v>
      </c>
      <c r="E4272" t="s">
        <v>57</v>
      </c>
      <c r="F4272" t="s">
        <v>39</v>
      </c>
      <c r="G4272" t="s">
        <v>40</v>
      </c>
    </row>
    <row r="4273" spans="1:7" x14ac:dyDescent="0.3">
      <c r="A4273" t="s">
        <v>7</v>
      </c>
      <c r="B4273" t="s">
        <v>8</v>
      </c>
      <c r="C4273" t="s">
        <v>15</v>
      </c>
      <c r="D4273">
        <v>2</v>
      </c>
      <c r="E4273" t="s">
        <v>57</v>
      </c>
      <c r="F4273" t="s">
        <v>39</v>
      </c>
      <c r="G4273" t="s">
        <v>40</v>
      </c>
    </row>
    <row r="4274" spans="1:7" x14ac:dyDescent="0.3">
      <c r="A4274" t="s">
        <v>7</v>
      </c>
      <c r="B4274" t="s">
        <v>8</v>
      </c>
      <c r="C4274" t="s">
        <v>16</v>
      </c>
      <c r="D4274">
        <v>6</v>
      </c>
      <c r="E4274" t="s">
        <v>57</v>
      </c>
      <c r="F4274" t="s">
        <v>39</v>
      </c>
      <c r="G4274" t="s">
        <v>40</v>
      </c>
    </row>
    <row r="4275" spans="1:7" x14ac:dyDescent="0.3">
      <c r="A4275" t="s">
        <v>7</v>
      </c>
      <c r="B4275" t="s">
        <v>8</v>
      </c>
      <c r="C4275" t="s">
        <v>17</v>
      </c>
      <c r="D4275">
        <v>0</v>
      </c>
      <c r="E4275" t="s">
        <v>57</v>
      </c>
      <c r="F4275" t="s">
        <v>39</v>
      </c>
      <c r="G4275" t="s">
        <v>40</v>
      </c>
    </row>
    <row r="4276" spans="1:7" x14ac:dyDescent="0.3">
      <c r="A4276" t="s">
        <v>7</v>
      </c>
      <c r="B4276" t="s">
        <v>8</v>
      </c>
      <c r="C4276" t="s">
        <v>18</v>
      </c>
      <c r="D4276">
        <v>0</v>
      </c>
      <c r="E4276" t="s">
        <v>57</v>
      </c>
      <c r="F4276" t="s">
        <v>39</v>
      </c>
      <c r="G4276" t="s">
        <v>40</v>
      </c>
    </row>
    <row r="4277" spans="1:7" x14ac:dyDescent="0.3">
      <c r="A4277" t="s">
        <v>7</v>
      </c>
      <c r="B4277" t="s">
        <v>8</v>
      </c>
      <c r="C4277" t="s">
        <v>19</v>
      </c>
      <c r="D4277">
        <v>0</v>
      </c>
      <c r="E4277" t="s">
        <v>57</v>
      </c>
      <c r="F4277" t="s">
        <v>39</v>
      </c>
      <c r="G4277" t="s">
        <v>40</v>
      </c>
    </row>
    <row r="4278" spans="1:7" x14ac:dyDescent="0.3">
      <c r="A4278" t="s">
        <v>7</v>
      </c>
      <c r="B4278" t="s">
        <v>8</v>
      </c>
      <c r="C4278" t="s">
        <v>20</v>
      </c>
      <c r="D4278">
        <v>0</v>
      </c>
      <c r="E4278" t="s">
        <v>57</v>
      </c>
      <c r="F4278" t="s">
        <v>39</v>
      </c>
      <c r="G4278" t="s">
        <v>40</v>
      </c>
    </row>
    <row r="4279" spans="1:7" x14ac:dyDescent="0.3">
      <c r="A4279" t="s">
        <v>7</v>
      </c>
      <c r="B4279" t="s">
        <v>8</v>
      </c>
      <c r="C4279" t="s">
        <v>21</v>
      </c>
      <c r="D4279">
        <v>0</v>
      </c>
      <c r="E4279" t="s">
        <v>57</v>
      </c>
      <c r="F4279" t="s">
        <v>39</v>
      </c>
      <c r="G4279" t="s">
        <v>40</v>
      </c>
    </row>
    <row r="4280" spans="1:7" x14ac:dyDescent="0.3">
      <c r="A4280" t="s">
        <v>7</v>
      </c>
      <c r="B4280" t="s">
        <v>8</v>
      </c>
      <c r="C4280" t="s">
        <v>22</v>
      </c>
      <c r="D4280">
        <v>3413</v>
      </c>
      <c r="E4280" t="s">
        <v>57</v>
      </c>
      <c r="F4280" t="s">
        <v>39</v>
      </c>
      <c r="G4280" t="s">
        <v>40</v>
      </c>
    </row>
    <row r="4281" spans="1:7" x14ac:dyDescent="0.3">
      <c r="A4281" t="s">
        <v>7</v>
      </c>
      <c r="B4281" t="s">
        <v>23</v>
      </c>
      <c r="C4281" t="s">
        <v>9</v>
      </c>
      <c r="D4281">
        <v>624</v>
      </c>
      <c r="E4281" t="s">
        <v>57</v>
      </c>
      <c r="F4281" t="s">
        <v>39</v>
      </c>
      <c r="G4281" t="s">
        <v>40</v>
      </c>
    </row>
    <row r="4282" spans="1:7" x14ac:dyDescent="0.3">
      <c r="A4282" t="s">
        <v>7</v>
      </c>
      <c r="B4282" t="s">
        <v>23</v>
      </c>
      <c r="C4282" t="s">
        <v>13</v>
      </c>
      <c r="D4282">
        <v>7667</v>
      </c>
      <c r="E4282" t="s">
        <v>57</v>
      </c>
      <c r="F4282" t="s">
        <v>39</v>
      </c>
      <c r="G4282" t="s">
        <v>40</v>
      </c>
    </row>
    <row r="4283" spans="1:7" x14ac:dyDescent="0.3">
      <c r="A4283" t="s">
        <v>7</v>
      </c>
      <c r="B4283" t="s">
        <v>23</v>
      </c>
      <c r="C4283" t="s">
        <v>14</v>
      </c>
      <c r="D4283">
        <v>1703</v>
      </c>
      <c r="E4283" t="s">
        <v>57</v>
      </c>
      <c r="F4283" t="s">
        <v>39</v>
      </c>
      <c r="G4283" t="s">
        <v>40</v>
      </c>
    </row>
    <row r="4284" spans="1:7" x14ac:dyDescent="0.3">
      <c r="A4284" t="s">
        <v>7</v>
      </c>
      <c r="B4284" t="s">
        <v>23</v>
      </c>
      <c r="C4284" t="s">
        <v>15</v>
      </c>
      <c r="D4284">
        <v>110</v>
      </c>
      <c r="E4284" t="s">
        <v>57</v>
      </c>
      <c r="F4284" t="s">
        <v>39</v>
      </c>
      <c r="G4284" t="s">
        <v>40</v>
      </c>
    </row>
    <row r="4285" spans="1:7" x14ac:dyDescent="0.3">
      <c r="A4285" t="s">
        <v>7</v>
      </c>
      <c r="B4285" t="s">
        <v>23</v>
      </c>
      <c r="C4285" t="s">
        <v>16</v>
      </c>
      <c r="D4285">
        <v>2430</v>
      </c>
      <c r="E4285" t="s">
        <v>57</v>
      </c>
      <c r="F4285" t="s">
        <v>39</v>
      </c>
      <c r="G4285" t="s">
        <v>40</v>
      </c>
    </row>
    <row r="4286" spans="1:7" x14ac:dyDescent="0.3">
      <c r="A4286" t="s">
        <v>7</v>
      </c>
      <c r="B4286" t="s">
        <v>23</v>
      </c>
      <c r="C4286" t="s">
        <v>17</v>
      </c>
      <c r="D4286">
        <v>169</v>
      </c>
      <c r="E4286" t="s">
        <v>57</v>
      </c>
      <c r="F4286" t="s">
        <v>39</v>
      </c>
      <c r="G4286" t="s">
        <v>40</v>
      </c>
    </row>
    <row r="4287" spans="1:7" x14ac:dyDescent="0.3">
      <c r="A4287" t="s">
        <v>7</v>
      </c>
      <c r="B4287" t="s">
        <v>23</v>
      </c>
      <c r="C4287" t="s">
        <v>18</v>
      </c>
      <c r="D4287">
        <v>0</v>
      </c>
      <c r="E4287" t="s">
        <v>57</v>
      </c>
      <c r="F4287" t="s">
        <v>39</v>
      </c>
      <c r="G4287" t="s">
        <v>40</v>
      </c>
    </row>
    <row r="4288" spans="1:7" x14ac:dyDescent="0.3">
      <c r="A4288" t="s">
        <v>7</v>
      </c>
      <c r="B4288" t="s">
        <v>23</v>
      </c>
      <c r="C4288" t="s">
        <v>19</v>
      </c>
      <c r="D4288">
        <v>139</v>
      </c>
      <c r="E4288" t="s">
        <v>57</v>
      </c>
      <c r="F4288" t="s">
        <v>39</v>
      </c>
      <c r="G4288" t="s">
        <v>40</v>
      </c>
    </row>
    <row r="4289" spans="1:7" x14ac:dyDescent="0.3">
      <c r="A4289" t="s">
        <v>7</v>
      </c>
      <c r="B4289" t="s">
        <v>23</v>
      </c>
      <c r="C4289" t="s">
        <v>20</v>
      </c>
      <c r="D4289">
        <v>335</v>
      </c>
      <c r="E4289" t="s">
        <v>57</v>
      </c>
      <c r="F4289" t="s">
        <v>39</v>
      </c>
      <c r="G4289" t="s">
        <v>40</v>
      </c>
    </row>
    <row r="4290" spans="1:7" x14ac:dyDescent="0.3">
      <c r="A4290" t="s">
        <v>7</v>
      </c>
      <c r="B4290" t="s">
        <v>23</v>
      </c>
      <c r="C4290" t="s">
        <v>21</v>
      </c>
      <c r="D4290">
        <v>35</v>
      </c>
      <c r="E4290" t="s">
        <v>57</v>
      </c>
      <c r="F4290" t="s">
        <v>39</v>
      </c>
      <c r="G4290" t="s">
        <v>40</v>
      </c>
    </row>
    <row r="4291" spans="1:7" x14ac:dyDescent="0.3">
      <c r="A4291" t="s">
        <v>7</v>
      </c>
      <c r="B4291" t="s">
        <v>23</v>
      </c>
      <c r="C4291" t="s">
        <v>22</v>
      </c>
      <c r="D4291">
        <v>65541</v>
      </c>
      <c r="E4291" t="s">
        <v>57</v>
      </c>
      <c r="F4291" t="s">
        <v>39</v>
      </c>
      <c r="G4291" t="s">
        <v>40</v>
      </c>
    </row>
    <row r="4292" spans="1:7" x14ac:dyDescent="0.3">
      <c r="A4292" t="s">
        <v>44</v>
      </c>
      <c r="B4292" t="s">
        <v>8</v>
      </c>
      <c r="C4292" t="s">
        <v>9</v>
      </c>
      <c r="D4292">
        <v>0</v>
      </c>
      <c r="E4292" t="s">
        <v>57</v>
      </c>
      <c r="F4292" t="s">
        <v>39</v>
      </c>
      <c r="G4292" t="s">
        <v>40</v>
      </c>
    </row>
    <row r="4293" spans="1:7" x14ac:dyDescent="0.3">
      <c r="A4293" t="s">
        <v>44</v>
      </c>
      <c r="B4293" t="s">
        <v>8</v>
      </c>
      <c r="C4293" t="s">
        <v>13</v>
      </c>
      <c r="D4293">
        <v>0</v>
      </c>
      <c r="E4293" t="s">
        <v>57</v>
      </c>
      <c r="F4293" t="s">
        <v>39</v>
      </c>
      <c r="G4293" t="s">
        <v>40</v>
      </c>
    </row>
    <row r="4294" spans="1:7" x14ac:dyDescent="0.3">
      <c r="A4294" t="s">
        <v>44</v>
      </c>
      <c r="B4294" t="s">
        <v>8</v>
      </c>
      <c r="C4294" t="s">
        <v>14</v>
      </c>
      <c r="D4294">
        <v>74</v>
      </c>
      <c r="E4294" t="s">
        <v>57</v>
      </c>
      <c r="F4294" t="s">
        <v>39</v>
      </c>
      <c r="G4294" t="s">
        <v>40</v>
      </c>
    </row>
    <row r="4295" spans="1:7" x14ac:dyDescent="0.3">
      <c r="A4295" t="s">
        <v>44</v>
      </c>
      <c r="B4295" t="s">
        <v>8</v>
      </c>
      <c r="C4295" t="s">
        <v>15</v>
      </c>
      <c r="D4295">
        <v>0</v>
      </c>
      <c r="E4295" t="s">
        <v>57</v>
      </c>
      <c r="F4295" t="s">
        <v>39</v>
      </c>
      <c r="G4295" t="s">
        <v>40</v>
      </c>
    </row>
    <row r="4296" spans="1:7" x14ac:dyDescent="0.3">
      <c r="A4296" t="s">
        <v>44</v>
      </c>
      <c r="B4296" t="s">
        <v>8</v>
      </c>
      <c r="C4296" t="s">
        <v>16</v>
      </c>
      <c r="D4296">
        <v>3</v>
      </c>
      <c r="E4296" t="s">
        <v>57</v>
      </c>
      <c r="F4296" t="s">
        <v>39</v>
      </c>
      <c r="G4296" t="s">
        <v>40</v>
      </c>
    </row>
    <row r="4297" spans="1:7" x14ac:dyDescent="0.3">
      <c r="A4297" t="s">
        <v>44</v>
      </c>
      <c r="B4297" t="s">
        <v>8</v>
      </c>
      <c r="C4297" t="s">
        <v>17</v>
      </c>
      <c r="D4297">
        <v>0</v>
      </c>
      <c r="E4297" t="s">
        <v>57</v>
      </c>
      <c r="F4297" t="s">
        <v>39</v>
      </c>
      <c r="G4297" t="s">
        <v>40</v>
      </c>
    </row>
    <row r="4298" spans="1:7" x14ac:dyDescent="0.3">
      <c r="A4298" t="s">
        <v>44</v>
      </c>
      <c r="B4298" t="s">
        <v>8</v>
      </c>
      <c r="C4298" t="s">
        <v>18</v>
      </c>
      <c r="D4298">
        <v>0</v>
      </c>
      <c r="E4298" t="s">
        <v>57</v>
      </c>
      <c r="F4298" t="s">
        <v>39</v>
      </c>
      <c r="G4298" t="s">
        <v>40</v>
      </c>
    </row>
    <row r="4299" spans="1:7" x14ac:dyDescent="0.3">
      <c r="A4299" t="s">
        <v>44</v>
      </c>
      <c r="B4299" t="s">
        <v>8</v>
      </c>
      <c r="C4299" t="s">
        <v>19</v>
      </c>
      <c r="D4299">
        <v>0</v>
      </c>
      <c r="E4299" t="s">
        <v>57</v>
      </c>
      <c r="F4299" t="s">
        <v>39</v>
      </c>
      <c r="G4299" t="s">
        <v>40</v>
      </c>
    </row>
    <row r="4300" spans="1:7" x14ac:dyDescent="0.3">
      <c r="A4300" t="s">
        <v>44</v>
      </c>
      <c r="B4300" t="s">
        <v>8</v>
      </c>
      <c r="C4300" t="s">
        <v>20</v>
      </c>
      <c r="D4300">
        <v>0</v>
      </c>
      <c r="E4300" t="s">
        <v>57</v>
      </c>
      <c r="F4300" t="s">
        <v>39</v>
      </c>
      <c r="G4300" t="s">
        <v>40</v>
      </c>
    </row>
    <row r="4301" spans="1:7" x14ac:dyDescent="0.3">
      <c r="A4301" t="s">
        <v>44</v>
      </c>
      <c r="B4301" t="s">
        <v>8</v>
      </c>
      <c r="C4301" t="s">
        <v>21</v>
      </c>
      <c r="D4301">
        <v>0</v>
      </c>
      <c r="E4301" t="s">
        <v>57</v>
      </c>
      <c r="F4301" t="s">
        <v>39</v>
      </c>
      <c r="G4301" t="s">
        <v>40</v>
      </c>
    </row>
    <row r="4302" spans="1:7" x14ac:dyDescent="0.3">
      <c r="A4302" t="s">
        <v>44</v>
      </c>
      <c r="B4302" t="s">
        <v>8</v>
      </c>
      <c r="C4302" t="s">
        <v>22</v>
      </c>
      <c r="D4302">
        <v>15</v>
      </c>
      <c r="E4302" t="s">
        <v>57</v>
      </c>
      <c r="F4302" t="s">
        <v>39</v>
      </c>
      <c r="G4302" t="s">
        <v>40</v>
      </c>
    </row>
    <row r="4303" spans="1:7" x14ac:dyDescent="0.3">
      <c r="A4303" t="s">
        <v>44</v>
      </c>
      <c r="B4303" t="s">
        <v>23</v>
      </c>
      <c r="C4303" t="s">
        <v>9</v>
      </c>
      <c r="D4303">
        <v>77</v>
      </c>
      <c r="E4303" t="s">
        <v>57</v>
      </c>
      <c r="F4303" t="s">
        <v>39</v>
      </c>
      <c r="G4303" t="s">
        <v>40</v>
      </c>
    </row>
    <row r="4304" spans="1:7" x14ac:dyDescent="0.3">
      <c r="A4304" t="s">
        <v>44</v>
      </c>
      <c r="B4304" t="s">
        <v>23</v>
      </c>
      <c r="C4304" t="s">
        <v>13</v>
      </c>
      <c r="D4304">
        <v>52</v>
      </c>
      <c r="E4304" t="s">
        <v>57</v>
      </c>
      <c r="F4304" t="s">
        <v>39</v>
      </c>
      <c r="G4304" t="s">
        <v>40</v>
      </c>
    </row>
    <row r="4305" spans="1:7" x14ac:dyDescent="0.3">
      <c r="A4305" t="s">
        <v>44</v>
      </c>
      <c r="B4305" t="s">
        <v>23</v>
      </c>
      <c r="C4305" t="s">
        <v>14</v>
      </c>
      <c r="D4305">
        <v>33866</v>
      </c>
      <c r="E4305" t="s">
        <v>57</v>
      </c>
      <c r="F4305" t="s">
        <v>39</v>
      </c>
      <c r="G4305" t="s">
        <v>40</v>
      </c>
    </row>
    <row r="4306" spans="1:7" x14ac:dyDescent="0.3">
      <c r="A4306" t="s">
        <v>44</v>
      </c>
      <c r="B4306" t="s">
        <v>23</v>
      </c>
      <c r="C4306" t="s">
        <v>15</v>
      </c>
      <c r="D4306">
        <v>15</v>
      </c>
      <c r="E4306" t="s">
        <v>57</v>
      </c>
      <c r="F4306" t="s">
        <v>39</v>
      </c>
      <c r="G4306" t="s">
        <v>40</v>
      </c>
    </row>
    <row r="4307" spans="1:7" x14ac:dyDescent="0.3">
      <c r="A4307" t="s">
        <v>44</v>
      </c>
      <c r="B4307" t="s">
        <v>23</v>
      </c>
      <c r="C4307" t="s">
        <v>16</v>
      </c>
      <c r="D4307">
        <v>8893</v>
      </c>
      <c r="E4307" t="s">
        <v>57</v>
      </c>
      <c r="F4307" t="s">
        <v>39</v>
      </c>
      <c r="G4307" t="s">
        <v>40</v>
      </c>
    </row>
    <row r="4308" spans="1:7" x14ac:dyDescent="0.3">
      <c r="A4308" t="s">
        <v>44</v>
      </c>
      <c r="B4308" t="s">
        <v>23</v>
      </c>
      <c r="C4308" t="s">
        <v>17</v>
      </c>
      <c r="D4308">
        <v>5</v>
      </c>
      <c r="E4308" t="s">
        <v>57</v>
      </c>
      <c r="F4308" t="s">
        <v>39</v>
      </c>
      <c r="G4308" t="s">
        <v>40</v>
      </c>
    </row>
    <row r="4309" spans="1:7" x14ac:dyDescent="0.3">
      <c r="A4309" t="s">
        <v>44</v>
      </c>
      <c r="B4309" t="s">
        <v>23</v>
      </c>
      <c r="C4309" t="s">
        <v>18</v>
      </c>
      <c r="D4309">
        <v>0</v>
      </c>
      <c r="E4309" t="s">
        <v>57</v>
      </c>
      <c r="F4309" t="s">
        <v>39</v>
      </c>
      <c r="G4309" t="s">
        <v>40</v>
      </c>
    </row>
    <row r="4310" spans="1:7" x14ac:dyDescent="0.3">
      <c r="A4310" t="s">
        <v>44</v>
      </c>
      <c r="B4310" t="s">
        <v>23</v>
      </c>
      <c r="C4310" t="s">
        <v>19</v>
      </c>
      <c r="D4310">
        <v>3</v>
      </c>
      <c r="E4310" t="s">
        <v>57</v>
      </c>
      <c r="F4310" t="s">
        <v>39</v>
      </c>
      <c r="G4310" t="s">
        <v>40</v>
      </c>
    </row>
    <row r="4311" spans="1:7" x14ac:dyDescent="0.3">
      <c r="A4311" t="s">
        <v>44</v>
      </c>
      <c r="B4311" t="s">
        <v>23</v>
      </c>
      <c r="C4311" t="s">
        <v>20</v>
      </c>
      <c r="D4311">
        <v>84</v>
      </c>
      <c r="E4311" t="s">
        <v>57</v>
      </c>
      <c r="F4311" t="s">
        <v>39</v>
      </c>
      <c r="G4311" t="s">
        <v>40</v>
      </c>
    </row>
    <row r="4312" spans="1:7" x14ac:dyDescent="0.3">
      <c r="A4312" t="s">
        <v>44</v>
      </c>
      <c r="B4312" t="s">
        <v>23</v>
      </c>
      <c r="C4312" t="s">
        <v>21</v>
      </c>
      <c r="D4312">
        <v>9</v>
      </c>
      <c r="E4312" t="s">
        <v>57</v>
      </c>
      <c r="F4312" t="s">
        <v>39</v>
      </c>
      <c r="G4312" t="s">
        <v>40</v>
      </c>
    </row>
    <row r="4313" spans="1:7" x14ac:dyDescent="0.3">
      <c r="A4313" t="s">
        <v>44</v>
      </c>
      <c r="B4313" t="s">
        <v>23</v>
      </c>
      <c r="C4313" t="s">
        <v>22</v>
      </c>
      <c r="D4313">
        <v>99</v>
      </c>
      <c r="E4313" t="s">
        <v>57</v>
      </c>
      <c r="F4313" t="s">
        <v>39</v>
      </c>
      <c r="G4313" t="s">
        <v>40</v>
      </c>
    </row>
    <row r="4314" spans="1:7" x14ac:dyDescent="0.3">
      <c r="A4314" t="s">
        <v>45</v>
      </c>
      <c r="B4314" t="s">
        <v>8</v>
      </c>
      <c r="C4314" t="s">
        <v>9</v>
      </c>
      <c r="D4314">
        <v>23</v>
      </c>
      <c r="E4314" t="s">
        <v>57</v>
      </c>
      <c r="F4314" t="s">
        <v>39</v>
      </c>
      <c r="G4314" t="s">
        <v>40</v>
      </c>
    </row>
    <row r="4315" spans="1:7" x14ac:dyDescent="0.3">
      <c r="A4315" t="s">
        <v>45</v>
      </c>
      <c r="B4315" t="s">
        <v>8</v>
      </c>
      <c r="C4315" t="s">
        <v>13</v>
      </c>
      <c r="D4315">
        <v>49</v>
      </c>
      <c r="E4315" t="s">
        <v>57</v>
      </c>
      <c r="F4315" t="s">
        <v>39</v>
      </c>
      <c r="G4315" t="s">
        <v>40</v>
      </c>
    </row>
    <row r="4316" spans="1:7" x14ac:dyDescent="0.3">
      <c r="A4316" t="s">
        <v>45</v>
      </c>
      <c r="B4316" t="s">
        <v>8</v>
      </c>
      <c r="C4316" t="s">
        <v>14</v>
      </c>
      <c r="D4316">
        <v>0</v>
      </c>
      <c r="E4316" t="s">
        <v>57</v>
      </c>
      <c r="F4316" t="s">
        <v>39</v>
      </c>
      <c r="G4316" t="s">
        <v>40</v>
      </c>
    </row>
    <row r="4317" spans="1:7" x14ac:dyDescent="0.3">
      <c r="A4317" t="s">
        <v>45</v>
      </c>
      <c r="B4317" t="s">
        <v>8</v>
      </c>
      <c r="C4317" t="s">
        <v>15</v>
      </c>
      <c r="D4317">
        <v>1</v>
      </c>
      <c r="E4317" t="s">
        <v>57</v>
      </c>
      <c r="F4317" t="s">
        <v>39</v>
      </c>
      <c r="G4317" t="s">
        <v>40</v>
      </c>
    </row>
    <row r="4318" spans="1:7" x14ac:dyDescent="0.3">
      <c r="A4318" t="s">
        <v>45</v>
      </c>
      <c r="B4318" t="s">
        <v>8</v>
      </c>
      <c r="C4318" t="s">
        <v>16</v>
      </c>
      <c r="D4318">
        <v>260</v>
      </c>
      <c r="E4318" t="s">
        <v>57</v>
      </c>
      <c r="F4318" t="s">
        <v>39</v>
      </c>
      <c r="G4318" t="s">
        <v>40</v>
      </c>
    </row>
    <row r="4319" spans="1:7" x14ac:dyDescent="0.3">
      <c r="A4319" t="s">
        <v>45</v>
      </c>
      <c r="B4319" t="s">
        <v>8</v>
      </c>
      <c r="C4319" t="s">
        <v>17</v>
      </c>
      <c r="D4319">
        <v>3</v>
      </c>
      <c r="E4319" t="s">
        <v>57</v>
      </c>
      <c r="F4319" t="s">
        <v>39</v>
      </c>
      <c r="G4319" t="s">
        <v>40</v>
      </c>
    </row>
    <row r="4320" spans="1:7" x14ac:dyDescent="0.3">
      <c r="A4320" t="s">
        <v>45</v>
      </c>
      <c r="B4320" t="s">
        <v>8</v>
      </c>
      <c r="C4320" t="s">
        <v>18</v>
      </c>
      <c r="D4320">
        <v>0</v>
      </c>
      <c r="E4320" t="s">
        <v>57</v>
      </c>
      <c r="F4320" t="s">
        <v>39</v>
      </c>
      <c r="G4320" t="s">
        <v>40</v>
      </c>
    </row>
    <row r="4321" spans="1:7" x14ac:dyDescent="0.3">
      <c r="A4321" t="s">
        <v>45</v>
      </c>
      <c r="B4321" t="s">
        <v>8</v>
      </c>
      <c r="C4321" t="s">
        <v>19</v>
      </c>
      <c r="D4321">
        <v>11</v>
      </c>
      <c r="E4321" t="s">
        <v>57</v>
      </c>
      <c r="F4321" t="s">
        <v>39</v>
      </c>
      <c r="G4321" t="s">
        <v>40</v>
      </c>
    </row>
    <row r="4322" spans="1:7" x14ac:dyDescent="0.3">
      <c r="A4322" t="s">
        <v>45</v>
      </c>
      <c r="B4322" t="s">
        <v>8</v>
      </c>
      <c r="C4322" t="s">
        <v>20</v>
      </c>
      <c r="D4322">
        <v>0</v>
      </c>
      <c r="E4322" t="s">
        <v>57</v>
      </c>
      <c r="F4322" t="s">
        <v>39</v>
      </c>
      <c r="G4322" t="s">
        <v>40</v>
      </c>
    </row>
    <row r="4323" spans="1:7" x14ac:dyDescent="0.3">
      <c r="A4323" t="s">
        <v>45</v>
      </c>
      <c r="B4323" t="s">
        <v>8</v>
      </c>
      <c r="C4323" t="s">
        <v>21</v>
      </c>
      <c r="D4323">
        <v>0</v>
      </c>
      <c r="E4323" t="s">
        <v>57</v>
      </c>
      <c r="F4323" t="s">
        <v>39</v>
      </c>
      <c r="G4323" t="s">
        <v>40</v>
      </c>
    </row>
    <row r="4324" spans="1:7" x14ac:dyDescent="0.3">
      <c r="A4324" t="s">
        <v>45</v>
      </c>
      <c r="B4324" t="s">
        <v>8</v>
      </c>
      <c r="C4324" t="s">
        <v>22</v>
      </c>
      <c r="D4324">
        <v>24</v>
      </c>
      <c r="E4324" t="s">
        <v>57</v>
      </c>
      <c r="F4324" t="s">
        <v>39</v>
      </c>
      <c r="G4324" t="s">
        <v>40</v>
      </c>
    </row>
    <row r="4325" spans="1:7" x14ac:dyDescent="0.3">
      <c r="A4325" t="s">
        <v>45</v>
      </c>
      <c r="B4325" t="s">
        <v>23</v>
      </c>
      <c r="C4325" t="s">
        <v>9</v>
      </c>
      <c r="D4325">
        <v>11165</v>
      </c>
      <c r="E4325" t="s">
        <v>57</v>
      </c>
      <c r="F4325" t="s">
        <v>39</v>
      </c>
      <c r="G4325" t="s">
        <v>40</v>
      </c>
    </row>
    <row r="4326" spans="1:7" x14ac:dyDescent="0.3">
      <c r="A4326" t="s">
        <v>45</v>
      </c>
      <c r="B4326" t="s">
        <v>23</v>
      </c>
      <c r="C4326" t="s">
        <v>13</v>
      </c>
      <c r="D4326">
        <v>225</v>
      </c>
      <c r="E4326" t="s">
        <v>57</v>
      </c>
      <c r="F4326" t="s">
        <v>39</v>
      </c>
      <c r="G4326" t="s">
        <v>40</v>
      </c>
    </row>
    <row r="4327" spans="1:7" x14ac:dyDescent="0.3">
      <c r="A4327" t="s">
        <v>45</v>
      </c>
      <c r="B4327" t="s">
        <v>23</v>
      </c>
      <c r="C4327" t="s">
        <v>14</v>
      </c>
      <c r="D4327">
        <v>465</v>
      </c>
      <c r="E4327" t="s">
        <v>57</v>
      </c>
      <c r="F4327" t="s">
        <v>39</v>
      </c>
      <c r="G4327" t="s">
        <v>40</v>
      </c>
    </row>
    <row r="4328" spans="1:7" x14ac:dyDescent="0.3">
      <c r="A4328" t="s">
        <v>45</v>
      </c>
      <c r="B4328" t="s">
        <v>23</v>
      </c>
      <c r="C4328" t="s">
        <v>15</v>
      </c>
      <c r="D4328">
        <v>54</v>
      </c>
      <c r="E4328" t="s">
        <v>57</v>
      </c>
      <c r="F4328" t="s">
        <v>39</v>
      </c>
      <c r="G4328" t="s">
        <v>40</v>
      </c>
    </row>
    <row r="4329" spans="1:7" x14ac:dyDescent="0.3">
      <c r="A4329" t="s">
        <v>45</v>
      </c>
      <c r="B4329" t="s">
        <v>23</v>
      </c>
      <c r="C4329" t="s">
        <v>16</v>
      </c>
      <c r="D4329">
        <v>26902</v>
      </c>
      <c r="E4329" t="s">
        <v>57</v>
      </c>
      <c r="F4329" t="s">
        <v>39</v>
      </c>
      <c r="G4329" t="s">
        <v>40</v>
      </c>
    </row>
    <row r="4330" spans="1:7" x14ac:dyDescent="0.3">
      <c r="A4330" t="s">
        <v>45</v>
      </c>
      <c r="B4330" t="s">
        <v>23</v>
      </c>
      <c r="C4330" t="s">
        <v>17</v>
      </c>
      <c r="D4330">
        <v>109</v>
      </c>
      <c r="E4330" t="s">
        <v>57</v>
      </c>
      <c r="F4330" t="s">
        <v>39</v>
      </c>
      <c r="G4330" t="s">
        <v>40</v>
      </c>
    </row>
    <row r="4331" spans="1:7" x14ac:dyDescent="0.3">
      <c r="A4331" t="s">
        <v>45</v>
      </c>
      <c r="B4331" t="s">
        <v>23</v>
      </c>
      <c r="C4331" t="s">
        <v>18</v>
      </c>
      <c r="D4331">
        <v>0</v>
      </c>
      <c r="E4331" t="s">
        <v>57</v>
      </c>
      <c r="F4331" t="s">
        <v>39</v>
      </c>
      <c r="G4331" t="s">
        <v>40</v>
      </c>
    </row>
    <row r="4332" spans="1:7" x14ac:dyDescent="0.3">
      <c r="A4332" t="s">
        <v>45</v>
      </c>
      <c r="B4332" t="s">
        <v>23</v>
      </c>
      <c r="C4332" t="s">
        <v>19</v>
      </c>
      <c r="D4332">
        <v>6031</v>
      </c>
      <c r="E4332" t="s">
        <v>57</v>
      </c>
      <c r="F4332" t="s">
        <v>39</v>
      </c>
      <c r="G4332" t="s">
        <v>40</v>
      </c>
    </row>
    <row r="4333" spans="1:7" x14ac:dyDescent="0.3">
      <c r="A4333" t="s">
        <v>45</v>
      </c>
      <c r="B4333" t="s">
        <v>23</v>
      </c>
      <c r="C4333" t="s">
        <v>20</v>
      </c>
      <c r="D4333">
        <v>311</v>
      </c>
      <c r="E4333" t="s">
        <v>57</v>
      </c>
      <c r="F4333" t="s">
        <v>39</v>
      </c>
      <c r="G4333" t="s">
        <v>40</v>
      </c>
    </row>
    <row r="4334" spans="1:7" x14ac:dyDescent="0.3">
      <c r="A4334" t="s">
        <v>45</v>
      </c>
      <c r="B4334" t="s">
        <v>23</v>
      </c>
      <c r="C4334" t="s">
        <v>21</v>
      </c>
      <c r="D4334">
        <v>16</v>
      </c>
      <c r="E4334" t="s">
        <v>57</v>
      </c>
      <c r="F4334" t="s">
        <v>39</v>
      </c>
      <c r="G4334" t="s">
        <v>40</v>
      </c>
    </row>
    <row r="4335" spans="1:7" x14ac:dyDescent="0.3">
      <c r="A4335" t="s">
        <v>45</v>
      </c>
      <c r="B4335" t="s">
        <v>23</v>
      </c>
      <c r="C4335" t="s">
        <v>22</v>
      </c>
      <c r="D4335">
        <v>206</v>
      </c>
      <c r="E4335" t="s">
        <v>57</v>
      </c>
      <c r="F4335" t="s">
        <v>39</v>
      </c>
      <c r="G4335" t="s">
        <v>40</v>
      </c>
    </row>
    <row r="4336" spans="1:7" x14ac:dyDescent="0.3">
      <c r="A4336" t="s">
        <v>58</v>
      </c>
      <c r="B4336" t="s">
        <v>8</v>
      </c>
      <c r="C4336" t="s">
        <v>9</v>
      </c>
      <c r="D4336">
        <v>0</v>
      </c>
      <c r="E4336" t="s">
        <v>57</v>
      </c>
      <c r="F4336" t="s">
        <v>39</v>
      </c>
      <c r="G4336" t="s">
        <v>40</v>
      </c>
    </row>
    <row r="4337" spans="1:7" x14ac:dyDescent="0.3">
      <c r="A4337" t="s">
        <v>58</v>
      </c>
      <c r="B4337" t="s">
        <v>8</v>
      </c>
      <c r="C4337" t="s">
        <v>13</v>
      </c>
      <c r="D4337">
        <v>0</v>
      </c>
      <c r="E4337" t="s">
        <v>57</v>
      </c>
      <c r="F4337" t="s">
        <v>39</v>
      </c>
      <c r="G4337" t="s">
        <v>40</v>
      </c>
    </row>
    <row r="4338" spans="1:7" x14ac:dyDescent="0.3">
      <c r="A4338" t="s">
        <v>58</v>
      </c>
      <c r="B4338" t="s">
        <v>8</v>
      </c>
      <c r="C4338" t="s">
        <v>14</v>
      </c>
      <c r="D4338">
        <v>0</v>
      </c>
      <c r="E4338" t="s">
        <v>57</v>
      </c>
      <c r="F4338" t="s">
        <v>39</v>
      </c>
      <c r="G4338" t="s">
        <v>40</v>
      </c>
    </row>
    <row r="4339" spans="1:7" x14ac:dyDescent="0.3">
      <c r="A4339" t="s">
        <v>58</v>
      </c>
      <c r="B4339" t="s">
        <v>8</v>
      </c>
      <c r="C4339" t="s">
        <v>15</v>
      </c>
      <c r="D4339">
        <v>0</v>
      </c>
      <c r="E4339" t="s">
        <v>57</v>
      </c>
      <c r="F4339" t="s">
        <v>39</v>
      </c>
      <c r="G4339" t="s">
        <v>40</v>
      </c>
    </row>
    <row r="4340" spans="1:7" x14ac:dyDescent="0.3">
      <c r="A4340" t="s">
        <v>58</v>
      </c>
      <c r="B4340" t="s">
        <v>8</v>
      </c>
      <c r="C4340" t="s">
        <v>16</v>
      </c>
      <c r="D4340">
        <v>231</v>
      </c>
      <c r="E4340" t="s">
        <v>57</v>
      </c>
      <c r="F4340" t="s">
        <v>39</v>
      </c>
      <c r="G4340" t="s">
        <v>40</v>
      </c>
    </row>
    <row r="4341" spans="1:7" x14ac:dyDescent="0.3">
      <c r="A4341" t="s">
        <v>58</v>
      </c>
      <c r="B4341" t="s">
        <v>8</v>
      </c>
      <c r="C4341" t="s">
        <v>17</v>
      </c>
      <c r="D4341">
        <v>0</v>
      </c>
      <c r="E4341" t="s">
        <v>57</v>
      </c>
      <c r="F4341" t="s">
        <v>39</v>
      </c>
      <c r="G4341" t="s">
        <v>40</v>
      </c>
    </row>
    <row r="4342" spans="1:7" x14ac:dyDescent="0.3">
      <c r="A4342" t="s">
        <v>58</v>
      </c>
      <c r="B4342" t="s">
        <v>8</v>
      </c>
      <c r="C4342" t="s">
        <v>18</v>
      </c>
      <c r="D4342">
        <v>0</v>
      </c>
      <c r="E4342" t="s">
        <v>57</v>
      </c>
      <c r="F4342" t="s">
        <v>39</v>
      </c>
      <c r="G4342" t="s">
        <v>40</v>
      </c>
    </row>
    <row r="4343" spans="1:7" x14ac:dyDescent="0.3">
      <c r="A4343" t="s">
        <v>58</v>
      </c>
      <c r="B4343" t="s">
        <v>8</v>
      </c>
      <c r="C4343" t="s">
        <v>19</v>
      </c>
      <c r="D4343">
        <v>0</v>
      </c>
      <c r="E4343" t="s">
        <v>57</v>
      </c>
      <c r="F4343" t="s">
        <v>39</v>
      </c>
      <c r="G4343" t="s">
        <v>40</v>
      </c>
    </row>
    <row r="4344" spans="1:7" x14ac:dyDescent="0.3">
      <c r="A4344" t="s">
        <v>58</v>
      </c>
      <c r="B4344" t="s">
        <v>8</v>
      </c>
      <c r="C4344" t="s">
        <v>20</v>
      </c>
      <c r="D4344">
        <v>0</v>
      </c>
      <c r="E4344" t="s">
        <v>57</v>
      </c>
      <c r="F4344" t="s">
        <v>39</v>
      </c>
      <c r="G4344" t="s">
        <v>40</v>
      </c>
    </row>
    <row r="4345" spans="1:7" x14ac:dyDescent="0.3">
      <c r="A4345" t="s">
        <v>58</v>
      </c>
      <c r="B4345" t="s">
        <v>8</v>
      </c>
      <c r="C4345" t="s">
        <v>21</v>
      </c>
      <c r="D4345">
        <v>0</v>
      </c>
      <c r="E4345" t="s">
        <v>57</v>
      </c>
      <c r="F4345" t="s">
        <v>39</v>
      </c>
      <c r="G4345" t="s">
        <v>40</v>
      </c>
    </row>
    <row r="4346" spans="1:7" x14ac:dyDescent="0.3">
      <c r="A4346" t="s">
        <v>58</v>
      </c>
      <c r="B4346" t="s">
        <v>8</v>
      </c>
      <c r="C4346" t="s">
        <v>22</v>
      </c>
      <c r="D4346">
        <v>5</v>
      </c>
      <c r="E4346" t="s">
        <v>57</v>
      </c>
      <c r="F4346" t="s">
        <v>39</v>
      </c>
      <c r="G4346" t="s">
        <v>40</v>
      </c>
    </row>
    <row r="4347" spans="1:7" x14ac:dyDescent="0.3">
      <c r="A4347" t="s">
        <v>58</v>
      </c>
      <c r="B4347" t="s">
        <v>23</v>
      </c>
      <c r="C4347" t="s">
        <v>9</v>
      </c>
      <c r="D4347">
        <v>15</v>
      </c>
      <c r="E4347" t="s">
        <v>57</v>
      </c>
      <c r="F4347" t="s">
        <v>39</v>
      </c>
      <c r="G4347" t="s">
        <v>40</v>
      </c>
    </row>
    <row r="4348" spans="1:7" x14ac:dyDescent="0.3">
      <c r="A4348" t="s">
        <v>58</v>
      </c>
      <c r="B4348" t="s">
        <v>23</v>
      </c>
      <c r="C4348" t="s">
        <v>13</v>
      </c>
      <c r="D4348">
        <v>20</v>
      </c>
      <c r="E4348" t="s">
        <v>57</v>
      </c>
      <c r="F4348" t="s">
        <v>39</v>
      </c>
      <c r="G4348" t="s">
        <v>40</v>
      </c>
    </row>
    <row r="4349" spans="1:7" x14ac:dyDescent="0.3">
      <c r="A4349" t="s">
        <v>58</v>
      </c>
      <c r="B4349" t="s">
        <v>23</v>
      </c>
      <c r="C4349" t="s">
        <v>14</v>
      </c>
      <c r="D4349">
        <v>36</v>
      </c>
      <c r="E4349" t="s">
        <v>57</v>
      </c>
      <c r="F4349" t="s">
        <v>39</v>
      </c>
      <c r="G4349" t="s">
        <v>40</v>
      </c>
    </row>
    <row r="4350" spans="1:7" x14ac:dyDescent="0.3">
      <c r="A4350" t="s">
        <v>58</v>
      </c>
      <c r="B4350" t="s">
        <v>23</v>
      </c>
      <c r="C4350" t="s">
        <v>15</v>
      </c>
      <c r="D4350">
        <v>3</v>
      </c>
      <c r="E4350" t="s">
        <v>57</v>
      </c>
      <c r="F4350" t="s">
        <v>39</v>
      </c>
      <c r="G4350" t="s">
        <v>40</v>
      </c>
    </row>
    <row r="4351" spans="1:7" x14ac:dyDescent="0.3">
      <c r="A4351" t="s">
        <v>58</v>
      </c>
      <c r="B4351" t="s">
        <v>23</v>
      </c>
      <c r="C4351" t="s">
        <v>16</v>
      </c>
      <c r="D4351">
        <v>22958</v>
      </c>
      <c r="E4351" t="s">
        <v>57</v>
      </c>
      <c r="F4351" t="s">
        <v>39</v>
      </c>
      <c r="G4351" t="s">
        <v>40</v>
      </c>
    </row>
    <row r="4352" spans="1:7" x14ac:dyDescent="0.3">
      <c r="A4352" t="s">
        <v>58</v>
      </c>
      <c r="B4352" t="s">
        <v>23</v>
      </c>
      <c r="C4352" t="s">
        <v>17</v>
      </c>
      <c r="D4352">
        <v>3</v>
      </c>
      <c r="E4352" t="s">
        <v>57</v>
      </c>
      <c r="F4352" t="s">
        <v>39</v>
      </c>
      <c r="G4352" t="s">
        <v>40</v>
      </c>
    </row>
    <row r="4353" spans="1:7" x14ac:dyDescent="0.3">
      <c r="A4353" t="s">
        <v>58</v>
      </c>
      <c r="B4353" t="s">
        <v>23</v>
      </c>
      <c r="C4353" t="s">
        <v>18</v>
      </c>
      <c r="D4353">
        <v>0</v>
      </c>
      <c r="E4353" t="s">
        <v>57</v>
      </c>
      <c r="F4353" t="s">
        <v>39</v>
      </c>
      <c r="G4353" t="s">
        <v>40</v>
      </c>
    </row>
    <row r="4354" spans="1:7" x14ac:dyDescent="0.3">
      <c r="A4354" t="s">
        <v>58</v>
      </c>
      <c r="B4354" t="s">
        <v>23</v>
      </c>
      <c r="C4354" t="s">
        <v>19</v>
      </c>
      <c r="D4354">
        <v>0</v>
      </c>
      <c r="E4354" t="s">
        <v>57</v>
      </c>
      <c r="F4354" t="s">
        <v>39</v>
      </c>
      <c r="G4354" t="s">
        <v>40</v>
      </c>
    </row>
    <row r="4355" spans="1:7" x14ac:dyDescent="0.3">
      <c r="A4355" t="s">
        <v>58</v>
      </c>
      <c r="B4355" t="s">
        <v>23</v>
      </c>
      <c r="C4355" t="s">
        <v>20</v>
      </c>
      <c r="D4355">
        <v>198</v>
      </c>
      <c r="E4355" t="s">
        <v>57</v>
      </c>
      <c r="F4355" t="s">
        <v>39</v>
      </c>
      <c r="G4355" t="s">
        <v>40</v>
      </c>
    </row>
    <row r="4356" spans="1:7" x14ac:dyDescent="0.3">
      <c r="A4356" t="s">
        <v>58</v>
      </c>
      <c r="B4356" t="s">
        <v>23</v>
      </c>
      <c r="C4356" t="s">
        <v>21</v>
      </c>
      <c r="D4356">
        <v>0</v>
      </c>
      <c r="E4356" t="s">
        <v>57</v>
      </c>
      <c r="F4356" t="s">
        <v>39</v>
      </c>
      <c r="G4356" t="s">
        <v>40</v>
      </c>
    </row>
    <row r="4357" spans="1:7" x14ac:dyDescent="0.3">
      <c r="A4357" t="s">
        <v>58</v>
      </c>
      <c r="B4357" t="s">
        <v>23</v>
      </c>
      <c r="C4357" t="s">
        <v>22</v>
      </c>
      <c r="D4357">
        <v>91</v>
      </c>
      <c r="E4357" t="s">
        <v>57</v>
      </c>
      <c r="F4357" t="s">
        <v>39</v>
      </c>
      <c r="G4357" t="s">
        <v>40</v>
      </c>
    </row>
    <row r="4358" spans="1:7" x14ac:dyDescent="0.3">
      <c r="A4358" t="s">
        <v>59</v>
      </c>
      <c r="B4358" t="s">
        <v>8</v>
      </c>
      <c r="C4358" t="s">
        <v>9</v>
      </c>
      <c r="D4358">
        <v>103</v>
      </c>
      <c r="E4358" t="s">
        <v>57</v>
      </c>
      <c r="F4358" t="s">
        <v>39</v>
      </c>
      <c r="G4358" t="s">
        <v>40</v>
      </c>
    </row>
    <row r="4359" spans="1:7" x14ac:dyDescent="0.3">
      <c r="A4359" t="s">
        <v>59</v>
      </c>
      <c r="B4359" t="s">
        <v>8</v>
      </c>
      <c r="C4359" t="s">
        <v>13</v>
      </c>
      <c r="D4359">
        <v>5</v>
      </c>
      <c r="E4359" t="s">
        <v>57</v>
      </c>
      <c r="F4359" t="s">
        <v>39</v>
      </c>
      <c r="G4359" t="s">
        <v>40</v>
      </c>
    </row>
    <row r="4360" spans="1:7" x14ac:dyDescent="0.3">
      <c r="A4360" t="s">
        <v>59</v>
      </c>
      <c r="B4360" t="s">
        <v>8</v>
      </c>
      <c r="C4360" t="s">
        <v>14</v>
      </c>
      <c r="D4360">
        <v>0</v>
      </c>
      <c r="E4360" t="s">
        <v>57</v>
      </c>
      <c r="F4360" t="s">
        <v>39</v>
      </c>
      <c r="G4360" t="s">
        <v>40</v>
      </c>
    </row>
    <row r="4361" spans="1:7" x14ac:dyDescent="0.3">
      <c r="A4361" t="s">
        <v>59</v>
      </c>
      <c r="B4361" t="s">
        <v>8</v>
      </c>
      <c r="C4361" t="s">
        <v>15</v>
      </c>
      <c r="D4361">
        <v>2</v>
      </c>
      <c r="E4361" t="s">
        <v>57</v>
      </c>
      <c r="F4361" t="s">
        <v>39</v>
      </c>
      <c r="G4361" t="s">
        <v>40</v>
      </c>
    </row>
    <row r="4362" spans="1:7" x14ac:dyDescent="0.3">
      <c r="A4362" t="s">
        <v>59</v>
      </c>
      <c r="B4362" t="s">
        <v>8</v>
      </c>
      <c r="C4362" t="s">
        <v>16</v>
      </c>
      <c r="D4362">
        <v>2</v>
      </c>
      <c r="E4362" t="s">
        <v>57</v>
      </c>
      <c r="F4362" t="s">
        <v>39</v>
      </c>
      <c r="G4362" t="s">
        <v>40</v>
      </c>
    </row>
    <row r="4363" spans="1:7" x14ac:dyDescent="0.3">
      <c r="A4363" t="s">
        <v>59</v>
      </c>
      <c r="B4363" t="s">
        <v>8</v>
      </c>
      <c r="C4363" t="s">
        <v>17</v>
      </c>
      <c r="D4363">
        <v>8</v>
      </c>
      <c r="E4363" t="s">
        <v>57</v>
      </c>
      <c r="F4363" t="s">
        <v>39</v>
      </c>
      <c r="G4363" t="s">
        <v>40</v>
      </c>
    </row>
    <row r="4364" spans="1:7" x14ac:dyDescent="0.3">
      <c r="A4364" t="s">
        <v>59</v>
      </c>
      <c r="B4364" t="s">
        <v>8</v>
      </c>
      <c r="C4364" t="s">
        <v>18</v>
      </c>
      <c r="D4364">
        <v>0</v>
      </c>
      <c r="E4364" t="s">
        <v>57</v>
      </c>
      <c r="F4364" t="s">
        <v>39</v>
      </c>
      <c r="G4364" t="s">
        <v>40</v>
      </c>
    </row>
    <row r="4365" spans="1:7" x14ac:dyDescent="0.3">
      <c r="A4365" t="s">
        <v>59</v>
      </c>
      <c r="B4365" t="s">
        <v>8</v>
      </c>
      <c r="C4365" t="s">
        <v>19</v>
      </c>
      <c r="D4365">
        <v>0</v>
      </c>
      <c r="E4365" t="s">
        <v>57</v>
      </c>
      <c r="F4365" t="s">
        <v>39</v>
      </c>
      <c r="G4365" t="s">
        <v>40</v>
      </c>
    </row>
    <row r="4366" spans="1:7" x14ac:dyDescent="0.3">
      <c r="A4366" t="s">
        <v>59</v>
      </c>
      <c r="B4366" t="s">
        <v>8</v>
      </c>
      <c r="C4366" t="s">
        <v>20</v>
      </c>
      <c r="D4366">
        <v>0</v>
      </c>
      <c r="E4366" t="s">
        <v>57</v>
      </c>
      <c r="F4366" t="s">
        <v>39</v>
      </c>
      <c r="G4366" t="s">
        <v>40</v>
      </c>
    </row>
    <row r="4367" spans="1:7" x14ac:dyDescent="0.3">
      <c r="A4367" t="s">
        <v>59</v>
      </c>
      <c r="B4367" t="s">
        <v>8</v>
      </c>
      <c r="C4367" t="s">
        <v>21</v>
      </c>
      <c r="D4367">
        <v>0</v>
      </c>
      <c r="E4367" t="s">
        <v>57</v>
      </c>
      <c r="F4367" t="s">
        <v>39</v>
      </c>
      <c r="G4367" t="s">
        <v>40</v>
      </c>
    </row>
    <row r="4368" spans="1:7" x14ac:dyDescent="0.3">
      <c r="A4368" t="s">
        <v>59</v>
      </c>
      <c r="B4368" t="s">
        <v>8</v>
      </c>
      <c r="C4368" t="s">
        <v>22</v>
      </c>
      <c r="D4368">
        <v>78</v>
      </c>
      <c r="E4368" t="s">
        <v>57</v>
      </c>
      <c r="F4368" t="s">
        <v>39</v>
      </c>
      <c r="G4368" t="s">
        <v>40</v>
      </c>
    </row>
    <row r="4369" spans="1:7" x14ac:dyDescent="0.3">
      <c r="A4369" t="s">
        <v>59</v>
      </c>
      <c r="B4369" t="s">
        <v>23</v>
      </c>
      <c r="C4369" t="s">
        <v>9</v>
      </c>
      <c r="D4369">
        <v>51185</v>
      </c>
      <c r="E4369" t="s">
        <v>57</v>
      </c>
      <c r="F4369" t="s">
        <v>39</v>
      </c>
      <c r="G4369" t="s">
        <v>40</v>
      </c>
    </row>
    <row r="4370" spans="1:7" x14ac:dyDescent="0.3">
      <c r="A4370" t="s">
        <v>59</v>
      </c>
      <c r="B4370" t="s">
        <v>23</v>
      </c>
      <c r="C4370" t="s">
        <v>13</v>
      </c>
      <c r="D4370">
        <v>386</v>
      </c>
      <c r="E4370" t="s">
        <v>57</v>
      </c>
      <c r="F4370" t="s">
        <v>39</v>
      </c>
      <c r="G4370" t="s">
        <v>40</v>
      </c>
    </row>
    <row r="4371" spans="1:7" x14ac:dyDescent="0.3">
      <c r="A4371" t="s">
        <v>59</v>
      </c>
      <c r="B4371" t="s">
        <v>23</v>
      </c>
      <c r="C4371" t="s">
        <v>14</v>
      </c>
      <c r="D4371">
        <v>1730</v>
      </c>
      <c r="E4371" t="s">
        <v>57</v>
      </c>
      <c r="F4371" t="s">
        <v>39</v>
      </c>
      <c r="G4371" t="s">
        <v>40</v>
      </c>
    </row>
    <row r="4372" spans="1:7" x14ac:dyDescent="0.3">
      <c r="A4372" t="s">
        <v>59</v>
      </c>
      <c r="B4372" t="s">
        <v>23</v>
      </c>
      <c r="C4372" t="s">
        <v>15</v>
      </c>
      <c r="D4372">
        <v>53</v>
      </c>
      <c r="E4372" t="s">
        <v>57</v>
      </c>
      <c r="F4372" t="s">
        <v>39</v>
      </c>
      <c r="G4372" t="s">
        <v>40</v>
      </c>
    </row>
    <row r="4373" spans="1:7" x14ac:dyDescent="0.3">
      <c r="A4373" t="s">
        <v>59</v>
      </c>
      <c r="B4373" t="s">
        <v>23</v>
      </c>
      <c r="C4373" t="s">
        <v>16</v>
      </c>
      <c r="D4373">
        <v>5089</v>
      </c>
      <c r="E4373" t="s">
        <v>57</v>
      </c>
      <c r="F4373" t="s">
        <v>39</v>
      </c>
      <c r="G4373" t="s">
        <v>40</v>
      </c>
    </row>
    <row r="4374" spans="1:7" x14ac:dyDescent="0.3">
      <c r="A4374" t="s">
        <v>59</v>
      </c>
      <c r="B4374" t="s">
        <v>23</v>
      </c>
      <c r="C4374" t="s">
        <v>17</v>
      </c>
      <c r="D4374">
        <v>483</v>
      </c>
      <c r="E4374" t="s">
        <v>57</v>
      </c>
      <c r="F4374" t="s">
        <v>39</v>
      </c>
      <c r="G4374" t="s">
        <v>40</v>
      </c>
    </row>
    <row r="4375" spans="1:7" x14ac:dyDescent="0.3">
      <c r="A4375" t="s">
        <v>59</v>
      </c>
      <c r="B4375" t="s">
        <v>23</v>
      </c>
      <c r="C4375" t="s">
        <v>18</v>
      </c>
      <c r="D4375">
        <v>0</v>
      </c>
      <c r="E4375" t="s">
        <v>57</v>
      </c>
      <c r="F4375" t="s">
        <v>39</v>
      </c>
      <c r="G4375" t="s">
        <v>40</v>
      </c>
    </row>
    <row r="4376" spans="1:7" x14ac:dyDescent="0.3">
      <c r="A4376" t="s">
        <v>59</v>
      </c>
      <c r="B4376" t="s">
        <v>23</v>
      </c>
      <c r="C4376" t="s">
        <v>19</v>
      </c>
      <c r="D4376">
        <v>56</v>
      </c>
      <c r="E4376" t="s">
        <v>57</v>
      </c>
      <c r="F4376" t="s">
        <v>39</v>
      </c>
      <c r="G4376" t="s">
        <v>40</v>
      </c>
    </row>
    <row r="4377" spans="1:7" x14ac:dyDescent="0.3">
      <c r="A4377" t="s">
        <v>59</v>
      </c>
      <c r="B4377" t="s">
        <v>23</v>
      </c>
      <c r="C4377" t="s">
        <v>20</v>
      </c>
      <c r="D4377">
        <v>318</v>
      </c>
      <c r="E4377" t="s">
        <v>57</v>
      </c>
      <c r="F4377" t="s">
        <v>39</v>
      </c>
      <c r="G4377" t="s">
        <v>40</v>
      </c>
    </row>
    <row r="4378" spans="1:7" x14ac:dyDescent="0.3">
      <c r="A4378" t="s">
        <v>59</v>
      </c>
      <c r="B4378" t="s">
        <v>23</v>
      </c>
      <c r="C4378" t="s">
        <v>21</v>
      </c>
      <c r="D4378">
        <v>69</v>
      </c>
      <c r="E4378" t="s">
        <v>57</v>
      </c>
      <c r="F4378" t="s">
        <v>39</v>
      </c>
      <c r="G4378" t="s">
        <v>40</v>
      </c>
    </row>
    <row r="4379" spans="1:7" x14ac:dyDescent="0.3">
      <c r="A4379" t="s">
        <v>59</v>
      </c>
      <c r="B4379" t="s">
        <v>23</v>
      </c>
      <c r="C4379" t="s">
        <v>22</v>
      </c>
      <c r="D4379">
        <v>202</v>
      </c>
      <c r="E4379" t="s">
        <v>57</v>
      </c>
      <c r="F4379" t="s">
        <v>39</v>
      </c>
      <c r="G4379" t="s">
        <v>40</v>
      </c>
    </row>
    <row r="4380" spans="1:7" x14ac:dyDescent="0.3">
      <c r="A4380" t="s">
        <v>60</v>
      </c>
      <c r="B4380" t="s">
        <v>8</v>
      </c>
      <c r="C4380" t="s">
        <v>9</v>
      </c>
      <c r="D4380">
        <v>0</v>
      </c>
      <c r="E4380" t="s">
        <v>57</v>
      </c>
      <c r="F4380" t="s">
        <v>39</v>
      </c>
      <c r="G4380" t="s">
        <v>40</v>
      </c>
    </row>
    <row r="4381" spans="1:7" x14ac:dyDescent="0.3">
      <c r="A4381" t="s">
        <v>60</v>
      </c>
      <c r="B4381" t="s">
        <v>8</v>
      </c>
      <c r="C4381" t="s">
        <v>13</v>
      </c>
      <c r="D4381">
        <v>2</v>
      </c>
      <c r="E4381" t="s">
        <v>57</v>
      </c>
      <c r="F4381" t="s">
        <v>39</v>
      </c>
      <c r="G4381" t="s">
        <v>40</v>
      </c>
    </row>
    <row r="4382" spans="1:7" x14ac:dyDescent="0.3">
      <c r="A4382" t="s">
        <v>60</v>
      </c>
      <c r="B4382" t="s">
        <v>8</v>
      </c>
      <c r="C4382" t="s">
        <v>14</v>
      </c>
      <c r="D4382">
        <v>0</v>
      </c>
      <c r="E4382" t="s">
        <v>57</v>
      </c>
      <c r="F4382" t="s">
        <v>39</v>
      </c>
      <c r="G4382" t="s">
        <v>40</v>
      </c>
    </row>
    <row r="4383" spans="1:7" x14ac:dyDescent="0.3">
      <c r="A4383" t="s">
        <v>60</v>
      </c>
      <c r="B4383" t="s">
        <v>8</v>
      </c>
      <c r="C4383" t="s">
        <v>15</v>
      </c>
      <c r="D4383">
        <v>0</v>
      </c>
      <c r="E4383" t="s">
        <v>57</v>
      </c>
      <c r="F4383" t="s">
        <v>39</v>
      </c>
      <c r="G4383" t="s">
        <v>40</v>
      </c>
    </row>
    <row r="4384" spans="1:7" x14ac:dyDescent="0.3">
      <c r="A4384" t="s">
        <v>60</v>
      </c>
      <c r="B4384" t="s">
        <v>8</v>
      </c>
      <c r="C4384" t="s">
        <v>16</v>
      </c>
      <c r="D4384">
        <v>3</v>
      </c>
      <c r="E4384" t="s">
        <v>57</v>
      </c>
      <c r="F4384" t="s">
        <v>39</v>
      </c>
      <c r="G4384" t="s">
        <v>40</v>
      </c>
    </row>
    <row r="4385" spans="1:7" x14ac:dyDescent="0.3">
      <c r="A4385" t="s">
        <v>60</v>
      </c>
      <c r="B4385" t="s">
        <v>8</v>
      </c>
      <c r="C4385" t="s">
        <v>17</v>
      </c>
      <c r="D4385">
        <v>0</v>
      </c>
      <c r="E4385" t="s">
        <v>57</v>
      </c>
      <c r="F4385" t="s">
        <v>39</v>
      </c>
      <c r="G4385" t="s">
        <v>40</v>
      </c>
    </row>
    <row r="4386" spans="1:7" x14ac:dyDescent="0.3">
      <c r="A4386" t="s">
        <v>60</v>
      </c>
      <c r="B4386" t="s">
        <v>8</v>
      </c>
      <c r="C4386" t="s">
        <v>18</v>
      </c>
      <c r="D4386">
        <v>0</v>
      </c>
      <c r="E4386" t="s">
        <v>57</v>
      </c>
      <c r="F4386" t="s">
        <v>39</v>
      </c>
      <c r="G4386" t="s">
        <v>40</v>
      </c>
    </row>
    <row r="4387" spans="1:7" x14ac:dyDescent="0.3">
      <c r="A4387" t="s">
        <v>60</v>
      </c>
      <c r="B4387" t="s">
        <v>8</v>
      </c>
      <c r="C4387" t="s">
        <v>19</v>
      </c>
      <c r="D4387">
        <v>0</v>
      </c>
      <c r="E4387" t="s">
        <v>57</v>
      </c>
      <c r="F4387" t="s">
        <v>39</v>
      </c>
      <c r="G4387" t="s">
        <v>40</v>
      </c>
    </row>
    <row r="4388" spans="1:7" x14ac:dyDescent="0.3">
      <c r="A4388" t="s">
        <v>60</v>
      </c>
      <c r="B4388" t="s">
        <v>8</v>
      </c>
      <c r="C4388" t="s">
        <v>20</v>
      </c>
      <c r="D4388">
        <v>0</v>
      </c>
      <c r="E4388" t="s">
        <v>57</v>
      </c>
      <c r="F4388" t="s">
        <v>39</v>
      </c>
      <c r="G4388" t="s">
        <v>40</v>
      </c>
    </row>
    <row r="4389" spans="1:7" x14ac:dyDescent="0.3">
      <c r="A4389" t="s">
        <v>60</v>
      </c>
      <c r="B4389" t="s">
        <v>8</v>
      </c>
      <c r="C4389" t="s">
        <v>21</v>
      </c>
      <c r="D4389">
        <v>0</v>
      </c>
      <c r="E4389" t="s">
        <v>57</v>
      </c>
      <c r="F4389" t="s">
        <v>39</v>
      </c>
      <c r="G4389" t="s">
        <v>40</v>
      </c>
    </row>
    <row r="4390" spans="1:7" x14ac:dyDescent="0.3">
      <c r="A4390" t="s">
        <v>60</v>
      </c>
      <c r="B4390" t="s">
        <v>8</v>
      </c>
      <c r="C4390" t="s">
        <v>22</v>
      </c>
      <c r="D4390">
        <v>1751</v>
      </c>
      <c r="E4390" t="s">
        <v>57</v>
      </c>
      <c r="F4390" t="s">
        <v>39</v>
      </c>
      <c r="G4390" t="s">
        <v>40</v>
      </c>
    </row>
    <row r="4391" spans="1:7" x14ac:dyDescent="0.3">
      <c r="A4391" t="s">
        <v>60</v>
      </c>
      <c r="B4391" t="s">
        <v>23</v>
      </c>
      <c r="C4391" t="s">
        <v>9</v>
      </c>
      <c r="D4391">
        <v>320</v>
      </c>
      <c r="E4391" t="s">
        <v>57</v>
      </c>
      <c r="F4391" t="s">
        <v>39</v>
      </c>
      <c r="G4391" t="s">
        <v>40</v>
      </c>
    </row>
    <row r="4392" spans="1:7" x14ac:dyDescent="0.3">
      <c r="A4392" t="s">
        <v>60</v>
      </c>
      <c r="B4392" t="s">
        <v>23</v>
      </c>
      <c r="C4392" t="s">
        <v>13</v>
      </c>
      <c r="D4392">
        <v>3933</v>
      </c>
      <c r="E4392" t="s">
        <v>57</v>
      </c>
      <c r="F4392" t="s">
        <v>39</v>
      </c>
      <c r="G4392" t="s">
        <v>40</v>
      </c>
    </row>
    <row r="4393" spans="1:7" x14ac:dyDescent="0.3">
      <c r="A4393" t="s">
        <v>60</v>
      </c>
      <c r="B4393" t="s">
        <v>23</v>
      </c>
      <c r="C4393" t="s">
        <v>14</v>
      </c>
      <c r="D4393">
        <v>874</v>
      </c>
      <c r="E4393" t="s">
        <v>57</v>
      </c>
      <c r="F4393" t="s">
        <v>39</v>
      </c>
      <c r="G4393" t="s">
        <v>40</v>
      </c>
    </row>
    <row r="4394" spans="1:7" x14ac:dyDescent="0.3">
      <c r="A4394" t="s">
        <v>60</v>
      </c>
      <c r="B4394" t="s">
        <v>23</v>
      </c>
      <c r="C4394" t="s">
        <v>15</v>
      </c>
      <c r="D4394">
        <v>56</v>
      </c>
      <c r="E4394" t="s">
        <v>57</v>
      </c>
      <c r="F4394" t="s">
        <v>39</v>
      </c>
      <c r="G4394" t="s">
        <v>40</v>
      </c>
    </row>
    <row r="4395" spans="1:7" x14ac:dyDescent="0.3">
      <c r="A4395" t="s">
        <v>60</v>
      </c>
      <c r="B4395" t="s">
        <v>23</v>
      </c>
      <c r="C4395" t="s">
        <v>16</v>
      </c>
      <c r="D4395">
        <v>1246</v>
      </c>
      <c r="E4395" t="s">
        <v>57</v>
      </c>
      <c r="F4395" t="s">
        <v>39</v>
      </c>
      <c r="G4395" t="s">
        <v>40</v>
      </c>
    </row>
    <row r="4396" spans="1:7" x14ac:dyDescent="0.3">
      <c r="A4396" t="s">
        <v>60</v>
      </c>
      <c r="B4396" t="s">
        <v>23</v>
      </c>
      <c r="C4396" t="s">
        <v>17</v>
      </c>
      <c r="D4396">
        <v>87</v>
      </c>
      <c r="E4396" t="s">
        <v>57</v>
      </c>
      <c r="F4396" t="s">
        <v>39</v>
      </c>
      <c r="G4396" t="s">
        <v>40</v>
      </c>
    </row>
    <row r="4397" spans="1:7" x14ac:dyDescent="0.3">
      <c r="A4397" t="s">
        <v>60</v>
      </c>
      <c r="B4397" t="s">
        <v>23</v>
      </c>
      <c r="C4397" t="s">
        <v>18</v>
      </c>
      <c r="D4397">
        <v>0</v>
      </c>
      <c r="E4397" t="s">
        <v>57</v>
      </c>
      <c r="F4397" t="s">
        <v>39</v>
      </c>
      <c r="G4397" t="s">
        <v>40</v>
      </c>
    </row>
    <row r="4398" spans="1:7" x14ac:dyDescent="0.3">
      <c r="A4398" t="s">
        <v>60</v>
      </c>
      <c r="B4398" t="s">
        <v>23</v>
      </c>
      <c r="C4398" t="s">
        <v>19</v>
      </c>
      <c r="D4398">
        <v>71</v>
      </c>
      <c r="E4398" t="s">
        <v>57</v>
      </c>
      <c r="F4398" t="s">
        <v>39</v>
      </c>
      <c r="G4398" t="s">
        <v>40</v>
      </c>
    </row>
    <row r="4399" spans="1:7" x14ac:dyDescent="0.3">
      <c r="A4399" t="s">
        <v>60</v>
      </c>
      <c r="B4399" t="s">
        <v>23</v>
      </c>
      <c r="C4399" t="s">
        <v>20</v>
      </c>
      <c r="D4399">
        <v>172</v>
      </c>
      <c r="E4399" t="s">
        <v>57</v>
      </c>
      <c r="F4399" t="s">
        <v>39</v>
      </c>
      <c r="G4399" t="s">
        <v>40</v>
      </c>
    </row>
    <row r="4400" spans="1:7" x14ac:dyDescent="0.3">
      <c r="A4400" t="s">
        <v>60</v>
      </c>
      <c r="B4400" t="s">
        <v>23</v>
      </c>
      <c r="C4400" t="s">
        <v>21</v>
      </c>
      <c r="D4400">
        <v>18</v>
      </c>
      <c r="E4400" t="s">
        <v>57</v>
      </c>
      <c r="F4400" t="s">
        <v>39</v>
      </c>
      <c r="G4400" t="s">
        <v>40</v>
      </c>
    </row>
    <row r="4401" spans="1:7" x14ac:dyDescent="0.3">
      <c r="A4401" t="s">
        <v>60</v>
      </c>
      <c r="B4401" t="s">
        <v>23</v>
      </c>
      <c r="C4401" t="s">
        <v>22</v>
      </c>
      <c r="D4401">
        <v>33623</v>
      </c>
      <c r="E4401" t="s">
        <v>57</v>
      </c>
      <c r="F4401" t="s">
        <v>39</v>
      </c>
      <c r="G4401" t="s">
        <v>40</v>
      </c>
    </row>
    <row r="4402" spans="1:7" x14ac:dyDescent="0.3">
      <c r="A4402" t="s">
        <v>25</v>
      </c>
      <c r="B4402" t="s">
        <v>8</v>
      </c>
      <c r="C4402" t="s">
        <v>9</v>
      </c>
      <c r="D4402">
        <v>0</v>
      </c>
      <c r="E4402" t="s">
        <v>57</v>
      </c>
      <c r="F4402" t="s">
        <v>39</v>
      </c>
      <c r="G4402" t="s">
        <v>40</v>
      </c>
    </row>
    <row r="4403" spans="1:7" x14ac:dyDescent="0.3">
      <c r="A4403" t="s">
        <v>25</v>
      </c>
      <c r="B4403" t="s">
        <v>8</v>
      </c>
      <c r="C4403" t="s">
        <v>13</v>
      </c>
      <c r="D4403">
        <v>36</v>
      </c>
      <c r="E4403" t="s">
        <v>57</v>
      </c>
      <c r="F4403" t="s">
        <v>39</v>
      </c>
      <c r="G4403" t="s">
        <v>40</v>
      </c>
    </row>
    <row r="4404" spans="1:7" x14ac:dyDescent="0.3">
      <c r="A4404" t="s">
        <v>25</v>
      </c>
      <c r="B4404" t="s">
        <v>8</v>
      </c>
      <c r="C4404" t="s">
        <v>14</v>
      </c>
      <c r="D4404">
        <v>0</v>
      </c>
      <c r="E4404" t="s">
        <v>57</v>
      </c>
      <c r="F4404" t="s">
        <v>39</v>
      </c>
      <c r="G4404" t="s">
        <v>40</v>
      </c>
    </row>
    <row r="4405" spans="1:7" x14ac:dyDescent="0.3">
      <c r="A4405" t="s">
        <v>25</v>
      </c>
      <c r="B4405" t="s">
        <v>8</v>
      </c>
      <c r="C4405" t="s">
        <v>15</v>
      </c>
      <c r="D4405">
        <v>3</v>
      </c>
      <c r="E4405" t="s">
        <v>57</v>
      </c>
      <c r="F4405" t="s">
        <v>39</v>
      </c>
      <c r="G4405" t="s">
        <v>40</v>
      </c>
    </row>
    <row r="4406" spans="1:7" x14ac:dyDescent="0.3">
      <c r="A4406" t="s">
        <v>25</v>
      </c>
      <c r="B4406" t="s">
        <v>8</v>
      </c>
      <c r="C4406" t="s">
        <v>16</v>
      </c>
      <c r="D4406">
        <v>10</v>
      </c>
      <c r="E4406" t="s">
        <v>57</v>
      </c>
      <c r="F4406" t="s">
        <v>39</v>
      </c>
      <c r="G4406" t="s">
        <v>40</v>
      </c>
    </row>
    <row r="4407" spans="1:7" x14ac:dyDescent="0.3">
      <c r="A4407" t="s">
        <v>25</v>
      </c>
      <c r="B4407" t="s">
        <v>8</v>
      </c>
      <c r="C4407" t="s">
        <v>17</v>
      </c>
      <c r="D4407">
        <v>1</v>
      </c>
      <c r="E4407" t="s">
        <v>57</v>
      </c>
      <c r="F4407" t="s">
        <v>39</v>
      </c>
      <c r="G4407" t="s">
        <v>40</v>
      </c>
    </row>
    <row r="4408" spans="1:7" x14ac:dyDescent="0.3">
      <c r="A4408" t="s">
        <v>25</v>
      </c>
      <c r="B4408" t="s">
        <v>8</v>
      </c>
      <c r="C4408" t="s">
        <v>18</v>
      </c>
      <c r="D4408">
        <v>0</v>
      </c>
      <c r="E4408" t="s">
        <v>57</v>
      </c>
      <c r="F4408" t="s">
        <v>39</v>
      </c>
      <c r="G4408" t="s">
        <v>40</v>
      </c>
    </row>
    <row r="4409" spans="1:7" x14ac:dyDescent="0.3">
      <c r="A4409" t="s">
        <v>25</v>
      </c>
      <c r="B4409" t="s">
        <v>8</v>
      </c>
      <c r="C4409" t="s">
        <v>19</v>
      </c>
      <c r="D4409">
        <v>0</v>
      </c>
      <c r="E4409" t="s">
        <v>57</v>
      </c>
      <c r="F4409" t="s">
        <v>39</v>
      </c>
      <c r="G4409" t="s">
        <v>40</v>
      </c>
    </row>
    <row r="4410" spans="1:7" x14ac:dyDescent="0.3">
      <c r="A4410" t="s">
        <v>25</v>
      </c>
      <c r="B4410" t="s">
        <v>8</v>
      </c>
      <c r="C4410" t="s">
        <v>20</v>
      </c>
      <c r="D4410">
        <v>0</v>
      </c>
      <c r="E4410" t="s">
        <v>57</v>
      </c>
      <c r="F4410" t="s">
        <v>39</v>
      </c>
      <c r="G4410" t="s">
        <v>40</v>
      </c>
    </row>
    <row r="4411" spans="1:7" x14ac:dyDescent="0.3">
      <c r="A4411" t="s">
        <v>25</v>
      </c>
      <c r="B4411" t="s">
        <v>8</v>
      </c>
      <c r="C4411" t="s">
        <v>21</v>
      </c>
      <c r="D4411">
        <v>0</v>
      </c>
      <c r="E4411" t="s">
        <v>57</v>
      </c>
      <c r="F4411" t="s">
        <v>39</v>
      </c>
      <c r="G4411" t="s">
        <v>40</v>
      </c>
    </row>
    <row r="4412" spans="1:7" x14ac:dyDescent="0.3">
      <c r="A4412" t="s">
        <v>25</v>
      </c>
      <c r="B4412" t="s">
        <v>8</v>
      </c>
      <c r="C4412" t="s">
        <v>22</v>
      </c>
      <c r="D4412">
        <v>6028</v>
      </c>
      <c r="E4412" t="s">
        <v>57</v>
      </c>
      <c r="F4412" t="s">
        <v>39</v>
      </c>
      <c r="G4412" t="s">
        <v>40</v>
      </c>
    </row>
    <row r="4413" spans="1:7" x14ac:dyDescent="0.3">
      <c r="A4413" t="s">
        <v>25</v>
      </c>
      <c r="B4413" t="s">
        <v>23</v>
      </c>
      <c r="C4413" t="s">
        <v>9</v>
      </c>
      <c r="D4413">
        <v>1113</v>
      </c>
      <c r="E4413" t="s">
        <v>57</v>
      </c>
      <c r="F4413" t="s">
        <v>39</v>
      </c>
      <c r="G4413" t="s">
        <v>40</v>
      </c>
    </row>
    <row r="4414" spans="1:7" x14ac:dyDescent="0.3">
      <c r="A4414" t="s">
        <v>25</v>
      </c>
      <c r="B4414" t="s">
        <v>23</v>
      </c>
      <c r="C4414" t="s">
        <v>13</v>
      </c>
      <c r="D4414">
        <v>22460</v>
      </c>
      <c r="E4414" t="s">
        <v>57</v>
      </c>
      <c r="F4414" t="s">
        <v>39</v>
      </c>
      <c r="G4414" t="s">
        <v>40</v>
      </c>
    </row>
    <row r="4415" spans="1:7" x14ac:dyDescent="0.3">
      <c r="A4415" t="s">
        <v>25</v>
      </c>
      <c r="B4415" t="s">
        <v>23</v>
      </c>
      <c r="C4415" t="s">
        <v>14</v>
      </c>
      <c r="D4415">
        <v>3060</v>
      </c>
      <c r="E4415" t="s">
        <v>57</v>
      </c>
      <c r="F4415" t="s">
        <v>39</v>
      </c>
      <c r="G4415" t="s">
        <v>40</v>
      </c>
    </row>
    <row r="4416" spans="1:7" x14ac:dyDescent="0.3">
      <c r="A4416" t="s">
        <v>25</v>
      </c>
      <c r="B4416" t="s">
        <v>23</v>
      </c>
      <c r="C4416" t="s">
        <v>15</v>
      </c>
      <c r="D4416">
        <v>202</v>
      </c>
      <c r="E4416" t="s">
        <v>57</v>
      </c>
      <c r="F4416" t="s">
        <v>39</v>
      </c>
      <c r="G4416" t="s">
        <v>40</v>
      </c>
    </row>
    <row r="4417" spans="1:7" x14ac:dyDescent="0.3">
      <c r="A4417" t="s">
        <v>25</v>
      </c>
      <c r="B4417" t="s">
        <v>23</v>
      </c>
      <c r="C4417" t="s">
        <v>16</v>
      </c>
      <c r="D4417">
        <v>4284</v>
      </c>
      <c r="E4417" t="s">
        <v>57</v>
      </c>
      <c r="F4417" t="s">
        <v>39</v>
      </c>
      <c r="G4417" t="s">
        <v>40</v>
      </c>
    </row>
    <row r="4418" spans="1:7" x14ac:dyDescent="0.3">
      <c r="A4418" t="s">
        <v>25</v>
      </c>
      <c r="B4418" t="s">
        <v>23</v>
      </c>
      <c r="C4418" t="s">
        <v>17</v>
      </c>
      <c r="D4418">
        <v>297</v>
      </c>
      <c r="E4418" t="s">
        <v>57</v>
      </c>
      <c r="F4418" t="s">
        <v>39</v>
      </c>
      <c r="G4418" t="s">
        <v>40</v>
      </c>
    </row>
    <row r="4419" spans="1:7" x14ac:dyDescent="0.3">
      <c r="A4419" t="s">
        <v>25</v>
      </c>
      <c r="B4419" t="s">
        <v>23</v>
      </c>
      <c r="C4419" t="s">
        <v>18</v>
      </c>
      <c r="D4419">
        <v>0</v>
      </c>
      <c r="E4419" t="s">
        <v>57</v>
      </c>
      <c r="F4419" t="s">
        <v>39</v>
      </c>
      <c r="G4419" t="s">
        <v>40</v>
      </c>
    </row>
    <row r="4420" spans="1:7" x14ac:dyDescent="0.3">
      <c r="A4420" t="s">
        <v>25</v>
      </c>
      <c r="B4420" t="s">
        <v>23</v>
      </c>
      <c r="C4420" t="s">
        <v>19</v>
      </c>
      <c r="D4420">
        <v>276</v>
      </c>
      <c r="E4420" t="s">
        <v>57</v>
      </c>
      <c r="F4420" t="s">
        <v>39</v>
      </c>
      <c r="G4420" t="s">
        <v>40</v>
      </c>
    </row>
    <row r="4421" spans="1:7" x14ac:dyDescent="0.3">
      <c r="A4421" t="s">
        <v>25</v>
      </c>
      <c r="B4421" t="s">
        <v>23</v>
      </c>
      <c r="C4421" t="s">
        <v>20</v>
      </c>
      <c r="D4421">
        <v>613</v>
      </c>
      <c r="E4421" t="s">
        <v>57</v>
      </c>
      <c r="F4421" t="s">
        <v>39</v>
      </c>
      <c r="G4421" t="s">
        <v>40</v>
      </c>
    </row>
    <row r="4422" spans="1:7" x14ac:dyDescent="0.3">
      <c r="A4422" t="s">
        <v>25</v>
      </c>
      <c r="B4422" t="s">
        <v>23</v>
      </c>
      <c r="C4422" t="s">
        <v>21</v>
      </c>
      <c r="D4422">
        <v>62</v>
      </c>
      <c r="E4422" t="s">
        <v>57</v>
      </c>
      <c r="F4422" t="s">
        <v>39</v>
      </c>
      <c r="G4422" t="s">
        <v>40</v>
      </c>
    </row>
    <row r="4423" spans="1:7" x14ac:dyDescent="0.3">
      <c r="A4423" t="s">
        <v>25</v>
      </c>
      <c r="B4423" t="s">
        <v>23</v>
      </c>
      <c r="C4423" t="s">
        <v>22</v>
      </c>
      <c r="D4423">
        <v>115514</v>
      </c>
      <c r="E4423" t="s">
        <v>57</v>
      </c>
      <c r="F4423" t="s">
        <v>39</v>
      </c>
      <c r="G4423" t="s">
        <v>40</v>
      </c>
    </row>
    <row r="4424" spans="1:7" x14ac:dyDescent="0.3">
      <c r="A4424" t="s">
        <v>61</v>
      </c>
      <c r="B4424" t="s">
        <v>8</v>
      </c>
      <c r="C4424" t="s">
        <v>9</v>
      </c>
      <c r="D4424">
        <v>0</v>
      </c>
      <c r="E4424" t="s">
        <v>57</v>
      </c>
      <c r="F4424" t="s">
        <v>39</v>
      </c>
      <c r="G4424" t="s">
        <v>40</v>
      </c>
    </row>
    <row r="4425" spans="1:7" x14ac:dyDescent="0.3">
      <c r="A4425" t="s">
        <v>61</v>
      </c>
      <c r="B4425" t="s">
        <v>8</v>
      </c>
      <c r="C4425" t="s">
        <v>13</v>
      </c>
      <c r="D4425">
        <v>3</v>
      </c>
      <c r="E4425" t="s">
        <v>57</v>
      </c>
      <c r="F4425" t="s">
        <v>39</v>
      </c>
      <c r="G4425" t="s">
        <v>40</v>
      </c>
    </row>
    <row r="4426" spans="1:7" x14ac:dyDescent="0.3">
      <c r="A4426" t="s">
        <v>61</v>
      </c>
      <c r="B4426" t="s">
        <v>8</v>
      </c>
      <c r="C4426" t="s">
        <v>14</v>
      </c>
      <c r="D4426">
        <v>0</v>
      </c>
      <c r="E4426" t="s">
        <v>57</v>
      </c>
      <c r="F4426" t="s">
        <v>39</v>
      </c>
      <c r="G4426" t="s">
        <v>40</v>
      </c>
    </row>
    <row r="4427" spans="1:7" x14ac:dyDescent="0.3">
      <c r="A4427" t="s">
        <v>61</v>
      </c>
      <c r="B4427" t="s">
        <v>8</v>
      </c>
      <c r="C4427" t="s">
        <v>15</v>
      </c>
      <c r="D4427">
        <v>1</v>
      </c>
      <c r="E4427" t="s">
        <v>57</v>
      </c>
      <c r="F4427" t="s">
        <v>39</v>
      </c>
      <c r="G4427" t="s">
        <v>40</v>
      </c>
    </row>
    <row r="4428" spans="1:7" x14ac:dyDescent="0.3">
      <c r="A4428" t="s">
        <v>61</v>
      </c>
      <c r="B4428" t="s">
        <v>8</v>
      </c>
      <c r="C4428" t="s">
        <v>16</v>
      </c>
      <c r="D4428">
        <v>4</v>
      </c>
      <c r="E4428" t="s">
        <v>57</v>
      </c>
      <c r="F4428" t="s">
        <v>39</v>
      </c>
      <c r="G4428" t="s">
        <v>40</v>
      </c>
    </row>
    <row r="4429" spans="1:7" x14ac:dyDescent="0.3">
      <c r="A4429" t="s">
        <v>61</v>
      </c>
      <c r="B4429" t="s">
        <v>8</v>
      </c>
      <c r="C4429" t="s">
        <v>17</v>
      </c>
      <c r="D4429">
        <v>0</v>
      </c>
      <c r="E4429" t="s">
        <v>57</v>
      </c>
      <c r="F4429" t="s">
        <v>39</v>
      </c>
      <c r="G4429" t="s">
        <v>40</v>
      </c>
    </row>
    <row r="4430" spans="1:7" x14ac:dyDescent="0.3">
      <c r="A4430" t="s">
        <v>61</v>
      </c>
      <c r="B4430" t="s">
        <v>8</v>
      </c>
      <c r="C4430" t="s">
        <v>18</v>
      </c>
      <c r="D4430">
        <v>0</v>
      </c>
      <c r="E4430" t="s">
        <v>57</v>
      </c>
      <c r="F4430" t="s">
        <v>39</v>
      </c>
      <c r="G4430" t="s">
        <v>40</v>
      </c>
    </row>
    <row r="4431" spans="1:7" x14ac:dyDescent="0.3">
      <c r="A4431" t="s">
        <v>61</v>
      </c>
      <c r="B4431" t="s">
        <v>8</v>
      </c>
      <c r="C4431" t="s">
        <v>19</v>
      </c>
      <c r="D4431">
        <v>0</v>
      </c>
      <c r="E4431" t="s">
        <v>57</v>
      </c>
      <c r="F4431" t="s">
        <v>39</v>
      </c>
      <c r="G4431" t="s">
        <v>40</v>
      </c>
    </row>
    <row r="4432" spans="1:7" x14ac:dyDescent="0.3">
      <c r="A4432" t="s">
        <v>61</v>
      </c>
      <c r="B4432" t="s">
        <v>8</v>
      </c>
      <c r="C4432" t="s">
        <v>20</v>
      </c>
      <c r="D4432">
        <v>0</v>
      </c>
      <c r="E4432" t="s">
        <v>57</v>
      </c>
      <c r="F4432" t="s">
        <v>39</v>
      </c>
      <c r="G4432" t="s">
        <v>40</v>
      </c>
    </row>
    <row r="4433" spans="1:7" x14ac:dyDescent="0.3">
      <c r="A4433" t="s">
        <v>61</v>
      </c>
      <c r="B4433" t="s">
        <v>8</v>
      </c>
      <c r="C4433" t="s">
        <v>21</v>
      </c>
      <c r="D4433">
        <v>0</v>
      </c>
      <c r="E4433" t="s">
        <v>57</v>
      </c>
      <c r="F4433" t="s">
        <v>39</v>
      </c>
      <c r="G4433" t="s">
        <v>40</v>
      </c>
    </row>
    <row r="4434" spans="1:7" x14ac:dyDescent="0.3">
      <c r="A4434" t="s">
        <v>61</v>
      </c>
      <c r="B4434" t="s">
        <v>8</v>
      </c>
      <c r="C4434" t="s">
        <v>22</v>
      </c>
      <c r="D4434">
        <v>2606</v>
      </c>
      <c r="E4434" t="s">
        <v>57</v>
      </c>
      <c r="F4434" t="s">
        <v>39</v>
      </c>
      <c r="G4434" t="s">
        <v>40</v>
      </c>
    </row>
    <row r="4435" spans="1:7" x14ac:dyDescent="0.3">
      <c r="A4435" t="s">
        <v>61</v>
      </c>
      <c r="B4435" t="s">
        <v>23</v>
      </c>
      <c r="C4435" t="s">
        <v>9</v>
      </c>
      <c r="D4435">
        <v>476</v>
      </c>
      <c r="E4435" t="s">
        <v>57</v>
      </c>
      <c r="F4435" t="s">
        <v>39</v>
      </c>
      <c r="G4435" t="s">
        <v>40</v>
      </c>
    </row>
    <row r="4436" spans="1:7" x14ac:dyDescent="0.3">
      <c r="A4436" t="s">
        <v>61</v>
      </c>
      <c r="B4436" t="s">
        <v>23</v>
      </c>
      <c r="C4436" t="s">
        <v>13</v>
      </c>
      <c r="D4436">
        <v>5854</v>
      </c>
      <c r="E4436" t="s">
        <v>57</v>
      </c>
      <c r="F4436" t="s">
        <v>39</v>
      </c>
      <c r="G4436" t="s">
        <v>40</v>
      </c>
    </row>
    <row r="4437" spans="1:7" x14ac:dyDescent="0.3">
      <c r="A4437" t="s">
        <v>61</v>
      </c>
      <c r="B4437" t="s">
        <v>23</v>
      </c>
      <c r="C4437" t="s">
        <v>14</v>
      </c>
      <c r="D4437">
        <v>1300</v>
      </c>
      <c r="E4437" t="s">
        <v>57</v>
      </c>
      <c r="F4437" t="s">
        <v>39</v>
      </c>
      <c r="G4437" t="s">
        <v>40</v>
      </c>
    </row>
    <row r="4438" spans="1:7" x14ac:dyDescent="0.3">
      <c r="A4438" t="s">
        <v>61</v>
      </c>
      <c r="B4438" t="s">
        <v>23</v>
      </c>
      <c r="C4438" t="s">
        <v>15</v>
      </c>
      <c r="D4438">
        <v>84</v>
      </c>
      <c r="E4438" t="s">
        <v>57</v>
      </c>
      <c r="F4438" t="s">
        <v>39</v>
      </c>
      <c r="G4438" t="s">
        <v>40</v>
      </c>
    </row>
    <row r="4439" spans="1:7" x14ac:dyDescent="0.3">
      <c r="A4439" t="s">
        <v>61</v>
      </c>
      <c r="B4439" t="s">
        <v>23</v>
      </c>
      <c r="C4439" t="s">
        <v>16</v>
      </c>
      <c r="D4439">
        <v>1855</v>
      </c>
      <c r="E4439" t="s">
        <v>57</v>
      </c>
      <c r="F4439" t="s">
        <v>39</v>
      </c>
      <c r="G4439" t="s">
        <v>40</v>
      </c>
    </row>
    <row r="4440" spans="1:7" x14ac:dyDescent="0.3">
      <c r="A4440" t="s">
        <v>61</v>
      </c>
      <c r="B4440" t="s">
        <v>23</v>
      </c>
      <c r="C4440" t="s">
        <v>17</v>
      </c>
      <c r="D4440">
        <v>129</v>
      </c>
      <c r="E4440" t="s">
        <v>57</v>
      </c>
      <c r="F4440" t="s">
        <v>39</v>
      </c>
      <c r="G4440" t="s">
        <v>40</v>
      </c>
    </row>
    <row r="4441" spans="1:7" x14ac:dyDescent="0.3">
      <c r="A4441" t="s">
        <v>61</v>
      </c>
      <c r="B4441" t="s">
        <v>23</v>
      </c>
      <c r="C4441" t="s">
        <v>18</v>
      </c>
      <c r="D4441">
        <v>0</v>
      </c>
      <c r="E4441" t="s">
        <v>57</v>
      </c>
      <c r="F4441" t="s">
        <v>39</v>
      </c>
      <c r="G4441" t="s">
        <v>40</v>
      </c>
    </row>
    <row r="4442" spans="1:7" x14ac:dyDescent="0.3">
      <c r="A4442" t="s">
        <v>61</v>
      </c>
      <c r="B4442" t="s">
        <v>23</v>
      </c>
      <c r="C4442" t="s">
        <v>19</v>
      </c>
      <c r="D4442">
        <v>106</v>
      </c>
      <c r="E4442" t="s">
        <v>57</v>
      </c>
      <c r="F4442" t="s">
        <v>39</v>
      </c>
      <c r="G4442" t="s">
        <v>40</v>
      </c>
    </row>
    <row r="4443" spans="1:7" x14ac:dyDescent="0.3">
      <c r="A4443" t="s">
        <v>61</v>
      </c>
      <c r="B4443" t="s">
        <v>23</v>
      </c>
      <c r="C4443" t="s">
        <v>20</v>
      </c>
      <c r="D4443">
        <v>256</v>
      </c>
      <c r="E4443" t="s">
        <v>57</v>
      </c>
      <c r="F4443" t="s">
        <v>39</v>
      </c>
      <c r="G4443" t="s">
        <v>40</v>
      </c>
    </row>
    <row r="4444" spans="1:7" x14ac:dyDescent="0.3">
      <c r="A4444" t="s">
        <v>61</v>
      </c>
      <c r="B4444" t="s">
        <v>23</v>
      </c>
      <c r="C4444" t="s">
        <v>21</v>
      </c>
      <c r="D4444">
        <v>27</v>
      </c>
      <c r="E4444" t="s">
        <v>57</v>
      </c>
      <c r="F4444" t="s">
        <v>39</v>
      </c>
      <c r="G4444" t="s">
        <v>40</v>
      </c>
    </row>
    <row r="4445" spans="1:7" x14ac:dyDescent="0.3">
      <c r="A4445" t="s">
        <v>61</v>
      </c>
      <c r="B4445" t="s">
        <v>23</v>
      </c>
      <c r="C4445" t="s">
        <v>22</v>
      </c>
      <c r="D4445">
        <v>50043</v>
      </c>
      <c r="E4445" t="s">
        <v>57</v>
      </c>
      <c r="F4445" t="s">
        <v>39</v>
      </c>
      <c r="G4445" t="s">
        <v>40</v>
      </c>
    </row>
    <row r="4446" spans="1:7" x14ac:dyDescent="0.3">
      <c r="A4446" t="s">
        <v>62</v>
      </c>
      <c r="B4446" t="s">
        <v>8</v>
      </c>
      <c r="C4446" t="s">
        <v>9</v>
      </c>
      <c r="D4446">
        <v>0</v>
      </c>
      <c r="E4446" t="s">
        <v>57</v>
      </c>
      <c r="F4446" t="s">
        <v>39</v>
      </c>
      <c r="G4446" t="s">
        <v>40</v>
      </c>
    </row>
    <row r="4447" spans="1:7" x14ac:dyDescent="0.3">
      <c r="A4447" t="s">
        <v>62</v>
      </c>
      <c r="B4447" t="s">
        <v>8</v>
      </c>
      <c r="C4447" t="s">
        <v>13</v>
      </c>
      <c r="D4447">
        <v>5</v>
      </c>
      <c r="E4447" t="s">
        <v>57</v>
      </c>
      <c r="F4447" t="s">
        <v>39</v>
      </c>
      <c r="G4447" t="s">
        <v>40</v>
      </c>
    </row>
    <row r="4448" spans="1:7" x14ac:dyDescent="0.3">
      <c r="A4448" t="s">
        <v>62</v>
      </c>
      <c r="B4448" t="s">
        <v>8</v>
      </c>
      <c r="C4448" t="s">
        <v>14</v>
      </c>
      <c r="D4448">
        <v>0</v>
      </c>
      <c r="E4448" t="s">
        <v>57</v>
      </c>
      <c r="F4448" t="s">
        <v>39</v>
      </c>
      <c r="G4448" t="s">
        <v>40</v>
      </c>
    </row>
    <row r="4449" spans="1:7" x14ac:dyDescent="0.3">
      <c r="A4449" t="s">
        <v>62</v>
      </c>
      <c r="B4449" t="s">
        <v>8</v>
      </c>
      <c r="C4449" t="s">
        <v>15</v>
      </c>
      <c r="D4449">
        <v>2</v>
      </c>
      <c r="E4449" t="s">
        <v>57</v>
      </c>
      <c r="F4449" t="s">
        <v>39</v>
      </c>
      <c r="G4449" t="s">
        <v>40</v>
      </c>
    </row>
    <row r="4450" spans="1:7" x14ac:dyDescent="0.3">
      <c r="A4450" t="s">
        <v>62</v>
      </c>
      <c r="B4450" t="s">
        <v>8</v>
      </c>
      <c r="C4450" t="s">
        <v>16</v>
      </c>
      <c r="D4450">
        <v>6</v>
      </c>
      <c r="E4450" t="s">
        <v>57</v>
      </c>
      <c r="F4450" t="s">
        <v>39</v>
      </c>
      <c r="G4450" t="s">
        <v>40</v>
      </c>
    </row>
    <row r="4451" spans="1:7" x14ac:dyDescent="0.3">
      <c r="A4451" t="s">
        <v>62</v>
      </c>
      <c r="B4451" t="s">
        <v>8</v>
      </c>
      <c r="C4451" t="s">
        <v>17</v>
      </c>
      <c r="D4451">
        <v>0</v>
      </c>
      <c r="E4451" t="s">
        <v>57</v>
      </c>
      <c r="F4451" t="s">
        <v>39</v>
      </c>
      <c r="G4451" t="s">
        <v>40</v>
      </c>
    </row>
    <row r="4452" spans="1:7" x14ac:dyDescent="0.3">
      <c r="A4452" t="s">
        <v>62</v>
      </c>
      <c r="B4452" t="s">
        <v>8</v>
      </c>
      <c r="C4452" t="s">
        <v>18</v>
      </c>
      <c r="D4452">
        <v>0</v>
      </c>
      <c r="E4452" t="s">
        <v>57</v>
      </c>
      <c r="F4452" t="s">
        <v>39</v>
      </c>
      <c r="G4452" t="s">
        <v>40</v>
      </c>
    </row>
    <row r="4453" spans="1:7" x14ac:dyDescent="0.3">
      <c r="A4453" t="s">
        <v>62</v>
      </c>
      <c r="B4453" t="s">
        <v>8</v>
      </c>
      <c r="C4453" t="s">
        <v>19</v>
      </c>
      <c r="D4453">
        <v>0</v>
      </c>
      <c r="E4453" t="s">
        <v>57</v>
      </c>
      <c r="F4453" t="s">
        <v>39</v>
      </c>
      <c r="G4453" t="s">
        <v>40</v>
      </c>
    </row>
    <row r="4454" spans="1:7" x14ac:dyDescent="0.3">
      <c r="A4454" t="s">
        <v>62</v>
      </c>
      <c r="B4454" t="s">
        <v>8</v>
      </c>
      <c r="C4454" t="s">
        <v>20</v>
      </c>
      <c r="D4454">
        <v>0</v>
      </c>
      <c r="E4454" t="s">
        <v>57</v>
      </c>
      <c r="F4454" t="s">
        <v>39</v>
      </c>
      <c r="G4454" t="s">
        <v>40</v>
      </c>
    </row>
    <row r="4455" spans="1:7" x14ac:dyDescent="0.3">
      <c r="A4455" t="s">
        <v>62</v>
      </c>
      <c r="B4455" t="s">
        <v>8</v>
      </c>
      <c r="C4455" t="s">
        <v>21</v>
      </c>
      <c r="D4455">
        <v>0</v>
      </c>
      <c r="E4455" t="s">
        <v>57</v>
      </c>
      <c r="F4455" t="s">
        <v>39</v>
      </c>
      <c r="G4455" t="s">
        <v>40</v>
      </c>
    </row>
    <row r="4456" spans="1:7" x14ac:dyDescent="0.3">
      <c r="A4456" t="s">
        <v>62</v>
      </c>
      <c r="B4456" t="s">
        <v>8</v>
      </c>
      <c r="C4456" t="s">
        <v>22</v>
      </c>
      <c r="D4456">
        <v>3463</v>
      </c>
      <c r="E4456" t="s">
        <v>57</v>
      </c>
      <c r="F4456" t="s">
        <v>39</v>
      </c>
      <c r="G4456" t="s">
        <v>40</v>
      </c>
    </row>
    <row r="4457" spans="1:7" x14ac:dyDescent="0.3">
      <c r="A4457" t="s">
        <v>62</v>
      </c>
      <c r="B4457" t="s">
        <v>23</v>
      </c>
      <c r="C4457" t="s">
        <v>9</v>
      </c>
      <c r="D4457">
        <v>633</v>
      </c>
      <c r="E4457" t="s">
        <v>57</v>
      </c>
      <c r="F4457" t="s">
        <v>39</v>
      </c>
      <c r="G4457" t="s">
        <v>40</v>
      </c>
    </row>
    <row r="4458" spans="1:7" x14ac:dyDescent="0.3">
      <c r="A4458" t="s">
        <v>62</v>
      </c>
      <c r="B4458" t="s">
        <v>23</v>
      </c>
      <c r="C4458" t="s">
        <v>13</v>
      </c>
      <c r="D4458">
        <v>7780</v>
      </c>
      <c r="E4458" t="s">
        <v>57</v>
      </c>
      <c r="F4458" t="s">
        <v>39</v>
      </c>
      <c r="G4458" t="s">
        <v>40</v>
      </c>
    </row>
    <row r="4459" spans="1:7" x14ac:dyDescent="0.3">
      <c r="A4459" t="s">
        <v>62</v>
      </c>
      <c r="B4459" t="s">
        <v>23</v>
      </c>
      <c r="C4459" t="s">
        <v>14</v>
      </c>
      <c r="D4459">
        <v>1728</v>
      </c>
      <c r="E4459" t="s">
        <v>57</v>
      </c>
      <c r="F4459" t="s">
        <v>39</v>
      </c>
      <c r="G4459" t="s">
        <v>40</v>
      </c>
    </row>
    <row r="4460" spans="1:7" x14ac:dyDescent="0.3">
      <c r="A4460" t="s">
        <v>62</v>
      </c>
      <c r="B4460" t="s">
        <v>23</v>
      </c>
      <c r="C4460" t="s">
        <v>15</v>
      </c>
      <c r="D4460">
        <v>111</v>
      </c>
      <c r="E4460" t="s">
        <v>57</v>
      </c>
      <c r="F4460" t="s">
        <v>39</v>
      </c>
      <c r="G4460" t="s">
        <v>40</v>
      </c>
    </row>
    <row r="4461" spans="1:7" x14ac:dyDescent="0.3">
      <c r="A4461" t="s">
        <v>62</v>
      </c>
      <c r="B4461" t="s">
        <v>23</v>
      </c>
      <c r="C4461" t="s">
        <v>16</v>
      </c>
      <c r="D4461">
        <v>2466</v>
      </c>
      <c r="E4461" t="s">
        <v>57</v>
      </c>
      <c r="F4461" t="s">
        <v>39</v>
      </c>
      <c r="G4461" t="s">
        <v>40</v>
      </c>
    </row>
    <row r="4462" spans="1:7" x14ac:dyDescent="0.3">
      <c r="A4462" t="s">
        <v>62</v>
      </c>
      <c r="B4462" t="s">
        <v>23</v>
      </c>
      <c r="C4462" t="s">
        <v>17</v>
      </c>
      <c r="D4462">
        <v>171</v>
      </c>
      <c r="E4462" t="s">
        <v>57</v>
      </c>
      <c r="F4462" t="s">
        <v>39</v>
      </c>
      <c r="G4462" t="s">
        <v>40</v>
      </c>
    </row>
    <row r="4463" spans="1:7" x14ac:dyDescent="0.3">
      <c r="A4463" t="s">
        <v>62</v>
      </c>
      <c r="B4463" t="s">
        <v>23</v>
      </c>
      <c r="C4463" t="s">
        <v>18</v>
      </c>
      <c r="D4463">
        <v>0</v>
      </c>
      <c r="E4463" t="s">
        <v>57</v>
      </c>
      <c r="F4463" t="s">
        <v>39</v>
      </c>
      <c r="G4463" t="s">
        <v>40</v>
      </c>
    </row>
    <row r="4464" spans="1:7" x14ac:dyDescent="0.3">
      <c r="A4464" t="s">
        <v>62</v>
      </c>
      <c r="B4464" t="s">
        <v>23</v>
      </c>
      <c r="C4464" t="s">
        <v>19</v>
      </c>
      <c r="D4464">
        <v>141</v>
      </c>
      <c r="E4464" t="s">
        <v>57</v>
      </c>
      <c r="F4464" t="s">
        <v>39</v>
      </c>
      <c r="G4464" t="s">
        <v>40</v>
      </c>
    </row>
    <row r="4465" spans="1:7" x14ac:dyDescent="0.3">
      <c r="A4465" t="s">
        <v>62</v>
      </c>
      <c r="B4465" t="s">
        <v>23</v>
      </c>
      <c r="C4465" t="s">
        <v>20</v>
      </c>
      <c r="D4465">
        <v>340</v>
      </c>
      <c r="E4465" t="s">
        <v>57</v>
      </c>
      <c r="F4465" t="s">
        <v>39</v>
      </c>
      <c r="G4465" t="s">
        <v>40</v>
      </c>
    </row>
    <row r="4466" spans="1:7" x14ac:dyDescent="0.3">
      <c r="A4466" t="s">
        <v>62</v>
      </c>
      <c r="B4466" t="s">
        <v>23</v>
      </c>
      <c r="C4466" t="s">
        <v>21</v>
      </c>
      <c r="D4466">
        <v>35</v>
      </c>
      <c r="E4466" t="s">
        <v>57</v>
      </c>
      <c r="F4466" t="s">
        <v>39</v>
      </c>
      <c r="G4466" t="s">
        <v>40</v>
      </c>
    </row>
    <row r="4467" spans="1:7" x14ac:dyDescent="0.3">
      <c r="A4467" t="s">
        <v>62</v>
      </c>
      <c r="B4467" t="s">
        <v>23</v>
      </c>
      <c r="C4467" t="s">
        <v>22</v>
      </c>
      <c r="D4467">
        <v>66508</v>
      </c>
      <c r="E4467" t="s">
        <v>57</v>
      </c>
      <c r="F4467" t="s">
        <v>39</v>
      </c>
      <c r="G4467" t="s">
        <v>40</v>
      </c>
    </row>
    <row r="4468" spans="1:7" x14ac:dyDescent="0.3">
      <c r="A4468" t="s">
        <v>26</v>
      </c>
      <c r="B4468" t="s">
        <v>8</v>
      </c>
      <c r="C4468" t="s">
        <v>9</v>
      </c>
      <c r="D4468">
        <v>0</v>
      </c>
      <c r="E4468" t="s">
        <v>57</v>
      </c>
      <c r="F4468" t="s">
        <v>39</v>
      </c>
      <c r="G4468" t="s">
        <v>40</v>
      </c>
    </row>
    <row r="4469" spans="1:7" x14ac:dyDescent="0.3">
      <c r="A4469" t="s">
        <v>26</v>
      </c>
      <c r="B4469" t="s">
        <v>8</v>
      </c>
      <c r="C4469" t="s">
        <v>13</v>
      </c>
      <c r="D4469">
        <v>0</v>
      </c>
      <c r="E4469" t="s">
        <v>57</v>
      </c>
      <c r="F4469" t="s">
        <v>39</v>
      </c>
      <c r="G4469" t="s">
        <v>40</v>
      </c>
    </row>
    <row r="4470" spans="1:7" x14ac:dyDescent="0.3">
      <c r="A4470" t="s">
        <v>26</v>
      </c>
      <c r="B4470" t="s">
        <v>8</v>
      </c>
      <c r="C4470" t="s">
        <v>14</v>
      </c>
      <c r="D4470">
        <v>0</v>
      </c>
      <c r="E4470" t="s">
        <v>57</v>
      </c>
      <c r="F4470" t="s">
        <v>39</v>
      </c>
      <c r="G4470" t="s">
        <v>40</v>
      </c>
    </row>
    <row r="4471" spans="1:7" x14ac:dyDescent="0.3">
      <c r="A4471" t="s">
        <v>26</v>
      </c>
      <c r="B4471" t="s">
        <v>8</v>
      </c>
      <c r="C4471" t="s">
        <v>15</v>
      </c>
      <c r="D4471">
        <v>0</v>
      </c>
      <c r="E4471" t="s">
        <v>57</v>
      </c>
      <c r="F4471" t="s">
        <v>39</v>
      </c>
      <c r="G4471" t="s">
        <v>40</v>
      </c>
    </row>
    <row r="4472" spans="1:7" x14ac:dyDescent="0.3">
      <c r="A4472" t="s">
        <v>26</v>
      </c>
      <c r="B4472" t="s">
        <v>8</v>
      </c>
      <c r="C4472" t="s">
        <v>16</v>
      </c>
      <c r="D4472">
        <v>0</v>
      </c>
      <c r="E4472" t="s">
        <v>57</v>
      </c>
      <c r="F4472" t="s">
        <v>39</v>
      </c>
      <c r="G4472" t="s">
        <v>40</v>
      </c>
    </row>
    <row r="4473" spans="1:7" x14ac:dyDescent="0.3">
      <c r="A4473" t="s">
        <v>26</v>
      </c>
      <c r="B4473" t="s">
        <v>8</v>
      </c>
      <c r="C4473" t="s">
        <v>17</v>
      </c>
      <c r="D4473">
        <v>0</v>
      </c>
      <c r="E4473" t="s">
        <v>57</v>
      </c>
      <c r="F4473" t="s">
        <v>39</v>
      </c>
      <c r="G4473" t="s">
        <v>40</v>
      </c>
    </row>
    <row r="4474" spans="1:7" x14ac:dyDescent="0.3">
      <c r="A4474" t="s">
        <v>26</v>
      </c>
      <c r="B4474" t="s">
        <v>8</v>
      </c>
      <c r="C4474" t="s">
        <v>18</v>
      </c>
      <c r="D4474">
        <v>0</v>
      </c>
      <c r="E4474" t="s">
        <v>57</v>
      </c>
      <c r="F4474" t="s">
        <v>39</v>
      </c>
      <c r="G4474" t="s">
        <v>40</v>
      </c>
    </row>
    <row r="4475" spans="1:7" x14ac:dyDescent="0.3">
      <c r="A4475" t="s">
        <v>26</v>
      </c>
      <c r="B4475" t="s">
        <v>8</v>
      </c>
      <c r="C4475" t="s">
        <v>19</v>
      </c>
      <c r="D4475">
        <v>0</v>
      </c>
      <c r="E4475" t="s">
        <v>57</v>
      </c>
      <c r="F4475" t="s">
        <v>39</v>
      </c>
      <c r="G4475" t="s">
        <v>40</v>
      </c>
    </row>
    <row r="4476" spans="1:7" x14ac:dyDescent="0.3">
      <c r="A4476" t="s">
        <v>26</v>
      </c>
      <c r="B4476" t="s">
        <v>8</v>
      </c>
      <c r="C4476" t="s">
        <v>20</v>
      </c>
      <c r="D4476">
        <v>0</v>
      </c>
      <c r="E4476" t="s">
        <v>57</v>
      </c>
      <c r="F4476" t="s">
        <v>39</v>
      </c>
      <c r="G4476" t="s">
        <v>40</v>
      </c>
    </row>
    <row r="4477" spans="1:7" x14ac:dyDescent="0.3">
      <c r="A4477" t="s">
        <v>26</v>
      </c>
      <c r="B4477" t="s">
        <v>8</v>
      </c>
      <c r="C4477" t="s">
        <v>21</v>
      </c>
      <c r="D4477">
        <v>0</v>
      </c>
      <c r="E4477" t="s">
        <v>57</v>
      </c>
      <c r="F4477" t="s">
        <v>39</v>
      </c>
      <c r="G4477" t="s">
        <v>40</v>
      </c>
    </row>
    <row r="4478" spans="1:7" x14ac:dyDescent="0.3">
      <c r="A4478" t="s">
        <v>26</v>
      </c>
      <c r="B4478" t="s">
        <v>8</v>
      </c>
      <c r="C4478" t="s">
        <v>22</v>
      </c>
      <c r="D4478">
        <v>288</v>
      </c>
      <c r="E4478" t="s">
        <v>57</v>
      </c>
      <c r="F4478" t="s">
        <v>39</v>
      </c>
      <c r="G4478" t="s">
        <v>40</v>
      </c>
    </row>
    <row r="4479" spans="1:7" x14ac:dyDescent="0.3">
      <c r="A4479" t="s">
        <v>26</v>
      </c>
      <c r="B4479" t="s">
        <v>23</v>
      </c>
      <c r="C4479" t="s">
        <v>9</v>
      </c>
      <c r="D4479">
        <v>53</v>
      </c>
      <c r="E4479" t="s">
        <v>57</v>
      </c>
      <c r="F4479" t="s">
        <v>39</v>
      </c>
      <c r="G4479" t="s">
        <v>40</v>
      </c>
    </row>
    <row r="4480" spans="1:7" x14ac:dyDescent="0.3">
      <c r="A4480" t="s">
        <v>26</v>
      </c>
      <c r="B4480" t="s">
        <v>23</v>
      </c>
      <c r="C4480" t="s">
        <v>13</v>
      </c>
      <c r="D4480">
        <v>647</v>
      </c>
      <c r="E4480" t="s">
        <v>57</v>
      </c>
      <c r="F4480" t="s">
        <v>39</v>
      </c>
      <c r="G4480" t="s">
        <v>40</v>
      </c>
    </row>
    <row r="4481" spans="1:7" x14ac:dyDescent="0.3">
      <c r="A4481" t="s">
        <v>26</v>
      </c>
      <c r="B4481" t="s">
        <v>23</v>
      </c>
      <c r="C4481" t="s">
        <v>14</v>
      </c>
      <c r="D4481">
        <v>144</v>
      </c>
      <c r="E4481" t="s">
        <v>57</v>
      </c>
      <c r="F4481" t="s">
        <v>39</v>
      </c>
      <c r="G4481" t="s">
        <v>40</v>
      </c>
    </row>
    <row r="4482" spans="1:7" x14ac:dyDescent="0.3">
      <c r="A4482" t="s">
        <v>26</v>
      </c>
      <c r="B4482" t="s">
        <v>23</v>
      </c>
      <c r="C4482" t="s">
        <v>15</v>
      </c>
      <c r="D4482">
        <v>9</v>
      </c>
      <c r="E4482" t="s">
        <v>57</v>
      </c>
      <c r="F4482" t="s">
        <v>39</v>
      </c>
      <c r="G4482" t="s">
        <v>40</v>
      </c>
    </row>
    <row r="4483" spans="1:7" x14ac:dyDescent="0.3">
      <c r="A4483" t="s">
        <v>26</v>
      </c>
      <c r="B4483" t="s">
        <v>23</v>
      </c>
      <c r="C4483" t="s">
        <v>16</v>
      </c>
      <c r="D4483">
        <v>205</v>
      </c>
      <c r="E4483" t="s">
        <v>57</v>
      </c>
      <c r="F4483" t="s">
        <v>39</v>
      </c>
      <c r="G4483" t="s">
        <v>40</v>
      </c>
    </row>
    <row r="4484" spans="1:7" x14ac:dyDescent="0.3">
      <c r="A4484" t="s">
        <v>26</v>
      </c>
      <c r="B4484" t="s">
        <v>23</v>
      </c>
      <c r="C4484" t="s">
        <v>17</v>
      </c>
      <c r="D4484">
        <v>14</v>
      </c>
      <c r="E4484" t="s">
        <v>57</v>
      </c>
      <c r="F4484" t="s">
        <v>39</v>
      </c>
      <c r="G4484" t="s">
        <v>40</v>
      </c>
    </row>
    <row r="4485" spans="1:7" x14ac:dyDescent="0.3">
      <c r="A4485" t="s">
        <v>26</v>
      </c>
      <c r="B4485" t="s">
        <v>23</v>
      </c>
      <c r="C4485" t="s">
        <v>18</v>
      </c>
      <c r="D4485">
        <v>0</v>
      </c>
      <c r="E4485" t="s">
        <v>57</v>
      </c>
      <c r="F4485" t="s">
        <v>39</v>
      </c>
      <c r="G4485" t="s">
        <v>40</v>
      </c>
    </row>
    <row r="4486" spans="1:7" x14ac:dyDescent="0.3">
      <c r="A4486" t="s">
        <v>26</v>
      </c>
      <c r="B4486" t="s">
        <v>23</v>
      </c>
      <c r="C4486" t="s">
        <v>19</v>
      </c>
      <c r="D4486">
        <v>12</v>
      </c>
      <c r="E4486" t="s">
        <v>57</v>
      </c>
      <c r="F4486" t="s">
        <v>39</v>
      </c>
      <c r="G4486" t="s">
        <v>40</v>
      </c>
    </row>
    <row r="4487" spans="1:7" x14ac:dyDescent="0.3">
      <c r="A4487" t="s">
        <v>26</v>
      </c>
      <c r="B4487" t="s">
        <v>23</v>
      </c>
      <c r="C4487" t="s">
        <v>20</v>
      </c>
      <c r="D4487">
        <v>28</v>
      </c>
      <c r="E4487" t="s">
        <v>57</v>
      </c>
      <c r="F4487" t="s">
        <v>39</v>
      </c>
      <c r="G4487" t="s">
        <v>40</v>
      </c>
    </row>
    <row r="4488" spans="1:7" x14ac:dyDescent="0.3">
      <c r="A4488" t="s">
        <v>26</v>
      </c>
      <c r="B4488" t="s">
        <v>23</v>
      </c>
      <c r="C4488" t="s">
        <v>21</v>
      </c>
      <c r="D4488">
        <v>3</v>
      </c>
      <c r="E4488" t="s">
        <v>57</v>
      </c>
      <c r="F4488" t="s">
        <v>39</v>
      </c>
      <c r="G4488" t="s">
        <v>40</v>
      </c>
    </row>
    <row r="4489" spans="1:7" x14ac:dyDescent="0.3">
      <c r="A4489" t="s">
        <v>26</v>
      </c>
      <c r="B4489" t="s">
        <v>23</v>
      </c>
      <c r="C4489" t="s">
        <v>22</v>
      </c>
      <c r="D4489">
        <v>5531</v>
      </c>
      <c r="E4489" t="s">
        <v>57</v>
      </c>
      <c r="F4489" t="s">
        <v>39</v>
      </c>
      <c r="G4489" t="s">
        <v>40</v>
      </c>
    </row>
    <row r="4490" spans="1:7" x14ac:dyDescent="0.3">
      <c r="A4490" t="s">
        <v>27</v>
      </c>
      <c r="B4490" t="s">
        <v>8</v>
      </c>
      <c r="C4490" t="s">
        <v>9</v>
      </c>
      <c r="D4490">
        <v>2</v>
      </c>
      <c r="E4490" t="s">
        <v>57</v>
      </c>
      <c r="F4490" t="s">
        <v>39</v>
      </c>
      <c r="G4490" t="s">
        <v>40</v>
      </c>
    </row>
    <row r="4491" spans="1:7" x14ac:dyDescent="0.3">
      <c r="A4491" t="s">
        <v>27</v>
      </c>
      <c r="B4491" t="s">
        <v>8</v>
      </c>
      <c r="C4491" t="s">
        <v>13</v>
      </c>
      <c r="D4491">
        <v>2</v>
      </c>
      <c r="E4491" t="s">
        <v>57</v>
      </c>
      <c r="F4491" t="s">
        <v>39</v>
      </c>
      <c r="G4491" t="s">
        <v>40</v>
      </c>
    </row>
    <row r="4492" spans="1:7" x14ac:dyDescent="0.3">
      <c r="A4492" t="s">
        <v>27</v>
      </c>
      <c r="B4492" t="s">
        <v>8</v>
      </c>
      <c r="C4492" t="s">
        <v>14</v>
      </c>
      <c r="D4492">
        <v>69</v>
      </c>
      <c r="E4492" t="s">
        <v>57</v>
      </c>
      <c r="F4492" t="s">
        <v>39</v>
      </c>
      <c r="G4492" t="s">
        <v>40</v>
      </c>
    </row>
    <row r="4493" spans="1:7" x14ac:dyDescent="0.3">
      <c r="A4493" t="s">
        <v>27</v>
      </c>
      <c r="B4493" t="s">
        <v>8</v>
      </c>
      <c r="C4493" t="s">
        <v>15</v>
      </c>
      <c r="D4493">
        <v>2</v>
      </c>
      <c r="E4493" t="s">
        <v>57</v>
      </c>
      <c r="F4493" t="s">
        <v>39</v>
      </c>
      <c r="G4493" t="s">
        <v>40</v>
      </c>
    </row>
    <row r="4494" spans="1:7" x14ac:dyDescent="0.3">
      <c r="A4494" t="s">
        <v>27</v>
      </c>
      <c r="B4494" t="s">
        <v>8</v>
      </c>
      <c r="C4494" t="s">
        <v>16</v>
      </c>
      <c r="D4494">
        <v>1834</v>
      </c>
      <c r="E4494" t="s">
        <v>57</v>
      </c>
      <c r="F4494" t="s">
        <v>39</v>
      </c>
      <c r="G4494" t="s">
        <v>40</v>
      </c>
    </row>
    <row r="4495" spans="1:7" x14ac:dyDescent="0.3">
      <c r="A4495" t="s">
        <v>27</v>
      </c>
      <c r="B4495" t="s">
        <v>8</v>
      </c>
      <c r="C4495" t="s">
        <v>17</v>
      </c>
      <c r="D4495">
        <v>70</v>
      </c>
      <c r="E4495" t="s">
        <v>57</v>
      </c>
      <c r="F4495" t="s">
        <v>39</v>
      </c>
      <c r="G4495" t="s">
        <v>40</v>
      </c>
    </row>
    <row r="4496" spans="1:7" x14ac:dyDescent="0.3">
      <c r="A4496" t="s">
        <v>27</v>
      </c>
      <c r="B4496" t="s">
        <v>8</v>
      </c>
      <c r="C4496" t="s">
        <v>18</v>
      </c>
      <c r="D4496">
        <v>0</v>
      </c>
      <c r="E4496" t="s">
        <v>57</v>
      </c>
      <c r="F4496" t="s">
        <v>39</v>
      </c>
      <c r="G4496" t="s">
        <v>40</v>
      </c>
    </row>
    <row r="4497" spans="1:7" x14ac:dyDescent="0.3">
      <c r="A4497" t="s">
        <v>27</v>
      </c>
      <c r="B4497" t="s">
        <v>8</v>
      </c>
      <c r="C4497" t="s">
        <v>19</v>
      </c>
      <c r="D4497">
        <v>0</v>
      </c>
      <c r="E4497" t="s">
        <v>57</v>
      </c>
      <c r="F4497" t="s">
        <v>39</v>
      </c>
      <c r="G4497" t="s">
        <v>40</v>
      </c>
    </row>
    <row r="4498" spans="1:7" x14ac:dyDescent="0.3">
      <c r="A4498" t="s">
        <v>27</v>
      </c>
      <c r="B4498" t="s">
        <v>8</v>
      </c>
      <c r="C4498" t="s">
        <v>20</v>
      </c>
      <c r="D4498">
        <v>0</v>
      </c>
      <c r="E4498" t="s">
        <v>57</v>
      </c>
      <c r="F4498" t="s">
        <v>39</v>
      </c>
      <c r="G4498" t="s">
        <v>40</v>
      </c>
    </row>
    <row r="4499" spans="1:7" x14ac:dyDescent="0.3">
      <c r="A4499" t="s">
        <v>27</v>
      </c>
      <c r="B4499" t="s">
        <v>8</v>
      </c>
      <c r="C4499" t="s">
        <v>21</v>
      </c>
      <c r="D4499">
        <v>0</v>
      </c>
      <c r="E4499" t="s">
        <v>57</v>
      </c>
      <c r="F4499" t="s">
        <v>39</v>
      </c>
      <c r="G4499" t="s">
        <v>40</v>
      </c>
    </row>
    <row r="4500" spans="1:7" x14ac:dyDescent="0.3">
      <c r="A4500" t="s">
        <v>27</v>
      </c>
      <c r="B4500" t="s">
        <v>8</v>
      </c>
      <c r="C4500" t="s">
        <v>22</v>
      </c>
      <c r="D4500">
        <v>897</v>
      </c>
      <c r="E4500" t="s">
        <v>57</v>
      </c>
      <c r="F4500" t="s">
        <v>39</v>
      </c>
      <c r="G4500" t="s">
        <v>40</v>
      </c>
    </row>
    <row r="4501" spans="1:7" x14ac:dyDescent="0.3">
      <c r="A4501" t="s">
        <v>27</v>
      </c>
      <c r="B4501" t="s">
        <v>23</v>
      </c>
      <c r="C4501" t="s">
        <v>9</v>
      </c>
      <c r="D4501">
        <v>614</v>
      </c>
      <c r="E4501" t="s">
        <v>57</v>
      </c>
      <c r="F4501" t="s">
        <v>39</v>
      </c>
      <c r="G4501" t="s">
        <v>40</v>
      </c>
    </row>
    <row r="4502" spans="1:7" x14ac:dyDescent="0.3">
      <c r="A4502" t="s">
        <v>27</v>
      </c>
      <c r="B4502" t="s">
        <v>23</v>
      </c>
      <c r="C4502" t="s">
        <v>13</v>
      </c>
      <c r="D4502">
        <v>2131</v>
      </c>
      <c r="E4502" t="s">
        <v>57</v>
      </c>
      <c r="F4502" t="s">
        <v>39</v>
      </c>
      <c r="G4502" t="s">
        <v>40</v>
      </c>
    </row>
    <row r="4503" spans="1:7" x14ac:dyDescent="0.3">
      <c r="A4503" t="s">
        <v>27</v>
      </c>
      <c r="B4503" t="s">
        <v>23</v>
      </c>
      <c r="C4503" t="s">
        <v>14</v>
      </c>
      <c r="D4503">
        <v>31756</v>
      </c>
      <c r="E4503" t="s">
        <v>57</v>
      </c>
      <c r="F4503" t="s">
        <v>39</v>
      </c>
      <c r="G4503" t="s">
        <v>40</v>
      </c>
    </row>
    <row r="4504" spans="1:7" x14ac:dyDescent="0.3">
      <c r="A4504" t="s">
        <v>27</v>
      </c>
      <c r="B4504" t="s">
        <v>23</v>
      </c>
      <c r="C4504" t="s">
        <v>15</v>
      </c>
      <c r="D4504">
        <v>73</v>
      </c>
      <c r="E4504" t="s">
        <v>57</v>
      </c>
      <c r="F4504" t="s">
        <v>39</v>
      </c>
      <c r="G4504" t="s">
        <v>40</v>
      </c>
    </row>
    <row r="4505" spans="1:7" x14ac:dyDescent="0.3">
      <c r="A4505" t="s">
        <v>27</v>
      </c>
      <c r="B4505" t="s">
        <v>23</v>
      </c>
      <c r="C4505" t="s">
        <v>16</v>
      </c>
      <c r="D4505">
        <v>191270</v>
      </c>
      <c r="E4505" t="s">
        <v>57</v>
      </c>
      <c r="F4505" t="s">
        <v>39</v>
      </c>
      <c r="G4505" t="s">
        <v>40</v>
      </c>
    </row>
    <row r="4506" spans="1:7" x14ac:dyDescent="0.3">
      <c r="A4506" t="s">
        <v>27</v>
      </c>
      <c r="B4506" t="s">
        <v>23</v>
      </c>
      <c r="C4506" t="s">
        <v>17</v>
      </c>
      <c r="D4506">
        <v>19355</v>
      </c>
      <c r="E4506" t="s">
        <v>57</v>
      </c>
      <c r="F4506" t="s">
        <v>39</v>
      </c>
      <c r="G4506" t="s">
        <v>40</v>
      </c>
    </row>
    <row r="4507" spans="1:7" x14ac:dyDescent="0.3">
      <c r="A4507" t="s">
        <v>27</v>
      </c>
      <c r="B4507" t="s">
        <v>23</v>
      </c>
      <c r="C4507" t="s">
        <v>18</v>
      </c>
      <c r="D4507">
        <v>0</v>
      </c>
      <c r="E4507" t="s">
        <v>57</v>
      </c>
      <c r="F4507" t="s">
        <v>39</v>
      </c>
      <c r="G4507" t="s">
        <v>40</v>
      </c>
    </row>
    <row r="4508" spans="1:7" x14ac:dyDescent="0.3">
      <c r="A4508" t="s">
        <v>27</v>
      </c>
      <c r="B4508" t="s">
        <v>23</v>
      </c>
      <c r="C4508" t="s">
        <v>19</v>
      </c>
      <c r="D4508">
        <v>47</v>
      </c>
      <c r="E4508" t="s">
        <v>57</v>
      </c>
      <c r="F4508" t="s">
        <v>39</v>
      </c>
      <c r="G4508" t="s">
        <v>40</v>
      </c>
    </row>
    <row r="4509" spans="1:7" x14ac:dyDescent="0.3">
      <c r="A4509" t="s">
        <v>27</v>
      </c>
      <c r="B4509" t="s">
        <v>23</v>
      </c>
      <c r="C4509" t="s">
        <v>20</v>
      </c>
      <c r="D4509">
        <v>1827</v>
      </c>
      <c r="E4509" t="s">
        <v>57</v>
      </c>
      <c r="F4509" t="s">
        <v>39</v>
      </c>
      <c r="G4509" t="s">
        <v>40</v>
      </c>
    </row>
    <row r="4510" spans="1:7" x14ac:dyDescent="0.3">
      <c r="A4510" t="s">
        <v>27</v>
      </c>
      <c r="B4510" t="s">
        <v>23</v>
      </c>
      <c r="C4510" t="s">
        <v>21</v>
      </c>
      <c r="D4510">
        <v>27</v>
      </c>
      <c r="E4510" t="s">
        <v>57</v>
      </c>
      <c r="F4510" t="s">
        <v>39</v>
      </c>
      <c r="G4510" t="s">
        <v>40</v>
      </c>
    </row>
    <row r="4511" spans="1:7" x14ac:dyDescent="0.3">
      <c r="A4511" t="s">
        <v>27</v>
      </c>
      <c r="B4511" t="s">
        <v>23</v>
      </c>
      <c r="C4511" t="s">
        <v>22</v>
      </c>
      <c r="D4511">
        <v>16911</v>
      </c>
      <c r="E4511" t="s">
        <v>57</v>
      </c>
      <c r="F4511" t="s">
        <v>39</v>
      </c>
      <c r="G4511" t="s">
        <v>40</v>
      </c>
    </row>
    <row r="4512" spans="1:7" x14ac:dyDescent="0.3">
      <c r="A4512" t="s">
        <v>63</v>
      </c>
      <c r="B4512" t="s">
        <v>8</v>
      </c>
      <c r="C4512" t="s">
        <v>9</v>
      </c>
      <c r="D4512">
        <v>262</v>
      </c>
      <c r="E4512" t="s">
        <v>57</v>
      </c>
      <c r="F4512" t="s">
        <v>39</v>
      </c>
      <c r="G4512" t="s">
        <v>40</v>
      </c>
    </row>
    <row r="4513" spans="1:7" x14ac:dyDescent="0.3">
      <c r="A4513" t="s">
        <v>63</v>
      </c>
      <c r="B4513" t="s">
        <v>8</v>
      </c>
      <c r="C4513" t="s">
        <v>13</v>
      </c>
      <c r="D4513">
        <v>12</v>
      </c>
      <c r="E4513" t="s">
        <v>57</v>
      </c>
      <c r="F4513" t="s">
        <v>39</v>
      </c>
      <c r="G4513" t="s">
        <v>40</v>
      </c>
    </row>
    <row r="4514" spans="1:7" x14ac:dyDescent="0.3">
      <c r="A4514" t="s">
        <v>63</v>
      </c>
      <c r="B4514" t="s">
        <v>8</v>
      </c>
      <c r="C4514" t="s">
        <v>14</v>
      </c>
      <c r="D4514">
        <v>0</v>
      </c>
      <c r="E4514" t="s">
        <v>57</v>
      </c>
      <c r="F4514" t="s">
        <v>39</v>
      </c>
      <c r="G4514" t="s">
        <v>40</v>
      </c>
    </row>
    <row r="4515" spans="1:7" x14ac:dyDescent="0.3">
      <c r="A4515" t="s">
        <v>63</v>
      </c>
      <c r="B4515" t="s">
        <v>8</v>
      </c>
      <c r="C4515" t="s">
        <v>15</v>
      </c>
      <c r="D4515">
        <v>4</v>
      </c>
      <c r="E4515" t="s">
        <v>57</v>
      </c>
      <c r="F4515" t="s">
        <v>39</v>
      </c>
      <c r="G4515" t="s">
        <v>40</v>
      </c>
    </row>
    <row r="4516" spans="1:7" x14ac:dyDescent="0.3">
      <c r="A4516" t="s">
        <v>63</v>
      </c>
      <c r="B4516" t="s">
        <v>8</v>
      </c>
      <c r="C4516" t="s">
        <v>16</v>
      </c>
      <c r="D4516">
        <v>6</v>
      </c>
      <c r="E4516" t="s">
        <v>57</v>
      </c>
      <c r="F4516" t="s">
        <v>39</v>
      </c>
      <c r="G4516" t="s">
        <v>40</v>
      </c>
    </row>
    <row r="4517" spans="1:7" x14ac:dyDescent="0.3">
      <c r="A4517" t="s">
        <v>63</v>
      </c>
      <c r="B4517" t="s">
        <v>8</v>
      </c>
      <c r="C4517" t="s">
        <v>17</v>
      </c>
      <c r="D4517">
        <v>20</v>
      </c>
      <c r="E4517" t="s">
        <v>57</v>
      </c>
      <c r="F4517" t="s">
        <v>39</v>
      </c>
      <c r="G4517" t="s">
        <v>40</v>
      </c>
    </row>
    <row r="4518" spans="1:7" x14ac:dyDescent="0.3">
      <c r="A4518" t="s">
        <v>63</v>
      </c>
      <c r="B4518" t="s">
        <v>8</v>
      </c>
      <c r="C4518" t="s">
        <v>18</v>
      </c>
      <c r="D4518">
        <v>0</v>
      </c>
      <c r="E4518" t="s">
        <v>57</v>
      </c>
      <c r="F4518" t="s">
        <v>39</v>
      </c>
      <c r="G4518" t="s">
        <v>40</v>
      </c>
    </row>
    <row r="4519" spans="1:7" x14ac:dyDescent="0.3">
      <c r="A4519" t="s">
        <v>63</v>
      </c>
      <c r="B4519" t="s">
        <v>8</v>
      </c>
      <c r="C4519" t="s">
        <v>19</v>
      </c>
      <c r="D4519">
        <v>0</v>
      </c>
      <c r="E4519" t="s">
        <v>57</v>
      </c>
      <c r="F4519" t="s">
        <v>39</v>
      </c>
      <c r="G4519" t="s">
        <v>40</v>
      </c>
    </row>
    <row r="4520" spans="1:7" x14ac:dyDescent="0.3">
      <c r="A4520" t="s">
        <v>63</v>
      </c>
      <c r="B4520" t="s">
        <v>8</v>
      </c>
      <c r="C4520" t="s">
        <v>20</v>
      </c>
      <c r="D4520">
        <v>0</v>
      </c>
      <c r="E4520" t="s">
        <v>57</v>
      </c>
      <c r="F4520" t="s">
        <v>39</v>
      </c>
      <c r="G4520" t="s">
        <v>40</v>
      </c>
    </row>
    <row r="4521" spans="1:7" x14ac:dyDescent="0.3">
      <c r="A4521" t="s">
        <v>63</v>
      </c>
      <c r="B4521" t="s">
        <v>8</v>
      </c>
      <c r="C4521" t="s">
        <v>21</v>
      </c>
      <c r="D4521">
        <v>0</v>
      </c>
      <c r="E4521" t="s">
        <v>57</v>
      </c>
      <c r="F4521" t="s">
        <v>39</v>
      </c>
      <c r="G4521" t="s">
        <v>40</v>
      </c>
    </row>
    <row r="4522" spans="1:7" x14ac:dyDescent="0.3">
      <c r="A4522" t="s">
        <v>63</v>
      </c>
      <c r="B4522" t="s">
        <v>8</v>
      </c>
      <c r="C4522" t="s">
        <v>22</v>
      </c>
      <c r="D4522">
        <v>198</v>
      </c>
      <c r="E4522" t="s">
        <v>57</v>
      </c>
      <c r="F4522" t="s">
        <v>39</v>
      </c>
      <c r="G4522" t="s">
        <v>40</v>
      </c>
    </row>
    <row r="4523" spans="1:7" x14ac:dyDescent="0.3">
      <c r="A4523" t="s">
        <v>63</v>
      </c>
      <c r="B4523" t="s">
        <v>23</v>
      </c>
      <c r="C4523" t="s">
        <v>9</v>
      </c>
      <c r="D4523">
        <v>130523</v>
      </c>
      <c r="E4523" t="s">
        <v>57</v>
      </c>
      <c r="F4523" t="s">
        <v>39</v>
      </c>
      <c r="G4523" t="s">
        <v>40</v>
      </c>
    </row>
    <row r="4524" spans="1:7" x14ac:dyDescent="0.3">
      <c r="A4524" t="s">
        <v>63</v>
      </c>
      <c r="B4524" t="s">
        <v>23</v>
      </c>
      <c r="C4524" t="s">
        <v>13</v>
      </c>
      <c r="D4524">
        <v>985</v>
      </c>
      <c r="E4524" t="s">
        <v>57</v>
      </c>
      <c r="F4524" t="s">
        <v>39</v>
      </c>
      <c r="G4524" t="s">
        <v>40</v>
      </c>
    </row>
    <row r="4525" spans="1:7" x14ac:dyDescent="0.3">
      <c r="A4525" t="s">
        <v>63</v>
      </c>
      <c r="B4525" t="s">
        <v>23</v>
      </c>
      <c r="C4525" t="s">
        <v>14</v>
      </c>
      <c r="D4525">
        <v>4412</v>
      </c>
      <c r="E4525" t="s">
        <v>57</v>
      </c>
      <c r="F4525" t="s">
        <v>39</v>
      </c>
      <c r="G4525" t="s">
        <v>40</v>
      </c>
    </row>
    <row r="4526" spans="1:7" x14ac:dyDescent="0.3">
      <c r="A4526" t="s">
        <v>63</v>
      </c>
      <c r="B4526" t="s">
        <v>23</v>
      </c>
      <c r="C4526" t="s">
        <v>15</v>
      </c>
      <c r="D4526">
        <v>135</v>
      </c>
      <c r="E4526" t="s">
        <v>57</v>
      </c>
      <c r="F4526" t="s">
        <v>39</v>
      </c>
      <c r="G4526" t="s">
        <v>40</v>
      </c>
    </row>
    <row r="4527" spans="1:7" x14ac:dyDescent="0.3">
      <c r="A4527" t="s">
        <v>63</v>
      </c>
      <c r="B4527" t="s">
        <v>23</v>
      </c>
      <c r="C4527" t="s">
        <v>16</v>
      </c>
      <c r="D4527">
        <v>12977</v>
      </c>
      <c r="E4527" t="s">
        <v>57</v>
      </c>
      <c r="F4527" t="s">
        <v>39</v>
      </c>
      <c r="G4527" t="s">
        <v>40</v>
      </c>
    </row>
    <row r="4528" spans="1:7" x14ac:dyDescent="0.3">
      <c r="A4528" t="s">
        <v>63</v>
      </c>
      <c r="B4528" t="s">
        <v>23</v>
      </c>
      <c r="C4528" t="s">
        <v>17</v>
      </c>
      <c r="D4528">
        <v>1230</v>
      </c>
      <c r="E4528" t="s">
        <v>57</v>
      </c>
      <c r="F4528" t="s">
        <v>39</v>
      </c>
      <c r="G4528" t="s">
        <v>40</v>
      </c>
    </row>
    <row r="4529" spans="1:7" x14ac:dyDescent="0.3">
      <c r="A4529" t="s">
        <v>63</v>
      </c>
      <c r="B4529" t="s">
        <v>23</v>
      </c>
      <c r="C4529" t="s">
        <v>18</v>
      </c>
      <c r="D4529">
        <v>0</v>
      </c>
      <c r="E4529" t="s">
        <v>57</v>
      </c>
      <c r="F4529" t="s">
        <v>39</v>
      </c>
      <c r="G4529" t="s">
        <v>40</v>
      </c>
    </row>
    <row r="4530" spans="1:7" x14ac:dyDescent="0.3">
      <c r="A4530" t="s">
        <v>63</v>
      </c>
      <c r="B4530" t="s">
        <v>23</v>
      </c>
      <c r="C4530" t="s">
        <v>19</v>
      </c>
      <c r="D4530">
        <v>142</v>
      </c>
      <c r="E4530" t="s">
        <v>57</v>
      </c>
      <c r="F4530" t="s">
        <v>39</v>
      </c>
      <c r="G4530" t="s">
        <v>40</v>
      </c>
    </row>
    <row r="4531" spans="1:7" x14ac:dyDescent="0.3">
      <c r="A4531" t="s">
        <v>63</v>
      </c>
      <c r="B4531" t="s">
        <v>23</v>
      </c>
      <c r="C4531" t="s">
        <v>20</v>
      </c>
      <c r="D4531">
        <v>811</v>
      </c>
      <c r="E4531" t="s">
        <v>57</v>
      </c>
      <c r="F4531" t="s">
        <v>39</v>
      </c>
      <c r="G4531" t="s">
        <v>40</v>
      </c>
    </row>
    <row r="4532" spans="1:7" x14ac:dyDescent="0.3">
      <c r="A4532" t="s">
        <v>63</v>
      </c>
      <c r="B4532" t="s">
        <v>23</v>
      </c>
      <c r="C4532" t="s">
        <v>21</v>
      </c>
      <c r="D4532">
        <v>175</v>
      </c>
      <c r="E4532" t="s">
        <v>57</v>
      </c>
      <c r="F4532" t="s">
        <v>39</v>
      </c>
      <c r="G4532" t="s">
        <v>40</v>
      </c>
    </row>
    <row r="4533" spans="1:7" x14ac:dyDescent="0.3">
      <c r="A4533" t="s">
        <v>63</v>
      </c>
      <c r="B4533" t="s">
        <v>23</v>
      </c>
      <c r="C4533" t="s">
        <v>22</v>
      </c>
      <c r="D4533">
        <v>516</v>
      </c>
      <c r="E4533" t="s">
        <v>57</v>
      </c>
      <c r="F4533" t="s">
        <v>39</v>
      </c>
      <c r="G4533" t="s">
        <v>40</v>
      </c>
    </row>
    <row r="4534" spans="1:7" x14ac:dyDescent="0.3">
      <c r="A4534" t="s">
        <v>52</v>
      </c>
      <c r="B4534" t="s">
        <v>8</v>
      </c>
      <c r="C4534" t="s">
        <v>9</v>
      </c>
      <c r="D4534">
        <v>78</v>
      </c>
      <c r="E4534" t="s">
        <v>57</v>
      </c>
      <c r="F4534" t="s">
        <v>39</v>
      </c>
      <c r="G4534" t="s">
        <v>40</v>
      </c>
    </row>
    <row r="4535" spans="1:7" x14ac:dyDescent="0.3">
      <c r="A4535" t="s">
        <v>52</v>
      </c>
      <c r="B4535" t="s">
        <v>8</v>
      </c>
      <c r="C4535" t="s">
        <v>13</v>
      </c>
      <c r="D4535">
        <v>4</v>
      </c>
      <c r="E4535" t="s">
        <v>57</v>
      </c>
      <c r="F4535" t="s">
        <v>39</v>
      </c>
      <c r="G4535" t="s">
        <v>40</v>
      </c>
    </row>
    <row r="4536" spans="1:7" x14ac:dyDescent="0.3">
      <c r="A4536" t="s">
        <v>52</v>
      </c>
      <c r="B4536" t="s">
        <v>8</v>
      </c>
      <c r="C4536" t="s">
        <v>14</v>
      </c>
      <c r="D4536">
        <v>0</v>
      </c>
      <c r="E4536" t="s">
        <v>57</v>
      </c>
      <c r="F4536" t="s">
        <v>39</v>
      </c>
      <c r="G4536" t="s">
        <v>40</v>
      </c>
    </row>
    <row r="4537" spans="1:7" x14ac:dyDescent="0.3">
      <c r="A4537" t="s">
        <v>52</v>
      </c>
      <c r="B4537" t="s">
        <v>8</v>
      </c>
      <c r="C4537" t="s">
        <v>15</v>
      </c>
      <c r="D4537">
        <v>1</v>
      </c>
      <c r="E4537" t="s">
        <v>57</v>
      </c>
      <c r="F4537" t="s">
        <v>39</v>
      </c>
      <c r="G4537" t="s">
        <v>40</v>
      </c>
    </row>
    <row r="4538" spans="1:7" x14ac:dyDescent="0.3">
      <c r="A4538" t="s">
        <v>52</v>
      </c>
      <c r="B4538" t="s">
        <v>8</v>
      </c>
      <c r="C4538" t="s">
        <v>16</v>
      </c>
      <c r="D4538">
        <v>2</v>
      </c>
      <c r="E4538" t="s">
        <v>57</v>
      </c>
      <c r="F4538" t="s">
        <v>39</v>
      </c>
      <c r="G4538" t="s">
        <v>40</v>
      </c>
    </row>
    <row r="4539" spans="1:7" x14ac:dyDescent="0.3">
      <c r="A4539" t="s">
        <v>52</v>
      </c>
      <c r="B4539" t="s">
        <v>8</v>
      </c>
      <c r="C4539" t="s">
        <v>17</v>
      </c>
      <c r="D4539">
        <v>6</v>
      </c>
      <c r="E4539" t="s">
        <v>57</v>
      </c>
      <c r="F4539" t="s">
        <v>39</v>
      </c>
      <c r="G4539" t="s">
        <v>40</v>
      </c>
    </row>
    <row r="4540" spans="1:7" x14ac:dyDescent="0.3">
      <c r="A4540" t="s">
        <v>52</v>
      </c>
      <c r="B4540" t="s">
        <v>8</v>
      </c>
      <c r="C4540" t="s">
        <v>18</v>
      </c>
      <c r="D4540">
        <v>0</v>
      </c>
      <c r="E4540" t="s">
        <v>57</v>
      </c>
      <c r="F4540" t="s">
        <v>39</v>
      </c>
      <c r="G4540" t="s">
        <v>40</v>
      </c>
    </row>
    <row r="4541" spans="1:7" x14ac:dyDescent="0.3">
      <c r="A4541" t="s">
        <v>52</v>
      </c>
      <c r="B4541" t="s">
        <v>8</v>
      </c>
      <c r="C4541" t="s">
        <v>19</v>
      </c>
      <c r="D4541">
        <v>0</v>
      </c>
      <c r="E4541" t="s">
        <v>57</v>
      </c>
      <c r="F4541" t="s">
        <v>39</v>
      </c>
      <c r="G4541" t="s">
        <v>40</v>
      </c>
    </row>
    <row r="4542" spans="1:7" x14ac:dyDescent="0.3">
      <c r="A4542" t="s">
        <v>52</v>
      </c>
      <c r="B4542" t="s">
        <v>8</v>
      </c>
      <c r="C4542" t="s">
        <v>20</v>
      </c>
      <c r="D4542">
        <v>0</v>
      </c>
      <c r="E4542" t="s">
        <v>57</v>
      </c>
      <c r="F4542" t="s">
        <v>39</v>
      </c>
      <c r="G4542" t="s">
        <v>40</v>
      </c>
    </row>
    <row r="4543" spans="1:7" x14ac:dyDescent="0.3">
      <c r="A4543" t="s">
        <v>52</v>
      </c>
      <c r="B4543" t="s">
        <v>8</v>
      </c>
      <c r="C4543" t="s">
        <v>21</v>
      </c>
      <c r="D4543">
        <v>0</v>
      </c>
      <c r="E4543" t="s">
        <v>57</v>
      </c>
      <c r="F4543" t="s">
        <v>39</v>
      </c>
      <c r="G4543" t="s">
        <v>40</v>
      </c>
    </row>
    <row r="4544" spans="1:7" x14ac:dyDescent="0.3">
      <c r="A4544" t="s">
        <v>52</v>
      </c>
      <c r="B4544" t="s">
        <v>8</v>
      </c>
      <c r="C4544" t="s">
        <v>22</v>
      </c>
      <c r="D4544">
        <v>59</v>
      </c>
      <c r="E4544" t="s">
        <v>57</v>
      </c>
      <c r="F4544" t="s">
        <v>39</v>
      </c>
      <c r="G4544" t="s">
        <v>40</v>
      </c>
    </row>
    <row r="4545" spans="1:7" x14ac:dyDescent="0.3">
      <c r="A4545" t="s">
        <v>52</v>
      </c>
      <c r="B4545" t="s">
        <v>23</v>
      </c>
      <c r="C4545" t="s">
        <v>9</v>
      </c>
      <c r="D4545">
        <v>38980</v>
      </c>
      <c r="E4545" t="s">
        <v>57</v>
      </c>
      <c r="F4545" t="s">
        <v>39</v>
      </c>
      <c r="G4545" t="s">
        <v>40</v>
      </c>
    </row>
    <row r="4546" spans="1:7" x14ac:dyDescent="0.3">
      <c r="A4546" t="s">
        <v>52</v>
      </c>
      <c r="B4546" t="s">
        <v>23</v>
      </c>
      <c r="C4546" t="s">
        <v>13</v>
      </c>
      <c r="D4546">
        <v>294</v>
      </c>
      <c r="E4546" t="s">
        <v>57</v>
      </c>
      <c r="F4546" t="s">
        <v>39</v>
      </c>
      <c r="G4546" t="s">
        <v>40</v>
      </c>
    </row>
    <row r="4547" spans="1:7" x14ac:dyDescent="0.3">
      <c r="A4547" t="s">
        <v>52</v>
      </c>
      <c r="B4547" t="s">
        <v>23</v>
      </c>
      <c r="C4547" t="s">
        <v>14</v>
      </c>
      <c r="D4547">
        <v>1318</v>
      </c>
      <c r="E4547" t="s">
        <v>57</v>
      </c>
      <c r="F4547" t="s">
        <v>39</v>
      </c>
      <c r="G4547" t="s">
        <v>40</v>
      </c>
    </row>
    <row r="4548" spans="1:7" x14ac:dyDescent="0.3">
      <c r="A4548" t="s">
        <v>52</v>
      </c>
      <c r="B4548" t="s">
        <v>23</v>
      </c>
      <c r="C4548" t="s">
        <v>15</v>
      </c>
      <c r="D4548">
        <v>40</v>
      </c>
      <c r="E4548" t="s">
        <v>57</v>
      </c>
      <c r="F4548" t="s">
        <v>39</v>
      </c>
      <c r="G4548" t="s">
        <v>40</v>
      </c>
    </row>
    <row r="4549" spans="1:7" x14ac:dyDescent="0.3">
      <c r="A4549" t="s">
        <v>52</v>
      </c>
      <c r="B4549" t="s">
        <v>23</v>
      </c>
      <c r="C4549" t="s">
        <v>16</v>
      </c>
      <c r="D4549">
        <v>3875</v>
      </c>
      <c r="E4549" t="s">
        <v>57</v>
      </c>
      <c r="F4549" t="s">
        <v>39</v>
      </c>
      <c r="G4549" t="s">
        <v>40</v>
      </c>
    </row>
    <row r="4550" spans="1:7" x14ac:dyDescent="0.3">
      <c r="A4550" t="s">
        <v>52</v>
      </c>
      <c r="B4550" t="s">
        <v>23</v>
      </c>
      <c r="C4550" t="s">
        <v>17</v>
      </c>
      <c r="D4550">
        <v>367</v>
      </c>
      <c r="E4550" t="s">
        <v>57</v>
      </c>
      <c r="F4550" t="s">
        <v>39</v>
      </c>
      <c r="G4550" t="s">
        <v>40</v>
      </c>
    </row>
    <row r="4551" spans="1:7" x14ac:dyDescent="0.3">
      <c r="A4551" t="s">
        <v>52</v>
      </c>
      <c r="B4551" t="s">
        <v>23</v>
      </c>
      <c r="C4551" t="s">
        <v>18</v>
      </c>
      <c r="D4551">
        <v>0</v>
      </c>
      <c r="E4551" t="s">
        <v>57</v>
      </c>
      <c r="F4551" t="s">
        <v>39</v>
      </c>
      <c r="G4551" t="s">
        <v>40</v>
      </c>
    </row>
    <row r="4552" spans="1:7" x14ac:dyDescent="0.3">
      <c r="A4552" t="s">
        <v>52</v>
      </c>
      <c r="B4552" t="s">
        <v>23</v>
      </c>
      <c r="C4552" t="s">
        <v>19</v>
      </c>
      <c r="D4552">
        <v>42</v>
      </c>
      <c r="E4552" t="s">
        <v>57</v>
      </c>
      <c r="F4552" t="s">
        <v>39</v>
      </c>
      <c r="G4552" t="s">
        <v>40</v>
      </c>
    </row>
    <row r="4553" spans="1:7" x14ac:dyDescent="0.3">
      <c r="A4553" t="s">
        <v>52</v>
      </c>
      <c r="B4553" t="s">
        <v>23</v>
      </c>
      <c r="C4553" t="s">
        <v>20</v>
      </c>
      <c r="D4553">
        <v>242</v>
      </c>
      <c r="E4553" t="s">
        <v>57</v>
      </c>
      <c r="F4553" t="s">
        <v>39</v>
      </c>
      <c r="G4553" t="s">
        <v>40</v>
      </c>
    </row>
    <row r="4554" spans="1:7" x14ac:dyDescent="0.3">
      <c r="A4554" t="s">
        <v>52</v>
      </c>
      <c r="B4554" t="s">
        <v>23</v>
      </c>
      <c r="C4554" t="s">
        <v>21</v>
      </c>
      <c r="D4554">
        <v>52</v>
      </c>
      <c r="E4554" t="s">
        <v>57</v>
      </c>
      <c r="F4554" t="s">
        <v>39</v>
      </c>
      <c r="G4554" t="s">
        <v>40</v>
      </c>
    </row>
    <row r="4555" spans="1:7" x14ac:dyDescent="0.3">
      <c r="A4555" t="s">
        <v>52</v>
      </c>
      <c r="B4555" t="s">
        <v>23</v>
      </c>
      <c r="C4555" t="s">
        <v>22</v>
      </c>
      <c r="D4555">
        <v>154</v>
      </c>
      <c r="E4555" t="s">
        <v>57</v>
      </c>
      <c r="F4555" t="s">
        <v>39</v>
      </c>
      <c r="G4555" t="s">
        <v>40</v>
      </c>
    </row>
    <row r="4556" spans="1:7" x14ac:dyDescent="0.3">
      <c r="A4556" t="s">
        <v>64</v>
      </c>
      <c r="B4556" t="s">
        <v>8</v>
      </c>
      <c r="C4556" t="s">
        <v>9</v>
      </c>
      <c r="D4556">
        <v>0</v>
      </c>
      <c r="E4556" t="s">
        <v>57</v>
      </c>
      <c r="F4556" t="s">
        <v>39</v>
      </c>
      <c r="G4556" t="s">
        <v>40</v>
      </c>
    </row>
    <row r="4557" spans="1:7" x14ac:dyDescent="0.3">
      <c r="A4557" t="s">
        <v>64</v>
      </c>
      <c r="B4557" t="s">
        <v>8</v>
      </c>
      <c r="C4557" t="s">
        <v>13</v>
      </c>
      <c r="D4557">
        <v>0</v>
      </c>
      <c r="E4557" t="s">
        <v>57</v>
      </c>
      <c r="F4557" t="s">
        <v>39</v>
      </c>
      <c r="G4557" t="s">
        <v>40</v>
      </c>
    </row>
    <row r="4558" spans="1:7" x14ac:dyDescent="0.3">
      <c r="A4558" t="s">
        <v>64</v>
      </c>
      <c r="B4558" t="s">
        <v>8</v>
      </c>
      <c r="C4558" t="s">
        <v>14</v>
      </c>
      <c r="D4558">
        <v>0</v>
      </c>
      <c r="E4558" t="s">
        <v>57</v>
      </c>
      <c r="F4558" t="s">
        <v>39</v>
      </c>
      <c r="G4558" t="s">
        <v>40</v>
      </c>
    </row>
    <row r="4559" spans="1:7" x14ac:dyDescent="0.3">
      <c r="A4559" t="s">
        <v>64</v>
      </c>
      <c r="B4559" t="s">
        <v>8</v>
      </c>
      <c r="C4559" t="s">
        <v>15</v>
      </c>
      <c r="D4559">
        <v>0</v>
      </c>
      <c r="E4559" t="s">
        <v>57</v>
      </c>
      <c r="F4559" t="s">
        <v>39</v>
      </c>
      <c r="G4559" t="s">
        <v>40</v>
      </c>
    </row>
    <row r="4560" spans="1:7" x14ac:dyDescent="0.3">
      <c r="A4560" t="s">
        <v>64</v>
      </c>
      <c r="B4560" t="s">
        <v>8</v>
      </c>
      <c r="C4560" t="s">
        <v>16</v>
      </c>
      <c r="D4560">
        <v>409</v>
      </c>
      <c r="E4560" t="s">
        <v>57</v>
      </c>
      <c r="F4560" t="s">
        <v>39</v>
      </c>
      <c r="G4560" t="s">
        <v>40</v>
      </c>
    </row>
    <row r="4561" spans="1:7" x14ac:dyDescent="0.3">
      <c r="A4561" t="s">
        <v>64</v>
      </c>
      <c r="B4561" t="s">
        <v>8</v>
      </c>
      <c r="C4561" t="s">
        <v>17</v>
      </c>
      <c r="D4561">
        <v>1</v>
      </c>
      <c r="E4561" t="s">
        <v>57</v>
      </c>
      <c r="F4561" t="s">
        <v>39</v>
      </c>
      <c r="G4561" t="s">
        <v>40</v>
      </c>
    </row>
    <row r="4562" spans="1:7" x14ac:dyDescent="0.3">
      <c r="A4562" t="s">
        <v>64</v>
      </c>
      <c r="B4562" t="s">
        <v>8</v>
      </c>
      <c r="C4562" t="s">
        <v>18</v>
      </c>
      <c r="D4562">
        <v>0</v>
      </c>
      <c r="E4562" t="s">
        <v>57</v>
      </c>
      <c r="F4562" t="s">
        <v>39</v>
      </c>
      <c r="G4562" t="s">
        <v>40</v>
      </c>
    </row>
    <row r="4563" spans="1:7" x14ac:dyDescent="0.3">
      <c r="A4563" t="s">
        <v>64</v>
      </c>
      <c r="B4563" t="s">
        <v>8</v>
      </c>
      <c r="C4563" t="s">
        <v>19</v>
      </c>
      <c r="D4563">
        <v>0</v>
      </c>
      <c r="E4563" t="s">
        <v>57</v>
      </c>
      <c r="F4563" t="s">
        <v>39</v>
      </c>
      <c r="G4563" t="s">
        <v>40</v>
      </c>
    </row>
    <row r="4564" spans="1:7" x14ac:dyDescent="0.3">
      <c r="A4564" t="s">
        <v>64</v>
      </c>
      <c r="B4564" t="s">
        <v>8</v>
      </c>
      <c r="C4564" t="s">
        <v>20</v>
      </c>
      <c r="D4564">
        <v>0</v>
      </c>
      <c r="E4564" t="s">
        <v>57</v>
      </c>
      <c r="F4564" t="s">
        <v>39</v>
      </c>
      <c r="G4564" t="s">
        <v>40</v>
      </c>
    </row>
    <row r="4565" spans="1:7" x14ac:dyDescent="0.3">
      <c r="A4565" t="s">
        <v>64</v>
      </c>
      <c r="B4565" t="s">
        <v>8</v>
      </c>
      <c r="C4565" t="s">
        <v>21</v>
      </c>
      <c r="D4565">
        <v>0</v>
      </c>
      <c r="E4565" t="s">
        <v>57</v>
      </c>
      <c r="F4565" t="s">
        <v>39</v>
      </c>
      <c r="G4565" t="s">
        <v>40</v>
      </c>
    </row>
    <row r="4566" spans="1:7" x14ac:dyDescent="0.3">
      <c r="A4566" t="s">
        <v>64</v>
      </c>
      <c r="B4566" t="s">
        <v>8</v>
      </c>
      <c r="C4566" t="s">
        <v>22</v>
      </c>
      <c r="D4566">
        <v>9</v>
      </c>
      <c r="E4566" t="s">
        <v>57</v>
      </c>
      <c r="F4566" t="s">
        <v>39</v>
      </c>
      <c r="G4566" t="s">
        <v>40</v>
      </c>
    </row>
    <row r="4567" spans="1:7" x14ac:dyDescent="0.3">
      <c r="A4567" t="s">
        <v>64</v>
      </c>
      <c r="B4567" t="s">
        <v>23</v>
      </c>
      <c r="C4567" t="s">
        <v>9</v>
      </c>
      <c r="D4567">
        <v>27</v>
      </c>
      <c r="E4567" t="s">
        <v>57</v>
      </c>
      <c r="F4567" t="s">
        <v>39</v>
      </c>
      <c r="G4567" t="s">
        <v>40</v>
      </c>
    </row>
    <row r="4568" spans="1:7" x14ac:dyDescent="0.3">
      <c r="A4568" t="s">
        <v>64</v>
      </c>
      <c r="B4568" t="s">
        <v>23</v>
      </c>
      <c r="C4568" t="s">
        <v>13</v>
      </c>
      <c r="D4568">
        <v>36</v>
      </c>
      <c r="E4568" t="s">
        <v>57</v>
      </c>
      <c r="F4568" t="s">
        <v>39</v>
      </c>
      <c r="G4568" t="s">
        <v>40</v>
      </c>
    </row>
    <row r="4569" spans="1:7" x14ac:dyDescent="0.3">
      <c r="A4569" t="s">
        <v>64</v>
      </c>
      <c r="B4569" t="s">
        <v>23</v>
      </c>
      <c r="C4569" t="s">
        <v>14</v>
      </c>
      <c r="D4569">
        <v>64</v>
      </c>
      <c r="E4569" t="s">
        <v>57</v>
      </c>
      <c r="F4569" t="s">
        <v>39</v>
      </c>
      <c r="G4569" t="s">
        <v>40</v>
      </c>
    </row>
    <row r="4570" spans="1:7" x14ac:dyDescent="0.3">
      <c r="A4570" t="s">
        <v>64</v>
      </c>
      <c r="B4570" t="s">
        <v>23</v>
      </c>
      <c r="C4570" t="s">
        <v>15</v>
      </c>
      <c r="D4570">
        <v>6</v>
      </c>
      <c r="E4570" t="s">
        <v>57</v>
      </c>
      <c r="F4570" t="s">
        <v>39</v>
      </c>
      <c r="G4570" t="s">
        <v>40</v>
      </c>
    </row>
    <row r="4571" spans="1:7" x14ac:dyDescent="0.3">
      <c r="A4571" t="s">
        <v>64</v>
      </c>
      <c r="B4571" t="s">
        <v>23</v>
      </c>
      <c r="C4571" t="s">
        <v>16</v>
      </c>
      <c r="D4571">
        <v>40725</v>
      </c>
      <c r="E4571" t="s">
        <v>57</v>
      </c>
      <c r="F4571" t="s">
        <v>39</v>
      </c>
      <c r="G4571" t="s">
        <v>40</v>
      </c>
    </row>
    <row r="4572" spans="1:7" x14ac:dyDescent="0.3">
      <c r="A4572" t="s">
        <v>64</v>
      </c>
      <c r="B4572" t="s">
        <v>23</v>
      </c>
      <c r="C4572" t="s">
        <v>17</v>
      </c>
      <c r="D4572">
        <v>6</v>
      </c>
      <c r="E4572" t="s">
        <v>57</v>
      </c>
      <c r="F4572" t="s">
        <v>39</v>
      </c>
      <c r="G4572" t="s">
        <v>40</v>
      </c>
    </row>
    <row r="4573" spans="1:7" x14ac:dyDescent="0.3">
      <c r="A4573" t="s">
        <v>64</v>
      </c>
      <c r="B4573" t="s">
        <v>23</v>
      </c>
      <c r="C4573" t="s">
        <v>18</v>
      </c>
      <c r="D4573">
        <v>0</v>
      </c>
      <c r="E4573" t="s">
        <v>57</v>
      </c>
      <c r="F4573" t="s">
        <v>39</v>
      </c>
      <c r="G4573" t="s">
        <v>40</v>
      </c>
    </row>
    <row r="4574" spans="1:7" x14ac:dyDescent="0.3">
      <c r="A4574" t="s">
        <v>64</v>
      </c>
      <c r="B4574" t="s">
        <v>23</v>
      </c>
      <c r="C4574" t="s">
        <v>19</v>
      </c>
      <c r="D4574">
        <v>2</v>
      </c>
      <c r="E4574" t="s">
        <v>57</v>
      </c>
      <c r="F4574" t="s">
        <v>39</v>
      </c>
      <c r="G4574" t="s">
        <v>40</v>
      </c>
    </row>
    <row r="4575" spans="1:7" x14ac:dyDescent="0.3">
      <c r="A4575" t="s">
        <v>64</v>
      </c>
      <c r="B4575" t="s">
        <v>23</v>
      </c>
      <c r="C4575" t="s">
        <v>20</v>
      </c>
      <c r="D4575">
        <v>351</v>
      </c>
      <c r="E4575" t="s">
        <v>57</v>
      </c>
      <c r="F4575" t="s">
        <v>39</v>
      </c>
      <c r="G4575" t="s">
        <v>40</v>
      </c>
    </row>
    <row r="4576" spans="1:7" x14ac:dyDescent="0.3">
      <c r="A4576" t="s">
        <v>64</v>
      </c>
      <c r="B4576" t="s">
        <v>23</v>
      </c>
      <c r="C4576" t="s">
        <v>21</v>
      </c>
      <c r="D4576">
        <v>2</v>
      </c>
      <c r="E4576" t="s">
        <v>57</v>
      </c>
      <c r="F4576" t="s">
        <v>39</v>
      </c>
      <c r="G4576" t="s">
        <v>40</v>
      </c>
    </row>
    <row r="4577" spans="1:7" x14ac:dyDescent="0.3">
      <c r="A4577" t="s">
        <v>64</v>
      </c>
      <c r="B4577" t="s">
        <v>23</v>
      </c>
      <c r="C4577" t="s">
        <v>22</v>
      </c>
      <c r="D4577">
        <v>162</v>
      </c>
      <c r="E4577" t="s">
        <v>57</v>
      </c>
      <c r="F4577" t="s">
        <v>39</v>
      </c>
      <c r="G4577" t="s">
        <v>40</v>
      </c>
    </row>
    <row r="4578" spans="1:7" x14ac:dyDescent="0.3">
      <c r="A4578" t="s">
        <v>32</v>
      </c>
      <c r="B4578" t="s">
        <v>8</v>
      </c>
      <c r="C4578" t="s">
        <v>9</v>
      </c>
      <c r="D4578">
        <v>0</v>
      </c>
      <c r="E4578" t="s">
        <v>57</v>
      </c>
      <c r="F4578" t="s">
        <v>39</v>
      </c>
      <c r="G4578" t="s">
        <v>40</v>
      </c>
    </row>
    <row r="4579" spans="1:7" x14ac:dyDescent="0.3">
      <c r="A4579" t="s">
        <v>32</v>
      </c>
      <c r="B4579" t="s">
        <v>8</v>
      </c>
      <c r="C4579" t="s">
        <v>13</v>
      </c>
      <c r="D4579">
        <v>9</v>
      </c>
      <c r="E4579" t="s">
        <v>57</v>
      </c>
      <c r="F4579" t="s">
        <v>39</v>
      </c>
      <c r="G4579" t="s">
        <v>40</v>
      </c>
    </row>
    <row r="4580" spans="1:7" x14ac:dyDescent="0.3">
      <c r="A4580" t="s">
        <v>32</v>
      </c>
      <c r="B4580" t="s">
        <v>8</v>
      </c>
      <c r="C4580" t="s">
        <v>14</v>
      </c>
      <c r="D4580">
        <v>0</v>
      </c>
      <c r="E4580" t="s">
        <v>57</v>
      </c>
      <c r="F4580" t="s">
        <v>39</v>
      </c>
      <c r="G4580" t="s">
        <v>40</v>
      </c>
    </row>
    <row r="4581" spans="1:7" x14ac:dyDescent="0.3">
      <c r="A4581" t="s">
        <v>32</v>
      </c>
      <c r="B4581" t="s">
        <v>8</v>
      </c>
      <c r="C4581" t="s">
        <v>15</v>
      </c>
      <c r="D4581">
        <v>3</v>
      </c>
      <c r="E4581" t="s">
        <v>57</v>
      </c>
      <c r="F4581" t="s">
        <v>39</v>
      </c>
      <c r="G4581" t="s">
        <v>40</v>
      </c>
    </row>
    <row r="4582" spans="1:7" x14ac:dyDescent="0.3">
      <c r="A4582" t="s">
        <v>32</v>
      </c>
      <c r="B4582" t="s">
        <v>8</v>
      </c>
      <c r="C4582" t="s">
        <v>16</v>
      </c>
      <c r="D4582">
        <v>12</v>
      </c>
      <c r="E4582" t="s">
        <v>57</v>
      </c>
      <c r="F4582" t="s">
        <v>39</v>
      </c>
      <c r="G4582" t="s">
        <v>40</v>
      </c>
    </row>
    <row r="4583" spans="1:7" x14ac:dyDescent="0.3">
      <c r="A4583" t="s">
        <v>32</v>
      </c>
      <c r="B4583" t="s">
        <v>8</v>
      </c>
      <c r="C4583" t="s">
        <v>17</v>
      </c>
      <c r="D4583">
        <v>2</v>
      </c>
      <c r="E4583" t="s">
        <v>57</v>
      </c>
      <c r="F4583" t="s">
        <v>39</v>
      </c>
      <c r="G4583" t="s">
        <v>40</v>
      </c>
    </row>
    <row r="4584" spans="1:7" x14ac:dyDescent="0.3">
      <c r="A4584" t="s">
        <v>32</v>
      </c>
      <c r="B4584" t="s">
        <v>8</v>
      </c>
      <c r="C4584" t="s">
        <v>18</v>
      </c>
      <c r="D4584">
        <v>0</v>
      </c>
      <c r="E4584" t="s">
        <v>57</v>
      </c>
      <c r="F4584" t="s">
        <v>39</v>
      </c>
      <c r="G4584" t="s">
        <v>40</v>
      </c>
    </row>
    <row r="4585" spans="1:7" x14ac:dyDescent="0.3">
      <c r="A4585" t="s">
        <v>32</v>
      </c>
      <c r="B4585" t="s">
        <v>8</v>
      </c>
      <c r="C4585" t="s">
        <v>19</v>
      </c>
      <c r="D4585">
        <v>0</v>
      </c>
      <c r="E4585" t="s">
        <v>57</v>
      </c>
      <c r="F4585" t="s">
        <v>39</v>
      </c>
      <c r="G4585" t="s">
        <v>40</v>
      </c>
    </row>
    <row r="4586" spans="1:7" x14ac:dyDescent="0.3">
      <c r="A4586" t="s">
        <v>32</v>
      </c>
      <c r="B4586" t="s">
        <v>8</v>
      </c>
      <c r="C4586" t="s">
        <v>20</v>
      </c>
      <c r="D4586">
        <v>0</v>
      </c>
      <c r="E4586" t="s">
        <v>57</v>
      </c>
      <c r="F4586" t="s">
        <v>39</v>
      </c>
      <c r="G4586" t="s">
        <v>40</v>
      </c>
    </row>
    <row r="4587" spans="1:7" x14ac:dyDescent="0.3">
      <c r="A4587" t="s">
        <v>32</v>
      </c>
      <c r="B4587" t="s">
        <v>8</v>
      </c>
      <c r="C4587" t="s">
        <v>21</v>
      </c>
      <c r="D4587">
        <v>0</v>
      </c>
      <c r="E4587" t="s">
        <v>57</v>
      </c>
      <c r="F4587" t="s">
        <v>39</v>
      </c>
      <c r="G4587" t="s">
        <v>40</v>
      </c>
    </row>
    <row r="4588" spans="1:7" x14ac:dyDescent="0.3">
      <c r="A4588" t="s">
        <v>32</v>
      </c>
      <c r="B4588" t="s">
        <v>8</v>
      </c>
      <c r="C4588" t="s">
        <v>22</v>
      </c>
      <c r="D4588">
        <v>7243</v>
      </c>
      <c r="E4588" t="s">
        <v>57</v>
      </c>
      <c r="F4588" t="s">
        <v>39</v>
      </c>
      <c r="G4588" t="s">
        <v>40</v>
      </c>
    </row>
    <row r="4589" spans="1:7" x14ac:dyDescent="0.3">
      <c r="A4589" t="s">
        <v>32</v>
      </c>
      <c r="B4589" t="s">
        <v>23</v>
      </c>
      <c r="C4589" t="s">
        <v>9</v>
      </c>
      <c r="D4589">
        <v>1324</v>
      </c>
      <c r="E4589" t="s">
        <v>57</v>
      </c>
      <c r="F4589" t="s">
        <v>39</v>
      </c>
      <c r="G4589" t="s">
        <v>40</v>
      </c>
    </row>
    <row r="4590" spans="1:7" x14ac:dyDescent="0.3">
      <c r="A4590" t="s">
        <v>32</v>
      </c>
      <c r="B4590" t="s">
        <v>23</v>
      </c>
      <c r="C4590" t="s">
        <v>13</v>
      </c>
      <c r="D4590">
        <v>16272</v>
      </c>
      <c r="E4590" t="s">
        <v>57</v>
      </c>
      <c r="F4590" t="s">
        <v>39</v>
      </c>
      <c r="G4590" t="s">
        <v>40</v>
      </c>
    </row>
    <row r="4591" spans="1:7" x14ac:dyDescent="0.3">
      <c r="A4591" t="s">
        <v>32</v>
      </c>
      <c r="B4591" t="s">
        <v>23</v>
      </c>
      <c r="C4591" t="s">
        <v>14</v>
      </c>
      <c r="D4591">
        <v>3615</v>
      </c>
      <c r="E4591" t="s">
        <v>57</v>
      </c>
      <c r="F4591" t="s">
        <v>39</v>
      </c>
      <c r="G4591" t="s">
        <v>40</v>
      </c>
    </row>
    <row r="4592" spans="1:7" x14ac:dyDescent="0.3">
      <c r="A4592" t="s">
        <v>32</v>
      </c>
      <c r="B4592" t="s">
        <v>23</v>
      </c>
      <c r="C4592" t="s">
        <v>15</v>
      </c>
      <c r="D4592">
        <v>233</v>
      </c>
      <c r="E4592" t="s">
        <v>57</v>
      </c>
      <c r="F4592" t="s">
        <v>39</v>
      </c>
      <c r="G4592" t="s">
        <v>40</v>
      </c>
    </row>
    <row r="4593" spans="1:7" x14ac:dyDescent="0.3">
      <c r="A4593" t="s">
        <v>32</v>
      </c>
      <c r="B4593" t="s">
        <v>23</v>
      </c>
      <c r="C4593" t="s">
        <v>16</v>
      </c>
      <c r="D4593">
        <v>5157</v>
      </c>
      <c r="E4593" t="s">
        <v>57</v>
      </c>
      <c r="F4593" t="s">
        <v>39</v>
      </c>
      <c r="G4593" t="s">
        <v>40</v>
      </c>
    </row>
    <row r="4594" spans="1:7" x14ac:dyDescent="0.3">
      <c r="A4594" t="s">
        <v>32</v>
      </c>
      <c r="B4594" t="s">
        <v>23</v>
      </c>
      <c r="C4594" t="s">
        <v>17</v>
      </c>
      <c r="D4594">
        <v>358</v>
      </c>
      <c r="E4594" t="s">
        <v>57</v>
      </c>
      <c r="F4594" t="s">
        <v>39</v>
      </c>
      <c r="G4594" t="s">
        <v>40</v>
      </c>
    </row>
    <row r="4595" spans="1:7" x14ac:dyDescent="0.3">
      <c r="A4595" t="s">
        <v>32</v>
      </c>
      <c r="B4595" t="s">
        <v>23</v>
      </c>
      <c r="C4595" t="s">
        <v>18</v>
      </c>
      <c r="D4595">
        <v>0</v>
      </c>
      <c r="E4595" t="s">
        <v>57</v>
      </c>
      <c r="F4595" t="s">
        <v>39</v>
      </c>
      <c r="G4595" t="s">
        <v>40</v>
      </c>
    </row>
    <row r="4596" spans="1:7" x14ac:dyDescent="0.3">
      <c r="A4596" t="s">
        <v>32</v>
      </c>
      <c r="B4596" t="s">
        <v>23</v>
      </c>
      <c r="C4596" t="s">
        <v>19</v>
      </c>
      <c r="D4596">
        <v>295</v>
      </c>
      <c r="E4596" t="s">
        <v>57</v>
      </c>
      <c r="F4596" t="s">
        <v>39</v>
      </c>
      <c r="G4596" t="s">
        <v>40</v>
      </c>
    </row>
    <row r="4597" spans="1:7" x14ac:dyDescent="0.3">
      <c r="A4597" t="s">
        <v>32</v>
      </c>
      <c r="B4597" t="s">
        <v>23</v>
      </c>
      <c r="C4597" t="s">
        <v>20</v>
      </c>
      <c r="D4597">
        <v>712</v>
      </c>
      <c r="E4597" t="s">
        <v>57</v>
      </c>
      <c r="F4597" t="s">
        <v>39</v>
      </c>
      <c r="G4597" t="s">
        <v>40</v>
      </c>
    </row>
    <row r="4598" spans="1:7" x14ac:dyDescent="0.3">
      <c r="A4598" t="s">
        <v>32</v>
      </c>
      <c r="B4598" t="s">
        <v>23</v>
      </c>
      <c r="C4598" t="s">
        <v>21</v>
      </c>
      <c r="D4598">
        <v>74</v>
      </c>
      <c r="E4598" t="s">
        <v>57</v>
      </c>
      <c r="F4598" t="s">
        <v>39</v>
      </c>
      <c r="G4598" t="s">
        <v>40</v>
      </c>
    </row>
    <row r="4599" spans="1:7" x14ac:dyDescent="0.3">
      <c r="A4599" t="s">
        <v>32</v>
      </c>
      <c r="B4599" t="s">
        <v>23</v>
      </c>
      <c r="C4599" t="s">
        <v>22</v>
      </c>
      <c r="D4599">
        <v>139104</v>
      </c>
      <c r="E4599" t="s">
        <v>57</v>
      </c>
      <c r="F4599" t="s">
        <v>39</v>
      </c>
      <c r="G4599" t="s">
        <v>40</v>
      </c>
    </row>
    <row r="4600" spans="1:7" x14ac:dyDescent="0.3">
      <c r="A4600" t="s">
        <v>65</v>
      </c>
      <c r="B4600" t="s">
        <v>8</v>
      </c>
      <c r="C4600" t="s">
        <v>9</v>
      </c>
      <c r="D4600">
        <v>0</v>
      </c>
      <c r="E4600" t="s">
        <v>57</v>
      </c>
      <c r="F4600" t="s">
        <v>39</v>
      </c>
      <c r="G4600" t="s">
        <v>40</v>
      </c>
    </row>
    <row r="4601" spans="1:7" x14ac:dyDescent="0.3">
      <c r="A4601" t="s">
        <v>65</v>
      </c>
      <c r="B4601" t="s">
        <v>8</v>
      </c>
      <c r="C4601" t="s">
        <v>13</v>
      </c>
      <c r="D4601">
        <v>0</v>
      </c>
      <c r="E4601" t="s">
        <v>57</v>
      </c>
      <c r="F4601" t="s">
        <v>39</v>
      </c>
      <c r="G4601" t="s">
        <v>40</v>
      </c>
    </row>
    <row r="4602" spans="1:7" x14ac:dyDescent="0.3">
      <c r="A4602" t="s">
        <v>65</v>
      </c>
      <c r="B4602" t="s">
        <v>8</v>
      </c>
      <c r="C4602" t="s">
        <v>14</v>
      </c>
      <c r="D4602">
        <v>0</v>
      </c>
      <c r="E4602" t="s">
        <v>57</v>
      </c>
      <c r="F4602" t="s">
        <v>39</v>
      </c>
      <c r="G4602" t="s">
        <v>40</v>
      </c>
    </row>
    <row r="4603" spans="1:7" x14ac:dyDescent="0.3">
      <c r="A4603" t="s">
        <v>65</v>
      </c>
      <c r="B4603" t="s">
        <v>8</v>
      </c>
      <c r="C4603" t="s">
        <v>15</v>
      </c>
      <c r="D4603">
        <v>0</v>
      </c>
      <c r="E4603" t="s">
        <v>57</v>
      </c>
      <c r="F4603" t="s">
        <v>39</v>
      </c>
      <c r="G4603" t="s">
        <v>40</v>
      </c>
    </row>
    <row r="4604" spans="1:7" x14ac:dyDescent="0.3">
      <c r="A4604" t="s">
        <v>65</v>
      </c>
      <c r="B4604" t="s">
        <v>8</v>
      </c>
      <c r="C4604" t="s">
        <v>16</v>
      </c>
      <c r="D4604">
        <v>354</v>
      </c>
      <c r="E4604" t="s">
        <v>57</v>
      </c>
      <c r="F4604" t="s">
        <v>39</v>
      </c>
      <c r="G4604" t="s">
        <v>40</v>
      </c>
    </row>
    <row r="4605" spans="1:7" x14ac:dyDescent="0.3">
      <c r="A4605" t="s">
        <v>65</v>
      </c>
      <c r="B4605" t="s">
        <v>8</v>
      </c>
      <c r="C4605" t="s">
        <v>17</v>
      </c>
      <c r="D4605">
        <v>0</v>
      </c>
      <c r="E4605" t="s">
        <v>57</v>
      </c>
      <c r="F4605" t="s">
        <v>39</v>
      </c>
      <c r="G4605" t="s">
        <v>40</v>
      </c>
    </row>
    <row r="4606" spans="1:7" x14ac:dyDescent="0.3">
      <c r="A4606" t="s">
        <v>65</v>
      </c>
      <c r="B4606" t="s">
        <v>8</v>
      </c>
      <c r="C4606" t="s">
        <v>18</v>
      </c>
      <c r="D4606">
        <v>0</v>
      </c>
      <c r="E4606" t="s">
        <v>57</v>
      </c>
      <c r="F4606" t="s">
        <v>39</v>
      </c>
      <c r="G4606" t="s">
        <v>40</v>
      </c>
    </row>
    <row r="4607" spans="1:7" x14ac:dyDescent="0.3">
      <c r="A4607" t="s">
        <v>65</v>
      </c>
      <c r="B4607" t="s">
        <v>8</v>
      </c>
      <c r="C4607" t="s">
        <v>19</v>
      </c>
      <c r="D4607">
        <v>0</v>
      </c>
      <c r="E4607" t="s">
        <v>57</v>
      </c>
      <c r="F4607" t="s">
        <v>39</v>
      </c>
      <c r="G4607" t="s">
        <v>40</v>
      </c>
    </row>
    <row r="4608" spans="1:7" x14ac:dyDescent="0.3">
      <c r="A4608" t="s">
        <v>65</v>
      </c>
      <c r="B4608" t="s">
        <v>8</v>
      </c>
      <c r="C4608" t="s">
        <v>20</v>
      </c>
      <c r="D4608">
        <v>0</v>
      </c>
      <c r="E4608" t="s">
        <v>57</v>
      </c>
      <c r="F4608" t="s">
        <v>39</v>
      </c>
      <c r="G4608" t="s">
        <v>40</v>
      </c>
    </row>
    <row r="4609" spans="1:7" x14ac:dyDescent="0.3">
      <c r="A4609" t="s">
        <v>65</v>
      </c>
      <c r="B4609" t="s">
        <v>8</v>
      </c>
      <c r="C4609" t="s">
        <v>21</v>
      </c>
      <c r="D4609">
        <v>0</v>
      </c>
      <c r="E4609" t="s">
        <v>57</v>
      </c>
      <c r="F4609" t="s">
        <v>39</v>
      </c>
      <c r="G4609" t="s">
        <v>40</v>
      </c>
    </row>
    <row r="4610" spans="1:7" x14ac:dyDescent="0.3">
      <c r="A4610" t="s">
        <v>65</v>
      </c>
      <c r="B4610" t="s">
        <v>8</v>
      </c>
      <c r="C4610" t="s">
        <v>22</v>
      </c>
      <c r="D4610">
        <v>8</v>
      </c>
      <c r="E4610" t="s">
        <v>57</v>
      </c>
      <c r="F4610" t="s">
        <v>39</v>
      </c>
      <c r="G4610" t="s">
        <v>40</v>
      </c>
    </row>
    <row r="4611" spans="1:7" x14ac:dyDescent="0.3">
      <c r="A4611" t="s">
        <v>65</v>
      </c>
      <c r="B4611" t="s">
        <v>23</v>
      </c>
      <c r="C4611" t="s">
        <v>9</v>
      </c>
      <c r="D4611">
        <v>23</v>
      </c>
      <c r="E4611" t="s">
        <v>57</v>
      </c>
      <c r="F4611" t="s">
        <v>39</v>
      </c>
      <c r="G4611" t="s">
        <v>40</v>
      </c>
    </row>
    <row r="4612" spans="1:7" x14ac:dyDescent="0.3">
      <c r="A4612" t="s">
        <v>65</v>
      </c>
      <c r="B4612" t="s">
        <v>23</v>
      </c>
      <c r="C4612" t="s">
        <v>13</v>
      </c>
      <c r="D4612">
        <v>31</v>
      </c>
      <c r="E4612" t="s">
        <v>57</v>
      </c>
      <c r="F4612" t="s">
        <v>39</v>
      </c>
      <c r="G4612" t="s">
        <v>40</v>
      </c>
    </row>
    <row r="4613" spans="1:7" x14ac:dyDescent="0.3">
      <c r="A4613" t="s">
        <v>65</v>
      </c>
      <c r="B4613" t="s">
        <v>23</v>
      </c>
      <c r="C4613" t="s">
        <v>14</v>
      </c>
      <c r="D4613">
        <v>55</v>
      </c>
      <c r="E4613" t="s">
        <v>57</v>
      </c>
      <c r="F4613" t="s">
        <v>39</v>
      </c>
      <c r="G4613" t="s">
        <v>40</v>
      </c>
    </row>
    <row r="4614" spans="1:7" x14ac:dyDescent="0.3">
      <c r="A4614" t="s">
        <v>65</v>
      </c>
      <c r="B4614" t="s">
        <v>23</v>
      </c>
      <c r="C4614" t="s">
        <v>15</v>
      </c>
      <c r="D4614">
        <v>5</v>
      </c>
      <c r="E4614" t="s">
        <v>57</v>
      </c>
      <c r="F4614" t="s">
        <v>39</v>
      </c>
      <c r="G4614" t="s">
        <v>40</v>
      </c>
    </row>
    <row r="4615" spans="1:7" x14ac:dyDescent="0.3">
      <c r="A4615" t="s">
        <v>65</v>
      </c>
      <c r="B4615" t="s">
        <v>23</v>
      </c>
      <c r="C4615" t="s">
        <v>16</v>
      </c>
      <c r="D4615">
        <v>35295</v>
      </c>
      <c r="E4615" t="s">
        <v>57</v>
      </c>
      <c r="F4615" t="s">
        <v>39</v>
      </c>
      <c r="G4615" t="s">
        <v>40</v>
      </c>
    </row>
    <row r="4616" spans="1:7" x14ac:dyDescent="0.3">
      <c r="A4616" t="s">
        <v>65</v>
      </c>
      <c r="B4616" t="s">
        <v>23</v>
      </c>
      <c r="C4616" t="s">
        <v>17</v>
      </c>
      <c r="D4616">
        <v>5</v>
      </c>
      <c r="E4616" t="s">
        <v>57</v>
      </c>
      <c r="F4616" t="s">
        <v>39</v>
      </c>
      <c r="G4616" t="s">
        <v>40</v>
      </c>
    </row>
    <row r="4617" spans="1:7" x14ac:dyDescent="0.3">
      <c r="A4617" t="s">
        <v>65</v>
      </c>
      <c r="B4617" t="s">
        <v>23</v>
      </c>
      <c r="C4617" t="s">
        <v>18</v>
      </c>
      <c r="D4617">
        <v>0</v>
      </c>
      <c r="E4617" t="s">
        <v>57</v>
      </c>
      <c r="F4617" t="s">
        <v>39</v>
      </c>
      <c r="G4617" t="s">
        <v>40</v>
      </c>
    </row>
    <row r="4618" spans="1:7" x14ac:dyDescent="0.3">
      <c r="A4618" t="s">
        <v>65</v>
      </c>
      <c r="B4618" t="s">
        <v>23</v>
      </c>
      <c r="C4618" t="s">
        <v>19</v>
      </c>
      <c r="D4618">
        <v>1</v>
      </c>
      <c r="E4618" t="s">
        <v>57</v>
      </c>
      <c r="F4618" t="s">
        <v>39</v>
      </c>
      <c r="G4618" t="s">
        <v>40</v>
      </c>
    </row>
    <row r="4619" spans="1:7" x14ac:dyDescent="0.3">
      <c r="A4619" t="s">
        <v>65</v>
      </c>
      <c r="B4619" t="s">
        <v>23</v>
      </c>
      <c r="C4619" t="s">
        <v>20</v>
      </c>
      <c r="D4619">
        <v>304</v>
      </c>
      <c r="E4619" t="s">
        <v>57</v>
      </c>
      <c r="F4619" t="s">
        <v>39</v>
      </c>
      <c r="G4619" t="s">
        <v>40</v>
      </c>
    </row>
    <row r="4620" spans="1:7" x14ac:dyDescent="0.3">
      <c r="A4620" t="s">
        <v>65</v>
      </c>
      <c r="B4620" t="s">
        <v>23</v>
      </c>
      <c r="C4620" t="s">
        <v>21</v>
      </c>
      <c r="D4620">
        <v>1</v>
      </c>
      <c r="E4620" t="s">
        <v>57</v>
      </c>
      <c r="F4620" t="s">
        <v>39</v>
      </c>
      <c r="G4620" t="s">
        <v>40</v>
      </c>
    </row>
    <row r="4621" spans="1:7" x14ac:dyDescent="0.3">
      <c r="A4621" t="s">
        <v>65</v>
      </c>
      <c r="B4621" t="s">
        <v>23</v>
      </c>
      <c r="C4621" t="s">
        <v>22</v>
      </c>
      <c r="D4621">
        <v>141</v>
      </c>
      <c r="E4621" t="s">
        <v>57</v>
      </c>
      <c r="F4621" t="s">
        <v>39</v>
      </c>
      <c r="G4621" t="s">
        <v>40</v>
      </c>
    </row>
    <row r="4622" spans="1:7" x14ac:dyDescent="0.3">
      <c r="A4622" t="s">
        <v>33</v>
      </c>
      <c r="B4622" t="s">
        <v>8</v>
      </c>
      <c r="C4622" t="s">
        <v>9</v>
      </c>
      <c r="D4622">
        <v>1</v>
      </c>
      <c r="E4622" t="s">
        <v>57</v>
      </c>
      <c r="F4622" t="s">
        <v>39</v>
      </c>
      <c r="G4622" t="s">
        <v>40</v>
      </c>
    </row>
    <row r="4623" spans="1:7" x14ac:dyDescent="0.3">
      <c r="A4623" t="s">
        <v>33</v>
      </c>
      <c r="B4623" t="s">
        <v>8</v>
      </c>
      <c r="C4623" t="s">
        <v>13</v>
      </c>
      <c r="D4623">
        <v>0</v>
      </c>
      <c r="E4623" t="s">
        <v>57</v>
      </c>
      <c r="F4623" t="s">
        <v>39</v>
      </c>
      <c r="G4623" t="s">
        <v>40</v>
      </c>
    </row>
    <row r="4624" spans="1:7" x14ac:dyDescent="0.3">
      <c r="A4624" t="s">
        <v>33</v>
      </c>
      <c r="B4624" t="s">
        <v>8</v>
      </c>
      <c r="C4624" t="s">
        <v>14</v>
      </c>
      <c r="D4624">
        <v>1</v>
      </c>
      <c r="E4624" t="s">
        <v>57</v>
      </c>
      <c r="F4624" t="s">
        <v>39</v>
      </c>
      <c r="G4624" t="s">
        <v>40</v>
      </c>
    </row>
    <row r="4625" spans="1:7" x14ac:dyDescent="0.3">
      <c r="A4625" t="s">
        <v>33</v>
      </c>
      <c r="B4625" t="s">
        <v>8</v>
      </c>
      <c r="C4625" t="s">
        <v>15</v>
      </c>
      <c r="D4625">
        <v>0</v>
      </c>
      <c r="E4625" t="s">
        <v>57</v>
      </c>
      <c r="F4625" t="s">
        <v>39</v>
      </c>
      <c r="G4625" t="s">
        <v>40</v>
      </c>
    </row>
    <row r="4626" spans="1:7" x14ac:dyDescent="0.3">
      <c r="A4626" t="s">
        <v>33</v>
      </c>
      <c r="B4626" t="s">
        <v>8</v>
      </c>
      <c r="C4626" t="s">
        <v>16</v>
      </c>
      <c r="D4626">
        <v>1402</v>
      </c>
      <c r="E4626" t="s">
        <v>57</v>
      </c>
      <c r="F4626" t="s">
        <v>39</v>
      </c>
      <c r="G4626" t="s">
        <v>40</v>
      </c>
    </row>
    <row r="4627" spans="1:7" x14ac:dyDescent="0.3">
      <c r="A4627" t="s">
        <v>33</v>
      </c>
      <c r="B4627" t="s">
        <v>8</v>
      </c>
      <c r="C4627" t="s">
        <v>17</v>
      </c>
      <c r="D4627">
        <v>4</v>
      </c>
      <c r="E4627" t="s">
        <v>57</v>
      </c>
      <c r="F4627" t="s">
        <v>39</v>
      </c>
      <c r="G4627" t="s">
        <v>40</v>
      </c>
    </row>
    <row r="4628" spans="1:7" x14ac:dyDescent="0.3">
      <c r="A4628" t="s">
        <v>33</v>
      </c>
      <c r="B4628" t="s">
        <v>8</v>
      </c>
      <c r="C4628" t="s">
        <v>18</v>
      </c>
      <c r="D4628">
        <v>0</v>
      </c>
      <c r="E4628" t="s">
        <v>57</v>
      </c>
      <c r="F4628" t="s">
        <v>39</v>
      </c>
      <c r="G4628" t="s">
        <v>40</v>
      </c>
    </row>
    <row r="4629" spans="1:7" x14ac:dyDescent="0.3">
      <c r="A4629" t="s">
        <v>33</v>
      </c>
      <c r="B4629" t="s">
        <v>8</v>
      </c>
      <c r="C4629" t="s">
        <v>19</v>
      </c>
      <c r="D4629">
        <v>0</v>
      </c>
      <c r="E4629" t="s">
        <v>57</v>
      </c>
      <c r="F4629" t="s">
        <v>39</v>
      </c>
      <c r="G4629" t="s">
        <v>40</v>
      </c>
    </row>
    <row r="4630" spans="1:7" x14ac:dyDescent="0.3">
      <c r="A4630" t="s">
        <v>33</v>
      </c>
      <c r="B4630" t="s">
        <v>8</v>
      </c>
      <c r="C4630" t="s">
        <v>20</v>
      </c>
      <c r="D4630">
        <v>0</v>
      </c>
      <c r="E4630" t="s">
        <v>57</v>
      </c>
      <c r="F4630" t="s">
        <v>39</v>
      </c>
      <c r="G4630" t="s">
        <v>40</v>
      </c>
    </row>
    <row r="4631" spans="1:7" x14ac:dyDescent="0.3">
      <c r="A4631" t="s">
        <v>33</v>
      </c>
      <c r="B4631" t="s">
        <v>8</v>
      </c>
      <c r="C4631" t="s">
        <v>21</v>
      </c>
      <c r="D4631">
        <v>0</v>
      </c>
      <c r="E4631" t="s">
        <v>57</v>
      </c>
      <c r="F4631" t="s">
        <v>39</v>
      </c>
      <c r="G4631" t="s">
        <v>40</v>
      </c>
    </row>
    <row r="4632" spans="1:7" x14ac:dyDescent="0.3">
      <c r="A4632" t="s">
        <v>33</v>
      </c>
      <c r="B4632" t="s">
        <v>8</v>
      </c>
      <c r="C4632" t="s">
        <v>22</v>
      </c>
      <c r="D4632">
        <v>31</v>
      </c>
      <c r="E4632" t="s">
        <v>57</v>
      </c>
      <c r="F4632" t="s">
        <v>39</v>
      </c>
      <c r="G4632" t="s">
        <v>40</v>
      </c>
    </row>
    <row r="4633" spans="1:7" x14ac:dyDescent="0.3">
      <c r="A4633" t="s">
        <v>33</v>
      </c>
      <c r="B4633" t="s">
        <v>23</v>
      </c>
      <c r="C4633" t="s">
        <v>9</v>
      </c>
      <c r="D4633">
        <v>91</v>
      </c>
      <c r="E4633" t="s">
        <v>57</v>
      </c>
      <c r="F4633" t="s">
        <v>39</v>
      </c>
      <c r="G4633" t="s">
        <v>40</v>
      </c>
    </row>
    <row r="4634" spans="1:7" x14ac:dyDescent="0.3">
      <c r="A4634" t="s">
        <v>33</v>
      </c>
      <c r="B4634" t="s">
        <v>23</v>
      </c>
      <c r="C4634" t="s">
        <v>13</v>
      </c>
      <c r="D4634">
        <v>124</v>
      </c>
      <c r="E4634" t="s">
        <v>57</v>
      </c>
      <c r="F4634" t="s">
        <v>39</v>
      </c>
      <c r="G4634" t="s">
        <v>40</v>
      </c>
    </row>
    <row r="4635" spans="1:7" x14ac:dyDescent="0.3">
      <c r="A4635" t="s">
        <v>33</v>
      </c>
      <c r="B4635" t="s">
        <v>23</v>
      </c>
      <c r="C4635" t="s">
        <v>14</v>
      </c>
      <c r="D4635">
        <v>219</v>
      </c>
      <c r="E4635" t="s">
        <v>57</v>
      </c>
      <c r="F4635" t="s">
        <v>39</v>
      </c>
      <c r="G4635" t="s">
        <v>40</v>
      </c>
    </row>
    <row r="4636" spans="1:7" x14ac:dyDescent="0.3">
      <c r="A4636" t="s">
        <v>33</v>
      </c>
      <c r="B4636" t="s">
        <v>23</v>
      </c>
      <c r="C4636" t="s">
        <v>15</v>
      </c>
      <c r="D4636">
        <v>20</v>
      </c>
      <c r="E4636" t="s">
        <v>57</v>
      </c>
      <c r="F4636" t="s">
        <v>39</v>
      </c>
      <c r="G4636" t="s">
        <v>40</v>
      </c>
    </row>
    <row r="4637" spans="1:7" x14ac:dyDescent="0.3">
      <c r="A4637" t="s">
        <v>33</v>
      </c>
      <c r="B4637" t="s">
        <v>23</v>
      </c>
      <c r="C4637" t="s">
        <v>16</v>
      </c>
      <c r="D4637">
        <v>139640</v>
      </c>
      <c r="E4637" t="s">
        <v>57</v>
      </c>
      <c r="F4637" t="s">
        <v>39</v>
      </c>
      <c r="G4637" t="s">
        <v>40</v>
      </c>
    </row>
    <row r="4638" spans="1:7" x14ac:dyDescent="0.3">
      <c r="A4638" t="s">
        <v>33</v>
      </c>
      <c r="B4638" t="s">
        <v>23</v>
      </c>
      <c r="C4638" t="s">
        <v>17</v>
      </c>
      <c r="D4638">
        <v>20</v>
      </c>
      <c r="E4638" t="s">
        <v>57</v>
      </c>
      <c r="F4638" t="s">
        <v>39</v>
      </c>
      <c r="G4638" t="s">
        <v>40</v>
      </c>
    </row>
    <row r="4639" spans="1:7" x14ac:dyDescent="0.3">
      <c r="A4639" t="s">
        <v>33</v>
      </c>
      <c r="B4639" t="s">
        <v>23</v>
      </c>
      <c r="C4639" t="s">
        <v>18</v>
      </c>
      <c r="D4639">
        <v>0</v>
      </c>
      <c r="E4639" t="s">
        <v>57</v>
      </c>
      <c r="F4639" t="s">
        <v>39</v>
      </c>
      <c r="G4639" t="s">
        <v>40</v>
      </c>
    </row>
    <row r="4640" spans="1:7" x14ac:dyDescent="0.3">
      <c r="A4640" t="s">
        <v>33</v>
      </c>
      <c r="B4640" t="s">
        <v>23</v>
      </c>
      <c r="C4640" t="s">
        <v>19</v>
      </c>
      <c r="D4640">
        <v>6</v>
      </c>
      <c r="E4640" t="s">
        <v>57</v>
      </c>
      <c r="F4640" t="s">
        <v>39</v>
      </c>
      <c r="G4640" t="s">
        <v>40</v>
      </c>
    </row>
    <row r="4641" spans="1:7" x14ac:dyDescent="0.3">
      <c r="A4641" t="s">
        <v>33</v>
      </c>
      <c r="B4641" t="s">
        <v>23</v>
      </c>
      <c r="C4641" t="s">
        <v>20</v>
      </c>
      <c r="D4641">
        <v>1204</v>
      </c>
      <c r="E4641" t="s">
        <v>57</v>
      </c>
      <c r="F4641" t="s">
        <v>39</v>
      </c>
      <c r="G4641" t="s">
        <v>40</v>
      </c>
    </row>
    <row r="4642" spans="1:7" x14ac:dyDescent="0.3">
      <c r="A4642" t="s">
        <v>33</v>
      </c>
      <c r="B4642" t="s">
        <v>23</v>
      </c>
      <c r="C4642" t="s">
        <v>21</v>
      </c>
      <c r="D4642">
        <v>6</v>
      </c>
      <c r="E4642" t="s">
        <v>57</v>
      </c>
      <c r="F4642" t="s">
        <v>39</v>
      </c>
      <c r="G4642" t="s">
        <v>40</v>
      </c>
    </row>
    <row r="4643" spans="1:7" x14ac:dyDescent="0.3">
      <c r="A4643" t="s">
        <v>33</v>
      </c>
      <c r="B4643" t="s">
        <v>23</v>
      </c>
      <c r="C4643" t="s">
        <v>22</v>
      </c>
      <c r="D4643">
        <v>556</v>
      </c>
      <c r="E4643" t="s">
        <v>57</v>
      </c>
      <c r="F4643" t="s">
        <v>39</v>
      </c>
      <c r="G4643" t="s">
        <v>40</v>
      </c>
    </row>
    <row r="4644" spans="1:7" x14ac:dyDescent="0.3">
      <c r="A4644" t="s">
        <v>34</v>
      </c>
      <c r="B4644" t="s">
        <v>8</v>
      </c>
      <c r="C4644" t="s">
        <v>9</v>
      </c>
      <c r="D4644">
        <v>0</v>
      </c>
      <c r="E4644" t="s">
        <v>57</v>
      </c>
      <c r="F4644" t="s">
        <v>39</v>
      </c>
      <c r="G4644" t="s">
        <v>40</v>
      </c>
    </row>
    <row r="4645" spans="1:7" x14ac:dyDescent="0.3">
      <c r="A4645" t="s">
        <v>34</v>
      </c>
      <c r="B4645" t="s">
        <v>8</v>
      </c>
      <c r="C4645" t="s">
        <v>13</v>
      </c>
      <c r="D4645">
        <v>8</v>
      </c>
      <c r="E4645" t="s">
        <v>57</v>
      </c>
      <c r="F4645" t="s">
        <v>39</v>
      </c>
      <c r="G4645" t="s">
        <v>40</v>
      </c>
    </row>
    <row r="4646" spans="1:7" x14ac:dyDescent="0.3">
      <c r="A4646" t="s">
        <v>34</v>
      </c>
      <c r="B4646" t="s">
        <v>8</v>
      </c>
      <c r="C4646" t="s">
        <v>14</v>
      </c>
      <c r="D4646">
        <v>0</v>
      </c>
      <c r="E4646" t="s">
        <v>57</v>
      </c>
      <c r="F4646" t="s">
        <v>39</v>
      </c>
      <c r="G4646" t="s">
        <v>40</v>
      </c>
    </row>
    <row r="4647" spans="1:7" x14ac:dyDescent="0.3">
      <c r="A4647" t="s">
        <v>34</v>
      </c>
      <c r="B4647" t="s">
        <v>8</v>
      </c>
      <c r="C4647" t="s">
        <v>15</v>
      </c>
      <c r="D4647">
        <v>3</v>
      </c>
      <c r="E4647" t="s">
        <v>57</v>
      </c>
      <c r="F4647" t="s">
        <v>39</v>
      </c>
      <c r="G4647" t="s">
        <v>40</v>
      </c>
    </row>
    <row r="4648" spans="1:7" x14ac:dyDescent="0.3">
      <c r="A4648" t="s">
        <v>34</v>
      </c>
      <c r="B4648" t="s">
        <v>8</v>
      </c>
      <c r="C4648" t="s">
        <v>16</v>
      </c>
      <c r="D4648">
        <v>10</v>
      </c>
      <c r="E4648" t="s">
        <v>57</v>
      </c>
      <c r="F4648" t="s">
        <v>39</v>
      </c>
      <c r="G4648" t="s">
        <v>40</v>
      </c>
    </row>
    <row r="4649" spans="1:7" x14ac:dyDescent="0.3">
      <c r="A4649" t="s">
        <v>34</v>
      </c>
      <c r="B4649" t="s">
        <v>8</v>
      </c>
      <c r="C4649" t="s">
        <v>17</v>
      </c>
      <c r="D4649">
        <v>1</v>
      </c>
      <c r="E4649" t="s">
        <v>57</v>
      </c>
      <c r="F4649" t="s">
        <v>39</v>
      </c>
      <c r="G4649" t="s">
        <v>40</v>
      </c>
    </row>
    <row r="4650" spans="1:7" x14ac:dyDescent="0.3">
      <c r="A4650" t="s">
        <v>34</v>
      </c>
      <c r="B4650" t="s">
        <v>8</v>
      </c>
      <c r="C4650" t="s">
        <v>18</v>
      </c>
      <c r="D4650">
        <v>0</v>
      </c>
      <c r="E4650" t="s">
        <v>57</v>
      </c>
      <c r="F4650" t="s">
        <v>39</v>
      </c>
      <c r="G4650" t="s">
        <v>40</v>
      </c>
    </row>
    <row r="4651" spans="1:7" x14ac:dyDescent="0.3">
      <c r="A4651" t="s">
        <v>34</v>
      </c>
      <c r="B4651" t="s">
        <v>8</v>
      </c>
      <c r="C4651" t="s">
        <v>19</v>
      </c>
      <c r="D4651">
        <v>0</v>
      </c>
      <c r="E4651" t="s">
        <v>57</v>
      </c>
      <c r="F4651" t="s">
        <v>39</v>
      </c>
      <c r="G4651" t="s">
        <v>40</v>
      </c>
    </row>
    <row r="4652" spans="1:7" x14ac:dyDescent="0.3">
      <c r="A4652" t="s">
        <v>34</v>
      </c>
      <c r="B4652" t="s">
        <v>8</v>
      </c>
      <c r="C4652" t="s">
        <v>20</v>
      </c>
      <c r="D4652">
        <v>0</v>
      </c>
      <c r="E4652" t="s">
        <v>57</v>
      </c>
      <c r="F4652" t="s">
        <v>39</v>
      </c>
      <c r="G4652" t="s">
        <v>40</v>
      </c>
    </row>
    <row r="4653" spans="1:7" x14ac:dyDescent="0.3">
      <c r="A4653" t="s">
        <v>34</v>
      </c>
      <c r="B4653" t="s">
        <v>8</v>
      </c>
      <c r="C4653" t="s">
        <v>21</v>
      </c>
      <c r="D4653">
        <v>0</v>
      </c>
      <c r="E4653" t="s">
        <v>57</v>
      </c>
      <c r="F4653" t="s">
        <v>39</v>
      </c>
      <c r="G4653" t="s">
        <v>40</v>
      </c>
    </row>
    <row r="4654" spans="1:7" x14ac:dyDescent="0.3">
      <c r="A4654" t="s">
        <v>34</v>
      </c>
      <c r="B4654" t="s">
        <v>8</v>
      </c>
      <c r="C4654" t="s">
        <v>22</v>
      </c>
      <c r="D4654">
        <v>6198</v>
      </c>
      <c r="E4654" t="s">
        <v>57</v>
      </c>
      <c r="F4654" t="s">
        <v>39</v>
      </c>
      <c r="G4654" t="s">
        <v>40</v>
      </c>
    </row>
    <row r="4655" spans="1:7" x14ac:dyDescent="0.3">
      <c r="A4655" t="s">
        <v>34</v>
      </c>
      <c r="B4655" t="s">
        <v>23</v>
      </c>
      <c r="C4655" t="s">
        <v>9</v>
      </c>
      <c r="D4655">
        <v>1133</v>
      </c>
      <c r="E4655" t="s">
        <v>57</v>
      </c>
      <c r="F4655" t="s">
        <v>39</v>
      </c>
      <c r="G4655" t="s">
        <v>40</v>
      </c>
    </row>
    <row r="4656" spans="1:7" x14ac:dyDescent="0.3">
      <c r="A4656" t="s">
        <v>34</v>
      </c>
      <c r="B4656" t="s">
        <v>23</v>
      </c>
      <c r="C4656" t="s">
        <v>13</v>
      </c>
      <c r="D4656">
        <v>13924</v>
      </c>
      <c r="E4656" t="s">
        <v>57</v>
      </c>
      <c r="F4656" t="s">
        <v>39</v>
      </c>
      <c r="G4656" t="s">
        <v>40</v>
      </c>
    </row>
    <row r="4657" spans="1:7" x14ac:dyDescent="0.3">
      <c r="A4657" t="s">
        <v>34</v>
      </c>
      <c r="B4657" t="s">
        <v>23</v>
      </c>
      <c r="C4657" t="s">
        <v>14</v>
      </c>
      <c r="D4657">
        <v>3093</v>
      </c>
      <c r="E4657" t="s">
        <v>57</v>
      </c>
      <c r="F4657" t="s">
        <v>39</v>
      </c>
      <c r="G4657" t="s">
        <v>40</v>
      </c>
    </row>
    <row r="4658" spans="1:7" x14ac:dyDescent="0.3">
      <c r="A4658" t="s">
        <v>34</v>
      </c>
      <c r="B4658" t="s">
        <v>23</v>
      </c>
      <c r="C4658" t="s">
        <v>15</v>
      </c>
      <c r="D4658">
        <v>199</v>
      </c>
      <c r="E4658" t="s">
        <v>57</v>
      </c>
      <c r="F4658" t="s">
        <v>39</v>
      </c>
      <c r="G4658" t="s">
        <v>40</v>
      </c>
    </row>
    <row r="4659" spans="1:7" x14ac:dyDescent="0.3">
      <c r="A4659" t="s">
        <v>34</v>
      </c>
      <c r="B4659" t="s">
        <v>23</v>
      </c>
      <c r="C4659" t="s">
        <v>16</v>
      </c>
      <c r="D4659">
        <v>4413</v>
      </c>
      <c r="E4659" t="s">
        <v>57</v>
      </c>
      <c r="F4659" t="s">
        <v>39</v>
      </c>
      <c r="G4659" t="s">
        <v>40</v>
      </c>
    </row>
    <row r="4660" spans="1:7" x14ac:dyDescent="0.3">
      <c r="A4660" t="s">
        <v>34</v>
      </c>
      <c r="B4660" t="s">
        <v>23</v>
      </c>
      <c r="C4660" t="s">
        <v>17</v>
      </c>
      <c r="D4660">
        <v>306</v>
      </c>
      <c r="E4660" t="s">
        <v>57</v>
      </c>
      <c r="F4660" t="s">
        <v>39</v>
      </c>
      <c r="G4660" t="s">
        <v>40</v>
      </c>
    </row>
    <row r="4661" spans="1:7" x14ac:dyDescent="0.3">
      <c r="A4661" t="s">
        <v>34</v>
      </c>
      <c r="B4661" t="s">
        <v>23</v>
      </c>
      <c r="C4661" t="s">
        <v>18</v>
      </c>
      <c r="D4661">
        <v>0</v>
      </c>
      <c r="E4661" t="s">
        <v>57</v>
      </c>
      <c r="F4661" t="s">
        <v>39</v>
      </c>
      <c r="G4661" t="s">
        <v>40</v>
      </c>
    </row>
    <row r="4662" spans="1:7" x14ac:dyDescent="0.3">
      <c r="A4662" t="s">
        <v>34</v>
      </c>
      <c r="B4662" t="s">
        <v>23</v>
      </c>
      <c r="C4662" t="s">
        <v>19</v>
      </c>
      <c r="D4662">
        <v>253</v>
      </c>
      <c r="E4662" t="s">
        <v>57</v>
      </c>
      <c r="F4662" t="s">
        <v>39</v>
      </c>
      <c r="G4662" t="s">
        <v>40</v>
      </c>
    </row>
    <row r="4663" spans="1:7" x14ac:dyDescent="0.3">
      <c r="A4663" t="s">
        <v>34</v>
      </c>
      <c r="B4663" t="s">
        <v>23</v>
      </c>
      <c r="C4663" t="s">
        <v>20</v>
      </c>
      <c r="D4663">
        <v>609</v>
      </c>
      <c r="E4663" t="s">
        <v>57</v>
      </c>
      <c r="F4663" t="s">
        <v>39</v>
      </c>
      <c r="G4663" t="s">
        <v>40</v>
      </c>
    </row>
    <row r="4664" spans="1:7" x14ac:dyDescent="0.3">
      <c r="A4664" t="s">
        <v>34</v>
      </c>
      <c r="B4664" t="s">
        <v>23</v>
      </c>
      <c r="C4664" t="s">
        <v>21</v>
      </c>
      <c r="D4664">
        <v>63</v>
      </c>
      <c r="E4664" t="s">
        <v>57</v>
      </c>
      <c r="F4664" t="s">
        <v>39</v>
      </c>
      <c r="G4664" t="s">
        <v>40</v>
      </c>
    </row>
    <row r="4665" spans="1:7" x14ac:dyDescent="0.3">
      <c r="A4665" t="s">
        <v>34</v>
      </c>
      <c r="B4665" t="s">
        <v>23</v>
      </c>
      <c r="C4665" t="s">
        <v>22</v>
      </c>
      <c r="D4665">
        <v>119028</v>
      </c>
      <c r="E4665" t="s">
        <v>57</v>
      </c>
      <c r="F4665" t="s">
        <v>39</v>
      </c>
      <c r="G4665" t="s">
        <v>40</v>
      </c>
    </row>
    <row r="4666" spans="1:7" x14ac:dyDescent="0.3">
      <c r="A4666" t="s">
        <v>55</v>
      </c>
      <c r="B4666" t="s">
        <v>8</v>
      </c>
      <c r="C4666" t="s">
        <v>9</v>
      </c>
      <c r="D4666">
        <v>76</v>
      </c>
      <c r="E4666" t="s">
        <v>57</v>
      </c>
      <c r="F4666" t="s">
        <v>39</v>
      </c>
      <c r="G4666" t="s">
        <v>40</v>
      </c>
    </row>
    <row r="4667" spans="1:7" x14ac:dyDescent="0.3">
      <c r="A4667" t="s">
        <v>55</v>
      </c>
      <c r="B4667" t="s">
        <v>8</v>
      </c>
      <c r="C4667" t="s">
        <v>13</v>
      </c>
      <c r="D4667">
        <v>4</v>
      </c>
      <c r="E4667" t="s">
        <v>57</v>
      </c>
      <c r="F4667" t="s">
        <v>39</v>
      </c>
      <c r="G4667" t="s">
        <v>40</v>
      </c>
    </row>
    <row r="4668" spans="1:7" x14ac:dyDescent="0.3">
      <c r="A4668" t="s">
        <v>55</v>
      </c>
      <c r="B4668" t="s">
        <v>8</v>
      </c>
      <c r="C4668" t="s">
        <v>14</v>
      </c>
      <c r="D4668">
        <v>0</v>
      </c>
      <c r="E4668" t="s">
        <v>57</v>
      </c>
      <c r="F4668" t="s">
        <v>39</v>
      </c>
      <c r="G4668" t="s">
        <v>40</v>
      </c>
    </row>
    <row r="4669" spans="1:7" x14ac:dyDescent="0.3">
      <c r="A4669" t="s">
        <v>55</v>
      </c>
      <c r="B4669" t="s">
        <v>8</v>
      </c>
      <c r="C4669" t="s">
        <v>15</v>
      </c>
      <c r="D4669">
        <v>1</v>
      </c>
      <c r="E4669" t="s">
        <v>57</v>
      </c>
      <c r="F4669" t="s">
        <v>39</v>
      </c>
      <c r="G4669" t="s">
        <v>40</v>
      </c>
    </row>
    <row r="4670" spans="1:7" x14ac:dyDescent="0.3">
      <c r="A4670" t="s">
        <v>55</v>
      </c>
      <c r="B4670" t="s">
        <v>8</v>
      </c>
      <c r="C4670" t="s">
        <v>16</v>
      </c>
      <c r="D4670">
        <v>2</v>
      </c>
      <c r="E4670" t="s">
        <v>57</v>
      </c>
      <c r="F4670" t="s">
        <v>39</v>
      </c>
      <c r="G4670" t="s">
        <v>40</v>
      </c>
    </row>
    <row r="4671" spans="1:7" x14ac:dyDescent="0.3">
      <c r="A4671" t="s">
        <v>55</v>
      </c>
      <c r="B4671" t="s">
        <v>8</v>
      </c>
      <c r="C4671" t="s">
        <v>17</v>
      </c>
      <c r="D4671">
        <v>6</v>
      </c>
      <c r="E4671" t="s">
        <v>57</v>
      </c>
      <c r="F4671" t="s">
        <v>39</v>
      </c>
      <c r="G4671" t="s">
        <v>40</v>
      </c>
    </row>
    <row r="4672" spans="1:7" x14ac:dyDescent="0.3">
      <c r="A4672" t="s">
        <v>55</v>
      </c>
      <c r="B4672" t="s">
        <v>8</v>
      </c>
      <c r="C4672" t="s">
        <v>18</v>
      </c>
      <c r="D4672">
        <v>0</v>
      </c>
      <c r="E4672" t="s">
        <v>57</v>
      </c>
      <c r="F4672" t="s">
        <v>39</v>
      </c>
      <c r="G4672" t="s">
        <v>40</v>
      </c>
    </row>
    <row r="4673" spans="1:7" x14ac:dyDescent="0.3">
      <c r="A4673" t="s">
        <v>55</v>
      </c>
      <c r="B4673" t="s">
        <v>8</v>
      </c>
      <c r="C4673" t="s">
        <v>19</v>
      </c>
      <c r="D4673">
        <v>0</v>
      </c>
      <c r="E4673" t="s">
        <v>57</v>
      </c>
      <c r="F4673" t="s">
        <v>39</v>
      </c>
      <c r="G4673" t="s">
        <v>40</v>
      </c>
    </row>
    <row r="4674" spans="1:7" x14ac:dyDescent="0.3">
      <c r="A4674" t="s">
        <v>55</v>
      </c>
      <c r="B4674" t="s">
        <v>8</v>
      </c>
      <c r="C4674" t="s">
        <v>20</v>
      </c>
      <c r="D4674">
        <v>0</v>
      </c>
      <c r="E4674" t="s">
        <v>57</v>
      </c>
      <c r="F4674" t="s">
        <v>39</v>
      </c>
      <c r="G4674" t="s">
        <v>40</v>
      </c>
    </row>
    <row r="4675" spans="1:7" x14ac:dyDescent="0.3">
      <c r="A4675" t="s">
        <v>55</v>
      </c>
      <c r="B4675" t="s">
        <v>8</v>
      </c>
      <c r="C4675" t="s">
        <v>21</v>
      </c>
      <c r="D4675">
        <v>0</v>
      </c>
      <c r="E4675" t="s">
        <v>57</v>
      </c>
      <c r="F4675" t="s">
        <v>39</v>
      </c>
      <c r="G4675" t="s">
        <v>40</v>
      </c>
    </row>
    <row r="4676" spans="1:7" x14ac:dyDescent="0.3">
      <c r="A4676" t="s">
        <v>55</v>
      </c>
      <c r="B4676" t="s">
        <v>8</v>
      </c>
      <c r="C4676" t="s">
        <v>22</v>
      </c>
      <c r="D4676">
        <v>57</v>
      </c>
      <c r="E4676" t="s">
        <v>57</v>
      </c>
      <c r="F4676" t="s">
        <v>39</v>
      </c>
      <c r="G4676" t="s">
        <v>40</v>
      </c>
    </row>
    <row r="4677" spans="1:7" x14ac:dyDescent="0.3">
      <c r="A4677" t="s">
        <v>55</v>
      </c>
      <c r="B4677" t="s">
        <v>23</v>
      </c>
      <c r="C4677" t="s">
        <v>9</v>
      </c>
      <c r="D4677">
        <v>37799</v>
      </c>
      <c r="E4677" t="s">
        <v>57</v>
      </c>
      <c r="F4677" t="s">
        <v>39</v>
      </c>
      <c r="G4677" t="s">
        <v>40</v>
      </c>
    </row>
    <row r="4678" spans="1:7" x14ac:dyDescent="0.3">
      <c r="A4678" t="s">
        <v>55</v>
      </c>
      <c r="B4678" t="s">
        <v>23</v>
      </c>
      <c r="C4678" t="s">
        <v>13</v>
      </c>
      <c r="D4678">
        <v>285</v>
      </c>
      <c r="E4678" t="s">
        <v>57</v>
      </c>
      <c r="F4678" t="s">
        <v>39</v>
      </c>
      <c r="G4678" t="s">
        <v>40</v>
      </c>
    </row>
    <row r="4679" spans="1:7" x14ac:dyDescent="0.3">
      <c r="A4679" t="s">
        <v>55</v>
      </c>
      <c r="B4679" t="s">
        <v>23</v>
      </c>
      <c r="C4679" t="s">
        <v>14</v>
      </c>
      <c r="D4679">
        <v>1278</v>
      </c>
      <c r="E4679" t="s">
        <v>57</v>
      </c>
      <c r="F4679" t="s">
        <v>39</v>
      </c>
      <c r="G4679" t="s">
        <v>40</v>
      </c>
    </row>
    <row r="4680" spans="1:7" x14ac:dyDescent="0.3">
      <c r="A4680" t="s">
        <v>55</v>
      </c>
      <c r="B4680" t="s">
        <v>23</v>
      </c>
      <c r="C4680" t="s">
        <v>15</v>
      </c>
      <c r="D4680">
        <v>39</v>
      </c>
      <c r="E4680" t="s">
        <v>57</v>
      </c>
      <c r="F4680" t="s">
        <v>39</v>
      </c>
      <c r="G4680" t="s">
        <v>40</v>
      </c>
    </row>
    <row r="4681" spans="1:7" x14ac:dyDescent="0.3">
      <c r="A4681" t="s">
        <v>55</v>
      </c>
      <c r="B4681" t="s">
        <v>23</v>
      </c>
      <c r="C4681" t="s">
        <v>16</v>
      </c>
      <c r="D4681">
        <v>3758</v>
      </c>
      <c r="E4681" t="s">
        <v>57</v>
      </c>
      <c r="F4681" t="s">
        <v>39</v>
      </c>
      <c r="G4681" t="s">
        <v>40</v>
      </c>
    </row>
    <row r="4682" spans="1:7" x14ac:dyDescent="0.3">
      <c r="A4682" t="s">
        <v>55</v>
      </c>
      <c r="B4682" t="s">
        <v>23</v>
      </c>
      <c r="C4682" t="s">
        <v>17</v>
      </c>
      <c r="D4682">
        <v>356</v>
      </c>
      <c r="E4682" t="s">
        <v>57</v>
      </c>
      <c r="F4682" t="s">
        <v>39</v>
      </c>
      <c r="G4682" t="s">
        <v>40</v>
      </c>
    </row>
    <row r="4683" spans="1:7" x14ac:dyDescent="0.3">
      <c r="A4683" t="s">
        <v>55</v>
      </c>
      <c r="B4683" t="s">
        <v>23</v>
      </c>
      <c r="C4683" t="s">
        <v>18</v>
      </c>
      <c r="D4683">
        <v>0</v>
      </c>
      <c r="E4683" t="s">
        <v>57</v>
      </c>
      <c r="F4683" t="s">
        <v>39</v>
      </c>
      <c r="G4683" t="s">
        <v>40</v>
      </c>
    </row>
    <row r="4684" spans="1:7" x14ac:dyDescent="0.3">
      <c r="A4684" t="s">
        <v>55</v>
      </c>
      <c r="B4684" t="s">
        <v>23</v>
      </c>
      <c r="C4684" t="s">
        <v>19</v>
      </c>
      <c r="D4684">
        <v>41</v>
      </c>
      <c r="E4684" t="s">
        <v>57</v>
      </c>
      <c r="F4684" t="s">
        <v>39</v>
      </c>
      <c r="G4684" t="s">
        <v>40</v>
      </c>
    </row>
    <row r="4685" spans="1:7" x14ac:dyDescent="0.3">
      <c r="A4685" t="s">
        <v>55</v>
      </c>
      <c r="B4685" t="s">
        <v>23</v>
      </c>
      <c r="C4685" t="s">
        <v>20</v>
      </c>
      <c r="D4685">
        <v>235</v>
      </c>
      <c r="E4685" t="s">
        <v>57</v>
      </c>
      <c r="F4685" t="s">
        <v>39</v>
      </c>
      <c r="G4685" t="s">
        <v>40</v>
      </c>
    </row>
    <row r="4686" spans="1:7" x14ac:dyDescent="0.3">
      <c r="A4686" t="s">
        <v>55</v>
      </c>
      <c r="B4686" t="s">
        <v>23</v>
      </c>
      <c r="C4686" t="s">
        <v>21</v>
      </c>
      <c r="D4686">
        <v>51</v>
      </c>
      <c r="E4686" t="s">
        <v>57</v>
      </c>
      <c r="F4686" t="s">
        <v>39</v>
      </c>
      <c r="G4686" t="s">
        <v>40</v>
      </c>
    </row>
    <row r="4687" spans="1:7" x14ac:dyDescent="0.3">
      <c r="A4687" t="s">
        <v>55</v>
      </c>
      <c r="B4687" t="s">
        <v>23</v>
      </c>
      <c r="C4687" t="s">
        <v>22</v>
      </c>
      <c r="D4687">
        <v>149</v>
      </c>
      <c r="E4687" t="s">
        <v>57</v>
      </c>
      <c r="F4687" t="s">
        <v>39</v>
      </c>
      <c r="G4687" t="s">
        <v>40</v>
      </c>
    </row>
    <row r="4688" spans="1:7" x14ac:dyDescent="0.3">
      <c r="A4688" t="s">
        <v>35</v>
      </c>
      <c r="B4688" t="s">
        <v>8</v>
      </c>
      <c r="C4688" t="s">
        <v>9</v>
      </c>
      <c r="D4688">
        <v>0</v>
      </c>
      <c r="E4688" t="s">
        <v>57</v>
      </c>
      <c r="F4688" t="s">
        <v>39</v>
      </c>
      <c r="G4688" t="s">
        <v>40</v>
      </c>
    </row>
    <row r="4689" spans="1:7" x14ac:dyDescent="0.3">
      <c r="A4689" t="s">
        <v>35</v>
      </c>
      <c r="B4689" t="s">
        <v>8</v>
      </c>
      <c r="C4689" t="s">
        <v>13</v>
      </c>
      <c r="D4689">
        <v>4</v>
      </c>
      <c r="E4689" t="s">
        <v>57</v>
      </c>
      <c r="F4689" t="s">
        <v>39</v>
      </c>
      <c r="G4689" t="s">
        <v>40</v>
      </c>
    </row>
    <row r="4690" spans="1:7" x14ac:dyDescent="0.3">
      <c r="A4690" t="s">
        <v>35</v>
      </c>
      <c r="B4690" t="s">
        <v>8</v>
      </c>
      <c r="C4690" t="s">
        <v>14</v>
      </c>
      <c r="D4690">
        <v>0</v>
      </c>
      <c r="E4690" t="s">
        <v>57</v>
      </c>
      <c r="F4690" t="s">
        <v>39</v>
      </c>
      <c r="G4690" t="s">
        <v>40</v>
      </c>
    </row>
    <row r="4691" spans="1:7" x14ac:dyDescent="0.3">
      <c r="A4691" t="s">
        <v>35</v>
      </c>
      <c r="B4691" t="s">
        <v>8</v>
      </c>
      <c r="C4691" t="s">
        <v>15</v>
      </c>
      <c r="D4691">
        <v>1</v>
      </c>
      <c r="E4691" t="s">
        <v>57</v>
      </c>
      <c r="F4691" t="s">
        <v>39</v>
      </c>
      <c r="G4691" t="s">
        <v>40</v>
      </c>
    </row>
    <row r="4692" spans="1:7" x14ac:dyDescent="0.3">
      <c r="A4692" t="s">
        <v>35</v>
      </c>
      <c r="B4692" t="s">
        <v>8</v>
      </c>
      <c r="C4692" t="s">
        <v>16</v>
      </c>
      <c r="D4692">
        <v>4</v>
      </c>
      <c r="E4692" t="s">
        <v>57</v>
      </c>
      <c r="F4692" t="s">
        <v>39</v>
      </c>
      <c r="G4692" t="s">
        <v>40</v>
      </c>
    </row>
    <row r="4693" spans="1:7" x14ac:dyDescent="0.3">
      <c r="A4693" t="s">
        <v>35</v>
      </c>
      <c r="B4693" t="s">
        <v>8</v>
      </c>
      <c r="C4693" t="s">
        <v>17</v>
      </c>
      <c r="D4693">
        <v>0</v>
      </c>
      <c r="E4693" t="s">
        <v>57</v>
      </c>
      <c r="F4693" t="s">
        <v>39</v>
      </c>
      <c r="G4693" t="s">
        <v>40</v>
      </c>
    </row>
    <row r="4694" spans="1:7" x14ac:dyDescent="0.3">
      <c r="A4694" t="s">
        <v>35</v>
      </c>
      <c r="B4694" t="s">
        <v>8</v>
      </c>
      <c r="C4694" t="s">
        <v>18</v>
      </c>
      <c r="D4694">
        <v>0</v>
      </c>
      <c r="E4694" t="s">
        <v>57</v>
      </c>
      <c r="F4694" t="s">
        <v>39</v>
      </c>
      <c r="G4694" t="s">
        <v>40</v>
      </c>
    </row>
    <row r="4695" spans="1:7" x14ac:dyDescent="0.3">
      <c r="A4695" t="s">
        <v>35</v>
      </c>
      <c r="B4695" t="s">
        <v>8</v>
      </c>
      <c r="C4695" t="s">
        <v>19</v>
      </c>
      <c r="D4695">
        <v>0</v>
      </c>
      <c r="E4695" t="s">
        <v>57</v>
      </c>
      <c r="F4695" t="s">
        <v>39</v>
      </c>
      <c r="G4695" t="s">
        <v>40</v>
      </c>
    </row>
    <row r="4696" spans="1:7" x14ac:dyDescent="0.3">
      <c r="A4696" t="s">
        <v>35</v>
      </c>
      <c r="B4696" t="s">
        <v>8</v>
      </c>
      <c r="C4696" t="s">
        <v>20</v>
      </c>
      <c r="D4696">
        <v>0</v>
      </c>
      <c r="E4696" t="s">
        <v>57</v>
      </c>
      <c r="F4696" t="s">
        <v>39</v>
      </c>
      <c r="G4696" t="s">
        <v>40</v>
      </c>
    </row>
    <row r="4697" spans="1:7" x14ac:dyDescent="0.3">
      <c r="A4697" t="s">
        <v>35</v>
      </c>
      <c r="B4697" t="s">
        <v>8</v>
      </c>
      <c r="C4697" t="s">
        <v>21</v>
      </c>
      <c r="D4697">
        <v>0</v>
      </c>
      <c r="E4697" t="s">
        <v>57</v>
      </c>
      <c r="F4697" t="s">
        <v>39</v>
      </c>
      <c r="G4697" t="s">
        <v>40</v>
      </c>
    </row>
    <row r="4698" spans="1:7" x14ac:dyDescent="0.3">
      <c r="A4698" t="s">
        <v>35</v>
      </c>
      <c r="B4698" t="s">
        <v>8</v>
      </c>
      <c r="C4698" t="s">
        <v>22</v>
      </c>
      <c r="D4698">
        <v>2687</v>
      </c>
      <c r="E4698" t="s">
        <v>57</v>
      </c>
      <c r="F4698" t="s">
        <v>39</v>
      </c>
      <c r="G4698" t="s">
        <v>40</v>
      </c>
    </row>
    <row r="4699" spans="1:7" x14ac:dyDescent="0.3">
      <c r="A4699" t="s">
        <v>35</v>
      </c>
      <c r="B4699" t="s">
        <v>23</v>
      </c>
      <c r="C4699" t="s">
        <v>9</v>
      </c>
      <c r="D4699">
        <v>491</v>
      </c>
      <c r="E4699" t="s">
        <v>57</v>
      </c>
      <c r="F4699" t="s">
        <v>39</v>
      </c>
      <c r="G4699" t="s">
        <v>40</v>
      </c>
    </row>
    <row r="4700" spans="1:7" x14ac:dyDescent="0.3">
      <c r="A4700" t="s">
        <v>35</v>
      </c>
      <c r="B4700" t="s">
        <v>23</v>
      </c>
      <c r="C4700" t="s">
        <v>13</v>
      </c>
      <c r="D4700">
        <v>6037</v>
      </c>
      <c r="E4700" t="s">
        <v>57</v>
      </c>
      <c r="F4700" t="s">
        <v>39</v>
      </c>
      <c r="G4700" t="s">
        <v>40</v>
      </c>
    </row>
    <row r="4701" spans="1:7" x14ac:dyDescent="0.3">
      <c r="A4701" t="s">
        <v>35</v>
      </c>
      <c r="B4701" t="s">
        <v>23</v>
      </c>
      <c r="C4701" t="s">
        <v>14</v>
      </c>
      <c r="D4701">
        <v>1341</v>
      </c>
      <c r="E4701" t="s">
        <v>57</v>
      </c>
      <c r="F4701" t="s">
        <v>39</v>
      </c>
      <c r="G4701" t="s">
        <v>40</v>
      </c>
    </row>
    <row r="4702" spans="1:7" x14ac:dyDescent="0.3">
      <c r="A4702" t="s">
        <v>35</v>
      </c>
      <c r="B4702" t="s">
        <v>23</v>
      </c>
      <c r="C4702" t="s">
        <v>15</v>
      </c>
      <c r="D4702">
        <v>86</v>
      </c>
      <c r="E4702" t="s">
        <v>57</v>
      </c>
      <c r="F4702" t="s">
        <v>39</v>
      </c>
      <c r="G4702" t="s">
        <v>40</v>
      </c>
    </row>
    <row r="4703" spans="1:7" x14ac:dyDescent="0.3">
      <c r="A4703" t="s">
        <v>35</v>
      </c>
      <c r="B4703" t="s">
        <v>23</v>
      </c>
      <c r="C4703" t="s">
        <v>16</v>
      </c>
      <c r="D4703">
        <v>1913</v>
      </c>
      <c r="E4703" t="s">
        <v>57</v>
      </c>
      <c r="F4703" t="s">
        <v>39</v>
      </c>
      <c r="G4703" t="s">
        <v>40</v>
      </c>
    </row>
    <row r="4704" spans="1:7" x14ac:dyDescent="0.3">
      <c r="A4704" t="s">
        <v>35</v>
      </c>
      <c r="B4704" t="s">
        <v>23</v>
      </c>
      <c r="C4704" t="s">
        <v>17</v>
      </c>
      <c r="D4704">
        <v>133</v>
      </c>
      <c r="E4704" t="s">
        <v>57</v>
      </c>
      <c r="F4704" t="s">
        <v>39</v>
      </c>
      <c r="G4704" t="s">
        <v>40</v>
      </c>
    </row>
    <row r="4705" spans="1:7" x14ac:dyDescent="0.3">
      <c r="A4705" t="s">
        <v>35</v>
      </c>
      <c r="B4705" t="s">
        <v>23</v>
      </c>
      <c r="C4705" t="s">
        <v>18</v>
      </c>
      <c r="D4705">
        <v>0</v>
      </c>
      <c r="E4705" t="s">
        <v>57</v>
      </c>
      <c r="F4705" t="s">
        <v>39</v>
      </c>
      <c r="G4705" t="s">
        <v>40</v>
      </c>
    </row>
    <row r="4706" spans="1:7" x14ac:dyDescent="0.3">
      <c r="A4706" t="s">
        <v>35</v>
      </c>
      <c r="B4706" t="s">
        <v>23</v>
      </c>
      <c r="C4706" t="s">
        <v>19</v>
      </c>
      <c r="D4706">
        <v>110</v>
      </c>
      <c r="E4706" t="s">
        <v>57</v>
      </c>
      <c r="F4706" t="s">
        <v>39</v>
      </c>
      <c r="G4706" t="s">
        <v>40</v>
      </c>
    </row>
    <row r="4707" spans="1:7" x14ac:dyDescent="0.3">
      <c r="A4707" t="s">
        <v>35</v>
      </c>
      <c r="B4707" t="s">
        <v>23</v>
      </c>
      <c r="C4707" t="s">
        <v>20</v>
      </c>
      <c r="D4707">
        <v>264</v>
      </c>
      <c r="E4707" t="s">
        <v>57</v>
      </c>
      <c r="F4707" t="s">
        <v>39</v>
      </c>
      <c r="G4707" t="s">
        <v>40</v>
      </c>
    </row>
    <row r="4708" spans="1:7" x14ac:dyDescent="0.3">
      <c r="A4708" t="s">
        <v>35</v>
      </c>
      <c r="B4708" t="s">
        <v>23</v>
      </c>
      <c r="C4708" t="s">
        <v>21</v>
      </c>
      <c r="D4708">
        <v>28</v>
      </c>
      <c r="E4708" t="s">
        <v>57</v>
      </c>
      <c r="F4708" t="s">
        <v>39</v>
      </c>
      <c r="G4708" t="s">
        <v>40</v>
      </c>
    </row>
    <row r="4709" spans="1:7" x14ac:dyDescent="0.3">
      <c r="A4709" t="s">
        <v>35</v>
      </c>
      <c r="B4709" t="s">
        <v>23</v>
      </c>
      <c r="C4709" t="s">
        <v>22</v>
      </c>
      <c r="D4709">
        <v>51607</v>
      </c>
      <c r="E4709" t="s">
        <v>57</v>
      </c>
      <c r="F4709" t="s">
        <v>39</v>
      </c>
      <c r="G4709" t="s">
        <v>40</v>
      </c>
    </row>
    <row r="4710" spans="1:7" x14ac:dyDescent="0.3">
      <c r="A4710" t="s">
        <v>56</v>
      </c>
      <c r="B4710" t="s">
        <v>8</v>
      </c>
      <c r="C4710" t="s">
        <v>9</v>
      </c>
      <c r="D4710">
        <v>262</v>
      </c>
      <c r="E4710" t="s">
        <v>57</v>
      </c>
      <c r="F4710" t="s">
        <v>39</v>
      </c>
      <c r="G4710" t="s">
        <v>40</v>
      </c>
    </row>
    <row r="4711" spans="1:7" x14ac:dyDescent="0.3">
      <c r="A4711" t="s">
        <v>56</v>
      </c>
      <c r="B4711" t="s">
        <v>8</v>
      </c>
      <c r="C4711" t="s">
        <v>13</v>
      </c>
      <c r="D4711">
        <v>151</v>
      </c>
      <c r="E4711" t="s">
        <v>57</v>
      </c>
      <c r="F4711" t="s">
        <v>39</v>
      </c>
      <c r="G4711" t="s">
        <v>40</v>
      </c>
    </row>
    <row r="4712" spans="1:7" x14ac:dyDescent="0.3">
      <c r="A4712" t="s">
        <v>56</v>
      </c>
      <c r="B4712" t="s">
        <v>8</v>
      </c>
      <c r="C4712" t="s">
        <v>14</v>
      </c>
      <c r="D4712">
        <v>3</v>
      </c>
      <c r="E4712" t="s">
        <v>57</v>
      </c>
      <c r="F4712" t="s">
        <v>39</v>
      </c>
      <c r="G4712" t="s">
        <v>40</v>
      </c>
    </row>
    <row r="4713" spans="1:7" x14ac:dyDescent="0.3">
      <c r="A4713" t="s">
        <v>56</v>
      </c>
      <c r="B4713" t="s">
        <v>8</v>
      </c>
      <c r="C4713" t="s">
        <v>15</v>
      </c>
      <c r="D4713">
        <v>6</v>
      </c>
      <c r="E4713" t="s">
        <v>57</v>
      </c>
      <c r="F4713" t="s">
        <v>39</v>
      </c>
      <c r="G4713" t="s">
        <v>40</v>
      </c>
    </row>
    <row r="4714" spans="1:7" x14ac:dyDescent="0.3">
      <c r="A4714" t="s">
        <v>56</v>
      </c>
      <c r="B4714" t="s">
        <v>8</v>
      </c>
      <c r="C4714" t="s">
        <v>16</v>
      </c>
      <c r="D4714">
        <v>2032</v>
      </c>
      <c r="E4714" t="s">
        <v>57</v>
      </c>
      <c r="F4714" t="s">
        <v>39</v>
      </c>
      <c r="G4714" t="s">
        <v>40</v>
      </c>
    </row>
    <row r="4715" spans="1:7" x14ac:dyDescent="0.3">
      <c r="A4715" t="s">
        <v>56</v>
      </c>
      <c r="B4715" t="s">
        <v>8</v>
      </c>
      <c r="C4715" t="s">
        <v>17</v>
      </c>
      <c r="D4715">
        <v>26</v>
      </c>
      <c r="E4715" t="s">
        <v>57</v>
      </c>
      <c r="F4715" t="s">
        <v>39</v>
      </c>
      <c r="G4715" t="s">
        <v>40</v>
      </c>
    </row>
    <row r="4716" spans="1:7" x14ac:dyDescent="0.3">
      <c r="A4716" t="s">
        <v>56</v>
      </c>
      <c r="B4716" t="s">
        <v>8</v>
      </c>
      <c r="C4716" t="s">
        <v>18</v>
      </c>
      <c r="D4716">
        <v>0</v>
      </c>
      <c r="E4716" t="s">
        <v>57</v>
      </c>
      <c r="F4716" t="s">
        <v>39</v>
      </c>
      <c r="G4716" t="s">
        <v>40</v>
      </c>
    </row>
    <row r="4717" spans="1:7" x14ac:dyDescent="0.3">
      <c r="A4717" t="s">
        <v>56</v>
      </c>
      <c r="B4717" t="s">
        <v>8</v>
      </c>
      <c r="C4717" t="s">
        <v>19</v>
      </c>
      <c r="D4717">
        <v>0</v>
      </c>
      <c r="E4717" t="s">
        <v>57</v>
      </c>
      <c r="F4717" t="s">
        <v>39</v>
      </c>
      <c r="G4717" t="s">
        <v>40</v>
      </c>
    </row>
    <row r="4718" spans="1:7" x14ac:dyDescent="0.3">
      <c r="A4718" t="s">
        <v>56</v>
      </c>
      <c r="B4718" t="s">
        <v>8</v>
      </c>
      <c r="C4718" t="s">
        <v>20</v>
      </c>
      <c r="D4718">
        <v>0</v>
      </c>
      <c r="E4718" t="s">
        <v>57</v>
      </c>
      <c r="F4718" t="s">
        <v>39</v>
      </c>
      <c r="G4718" t="s">
        <v>40</v>
      </c>
    </row>
    <row r="4719" spans="1:7" x14ac:dyDescent="0.3">
      <c r="A4719" t="s">
        <v>56</v>
      </c>
      <c r="B4719" t="s">
        <v>8</v>
      </c>
      <c r="C4719" t="s">
        <v>21</v>
      </c>
      <c r="D4719">
        <v>0</v>
      </c>
      <c r="E4719" t="s">
        <v>57</v>
      </c>
      <c r="F4719" t="s">
        <v>39</v>
      </c>
      <c r="G4719" t="s">
        <v>40</v>
      </c>
    </row>
    <row r="4720" spans="1:7" x14ac:dyDescent="0.3">
      <c r="A4720" t="s">
        <v>56</v>
      </c>
      <c r="B4720" t="s">
        <v>8</v>
      </c>
      <c r="C4720" t="s">
        <v>22</v>
      </c>
      <c r="D4720">
        <v>642</v>
      </c>
      <c r="E4720" t="s">
        <v>57</v>
      </c>
      <c r="F4720" t="s">
        <v>39</v>
      </c>
      <c r="G4720" t="s">
        <v>40</v>
      </c>
    </row>
    <row r="4721" spans="1:7" x14ac:dyDescent="0.3">
      <c r="A4721" t="s">
        <v>56</v>
      </c>
      <c r="B4721" t="s">
        <v>23</v>
      </c>
      <c r="C4721" t="s">
        <v>9</v>
      </c>
      <c r="D4721">
        <v>129974</v>
      </c>
      <c r="E4721" t="s">
        <v>57</v>
      </c>
      <c r="F4721" t="s">
        <v>39</v>
      </c>
      <c r="G4721" t="s">
        <v>40</v>
      </c>
    </row>
    <row r="4722" spans="1:7" x14ac:dyDescent="0.3">
      <c r="A4722" t="s">
        <v>56</v>
      </c>
      <c r="B4722" t="s">
        <v>23</v>
      </c>
      <c r="C4722" t="s">
        <v>13</v>
      </c>
      <c r="D4722">
        <v>46008</v>
      </c>
      <c r="E4722" t="s">
        <v>57</v>
      </c>
      <c r="F4722" t="s">
        <v>39</v>
      </c>
      <c r="G4722" t="s">
        <v>40</v>
      </c>
    </row>
    <row r="4723" spans="1:7" x14ac:dyDescent="0.3">
      <c r="A4723" t="s">
        <v>56</v>
      </c>
      <c r="B4723" t="s">
        <v>23</v>
      </c>
      <c r="C4723" t="s">
        <v>14</v>
      </c>
      <c r="D4723">
        <v>5158</v>
      </c>
      <c r="E4723" t="s">
        <v>57</v>
      </c>
      <c r="F4723" t="s">
        <v>39</v>
      </c>
      <c r="G4723" t="s">
        <v>40</v>
      </c>
    </row>
    <row r="4724" spans="1:7" x14ac:dyDescent="0.3">
      <c r="A4724" t="s">
        <v>56</v>
      </c>
      <c r="B4724" t="s">
        <v>23</v>
      </c>
      <c r="C4724" t="s">
        <v>15</v>
      </c>
      <c r="D4724">
        <v>215</v>
      </c>
      <c r="E4724" t="s">
        <v>57</v>
      </c>
      <c r="F4724" t="s">
        <v>39</v>
      </c>
      <c r="G4724" t="s">
        <v>40</v>
      </c>
    </row>
    <row r="4725" spans="1:7" x14ac:dyDescent="0.3">
      <c r="A4725" t="s">
        <v>56</v>
      </c>
      <c r="B4725" t="s">
        <v>23</v>
      </c>
      <c r="C4725" t="s">
        <v>16</v>
      </c>
      <c r="D4725">
        <v>214935</v>
      </c>
      <c r="E4725" t="s">
        <v>57</v>
      </c>
      <c r="F4725" t="s">
        <v>39</v>
      </c>
      <c r="G4725" t="s">
        <v>40</v>
      </c>
    </row>
    <row r="4726" spans="1:7" x14ac:dyDescent="0.3">
      <c r="A4726" t="s">
        <v>56</v>
      </c>
      <c r="B4726" t="s">
        <v>23</v>
      </c>
      <c r="C4726" t="s">
        <v>17</v>
      </c>
      <c r="D4726">
        <v>1267</v>
      </c>
      <c r="E4726" t="s">
        <v>57</v>
      </c>
      <c r="F4726" t="s">
        <v>39</v>
      </c>
      <c r="G4726" t="s">
        <v>40</v>
      </c>
    </row>
    <row r="4727" spans="1:7" x14ac:dyDescent="0.3">
      <c r="A4727" t="s">
        <v>56</v>
      </c>
      <c r="B4727" t="s">
        <v>23</v>
      </c>
      <c r="C4727" t="s">
        <v>18</v>
      </c>
      <c r="D4727">
        <v>0</v>
      </c>
      <c r="E4727" t="s">
        <v>57</v>
      </c>
      <c r="F4727" t="s">
        <v>39</v>
      </c>
      <c r="G4727" t="s">
        <v>40</v>
      </c>
    </row>
    <row r="4728" spans="1:7" x14ac:dyDescent="0.3">
      <c r="A4728" t="s">
        <v>56</v>
      </c>
      <c r="B4728" t="s">
        <v>23</v>
      </c>
      <c r="C4728" t="s">
        <v>19</v>
      </c>
      <c r="D4728">
        <v>316</v>
      </c>
      <c r="E4728" t="s">
        <v>57</v>
      </c>
      <c r="F4728" t="s">
        <v>39</v>
      </c>
      <c r="G4728" t="s">
        <v>40</v>
      </c>
    </row>
    <row r="4729" spans="1:7" x14ac:dyDescent="0.3">
      <c r="A4729" t="s">
        <v>56</v>
      </c>
      <c r="B4729" t="s">
        <v>23</v>
      </c>
      <c r="C4729" t="s">
        <v>20</v>
      </c>
      <c r="D4729">
        <v>2687</v>
      </c>
      <c r="E4729" t="s">
        <v>57</v>
      </c>
      <c r="F4729" t="s">
        <v>39</v>
      </c>
      <c r="G4729" t="s">
        <v>40</v>
      </c>
    </row>
    <row r="4730" spans="1:7" x14ac:dyDescent="0.3">
      <c r="A4730" t="s">
        <v>56</v>
      </c>
      <c r="B4730" t="s">
        <v>23</v>
      </c>
      <c r="C4730" t="s">
        <v>21</v>
      </c>
      <c r="D4730">
        <v>188</v>
      </c>
      <c r="E4730" t="s">
        <v>57</v>
      </c>
      <c r="F4730" t="s">
        <v>39</v>
      </c>
      <c r="G4730" t="s">
        <v>40</v>
      </c>
    </row>
    <row r="4731" spans="1:7" x14ac:dyDescent="0.3">
      <c r="A4731" t="s">
        <v>56</v>
      </c>
      <c r="B4731" t="s">
        <v>23</v>
      </c>
      <c r="C4731" t="s">
        <v>22</v>
      </c>
      <c r="D4731">
        <v>7724</v>
      </c>
      <c r="E4731" t="s">
        <v>57</v>
      </c>
      <c r="F4731" t="s">
        <v>39</v>
      </c>
      <c r="G4731" t="s">
        <v>40</v>
      </c>
    </row>
    <row r="4732" spans="1:7" x14ac:dyDescent="0.3">
      <c r="A4732" t="s">
        <v>66</v>
      </c>
      <c r="B4732" t="s">
        <v>8</v>
      </c>
      <c r="C4732" t="s">
        <v>9</v>
      </c>
      <c r="D4732">
        <v>167</v>
      </c>
      <c r="E4732" t="s">
        <v>57</v>
      </c>
      <c r="F4732" t="s">
        <v>39</v>
      </c>
      <c r="G4732" t="s">
        <v>40</v>
      </c>
    </row>
    <row r="4733" spans="1:7" x14ac:dyDescent="0.3">
      <c r="A4733" t="s">
        <v>66</v>
      </c>
      <c r="B4733" t="s">
        <v>8</v>
      </c>
      <c r="C4733" t="s">
        <v>13</v>
      </c>
      <c r="D4733">
        <v>8</v>
      </c>
      <c r="E4733" t="s">
        <v>57</v>
      </c>
      <c r="F4733" t="s">
        <v>39</v>
      </c>
      <c r="G4733" t="s">
        <v>40</v>
      </c>
    </row>
    <row r="4734" spans="1:7" x14ac:dyDescent="0.3">
      <c r="A4734" t="s">
        <v>66</v>
      </c>
      <c r="B4734" t="s">
        <v>8</v>
      </c>
      <c r="C4734" t="s">
        <v>14</v>
      </c>
      <c r="D4734">
        <v>0</v>
      </c>
      <c r="E4734" t="s">
        <v>57</v>
      </c>
      <c r="F4734" t="s">
        <v>39</v>
      </c>
      <c r="G4734" t="s">
        <v>40</v>
      </c>
    </row>
    <row r="4735" spans="1:7" x14ac:dyDescent="0.3">
      <c r="A4735" t="s">
        <v>66</v>
      </c>
      <c r="B4735" t="s">
        <v>8</v>
      </c>
      <c r="C4735" t="s">
        <v>15</v>
      </c>
      <c r="D4735">
        <v>3</v>
      </c>
      <c r="E4735" t="s">
        <v>57</v>
      </c>
      <c r="F4735" t="s">
        <v>39</v>
      </c>
      <c r="G4735" t="s">
        <v>40</v>
      </c>
    </row>
    <row r="4736" spans="1:7" x14ac:dyDescent="0.3">
      <c r="A4736" t="s">
        <v>66</v>
      </c>
      <c r="B4736" t="s">
        <v>8</v>
      </c>
      <c r="C4736" t="s">
        <v>16</v>
      </c>
      <c r="D4736">
        <v>4</v>
      </c>
      <c r="E4736" t="s">
        <v>57</v>
      </c>
      <c r="F4736" t="s">
        <v>39</v>
      </c>
      <c r="G4736" t="s">
        <v>40</v>
      </c>
    </row>
    <row r="4737" spans="1:7" x14ac:dyDescent="0.3">
      <c r="A4737" t="s">
        <v>66</v>
      </c>
      <c r="B4737" t="s">
        <v>8</v>
      </c>
      <c r="C4737" t="s">
        <v>17</v>
      </c>
      <c r="D4737">
        <v>13</v>
      </c>
      <c r="E4737" t="s">
        <v>57</v>
      </c>
      <c r="F4737" t="s">
        <v>39</v>
      </c>
      <c r="G4737" t="s">
        <v>40</v>
      </c>
    </row>
    <row r="4738" spans="1:7" x14ac:dyDescent="0.3">
      <c r="A4738" t="s">
        <v>66</v>
      </c>
      <c r="B4738" t="s">
        <v>8</v>
      </c>
      <c r="C4738" t="s">
        <v>18</v>
      </c>
      <c r="D4738">
        <v>0</v>
      </c>
      <c r="E4738" t="s">
        <v>57</v>
      </c>
      <c r="F4738" t="s">
        <v>39</v>
      </c>
      <c r="G4738" t="s">
        <v>40</v>
      </c>
    </row>
    <row r="4739" spans="1:7" x14ac:dyDescent="0.3">
      <c r="A4739" t="s">
        <v>66</v>
      </c>
      <c r="B4739" t="s">
        <v>8</v>
      </c>
      <c r="C4739" t="s">
        <v>19</v>
      </c>
      <c r="D4739">
        <v>0</v>
      </c>
      <c r="E4739" t="s">
        <v>57</v>
      </c>
      <c r="F4739" t="s">
        <v>39</v>
      </c>
      <c r="G4739" t="s">
        <v>40</v>
      </c>
    </row>
    <row r="4740" spans="1:7" x14ac:dyDescent="0.3">
      <c r="A4740" t="s">
        <v>66</v>
      </c>
      <c r="B4740" t="s">
        <v>8</v>
      </c>
      <c r="C4740" t="s">
        <v>20</v>
      </c>
      <c r="D4740">
        <v>0</v>
      </c>
      <c r="E4740" t="s">
        <v>57</v>
      </c>
      <c r="F4740" t="s">
        <v>39</v>
      </c>
      <c r="G4740" t="s">
        <v>40</v>
      </c>
    </row>
    <row r="4741" spans="1:7" x14ac:dyDescent="0.3">
      <c r="A4741" t="s">
        <v>66</v>
      </c>
      <c r="B4741" t="s">
        <v>8</v>
      </c>
      <c r="C4741" t="s">
        <v>21</v>
      </c>
      <c r="D4741">
        <v>0</v>
      </c>
      <c r="E4741" t="s">
        <v>57</v>
      </c>
      <c r="F4741" t="s">
        <v>39</v>
      </c>
      <c r="G4741" t="s">
        <v>40</v>
      </c>
    </row>
    <row r="4742" spans="1:7" x14ac:dyDescent="0.3">
      <c r="A4742" t="s">
        <v>66</v>
      </c>
      <c r="B4742" t="s">
        <v>8</v>
      </c>
      <c r="C4742" t="s">
        <v>22</v>
      </c>
      <c r="D4742">
        <v>126</v>
      </c>
      <c r="E4742" t="s">
        <v>57</v>
      </c>
      <c r="F4742" t="s">
        <v>39</v>
      </c>
      <c r="G4742" t="s">
        <v>40</v>
      </c>
    </row>
    <row r="4743" spans="1:7" x14ac:dyDescent="0.3">
      <c r="A4743" t="s">
        <v>66</v>
      </c>
      <c r="B4743" t="s">
        <v>23</v>
      </c>
      <c r="C4743" t="s">
        <v>9</v>
      </c>
      <c r="D4743">
        <v>83176</v>
      </c>
      <c r="E4743" t="s">
        <v>57</v>
      </c>
      <c r="F4743" t="s">
        <v>39</v>
      </c>
      <c r="G4743" t="s">
        <v>40</v>
      </c>
    </row>
    <row r="4744" spans="1:7" x14ac:dyDescent="0.3">
      <c r="A4744" t="s">
        <v>66</v>
      </c>
      <c r="B4744" t="s">
        <v>23</v>
      </c>
      <c r="C4744" t="s">
        <v>13</v>
      </c>
      <c r="D4744">
        <v>627</v>
      </c>
      <c r="E4744" t="s">
        <v>57</v>
      </c>
      <c r="F4744" t="s">
        <v>39</v>
      </c>
      <c r="G4744" t="s">
        <v>40</v>
      </c>
    </row>
    <row r="4745" spans="1:7" x14ac:dyDescent="0.3">
      <c r="A4745" t="s">
        <v>66</v>
      </c>
      <c r="B4745" t="s">
        <v>23</v>
      </c>
      <c r="C4745" t="s">
        <v>14</v>
      </c>
      <c r="D4745">
        <v>2811</v>
      </c>
      <c r="E4745" t="s">
        <v>57</v>
      </c>
      <c r="F4745" t="s">
        <v>39</v>
      </c>
      <c r="G4745" t="s">
        <v>40</v>
      </c>
    </row>
    <row r="4746" spans="1:7" x14ac:dyDescent="0.3">
      <c r="A4746" t="s">
        <v>66</v>
      </c>
      <c r="B4746" t="s">
        <v>23</v>
      </c>
      <c r="C4746" t="s">
        <v>15</v>
      </c>
      <c r="D4746">
        <v>86</v>
      </c>
      <c r="E4746" t="s">
        <v>57</v>
      </c>
      <c r="F4746" t="s">
        <v>39</v>
      </c>
      <c r="G4746" t="s">
        <v>40</v>
      </c>
    </row>
    <row r="4747" spans="1:7" x14ac:dyDescent="0.3">
      <c r="A4747" t="s">
        <v>66</v>
      </c>
      <c r="B4747" t="s">
        <v>23</v>
      </c>
      <c r="C4747" t="s">
        <v>16</v>
      </c>
      <c r="D4747">
        <v>8269</v>
      </c>
      <c r="E4747" t="s">
        <v>57</v>
      </c>
      <c r="F4747" t="s">
        <v>39</v>
      </c>
      <c r="G4747" t="s">
        <v>40</v>
      </c>
    </row>
    <row r="4748" spans="1:7" x14ac:dyDescent="0.3">
      <c r="A4748" t="s">
        <v>66</v>
      </c>
      <c r="B4748" t="s">
        <v>23</v>
      </c>
      <c r="C4748" t="s">
        <v>17</v>
      </c>
      <c r="D4748">
        <v>784</v>
      </c>
      <c r="E4748" t="s">
        <v>57</v>
      </c>
      <c r="F4748" t="s">
        <v>39</v>
      </c>
      <c r="G4748" t="s">
        <v>40</v>
      </c>
    </row>
    <row r="4749" spans="1:7" x14ac:dyDescent="0.3">
      <c r="A4749" t="s">
        <v>66</v>
      </c>
      <c r="B4749" t="s">
        <v>23</v>
      </c>
      <c r="C4749" t="s">
        <v>18</v>
      </c>
      <c r="D4749">
        <v>0</v>
      </c>
      <c r="E4749" t="s">
        <v>57</v>
      </c>
      <c r="F4749" t="s">
        <v>39</v>
      </c>
      <c r="G4749" t="s">
        <v>40</v>
      </c>
    </row>
    <row r="4750" spans="1:7" x14ac:dyDescent="0.3">
      <c r="A4750" t="s">
        <v>66</v>
      </c>
      <c r="B4750" t="s">
        <v>23</v>
      </c>
      <c r="C4750" t="s">
        <v>19</v>
      </c>
      <c r="D4750">
        <v>91</v>
      </c>
      <c r="E4750" t="s">
        <v>57</v>
      </c>
      <c r="F4750" t="s">
        <v>39</v>
      </c>
      <c r="G4750" t="s">
        <v>40</v>
      </c>
    </row>
    <row r="4751" spans="1:7" x14ac:dyDescent="0.3">
      <c r="A4751" t="s">
        <v>66</v>
      </c>
      <c r="B4751" t="s">
        <v>23</v>
      </c>
      <c r="C4751" t="s">
        <v>20</v>
      </c>
      <c r="D4751">
        <v>517</v>
      </c>
      <c r="E4751" t="s">
        <v>57</v>
      </c>
      <c r="F4751" t="s">
        <v>39</v>
      </c>
      <c r="G4751" t="s">
        <v>40</v>
      </c>
    </row>
    <row r="4752" spans="1:7" x14ac:dyDescent="0.3">
      <c r="A4752" t="s">
        <v>66</v>
      </c>
      <c r="B4752" t="s">
        <v>23</v>
      </c>
      <c r="C4752" t="s">
        <v>21</v>
      </c>
      <c r="D4752">
        <v>112</v>
      </c>
      <c r="E4752" t="s">
        <v>57</v>
      </c>
      <c r="F4752" t="s">
        <v>39</v>
      </c>
      <c r="G4752" t="s">
        <v>40</v>
      </c>
    </row>
    <row r="4753" spans="1:7" x14ac:dyDescent="0.3">
      <c r="A4753" t="s">
        <v>66</v>
      </c>
      <c r="B4753" t="s">
        <v>23</v>
      </c>
      <c r="C4753" t="s">
        <v>22</v>
      </c>
      <c r="D4753">
        <v>329</v>
      </c>
      <c r="E4753" t="s">
        <v>57</v>
      </c>
      <c r="F4753" t="s">
        <v>39</v>
      </c>
      <c r="G4753" t="s">
        <v>40</v>
      </c>
    </row>
    <row r="4754" spans="1:7" x14ac:dyDescent="0.3">
      <c r="A4754" t="s">
        <v>67</v>
      </c>
      <c r="B4754" t="s">
        <v>8</v>
      </c>
      <c r="C4754" t="s">
        <v>9</v>
      </c>
      <c r="D4754">
        <v>2</v>
      </c>
      <c r="E4754" t="s">
        <v>68</v>
      </c>
      <c r="F4754" t="s">
        <v>11</v>
      </c>
      <c r="G4754" t="s">
        <v>12</v>
      </c>
    </row>
    <row r="4755" spans="1:7" x14ac:dyDescent="0.3">
      <c r="A4755" t="s">
        <v>67</v>
      </c>
      <c r="B4755" t="s">
        <v>8</v>
      </c>
      <c r="C4755" t="s">
        <v>13</v>
      </c>
      <c r="D4755">
        <v>0</v>
      </c>
      <c r="E4755" t="s">
        <v>68</v>
      </c>
      <c r="F4755" t="s">
        <v>11</v>
      </c>
      <c r="G4755" t="s">
        <v>12</v>
      </c>
    </row>
    <row r="4756" spans="1:7" x14ac:dyDescent="0.3">
      <c r="A4756" t="s">
        <v>67</v>
      </c>
      <c r="B4756" t="s">
        <v>8</v>
      </c>
      <c r="C4756" t="s">
        <v>14</v>
      </c>
      <c r="D4756">
        <v>21</v>
      </c>
      <c r="E4756" t="s">
        <v>68</v>
      </c>
      <c r="F4756" t="s">
        <v>11</v>
      </c>
      <c r="G4756" t="s">
        <v>12</v>
      </c>
    </row>
    <row r="4757" spans="1:7" x14ac:dyDescent="0.3">
      <c r="A4757" t="s">
        <v>67</v>
      </c>
      <c r="B4757" t="s">
        <v>8</v>
      </c>
      <c r="C4757" t="s">
        <v>15</v>
      </c>
      <c r="D4757">
        <v>0</v>
      </c>
      <c r="E4757" t="s">
        <v>68</v>
      </c>
      <c r="F4757" t="s">
        <v>11</v>
      </c>
      <c r="G4757" t="s">
        <v>12</v>
      </c>
    </row>
    <row r="4758" spans="1:7" x14ac:dyDescent="0.3">
      <c r="A4758" t="s">
        <v>67</v>
      </c>
      <c r="B4758" t="s">
        <v>8</v>
      </c>
      <c r="C4758" t="s">
        <v>16</v>
      </c>
      <c r="D4758">
        <v>11506</v>
      </c>
      <c r="E4758" t="s">
        <v>68</v>
      </c>
      <c r="F4758" t="s">
        <v>11</v>
      </c>
      <c r="G4758" t="s">
        <v>12</v>
      </c>
    </row>
    <row r="4759" spans="1:7" x14ac:dyDescent="0.3">
      <c r="A4759" t="s">
        <v>67</v>
      </c>
      <c r="B4759" t="s">
        <v>8</v>
      </c>
      <c r="C4759" t="s">
        <v>17</v>
      </c>
      <c r="D4759">
        <v>15</v>
      </c>
      <c r="E4759" t="s">
        <v>68</v>
      </c>
      <c r="F4759" t="s">
        <v>11</v>
      </c>
      <c r="G4759" t="s">
        <v>12</v>
      </c>
    </row>
    <row r="4760" spans="1:7" x14ac:dyDescent="0.3">
      <c r="A4760" t="s">
        <v>67</v>
      </c>
      <c r="B4760" t="s">
        <v>8</v>
      </c>
      <c r="C4760" t="s">
        <v>18</v>
      </c>
      <c r="D4760">
        <v>0</v>
      </c>
      <c r="E4760" t="s">
        <v>68</v>
      </c>
      <c r="F4760" t="s">
        <v>11</v>
      </c>
      <c r="G4760" t="s">
        <v>12</v>
      </c>
    </row>
    <row r="4761" spans="1:7" x14ac:dyDescent="0.3">
      <c r="A4761" t="s">
        <v>67</v>
      </c>
      <c r="B4761" t="s">
        <v>8</v>
      </c>
      <c r="C4761" t="s">
        <v>19</v>
      </c>
      <c r="D4761">
        <v>0</v>
      </c>
      <c r="E4761" t="s">
        <v>68</v>
      </c>
      <c r="F4761" t="s">
        <v>11</v>
      </c>
      <c r="G4761" t="s">
        <v>12</v>
      </c>
    </row>
    <row r="4762" spans="1:7" x14ac:dyDescent="0.3">
      <c r="A4762" t="s">
        <v>67</v>
      </c>
      <c r="B4762" t="s">
        <v>8</v>
      </c>
      <c r="C4762" t="s">
        <v>20</v>
      </c>
      <c r="D4762">
        <v>0</v>
      </c>
      <c r="E4762" t="s">
        <v>68</v>
      </c>
      <c r="F4762" t="s">
        <v>11</v>
      </c>
      <c r="G4762" t="s">
        <v>12</v>
      </c>
    </row>
    <row r="4763" spans="1:7" x14ac:dyDescent="0.3">
      <c r="A4763" t="s">
        <v>67</v>
      </c>
      <c r="B4763" t="s">
        <v>8</v>
      </c>
      <c r="C4763" t="s">
        <v>21</v>
      </c>
      <c r="D4763">
        <v>0</v>
      </c>
      <c r="E4763" t="s">
        <v>68</v>
      </c>
      <c r="F4763" t="s">
        <v>11</v>
      </c>
      <c r="G4763" t="s">
        <v>12</v>
      </c>
    </row>
    <row r="4764" spans="1:7" x14ac:dyDescent="0.3">
      <c r="A4764" t="s">
        <v>67</v>
      </c>
      <c r="B4764" t="s">
        <v>8</v>
      </c>
      <c r="C4764" t="s">
        <v>22</v>
      </c>
      <c r="D4764">
        <v>0</v>
      </c>
      <c r="E4764" t="s">
        <v>68</v>
      </c>
      <c r="F4764" t="s">
        <v>11</v>
      </c>
      <c r="G4764" t="s">
        <v>12</v>
      </c>
    </row>
    <row r="4765" spans="1:7" x14ac:dyDescent="0.3">
      <c r="A4765" t="s">
        <v>67</v>
      </c>
      <c r="B4765" t="s">
        <v>23</v>
      </c>
      <c r="C4765" t="s">
        <v>9</v>
      </c>
      <c r="D4765">
        <v>1</v>
      </c>
      <c r="E4765" t="s">
        <v>68</v>
      </c>
      <c r="F4765" t="s">
        <v>11</v>
      </c>
      <c r="G4765" t="s">
        <v>12</v>
      </c>
    </row>
    <row r="4766" spans="1:7" x14ac:dyDescent="0.3">
      <c r="A4766" t="s">
        <v>67</v>
      </c>
      <c r="B4766" t="s">
        <v>23</v>
      </c>
      <c r="C4766" t="s">
        <v>13</v>
      </c>
      <c r="D4766">
        <v>2</v>
      </c>
      <c r="E4766" t="s">
        <v>68</v>
      </c>
      <c r="F4766" t="s">
        <v>11</v>
      </c>
      <c r="G4766" t="s">
        <v>12</v>
      </c>
    </row>
    <row r="4767" spans="1:7" x14ac:dyDescent="0.3">
      <c r="A4767" t="s">
        <v>67</v>
      </c>
      <c r="B4767" t="s">
        <v>23</v>
      </c>
      <c r="C4767" t="s">
        <v>14</v>
      </c>
      <c r="D4767">
        <v>7</v>
      </c>
      <c r="E4767" t="s">
        <v>68</v>
      </c>
      <c r="F4767" t="s">
        <v>11</v>
      </c>
      <c r="G4767" t="s">
        <v>12</v>
      </c>
    </row>
    <row r="4768" spans="1:7" x14ac:dyDescent="0.3">
      <c r="A4768" t="s">
        <v>67</v>
      </c>
      <c r="B4768" t="s">
        <v>23</v>
      </c>
      <c r="C4768" t="s">
        <v>15</v>
      </c>
      <c r="D4768">
        <v>0</v>
      </c>
      <c r="E4768" t="s">
        <v>68</v>
      </c>
      <c r="F4768" t="s">
        <v>11</v>
      </c>
      <c r="G4768" t="s">
        <v>12</v>
      </c>
    </row>
    <row r="4769" spans="1:7" x14ac:dyDescent="0.3">
      <c r="A4769" t="s">
        <v>67</v>
      </c>
      <c r="B4769" t="s">
        <v>23</v>
      </c>
      <c r="C4769" t="s">
        <v>16</v>
      </c>
      <c r="D4769">
        <v>2812</v>
      </c>
      <c r="E4769" t="s">
        <v>68</v>
      </c>
      <c r="F4769" t="s">
        <v>11</v>
      </c>
      <c r="G4769" t="s">
        <v>12</v>
      </c>
    </row>
    <row r="4770" spans="1:7" x14ac:dyDescent="0.3">
      <c r="A4770" t="s">
        <v>67</v>
      </c>
      <c r="B4770" t="s">
        <v>23</v>
      </c>
      <c r="C4770" t="s">
        <v>17</v>
      </c>
      <c r="D4770">
        <v>0</v>
      </c>
      <c r="E4770" t="s">
        <v>68</v>
      </c>
      <c r="F4770" t="s">
        <v>11</v>
      </c>
      <c r="G4770" t="s">
        <v>12</v>
      </c>
    </row>
    <row r="4771" spans="1:7" x14ac:dyDescent="0.3">
      <c r="A4771" t="s">
        <v>67</v>
      </c>
      <c r="B4771" t="s">
        <v>23</v>
      </c>
      <c r="C4771" t="s">
        <v>18</v>
      </c>
      <c r="D4771">
        <v>0</v>
      </c>
      <c r="E4771" t="s">
        <v>68</v>
      </c>
      <c r="F4771" t="s">
        <v>11</v>
      </c>
      <c r="G4771" t="s">
        <v>12</v>
      </c>
    </row>
    <row r="4772" spans="1:7" x14ac:dyDescent="0.3">
      <c r="A4772" t="s">
        <v>67</v>
      </c>
      <c r="B4772" t="s">
        <v>23</v>
      </c>
      <c r="C4772" t="s">
        <v>19</v>
      </c>
      <c r="D4772">
        <v>0</v>
      </c>
      <c r="E4772" t="s">
        <v>68</v>
      </c>
      <c r="F4772" t="s">
        <v>11</v>
      </c>
      <c r="G4772" t="s">
        <v>12</v>
      </c>
    </row>
    <row r="4773" spans="1:7" x14ac:dyDescent="0.3">
      <c r="A4773" t="s">
        <v>67</v>
      </c>
      <c r="B4773" t="s">
        <v>23</v>
      </c>
      <c r="C4773" t="s">
        <v>20</v>
      </c>
      <c r="D4773">
        <v>19</v>
      </c>
      <c r="E4773" t="s">
        <v>68</v>
      </c>
      <c r="F4773" t="s">
        <v>11</v>
      </c>
      <c r="G4773" t="s">
        <v>12</v>
      </c>
    </row>
    <row r="4774" spans="1:7" x14ac:dyDescent="0.3">
      <c r="A4774" t="s">
        <v>67</v>
      </c>
      <c r="B4774" t="s">
        <v>23</v>
      </c>
      <c r="C4774" t="s">
        <v>21</v>
      </c>
      <c r="D4774">
        <v>0</v>
      </c>
      <c r="E4774" t="s">
        <v>68</v>
      </c>
      <c r="F4774" t="s">
        <v>11</v>
      </c>
      <c r="G4774" t="s">
        <v>12</v>
      </c>
    </row>
    <row r="4775" spans="1:7" x14ac:dyDescent="0.3">
      <c r="A4775" t="s">
        <v>67</v>
      </c>
      <c r="B4775" t="s">
        <v>23</v>
      </c>
      <c r="C4775" t="s">
        <v>22</v>
      </c>
      <c r="D4775">
        <v>2</v>
      </c>
      <c r="E4775" t="s">
        <v>68</v>
      </c>
      <c r="F4775" t="s">
        <v>11</v>
      </c>
      <c r="G4775" t="s">
        <v>12</v>
      </c>
    </row>
    <row r="4776" spans="1:7" x14ac:dyDescent="0.3">
      <c r="A4776" t="s">
        <v>69</v>
      </c>
      <c r="B4776" t="s">
        <v>8</v>
      </c>
      <c r="C4776" t="s">
        <v>9</v>
      </c>
      <c r="D4776">
        <v>0</v>
      </c>
      <c r="E4776" t="s">
        <v>68</v>
      </c>
      <c r="F4776" t="s">
        <v>11</v>
      </c>
      <c r="G4776" t="s">
        <v>12</v>
      </c>
    </row>
    <row r="4777" spans="1:7" x14ac:dyDescent="0.3">
      <c r="A4777" t="s">
        <v>69</v>
      </c>
      <c r="B4777" t="s">
        <v>8</v>
      </c>
      <c r="C4777" t="s">
        <v>13</v>
      </c>
      <c r="D4777">
        <v>0</v>
      </c>
      <c r="E4777" t="s">
        <v>68</v>
      </c>
      <c r="F4777" t="s">
        <v>11</v>
      </c>
      <c r="G4777" t="s">
        <v>12</v>
      </c>
    </row>
    <row r="4778" spans="1:7" x14ac:dyDescent="0.3">
      <c r="A4778" t="s">
        <v>69</v>
      </c>
      <c r="B4778" t="s">
        <v>8</v>
      </c>
      <c r="C4778" t="s">
        <v>14</v>
      </c>
      <c r="D4778">
        <v>0</v>
      </c>
      <c r="E4778" t="s">
        <v>68</v>
      </c>
      <c r="F4778" t="s">
        <v>11</v>
      </c>
      <c r="G4778" t="s">
        <v>12</v>
      </c>
    </row>
    <row r="4779" spans="1:7" x14ac:dyDescent="0.3">
      <c r="A4779" t="s">
        <v>69</v>
      </c>
      <c r="B4779" t="s">
        <v>8</v>
      </c>
      <c r="C4779" t="s">
        <v>15</v>
      </c>
      <c r="D4779">
        <v>0</v>
      </c>
      <c r="E4779" t="s">
        <v>68</v>
      </c>
      <c r="F4779" t="s">
        <v>11</v>
      </c>
      <c r="G4779" t="s">
        <v>12</v>
      </c>
    </row>
    <row r="4780" spans="1:7" x14ac:dyDescent="0.3">
      <c r="A4780" t="s">
        <v>69</v>
      </c>
      <c r="B4780" t="s">
        <v>8</v>
      </c>
      <c r="C4780" t="s">
        <v>16</v>
      </c>
      <c r="D4780">
        <v>1</v>
      </c>
      <c r="E4780" t="s">
        <v>68</v>
      </c>
      <c r="F4780" t="s">
        <v>11</v>
      </c>
      <c r="G4780" t="s">
        <v>12</v>
      </c>
    </row>
    <row r="4781" spans="1:7" x14ac:dyDescent="0.3">
      <c r="A4781" t="s">
        <v>69</v>
      </c>
      <c r="B4781" t="s">
        <v>8</v>
      </c>
      <c r="C4781" t="s">
        <v>17</v>
      </c>
      <c r="D4781">
        <v>0</v>
      </c>
      <c r="E4781" t="s">
        <v>68</v>
      </c>
      <c r="F4781" t="s">
        <v>11</v>
      </c>
      <c r="G4781" t="s">
        <v>12</v>
      </c>
    </row>
    <row r="4782" spans="1:7" x14ac:dyDescent="0.3">
      <c r="A4782" t="s">
        <v>69</v>
      </c>
      <c r="B4782" t="s">
        <v>8</v>
      </c>
      <c r="C4782" t="s">
        <v>18</v>
      </c>
      <c r="D4782">
        <v>0</v>
      </c>
      <c r="E4782" t="s">
        <v>68</v>
      </c>
      <c r="F4782" t="s">
        <v>11</v>
      </c>
      <c r="G4782" t="s">
        <v>12</v>
      </c>
    </row>
    <row r="4783" spans="1:7" x14ac:dyDescent="0.3">
      <c r="A4783" t="s">
        <v>69</v>
      </c>
      <c r="B4783" t="s">
        <v>8</v>
      </c>
      <c r="C4783" t="s">
        <v>19</v>
      </c>
      <c r="D4783">
        <v>0</v>
      </c>
      <c r="E4783" t="s">
        <v>68</v>
      </c>
      <c r="F4783" t="s">
        <v>11</v>
      </c>
      <c r="G4783" t="s">
        <v>12</v>
      </c>
    </row>
    <row r="4784" spans="1:7" x14ac:dyDescent="0.3">
      <c r="A4784" t="s">
        <v>69</v>
      </c>
      <c r="B4784" t="s">
        <v>8</v>
      </c>
      <c r="C4784" t="s">
        <v>20</v>
      </c>
      <c r="D4784">
        <v>0</v>
      </c>
      <c r="E4784" t="s">
        <v>68</v>
      </c>
      <c r="F4784" t="s">
        <v>11</v>
      </c>
      <c r="G4784" t="s">
        <v>12</v>
      </c>
    </row>
    <row r="4785" spans="1:7" x14ac:dyDescent="0.3">
      <c r="A4785" t="s">
        <v>69</v>
      </c>
      <c r="B4785" t="s">
        <v>8</v>
      </c>
      <c r="C4785" t="s">
        <v>21</v>
      </c>
      <c r="D4785">
        <v>0</v>
      </c>
      <c r="E4785" t="s">
        <v>68</v>
      </c>
      <c r="F4785" t="s">
        <v>11</v>
      </c>
      <c r="G4785" t="s">
        <v>12</v>
      </c>
    </row>
    <row r="4786" spans="1:7" x14ac:dyDescent="0.3">
      <c r="A4786" t="s">
        <v>69</v>
      </c>
      <c r="B4786" t="s">
        <v>8</v>
      </c>
      <c r="C4786" t="s">
        <v>22</v>
      </c>
      <c r="D4786">
        <v>2489</v>
      </c>
      <c r="E4786" t="s">
        <v>68</v>
      </c>
      <c r="F4786" t="s">
        <v>11</v>
      </c>
      <c r="G4786" t="s">
        <v>12</v>
      </c>
    </row>
    <row r="4787" spans="1:7" x14ac:dyDescent="0.3">
      <c r="A4787" t="s">
        <v>69</v>
      </c>
      <c r="B4787" t="s">
        <v>23</v>
      </c>
      <c r="C4787" t="s">
        <v>9</v>
      </c>
      <c r="D4787">
        <v>28</v>
      </c>
      <c r="E4787" t="s">
        <v>68</v>
      </c>
      <c r="F4787" t="s">
        <v>11</v>
      </c>
      <c r="G4787" t="s">
        <v>12</v>
      </c>
    </row>
    <row r="4788" spans="1:7" x14ac:dyDescent="0.3">
      <c r="A4788" t="s">
        <v>69</v>
      </c>
      <c r="B4788" t="s">
        <v>23</v>
      </c>
      <c r="C4788" t="s">
        <v>13</v>
      </c>
      <c r="D4788">
        <v>253</v>
      </c>
      <c r="E4788" t="s">
        <v>68</v>
      </c>
      <c r="F4788" t="s">
        <v>11</v>
      </c>
      <c r="G4788" t="s">
        <v>12</v>
      </c>
    </row>
    <row r="4789" spans="1:7" x14ac:dyDescent="0.3">
      <c r="A4789" t="s">
        <v>69</v>
      </c>
      <c r="B4789" t="s">
        <v>23</v>
      </c>
      <c r="C4789" t="s">
        <v>14</v>
      </c>
      <c r="D4789">
        <v>315</v>
      </c>
      <c r="E4789" t="s">
        <v>68</v>
      </c>
      <c r="F4789" t="s">
        <v>11</v>
      </c>
      <c r="G4789" t="s">
        <v>12</v>
      </c>
    </row>
    <row r="4790" spans="1:7" x14ac:dyDescent="0.3">
      <c r="A4790" t="s">
        <v>69</v>
      </c>
      <c r="B4790" t="s">
        <v>23</v>
      </c>
      <c r="C4790" t="s">
        <v>15</v>
      </c>
      <c r="D4790">
        <v>11</v>
      </c>
      <c r="E4790" t="s">
        <v>68</v>
      </c>
      <c r="F4790" t="s">
        <v>11</v>
      </c>
      <c r="G4790" t="s">
        <v>12</v>
      </c>
    </row>
    <row r="4791" spans="1:7" x14ac:dyDescent="0.3">
      <c r="A4791" t="s">
        <v>69</v>
      </c>
      <c r="B4791" t="s">
        <v>23</v>
      </c>
      <c r="C4791" t="s">
        <v>16</v>
      </c>
      <c r="D4791">
        <v>144</v>
      </c>
      <c r="E4791" t="s">
        <v>68</v>
      </c>
      <c r="F4791" t="s">
        <v>11</v>
      </c>
      <c r="G4791" t="s">
        <v>12</v>
      </c>
    </row>
    <row r="4792" spans="1:7" x14ac:dyDescent="0.3">
      <c r="A4792" t="s">
        <v>69</v>
      </c>
      <c r="B4792" t="s">
        <v>23</v>
      </c>
      <c r="C4792" t="s">
        <v>17</v>
      </c>
      <c r="D4792">
        <v>39</v>
      </c>
      <c r="E4792" t="s">
        <v>68</v>
      </c>
      <c r="F4792" t="s">
        <v>11</v>
      </c>
      <c r="G4792" t="s">
        <v>12</v>
      </c>
    </row>
    <row r="4793" spans="1:7" x14ac:dyDescent="0.3">
      <c r="A4793" t="s">
        <v>69</v>
      </c>
      <c r="B4793" t="s">
        <v>23</v>
      </c>
      <c r="C4793" t="s">
        <v>18</v>
      </c>
      <c r="D4793">
        <v>0</v>
      </c>
      <c r="E4793" t="s">
        <v>68</v>
      </c>
      <c r="F4793" t="s">
        <v>11</v>
      </c>
      <c r="G4793" t="s">
        <v>12</v>
      </c>
    </row>
    <row r="4794" spans="1:7" x14ac:dyDescent="0.3">
      <c r="A4794" t="s">
        <v>69</v>
      </c>
      <c r="B4794" t="s">
        <v>23</v>
      </c>
      <c r="C4794" t="s">
        <v>19</v>
      </c>
      <c r="D4794">
        <v>63</v>
      </c>
      <c r="E4794" t="s">
        <v>68</v>
      </c>
      <c r="F4794" t="s">
        <v>11</v>
      </c>
      <c r="G4794" t="s">
        <v>12</v>
      </c>
    </row>
    <row r="4795" spans="1:7" x14ac:dyDescent="0.3">
      <c r="A4795" t="s">
        <v>69</v>
      </c>
      <c r="B4795" t="s">
        <v>23</v>
      </c>
      <c r="C4795" t="s">
        <v>20</v>
      </c>
      <c r="D4795">
        <v>21</v>
      </c>
      <c r="E4795" t="s">
        <v>68</v>
      </c>
      <c r="F4795" t="s">
        <v>11</v>
      </c>
      <c r="G4795" t="s">
        <v>12</v>
      </c>
    </row>
    <row r="4796" spans="1:7" x14ac:dyDescent="0.3">
      <c r="A4796" t="s">
        <v>69</v>
      </c>
      <c r="B4796" t="s">
        <v>23</v>
      </c>
      <c r="C4796" t="s">
        <v>21</v>
      </c>
      <c r="D4796">
        <v>7</v>
      </c>
      <c r="E4796" t="s">
        <v>68</v>
      </c>
      <c r="F4796" t="s">
        <v>11</v>
      </c>
      <c r="G4796" t="s">
        <v>12</v>
      </c>
    </row>
    <row r="4797" spans="1:7" x14ac:dyDescent="0.3">
      <c r="A4797" t="s">
        <v>69</v>
      </c>
      <c r="B4797" t="s">
        <v>23</v>
      </c>
      <c r="C4797" t="s">
        <v>22</v>
      </c>
      <c r="D4797">
        <v>998</v>
      </c>
      <c r="E4797" t="s">
        <v>68</v>
      </c>
      <c r="F4797" t="s">
        <v>11</v>
      </c>
      <c r="G4797" t="s">
        <v>12</v>
      </c>
    </row>
    <row r="4798" spans="1:7" x14ac:dyDescent="0.3">
      <c r="A4798" t="s">
        <v>70</v>
      </c>
      <c r="B4798" t="s">
        <v>8</v>
      </c>
      <c r="C4798" t="s">
        <v>9</v>
      </c>
      <c r="D4798">
        <v>0</v>
      </c>
      <c r="E4798" t="s">
        <v>68</v>
      </c>
      <c r="F4798" t="s">
        <v>11</v>
      </c>
      <c r="G4798" t="s">
        <v>12</v>
      </c>
    </row>
    <row r="4799" spans="1:7" x14ac:dyDescent="0.3">
      <c r="A4799" t="s">
        <v>70</v>
      </c>
      <c r="B4799" t="s">
        <v>8</v>
      </c>
      <c r="C4799" t="s">
        <v>13</v>
      </c>
      <c r="D4799">
        <v>0</v>
      </c>
      <c r="E4799" t="s">
        <v>68</v>
      </c>
      <c r="F4799" t="s">
        <v>11</v>
      </c>
      <c r="G4799" t="s">
        <v>12</v>
      </c>
    </row>
    <row r="4800" spans="1:7" x14ac:dyDescent="0.3">
      <c r="A4800" t="s">
        <v>70</v>
      </c>
      <c r="B4800" t="s">
        <v>8</v>
      </c>
      <c r="C4800" t="s">
        <v>14</v>
      </c>
      <c r="D4800">
        <v>0</v>
      </c>
      <c r="E4800" t="s">
        <v>68</v>
      </c>
      <c r="F4800" t="s">
        <v>11</v>
      </c>
      <c r="G4800" t="s">
        <v>12</v>
      </c>
    </row>
    <row r="4801" spans="1:7" x14ac:dyDescent="0.3">
      <c r="A4801" t="s">
        <v>70</v>
      </c>
      <c r="B4801" t="s">
        <v>8</v>
      </c>
      <c r="C4801" t="s">
        <v>15</v>
      </c>
      <c r="D4801">
        <v>0</v>
      </c>
      <c r="E4801" t="s">
        <v>68</v>
      </c>
      <c r="F4801" t="s">
        <v>11</v>
      </c>
      <c r="G4801" t="s">
        <v>12</v>
      </c>
    </row>
    <row r="4802" spans="1:7" x14ac:dyDescent="0.3">
      <c r="A4802" t="s">
        <v>70</v>
      </c>
      <c r="B4802" t="s">
        <v>8</v>
      </c>
      <c r="C4802" t="s">
        <v>16</v>
      </c>
      <c r="D4802">
        <v>0</v>
      </c>
      <c r="E4802" t="s">
        <v>68</v>
      </c>
      <c r="F4802" t="s">
        <v>11</v>
      </c>
      <c r="G4802" t="s">
        <v>12</v>
      </c>
    </row>
    <row r="4803" spans="1:7" x14ac:dyDescent="0.3">
      <c r="A4803" t="s">
        <v>70</v>
      </c>
      <c r="B4803" t="s">
        <v>8</v>
      </c>
      <c r="C4803" t="s">
        <v>17</v>
      </c>
      <c r="D4803">
        <v>9493</v>
      </c>
      <c r="E4803" t="s">
        <v>68</v>
      </c>
      <c r="F4803" t="s">
        <v>11</v>
      </c>
      <c r="G4803" t="s">
        <v>12</v>
      </c>
    </row>
    <row r="4804" spans="1:7" x14ac:dyDescent="0.3">
      <c r="A4804" t="s">
        <v>70</v>
      </c>
      <c r="B4804" t="s">
        <v>8</v>
      </c>
      <c r="C4804" t="s">
        <v>18</v>
      </c>
      <c r="D4804">
        <v>0</v>
      </c>
      <c r="E4804" t="s">
        <v>68</v>
      </c>
      <c r="F4804" t="s">
        <v>11</v>
      </c>
      <c r="G4804" t="s">
        <v>12</v>
      </c>
    </row>
    <row r="4805" spans="1:7" x14ac:dyDescent="0.3">
      <c r="A4805" t="s">
        <v>70</v>
      </c>
      <c r="B4805" t="s">
        <v>8</v>
      </c>
      <c r="C4805" t="s">
        <v>19</v>
      </c>
      <c r="D4805">
        <v>0</v>
      </c>
      <c r="E4805" t="s">
        <v>68</v>
      </c>
      <c r="F4805" t="s">
        <v>11</v>
      </c>
      <c r="G4805" t="s">
        <v>12</v>
      </c>
    </row>
    <row r="4806" spans="1:7" x14ac:dyDescent="0.3">
      <c r="A4806" t="s">
        <v>70</v>
      </c>
      <c r="B4806" t="s">
        <v>8</v>
      </c>
      <c r="C4806" t="s">
        <v>20</v>
      </c>
      <c r="D4806">
        <v>0</v>
      </c>
      <c r="E4806" t="s">
        <v>68</v>
      </c>
      <c r="F4806" t="s">
        <v>11</v>
      </c>
      <c r="G4806" t="s">
        <v>12</v>
      </c>
    </row>
    <row r="4807" spans="1:7" x14ac:dyDescent="0.3">
      <c r="A4807" t="s">
        <v>70</v>
      </c>
      <c r="B4807" t="s">
        <v>8</v>
      </c>
      <c r="C4807" t="s">
        <v>21</v>
      </c>
      <c r="D4807">
        <v>0</v>
      </c>
      <c r="E4807" t="s">
        <v>68</v>
      </c>
      <c r="F4807" t="s">
        <v>11</v>
      </c>
      <c r="G4807" t="s">
        <v>12</v>
      </c>
    </row>
    <row r="4808" spans="1:7" x14ac:dyDescent="0.3">
      <c r="A4808" t="s">
        <v>70</v>
      </c>
      <c r="B4808" t="s">
        <v>8</v>
      </c>
      <c r="C4808" t="s">
        <v>22</v>
      </c>
      <c r="D4808">
        <v>0</v>
      </c>
      <c r="E4808" t="s">
        <v>68</v>
      </c>
      <c r="F4808" t="s">
        <v>11</v>
      </c>
      <c r="G4808" t="s">
        <v>12</v>
      </c>
    </row>
    <row r="4809" spans="1:7" x14ac:dyDescent="0.3">
      <c r="A4809" t="s">
        <v>70</v>
      </c>
      <c r="B4809" t="s">
        <v>23</v>
      </c>
      <c r="C4809" t="s">
        <v>9</v>
      </c>
      <c r="D4809">
        <v>138</v>
      </c>
      <c r="E4809" t="s">
        <v>68</v>
      </c>
      <c r="F4809" t="s">
        <v>11</v>
      </c>
      <c r="G4809" t="s">
        <v>12</v>
      </c>
    </row>
    <row r="4810" spans="1:7" x14ac:dyDescent="0.3">
      <c r="A4810" t="s">
        <v>70</v>
      </c>
      <c r="B4810" t="s">
        <v>23</v>
      </c>
      <c r="C4810" t="s">
        <v>13</v>
      </c>
      <c r="D4810">
        <v>2</v>
      </c>
      <c r="E4810" t="s">
        <v>68</v>
      </c>
      <c r="F4810" t="s">
        <v>11</v>
      </c>
      <c r="G4810" t="s">
        <v>12</v>
      </c>
    </row>
    <row r="4811" spans="1:7" x14ac:dyDescent="0.3">
      <c r="A4811" t="s">
        <v>70</v>
      </c>
      <c r="B4811" t="s">
        <v>23</v>
      </c>
      <c r="C4811" t="s">
        <v>14</v>
      </c>
      <c r="D4811">
        <v>102</v>
      </c>
      <c r="E4811" t="s">
        <v>68</v>
      </c>
      <c r="F4811" t="s">
        <v>11</v>
      </c>
      <c r="G4811" t="s">
        <v>12</v>
      </c>
    </row>
    <row r="4812" spans="1:7" x14ac:dyDescent="0.3">
      <c r="A4812" t="s">
        <v>70</v>
      </c>
      <c r="B4812" t="s">
        <v>23</v>
      </c>
      <c r="C4812" t="s">
        <v>15</v>
      </c>
      <c r="D4812">
        <v>0</v>
      </c>
      <c r="E4812" t="s">
        <v>68</v>
      </c>
      <c r="F4812" t="s">
        <v>11</v>
      </c>
      <c r="G4812" t="s">
        <v>12</v>
      </c>
    </row>
    <row r="4813" spans="1:7" x14ac:dyDescent="0.3">
      <c r="A4813" t="s">
        <v>70</v>
      </c>
      <c r="B4813" t="s">
        <v>23</v>
      </c>
      <c r="C4813" t="s">
        <v>16</v>
      </c>
      <c r="D4813">
        <v>7</v>
      </c>
      <c r="E4813" t="s">
        <v>68</v>
      </c>
      <c r="F4813" t="s">
        <v>11</v>
      </c>
      <c r="G4813" t="s">
        <v>12</v>
      </c>
    </row>
    <row r="4814" spans="1:7" x14ac:dyDescent="0.3">
      <c r="A4814" t="s">
        <v>70</v>
      </c>
      <c r="B4814" t="s">
        <v>23</v>
      </c>
      <c r="C4814" t="s">
        <v>17</v>
      </c>
      <c r="D4814">
        <v>284</v>
      </c>
      <c r="E4814" t="s">
        <v>68</v>
      </c>
      <c r="F4814" t="s">
        <v>11</v>
      </c>
      <c r="G4814" t="s">
        <v>12</v>
      </c>
    </row>
    <row r="4815" spans="1:7" x14ac:dyDescent="0.3">
      <c r="A4815" t="s">
        <v>70</v>
      </c>
      <c r="B4815" t="s">
        <v>23</v>
      </c>
      <c r="C4815" t="s">
        <v>18</v>
      </c>
      <c r="D4815">
        <v>0</v>
      </c>
      <c r="E4815" t="s">
        <v>68</v>
      </c>
      <c r="F4815" t="s">
        <v>11</v>
      </c>
      <c r="G4815" t="s">
        <v>12</v>
      </c>
    </row>
    <row r="4816" spans="1:7" x14ac:dyDescent="0.3">
      <c r="A4816" t="s">
        <v>70</v>
      </c>
      <c r="B4816" t="s">
        <v>23</v>
      </c>
      <c r="C4816" t="s">
        <v>19</v>
      </c>
      <c r="D4816">
        <v>0</v>
      </c>
      <c r="E4816" t="s">
        <v>68</v>
      </c>
      <c r="F4816" t="s">
        <v>11</v>
      </c>
      <c r="G4816" t="s">
        <v>12</v>
      </c>
    </row>
    <row r="4817" spans="1:7" x14ac:dyDescent="0.3">
      <c r="A4817" t="s">
        <v>70</v>
      </c>
      <c r="B4817" t="s">
        <v>23</v>
      </c>
      <c r="C4817" t="s">
        <v>20</v>
      </c>
      <c r="D4817">
        <v>2</v>
      </c>
      <c r="E4817" t="s">
        <v>68</v>
      </c>
      <c r="F4817" t="s">
        <v>11</v>
      </c>
      <c r="G4817" t="s">
        <v>12</v>
      </c>
    </row>
    <row r="4818" spans="1:7" x14ac:dyDescent="0.3">
      <c r="A4818" t="s">
        <v>70</v>
      </c>
      <c r="B4818" t="s">
        <v>23</v>
      </c>
      <c r="C4818" t="s">
        <v>21</v>
      </c>
      <c r="D4818">
        <v>0</v>
      </c>
      <c r="E4818" t="s">
        <v>68</v>
      </c>
      <c r="F4818" t="s">
        <v>11</v>
      </c>
      <c r="G4818" t="s">
        <v>12</v>
      </c>
    </row>
    <row r="4819" spans="1:7" x14ac:dyDescent="0.3">
      <c r="A4819" t="s">
        <v>70</v>
      </c>
      <c r="B4819" t="s">
        <v>23</v>
      </c>
      <c r="C4819" t="s">
        <v>22</v>
      </c>
      <c r="D4819">
        <v>0</v>
      </c>
      <c r="E4819" t="s">
        <v>68</v>
      </c>
      <c r="F4819" t="s">
        <v>11</v>
      </c>
      <c r="G4819" t="s">
        <v>12</v>
      </c>
    </row>
    <row r="4820" spans="1:7" x14ac:dyDescent="0.3">
      <c r="A4820" t="s">
        <v>71</v>
      </c>
      <c r="B4820" t="s">
        <v>8</v>
      </c>
      <c r="C4820" t="s">
        <v>9</v>
      </c>
      <c r="D4820">
        <v>0</v>
      </c>
      <c r="E4820" t="s">
        <v>68</v>
      </c>
      <c r="F4820" t="s">
        <v>11</v>
      </c>
      <c r="G4820" t="s">
        <v>12</v>
      </c>
    </row>
    <row r="4821" spans="1:7" x14ac:dyDescent="0.3">
      <c r="A4821" t="s">
        <v>71</v>
      </c>
      <c r="B4821" t="s">
        <v>8</v>
      </c>
      <c r="C4821" t="s">
        <v>13</v>
      </c>
      <c r="D4821">
        <v>0</v>
      </c>
      <c r="E4821" t="s">
        <v>68</v>
      </c>
      <c r="F4821" t="s">
        <v>11</v>
      </c>
      <c r="G4821" t="s">
        <v>12</v>
      </c>
    </row>
    <row r="4822" spans="1:7" x14ac:dyDescent="0.3">
      <c r="A4822" t="s">
        <v>71</v>
      </c>
      <c r="B4822" t="s">
        <v>8</v>
      </c>
      <c r="C4822" t="s">
        <v>14</v>
      </c>
      <c r="D4822">
        <v>0</v>
      </c>
      <c r="E4822" t="s">
        <v>68</v>
      </c>
      <c r="F4822" t="s">
        <v>11</v>
      </c>
      <c r="G4822" t="s">
        <v>12</v>
      </c>
    </row>
    <row r="4823" spans="1:7" x14ac:dyDescent="0.3">
      <c r="A4823" t="s">
        <v>71</v>
      </c>
      <c r="B4823" t="s">
        <v>8</v>
      </c>
      <c r="C4823" t="s">
        <v>15</v>
      </c>
      <c r="D4823">
        <v>0</v>
      </c>
      <c r="E4823" t="s">
        <v>68</v>
      </c>
      <c r="F4823" t="s">
        <v>11</v>
      </c>
      <c r="G4823" t="s">
        <v>12</v>
      </c>
    </row>
    <row r="4824" spans="1:7" x14ac:dyDescent="0.3">
      <c r="A4824" t="s">
        <v>71</v>
      </c>
      <c r="B4824" t="s">
        <v>8</v>
      </c>
      <c r="C4824" t="s">
        <v>16</v>
      </c>
      <c r="D4824">
        <v>0</v>
      </c>
      <c r="E4824" t="s">
        <v>68</v>
      </c>
      <c r="F4824" t="s">
        <v>11</v>
      </c>
      <c r="G4824" t="s">
        <v>12</v>
      </c>
    </row>
    <row r="4825" spans="1:7" x14ac:dyDescent="0.3">
      <c r="A4825" t="s">
        <v>71</v>
      </c>
      <c r="B4825" t="s">
        <v>8</v>
      </c>
      <c r="C4825" t="s">
        <v>17</v>
      </c>
      <c r="D4825">
        <v>0</v>
      </c>
      <c r="E4825" t="s">
        <v>68</v>
      </c>
      <c r="F4825" t="s">
        <v>11</v>
      </c>
      <c r="G4825" t="s">
        <v>12</v>
      </c>
    </row>
    <row r="4826" spans="1:7" x14ac:dyDescent="0.3">
      <c r="A4826" t="s">
        <v>71</v>
      </c>
      <c r="B4826" t="s">
        <v>8</v>
      </c>
      <c r="C4826" t="s">
        <v>18</v>
      </c>
      <c r="D4826">
        <v>0</v>
      </c>
      <c r="E4826" t="s">
        <v>68</v>
      </c>
      <c r="F4826" t="s">
        <v>11</v>
      </c>
      <c r="G4826" t="s">
        <v>12</v>
      </c>
    </row>
    <row r="4827" spans="1:7" x14ac:dyDescent="0.3">
      <c r="A4827" t="s">
        <v>71</v>
      </c>
      <c r="B4827" t="s">
        <v>8</v>
      </c>
      <c r="C4827" t="s">
        <v>19</v>
      </c>
      <c r="D4827">
        <v>0</v>
      </c>
      <c r="E4827" t="s">
        <v>68</v>
      </c>
      <c r="F4827" t="s">
        <v>11</v>
      </c>
      <c r="G4827" t="s">
        <v>12</v>
      </c>
    </row>
    <row r="4828" spans="1:7" x14ac:dyDescent="0.3">
      <c r="A4828" t="s">
        <v>71</v>
      </c>
      <c r="B4828" t="s">
        <v>8</v>
      </c>
      <c r="C4828" t="s">
        <v>20</v>
      </c>
      <c r="D4828">
        <v>0</v>
      </c>
      <c r="E4828" t="s">
        <v>68</v>
      </c>
      <c r="F4828" t="s">
        <v>11</v>
      </c>
      <c r="G4828" t="s">
        <v>12</v>
      </c>
    </row>
    <row r="4829" spans="1:7" x14ac:dyDescent="0.3">
      <c r="A4829" t="s">
        <v>71</v>
      </c>
      <c r="B4829" t="s">
        <v>8</v>
      </c>
      <c r="C4829" t="s">
        <v>21</v>
      </c>
      <c r="D4829">
        <v>0</v>
      </c>
      <c r="E4829" t="s">
        <v>68</v>
      </c>
      <c r="F4829" t="s">
        <v>11</v>
      </c>
      <c r="G4829" t="s">
        <v>12</v>
      </c>
    </row>
    <row r="4830" spans="1:7" x14ac:dyDescent="0.3">
      <c r="A4830" t="s">
        <v>71</v>
      </c>
      <c r="B4830" t="s">
        <v>8</v>
      </c>
      <c r="C4830" t="s">
        <v>22</v>
      </c>
      <c r="D4830">
        <v>1487</v>
      </c>
      <c r="E4830" t="s">
        <v>68</v>
      </c>
      <c r="F4830" t="s">
        <v>11</v>
      </c>
      <c r="G4830" t="s">
        <v>12</v>
      </c>
    </row>
    <row r="4831" spans="1:7" x14ac:dyDescent="0.3">
      <c r="A4831" t="s">
        <v>71</v>
      </c>
      <c r="B4831" t="s">
        <v>23</v>
      </c>
      <c r="C4831" t="s">
        <v>9</v>
      </c>
      <c r="D4831">
        <v>16</v>
      </c>
      <c r="E4831" t="s">
        <v>68</v>
      </c>
      <c r="F4831" t="s">
        <v>11</v>
      </c>
      <c r="G4831" t="s">
        <v>12</v>
      </c>
    </row>
    <row r="4832" spans="1:7" x14ac:dyDescent="0.3">
      <c r="A4832" t="s">
        <v>71</v>
      </c>
      <c r="B4832" t="s">
        <v>23</v>
      </c>
      <c r="C4832" t="s">
        <v>13</v>
      </c>
      <c r="D4832">
        <v>151</v>
      </c>
      <c r="E4832" t="s">
        <v>68</v>
      </c>
      <c r="F4832" t="s">
        <v>11</v>
      </c>
      <c r="G4832" t="s">
        <v>12</v>
      </c>
    </row>
    <row r="4833" spans="1:7" x14ac:dyDescent="0.3">
      <c r="A4833" t="s">
        <v>71</v>
      </c>
      <c r="B4833" t="s">
        <v>23</v>
      </c>
      <c r="C4833" t="s">
        <v>14</v>
      </c>
      <c r="D4833">
        <v>188</v>
      </c>
      <c r="E4833" t="s">
        <v>68</v>
      </c>
      <c r="F4833" t="s">
        <v>11</v>
      </c>
      <c r="G4833" t="s">
        <v>12</v>
      </c>
    </row>
    <row r="4834" spans="1:7" x14ac:dyDescent="0.3">
      <c r="A4834" t="s">
        <v>71</v>
      </c>
      <c r="B4834" t="s">
        <v>23</v>
      </c>
      <c r="C4834" t="s">
        <v>15</v>
      </c>
      <c r="D4834">
        <v>6</v>
      </c>
      <c r="E4834" t="s">
        <v>68</v>
      </c>
      <c r="F4834" t="s">
        <v>11</v>
      </c>
      <c r="G4834" t="s">
        <v>12</v>
      </c>
    </row>
    <row r="4835" spans="1:7" x14ac:dyDescent="0.3">
      <c r="A4835" t="s">
        <v>71</v>
      </c>
      <c r="B4835" t="s">
        <v>23</v>
      </c>
      <c r="C4835" t="s">
        <v>16</v>
      </c>
      <c r="D4835">
        <v>86</v>
      </c>
      <c r="E4835" t="s">
        <v>68</v>
      </c>
      <c r="F4835" t="s">
        <v>11</v>
      </c>
      <c r="G4835" t="s">
        <v>12</v>
      </c>
    </row>
    <row r="4836" spans="1:7" x14ac:dyDescent="0.3">
      <c r="A4836" t="s">
        <v>71</v>
      </c>
      <c r="B4836" t="s">
        <v>23</v>
      </c>
      <c r="C4836" t="s">
        <v>17</v>
      </c>
      <c r="D4836">
        <v>23</v>
      </c>
      <c r="E4836" t="s">
        <v>68</v>
      </c>
      <c r="F4836" t="s">
        <v>11</v>
      </c>
      <c r="G4836" t="s">
        <v>12</v>
      </c>
    </row>
    <row r="4837" spans="1:7" x14ac:dyDescent="0.3">
      <c r="A4837" t="s">
        <v>71</v>
      </c>
      <c r="B4837" t="s">
        <v>23</v>
      </c>
      <c r="C4837" t="s">
        <v>18</v>
      </c>
      <c r="D4837">
        <v>0</v>
      </c>
      <c r="E4837" t="s">
        <v>68</v>
      </c>
      <c r="F4837" t="s">
        <v>11</v>
      </c>
      <c r="G4837" t="s">
        <v>12</v>
      </c>
    </row>
    <row r="4838" spans="1:7" x14ac:dyDescent="0.3">
      <c r="A4838" t="s">
        <v>71</v>
      </c>
      <c r="B4838" t="s">
        <v>23</v>
      </c>
      <c r="C4838" t="s">
        <v>19</v>
      </c>
      <c r="D4838">
        <v>38</v>
      </c>
      <c r="E4838" t="s">
        <v>68</v>
      </c>
      <c r="F4838" t="s">
        <v>11</v>
      </c>
      <c r="G4838" t="s">
        <v>12</v>
      </c>
    </row>
    <row r="4839" spans="1:7" x14ac:dyDescent="0.3">
      <c r="A4839" t="s">
        <v>71</v>
      </c>
      <c r="B4839" t="s">
        <v>23</v>
      </c>
      <c r="C4839" t="s">
        <v>20</v>
      </c>
      <c r="D4839">
        <v>13</v>
      </c>
      <c r="E4839" t="s">
        <v>68</v>
      </c>
      <c r="F4839" t="s">
        <v>11</v>
      </c>
      <c r="G4839" t="s">
        <v>12</v>
      </c>
    </row>
    <row r="4840" spans="1:7" x14ac:dyDescent="0.3">
      <c r="A4840" t="s">
        <v>71</v>
      </c>
      <c r="B4840" t="s">
        <v>23</v>
      </c>
      <c r="C4840" t="s">
        <v>21</v>
      </c>
      <c r="D4840">
        <v>4</v>
      </c>
      <c r="E4840" t="s">
        <v>68</v>
      </c>
      <c r="F4840" t="s">
        <v>11</v>
      </c>
      <c r="G4840" t="s">
        <v>12</v>
      </c>
    </row>
    <row r="4841" spans="1:7" x14ac:dyDescent="0.3">
      <c r="A4841" t="s">
        <v>71</v>
      </c>
      <c r="B4841" t="s">
        <v>23</v>
      </c>
      <c r="C4841" t="s">
        <v>22</v>
      </c>
      <c r="D4841">
        <v>596</v>
      </c>
      <c r="E4841" t="s">
        <v>68</v>
      </c>
      <c r="F4841" t="s">
        <v>11</v>
      </c>
      <c r="G4841" t="s">
        <v>12</v>
      </c>
    </row>
    <row r="4842" spans="1:7" x14ac:dyDescent="0.3">
      <c r="A4842" t="s">
        <v>72</v>
      </c>
      <c r="B4842" t="s">
        <v>8</v>
      </c>
      <c r="C4842" t="s">
        <v>9</v>
      </c>
      <c r="D4842">
        <v>0</v>
      </c>
      <c r="E4842" t="s">
        <v>68</v>
      </c>
      <c r="F4842" t="s">
        <v>11</v>
      </c>
      <c r="G4842" t="s">
        <v>12</v>
      </c>
    </row>
    <row r="4843" spans="1:7" x14ac:dyDescent="0.3">
      <c r="A4843" t="s">
        <v>72</v>
      </c>
      <c r="B4843" t="s">
        <v>8</v>
      </c>
      <c r="C4843" t="s">
        <v>13</v>
      </c>
      <c r="D4843">
        <v>0</v>
      </c>
      <c r="E4843" t="s">
        <v>68</v>
      </c>
      <c r="F4843" t="s">
        <v>11</v>
      </c>
      <c r="G4843" t="s">
        <v>12</v>
      </c>
    </row>
    <row r="4844" spans="1:7" x14ac:dyDescent="0.3">
      <c r="A4844" t="s">
        <v>72</v>
      </c>
      <c r="B4844" t="s">
        <v>8</v>
      </c>
      <c r="C4844" t="s">
        <v>14</v>
      </c>
      <c r="D4844">
        <v>0</v>
      </c>
      <c r="E4844" t="s">
        <v>68</v>
      </c>
      <c r="F4844" t="s">
        <v>11</v>
      </c>
      <c r="G4844" t="s">
        <v>12</v>
      </c>
    </row>
    <row r="4845" spans="1:7" x14ac:dyDescent="0.3">
      <c r="A4845" t="s">
        <v>72</v>
      </c>
      <c r="B4845" t="s">
        <v>8</v>
      </c>
      <c r="C4845" t="s">
        <v>15</v>
      </c>
      <c r="D4845">
        <v>0</v>
      </c>
      <c r="E4845" t="s">
        <v>68</v>
      </c>
      <c r="F4845" t="s">
        <v>11</v>
      </c>
      <c r="G4845" t="s">
        <v>12</v>
      </c>
    </row>
    <row r="4846" spans="1:7" x14ac:dyDescent="0.3">
      <c r="A4846" t="s">
        <v>72</v>
      </c>
      <c r="B4846" t="s">
        <v>8</v>
      </c>
      <c r="C4846" t="s">
        <v>16</v>
      </c>
      <c r="D4846">
        <v>0</v>
      </c>
      <c r="E4846" t="s">
        <v>68</v>
      </c>
      <c r="F4846" t="s">
        <v>11</v>
      </c>
      <c r="G4846" t="s">
        <v>12</v>
      </c>
    </row>
    <row r="4847" spans="1:7" x14ac:dyDescent="0.3">
      <c r="A4847" t="s">
        <v>72</v>
      </c>
      <c r="B4847" t="s">
        <v>8</v>
      </c>
      <c r="C4847" t="s">
        <v>17</v>
      </c>
      <c r="D4847">
        <v>0</v>
      </c>
      <c r="E4847" t="s">
        <v>68</v>
      </c>
      <c r="F4847" t="s">
        <v>11</v>
      </c>
      <c r="G4847" t="s">
        <v>12</v>
      </c>
    </row>
    <row r="4848" spans="1:7" x14ac:dyDescent="0.3">
      <c r="A4848" t="s">
        <v>72</v>
      </c>
      <c r="B4848" t="s">
        <v>8</v>
      </c>
      <c r="C4848" t="s">
        <v>18</v>
      </c>
      <c r="D4848">
        <v>0</v>
      </c>
      <c r="E4848" t="s">
        <v>68</v>
      </c>
      <c r="F4848" t="s">
        <v>11</v>
      </c>
      <c r="G4848" t="s">
        <v>12</v>
      </c>
    </row>
    <row r="4849" spans="1:7" x14ac:dyDescent="0.3">
      <c r="A4849" t="s">
        <v>72</v>
      </c>
      <c r="B4849" t="s">
        <v>8</v>
      </c>
      <c r="C4849" t="s">
        <v>19</v>
      </c>
      <c r="D4849">
        <v>0</v>
      </c>
      <c r="E4849" t="s">
        <v>68</v>
      </c>
      <c r="F4849" t="s">
        <v>11</v>
      </c>
      <c r="G4849" t="s">
        <v>12</v>
      </c>
    </row>
    <row r="4850" spans="1:7" x14ac:dyDescent="0.3">
      <c r="A4850" t="s">
        <v>72</v>
      </c>
      <c r="B4850" t="s">
        <v>8</v>
      </c>
      <c r="C4850" t="s">
        <v>20</v>
      </c>
      <c r="D4850">
        <v>0</v>
      </c>
      <c r="E4850" t="s">
        <v>68</v>
      </c>
      <c r="F4850" t="s">
        <v>11</v>
      </c>
      <c r="G4850" t="s">
        <v>12</v>
      </c>
    </row>
    <row r="4851" spans="1:7" x14ac:dyDescent="0.3">
      <c r="A4851" t="s">
        <v>72</v>
      </c>
      <c r="B4851" t="s">
        <v>8</v>
      </c>
      <c r="C4851" t="s">
        <v>21</v>
      </c>
      <c r="D4851">
        <v>0</v>
      </c>
      <c r="E4851" t="s">
        <v>68</v>
      </c>
      <c r="F4851" t="s">
        <v>11</v>
      </c>
      <c r="G4851" t="s">
        <v>12</v>
      </c>
    </row>
    <row r="4852" spans="1:7" x14ac:dyDescent="0.3">
      <c r="A4852" t="s">
        <v>72</v>
      </c>
      <c r="B4852" t="s">
        <v>8</v>
      </c>
      <c r="C4852" t="s">
        <v>22</v>
      </c>
      <c r="D4852">
        <v>1487</v>
      </c>
      <c r="E4852" t="s">
        <v>68</v>
      </c>
      <c r="F4852" t="s">
        <v>11</v>
      </c>
      <c r="G4852" t="s">
        <v>12</v>
      </c>
    </row>
    <row r="4853" spans="1:7" x14ac:dyDescent="0.3">
      <c r="A4853" t="s">
        <v>72</v>
      </c>
      <c r="B4853" t="s">
        <v>23</v>
      </c>
      <c r="C4853" t="s">
        <v>9</v>
      </c>
      <c r="D4853">
        <v>16</v>
      </c>
      <c r="E4853" t="s">
        <v>68</v>
      </c>
      <c r="F4853" t="s">
        <v>11</v>
      </c>
      <c r="G4853" t="s">
        <v>12</v>
      </c>
    </row>
    <row r="4854" spans="1:7" x14ac:dyDescent="0.3">
      <c r="A4854" t="s">
        <v>72</v>
      </c>
      <c r="B4854" t="s">
        <v>23</v>
      </c>
      <c r="C4854" t="s">
        <v>13</v>
      </c>
      <c r="D4854">
        <v>151</v>
      </c>
      <c r="E4854" t="s">
        <v>68</v>
      </c>
      <c r="F4854" t="s">
        <v>11</v>
      </c>
      <c r="G4854" t="s">
        <v>12</v>
      </c>
    </row>
    <row r="4855" spans="1:7" x14ac:dyDescent="0.3">
      <c r="A4855" t="s">
        <v>72</v>
      </c>
      <c r="B4855" t="s">
        <v>23</v>
      </c>
      <c r="C4855" t="s">
        <v>14</v>
      </c>
      <c r="D4855">
        <v>188</v>
      </c>
      <c r="E4855" t="s">
        <v>68</v>
      </c>
      <c r="F4855" t="s">
        <v>11</v>
      </c>
      <c r="G4855" t="s">
        <v>12</v>
      </c>
    </row>
    <row r="4856" spans="1:7" x14ac:dyDescent="0.3">
      <c r="A4856" t="s">
        <v>72</v>
      </c>
      <c r="B4856" t="s">
        <v>23</v>
      </c>
      <c r="C4856" t="s">
        <v>15</v>
      </c>
      <c r="D4856">
        <v>6</v>
      </c>
      <c r="E4856" t="s">
        <v>68</v>
      </c>
      <c r="F4856" t="s">
        <v>11</v>
      </c>
      <c r="G4856" t="s">
        <v>12</v>
      </c>
    </row>
    <row r="4857" spans="1:7" x14ac:dyDescent="0.3">
      <c r="A4857" t="s">
        <v>72</v>
      </c>
      <c r="B4857" t="s">
        <v>23</v>
      </c>
      <c r="C4857" t="s">
        <v>16</v>
      </c>
      <c r="D4857">
        <v>86</v>
      </c>
      <c r="E4857" t="s">
        <v>68</v>
      </c>
      <c r="F4857" t="s">
        <v>11</v>
      </c>
      <c r="G4857" t="s">
        <v>12</v>
      </c>
    </row>
    <row r="4858" spans="1:7" x14ac:dyDescent="0.3">
      <c r="A4858" t="s">
        <v>72</v>
      </c>
      <c r="B4858" t="s">
        <v>23</v>
      </c>
      <c r="C4858" t="s">
        <v>17</v>
      </c>
      <c r="D4858">
        <v>23</v>
      </c>
      <c r="E4858" t="s">
        <v>68</v>
      </c>
      <c r="F4858" t="s">
        <v>11</v>
      </c>
      <c r="G4858" t="s">
        <v>12</v>
      </c>
    </row>
    <row r="4859" spans="1:7" x14ac:dyDescent="0.3">
      <c r="A4859" t="s">
        <v>72</v>
      </c>
      <c r="B4859" t="s">
        <v>23</v>
      </c>
      <c r="C4859" t="s">
        <v>18</v>
      </c>
      <c r="D4859">
        <v>0</v>
      </c>
      <c r="E4859" t="s">
        <v>68</v>
      </c>
      <c r="F4859" t="s">
        <v>11</v>
      </c>
      <c r="G4859" t="s">
        <v>12</v>
      </c>
    </row>
    <row r="4860" spans="1:7" x14ac:dyDescent="0.3">
      <c r="A4860" t="s">
        <v>72</v>
      </c>
      <c r="B4860" t="s">
        <v>23</v>
      </c>
      <c r="C4860" t="s">
        <v>19</v>
      </c>
      <c r="D4860">
        <v>38</v>
      </c>
      <c r="E4860" t="s">
        <v>68</v>
      </c>
      <c r="F4860" t="s">
        <v>11</v>
      </c>
      <c r="G4860" t="s">
        <v>12</v>
      </c>
    </row>
    <row r="4861" spans="1:7" x14ac:dyDescent="0.3">
      <c r="A4861" t="s">
        <v>72</v>
      </c>
      <c r="B4861" t="s">
        <v>23</v>
      </c>
      <c r="C4861" t="s">
        <v>20</v>
      </c>
      <c r="D4861">
        <v>13</v>
      </c>
      <c r="E4861" t="s">
        <v>68</v>
      </c>
      <c r="F4861" t="s">
        <v>11</v>
      </c>
      <c r="G4861" t="s">
        <v>12</v>
      </c>
    </row>
    <row r="4862" spans="1:7" x14ac:dyDescent="0.3">
      <c r="A4862" t="s">
        <v>72</v>
      </c>
      <c r="B4862" t="s">
        <v>23</v>
      </c>
      <c r="C4862" t="s">
        <v>21</v>
      </c>
      <c r="D4862">
        <v>4</v>
      </c>
      <c r="E4862" t="s">
        <v>68</v>
      </c>
      <c r="F4862" t="s">
        <v>11</v>
      </c>
      <c r="G4862" t="s">
        <v>12</v>
      </c>
    </row>
    <row r="4863" spans="1:7" x14ac:dyDescent="0.3">
      <c r="A4863" t="s">
        <v>72</v>
      </c>
      <c r="B4863" t="s">
        <v>23</v>
      </c>
      <c r="C4863" t="s">
        <v>22</v>
      </c>
      <c r="D4863">
        <v>596</v>
      </c>
      <c r="E4863" t="s">
        <v>68</v>
      </c>
      <c r="F4863" t="s">
        <v>11</v>
      </c>
      <c r="G4863" t="s">
        <v>12</v>
      </c>
    </row>
    <row r="4864" spans="1:7" x14ac:dyDescent="0.3">
      <c r="A4864" t="s">
        <v>73</v>
      </c>
      <c r="B4864" t="s">
        <v>8</v>
      </c>
      <c r="C4864" t="s">
        <v>9</v>
      </c>
      <c r="D4864">
        <v>0</v>
      </c>
      <c r="E4864" t="s">
        <v>68</v>
      </c>
      <c r="F4864" t="s">
        <v>11</v>
      </c>
      <c r="G4864" t="s">
        <v>12</v>
      </c>
    </row>
    <row r="4865" spans="1:7" x14ac:dyDescent="0.3">
      <c r="A4865" t="s">
        <v>73</v>
      </c>
      <c r="B4865" t="s">
        <v>8</v>
      </c>
      <c r="C4865" t="s">
        <v>13</v>
      </c>
      <c r="D4865">
        <v>0</v>
      </c>
      <c r="E4865" t="s">
        <v>68</v>
      </c>
      <c r="F4865" t="s">
        <v>11</v>
      </c>
      <c r="G4865" t="s">
        <v>12</v>
      </c>
    </row>
    <row r="4866" spans="1:7" x14ac:dyDescent="0.3">
      <c r="A4866" t="s">
        <v>73</v>
      </c>
      <c r="B4866" t="s">
        <v>8</v>
      </c>
      <c r="C4866" t="s">
        <v>14</v>
      </c>
      <c r="D4866">
        <v>8</v>
      </c>
      <c r="E4866" t="s">
        <v>68</v>
      </c>
      <c r="F4866" t="s">
        <v>11</v>
      </c>
      <c r="G4866" t="s">
        <v>12</v>
      </c>
    </row>
    <row r="4867" spans="1:7" x14ac:dyDescent="0.3">
      <c r="A4867" t="s">
        <v>73</v>
      </c>
      <c r="B4867" t="s">
        <v>8</v>
      </c>
      <c r="C4867" t="s">
        <v>15</v>
      </c>
      <c r="D4867">
        <v>0</v>
      </c>
      <c r="E4867" t="s">
        <v>68</v>
      </c>
      <c r="F4867" t="s">
        <v>11</v>
      </c>
      <c r="G4867" t="s">
        <v>12</v>
      </c>
    </row>
    <row r="4868" spans="1:7" x14ac:dyDescent="0.3">
      <c r="A4868" t="s">
        <v>73</v>
      </c>
      <c r="B4868" t="s">
        <v>8</v>
      </c>
      <c r="C4868" t="s">
        <v>16</v>
      </c>
      <c r="D4868">
        <v>4262</v>
      </c>
      <c r="E4868" t="s">
        <v>68</v>
      </c>
      <c r="F4868" t="s">
        <v>11</v>
      </c>
      <c r="G4868" t="s">
        <v>12</v>
      </c>
    </row>
    <row r="4869" spans="1:7" x14ac:dyDescent="0.3">
      <c r="A4869" t="s">
        <v>73</v>
      </c>
      <c r="B4869" t="s">
        <v>8</v>
      </c>
      <c r="C4869" t="s">
        <v>17</v>
      </c>
      <c r="D4869">
        <v>6</v>
      </c>
      <c r="E4869" t="s">
        <v>68</v>
      </c>
      <c r="F4869" t="s">
        <v>11</v>
      </c>
      <c r="G4869" t="s">
        <v>12</v>
      </c>
    </row>
    <row r="4870" spans="1:7" x14ac:dyDescent="0.3">
      <c r="A4870" t="s">
        <v>73</v>
      </c>
      <c r="B4870" t="s">
        <v>8</v>
      </c>
      <c r="C4870" t="s">
        <v>18</v>
      </c>
      <c r="D4870">
        <v>0</v>
      </c>
      <c r="E4870" t="s">
        <v>68</v>
      </c>
      <c r="F4870" t="s">
        <v>11</v>
      </c>
      <c r="G4870" t="s">
        <v>12</v>
      </c>
    </row>
    <row r="4871" spans="1:7" x14ac:dyDescent="0.3">
      <c r="A4871" t="s">
        <v>73</v>
      </c>
      <c r="B4871" t="s">
        <v>8</v>
      </c>
      <c r="C4871" t="s">
        <v>19</v>
      </c>
      <c r="D4871">
        <v>0</v>
      </c>
      <c r="E4871" t="s">
        <v>68</v>
      </c>
      <c r="F4871" t="s">
        <v>11</v>
      </c>
      <c r="G4871" t="s">
        <v>12</v>
      </c>
    </row>
    <row r="4872" spans="1:7" x14ac:dyDescent="0.3">
      <c r="A4872" t="s">
        <v>73</v>
      </c>
      <c r="B4872" t="s">
        <v>8</v>
      </c>
      <c r="C4872" t="s">
        <v>20</v>
      </c>
      <c r="D4872">
        <v>0</v>
      </c>
      <c r="E4872" t="s">
        <v>68</v>
      </c>
      <c r="F4872" t="s">
        <v>11</v>
      </c>
      <c r="G4872" t="s">
        <v>12</v>
      </c>
    </row>
    <row r="4873" spans="1:7" x14ac:dyDescent="0.3">
      <c r="A4873" t="s">
        <v>73</v>
      </c>
      <c r="B4873" t="s">
        <v>8</v>
      </c>
      <c r="C4873" t="s">
        <v>21</v>
      </c>
      <c r="D4873">
        <v>0</v>
      </c>
      <c r="E4873" t="s">
        <v>68</v>
      </c>
      <c r="F4873" t="s">
        <v>11</v>
      </c>
      <c r="G4873" t="s">
        <v>12</v>
      </c>
    </row>
    <row r="4874" spans="1:7" x14ac:dyDescent="0.3">
      <c r="A4874" t="s">
        <v>73</v>
      </c>
      <c r="B4874" t="s">
        <v>8</v>
      </c>
      <c r="C4874" t="s">
        <v>22</v>
      </c>
      <c r="D4874">
        <v>0</v>
      </c>
      <c r="E4874" t="s">
        <v>68</v>
      </c>
      <c r="F4874" t="s">
        <v>11</v>
      </c>
      <c r="G4874" t="s">
        <v>12</v>
      </c>
    </row>
    <row r="4875" spans="1:7" x14ac:dyDescent="0.3">
      <c r="A4875" t="s">
        <v>73</v>
      </c>
      <c r="B4875" t="s">
        <v>23</v>
      </c>
      <c r="C4875" t="s">
        <v>9</v>
      </c>
      <c r="D4875">
        <v>0</v>
      </c>
      <c r="E4875" t="s">
        <v>68</v>
      </c>
      <c r="F4875" t="s">
        <v>11</v>
      </c>
      <c r="G4875" t="s">
        <v>12</v>
      </c>
    </row>
    <row r="4876" spans="1:7" x14ac:dyDescent="0.3">
      <c r="A4876" t="s">
        <v>73</v>
      </c>
      <c r="B4876" t="s">
        <v>23</v>
      </c>
      <c r="C4876" t="s">
        <v>13</v>
      </c>
      <c r="D4876">
        <v>0</v>
      </c>
      <c r="E4876" t="s">
        <v>68</v>
      </c>
      <c r="F4876" t="s">
        <v>11</v>
      </c>
      <c r="G4876" t="s">
        <v>12</v>
      </c>
    </row>
    <row r="4877" spans="1:7" x14ac:dyDescent="0.3">
      <c r="A4877" t="s">
        <v>73</v>
      </c>
      <c r="B4877" t="s">
        <v>23</v>
      </c>
      <c r="C4877" t="s">
        <v>14</v>
      </c>
      <c r="D4877">
        <v>2</v>
      </c>
      <c r="E4877" t="s">
        <v>68</v>
      </c>
      <c r="F4877" t="s">
        <v>11</v>
      </c>
      <c r="G4877" t="s">
        <v>12</v>
      </c>
    </row>
    <row r="4878" spans="1:7" x14ac:dyDescent="0.3">
      <c r="A4878" t="s">
        <v>73</v>
      </c>
      <c r="B4878" t="s">
        <v>23</v>
      </c>
      <c r="C4878" t="s">
        <v>15</v>
      </c>
      <c r="D4878">
        <v>0</v>
      </c>
      <c r="E4878" t="s">
        <v>68</v>
      </c>
      <c r="F4878" t="s">
        <v>11</v>
      </c>
      <c r="G4878" t="s">
        <v>12</v>
      </c>
    </row>
    <row r="4879" spans="1:7" x14ac:dyDescent="0.3">
      <c r="A4879" t="s">
        <v>73</v>
      </c>
      <c r="B4879" t="s">
        <v>23</v>
      </c>
      <c r="C4879" t="s">
        <v>16</v>
      </c>
      <c r="D4879">
        <v>1041</v>
      </c>
      <c r="E4879" t="s">
        <v>68</v>
      </c>
      <c r="F4879" t="s">
        <v>11</v>
      </c>
      <c r="G4879" t="s">
        <v>12</v>
      </c>
    </row>
    <row r="4880" spans="1:7" x14ac:dyDescent="0.3">
      <c r="A4880" t="s">
        <v>73</v>
      </c>
      <c r="B4880" t="s">
        <v>23</v>
      </c>
      <c r="C4880" t="s">
        <v>17</v>
      </c>
      <c r="D4880">
        <v>0</v>
      </c>
      <c r="E4880" t="s">
        <v>68</v>
      </c>
      <c r="F4880" t="s">
        <v>11</v>
      </c>
      <c r="G4880" t="s">
        <v>12</v>
      </c>
    </row>
    <row r="4881" spans="1:7" x14ac:dyDescent="0.3">
      <c r="A4881" t="s">
        <v>73</v>
      </c>
      <c r="B4881" t="s">
        <v>23</v>
      </c>
      <c r="C4881" t="s">
        <v>18</v>
      </c>
      <c r="D4881">
        <v>0</v>
      </c>
      <c r="E4881" t="s">
        <v>68</v>
      </c>
      <c r="F4881" t="s">
        <v>11</v>
      </c>
      <c r="G4881" t="s">
        <v>12</v>
      </c>
    </row>
    <row r="4882" spans="1:7" x14ac:dyDescent="0.3">
      <c r="A4882" t="s">
        <v>73</v>
      </c>
      <c r="B4882" t="s">
        <v>23</v>
      </c>
      <c r="C4882" t="s">
        <v>19</v>
      </c>
      <c r="D4882">
        <v>0</v>
      </c>
      <c r="E4882" t="s">
        <v>68</v>
      </c>
      <c r="F4882" t="s">
        <v>11</v>
      </c>
      <c r="G4882" t="s">
        <v>12</v>
      </c>
    </row>
    <row r="4883" spans="1:7" x14ac:dyDescent="0.3">
      <c r="A4883" t="s">
        <v>73</v>
      </c>
      <c r="B4883" t="s">
        <v>23</v>
      </c>
      <c r="C4883" t="s">
        <v>20</v>
      </c>
      <c r="D4883">
        <v>7</v>
      </c>
      <c r="E4883" t="s">
        <v>68</v>
      </c>
      <c r="F4883" t="s">
        <v>11</v>
      </c>
      <c r="G4883" t="s">
        <v>12</v>
      </c>
    </row>
    <row r="4884" spans="1:7" x14ac:dyDescent="0.3">
      <c r="A4884" t="s">
        <v>73</v>
      </c>
      <c r="B4884" t="s">
        <v>23</v>
      </c>
      <c r="C4884" t="s">
        <v>21</v>
      </c>
      <c r="D4884">
        <v>0</v>
      </c>
      <c r="E4884" t="s">
        <v>68</v>
      </c>
      <c r="F4884" t="s">
        <v>11</v>
      </c>
      <c r="G4884" t="s">
        <v>12</v>
      </c>
    </row>
    <row r="4885" spans="1:7" x14ac:dyDescent="0.3">
      <c r="A4885" t="s">
        <v>73</v>
      </c>
      <c r="B4885" t="s">
        <v>23</v>
      </c>
      <c r="C4885" t="s">
        <v>22</v>
      </c>
      <c r="D4885">
        <v>0</v>
      </c>
      <c r="E4885" t="s">
        <v>68</v>
      </c>
      <c r="F4885" t="s">
        <v>11</v>
      </c>
      <c r="G4885" t="s">
        <v>12</v>
      </c>
    </row>
    <row r="4886" spans="1:7" x14ac:dyDescent="0.3">
      <c r="A4886" t="s">
        <v>74</v>
      </c>
      <c r="B4886" t="s">
        <v>8</v>
      </c>
      <c r="C4886" t="s">
        <v>9</v>
      </c>
      <c r="D4886">
        <v>0</v>
      </c>
      <c r="E4886" t="s">
        <v>68</v>
      </c>
      <c r="F4886" t="s">
        <v>11</v>
      </c>
      <c r="G4886" t="s">
        <v>12</v>
      </c>
    </row>
    <row r="4887" spans="1:7" x14ac:dyDescent="0.3">
      <c r="A4887" t="s">
        <v>74</v>
      </c>
      <c r="B4887" t="s">
        <v>8</v>
      </c>
      <c r="C4887" t="s">
        <v>13</v>
      </c>
      <c r="D4887">
        <v>0</v>
      </c>
      <c r="E4887" t="s">
        <v>68</v>
      </c>
      <c r="F4887" t="s">
        <v>11</v>
      </c>
      <c r="G4887" t="s">
        <v>12</v>
      </c>
    </row>
    <row r="4888" spans="1:7" x14ac:dyDescent="0.3">
      <c r="A4888" t="s">
        <v>74</v>
      </c>
      <c r="B4888" t="s">
        <v>8</v>
      </c>
      <c r="C4888" t="s">
        <v>14</v>
      </c>
      <c r="D4888">
        <v>0</v>
      </c>
      <c r="E4888" t="s">
        <v>68</v>
      </c>
      <c r="F4888" t="s">
        <v>11</v>
      </c>
      <c r="G4888" t="s">
        <v>12</v>
      </c>
    </row>
    <row r="4889" spans="1:7" x14ac:dyDescent="0.3">
      <c r="A4889" t="s">
        <v>74</v>
      </c>
      <c r="B4889" t="s">
        <v>8</v>
      </c>
      <c r="C4889" t="s">
        <v>15</v>
      </c>
      <c r="D4889">
        <v>0</v>
      </c>
      <c r="E4889" t="s">
        <v>68</v>
      </c>
      <c r="F4889" t="s">
        <v>11</v>
      </c>
      <c r="G4889" t="s">
        <v>12</v>
      </c>
    </row>
    <row r="4890" spans="1:7" x14ac:dyDescent="0.3">
      <c r="A4890" t="s">
        <v>74</v>
      </c>
      <c r="B4890" t="s">
        <v>8</v>
      </c>
      <c r="C4890" t="s">
        <v>16</v>
      </c>
      <c r="D4890">
        <v>0</v>
      </c>
      <c r="E4890" t="s">
        <v>68</v>
      </c>
      <c r="F4890" t="s">
        <v>11</v>
      </c>
      <c r="G4890" t="s">
        <v>12</v>
      </c>
    </row>
    <row r="4891" spans="1:7" x14ac:dyDescent="0.3">
      <c r="A4891" t="s">
        <v>74</v>
      </c>
      <c r="B4891" t="s">
        <v>8</v>
      </c>
      <c r="C4891" t="s">
        <v>17</v>
      </c>
      <c r="D4891">
        <v>0</v>
      </c>
      <c r="E4891" t="s">
        <v>68</v>
      </c>
      <c r="F4891" t="s">
        <v>11</v>
      </c>
      <c r="G4891" t="s">
        <v>12</v>
      </c>
    </row>
    <row r="4892" spans="1:7" x14ac:dyDescent="0.3">
      <c r="A4892" t="s">
        <v>74</v>
      </c>
      <c r="B4892" t="s">
        <v>8</v>
      </c>
      <c r="C4892" t="s">
        <v>18</v>
      </c>
      <c r="D4892">
        <v>0</v>
      </c>
      <c r="E4892" t="s">
        <v>68</v>
      </c>
      <c r="F4892" t="s">
        <v>11</v>
      </c>
      <c r="G4892" t="s">
        <v>12</v>
      </c>
    </row>
    <row r="4893" spans="1:7" x14ac:dyDescent="0.3">
      <c r="A4893" t="s">
        <v>74</v>
      </c>
      <c r="B4893" t="s">
        <v>8</v>
      </c>
      <c r="C4893" t="s">
        <v>19</v>
      </c>
      <c r="D4893">
        <v>0</v>
      </c>
      <c r="E4893" t="s">
        <v>68</v>
      </c>
      <c r="F4893" t="s">
        <v>11</v>
      </c>
      <c r="G4893" t="s">
        <v>12</v>
      </c>
    </row>
    <row r="4894" spans="1:7" x14ac:dyDescent="0.3">
      <c r="A4894" t="s">
        <v>74</v>
      </c>
      <c r="B4894" t="s">
        <v>8</v>
      </c>
      <c r="C4894" t="s">
        <v>20</v>
      </c>
      <c r="D4894">
        <v>0</v>
      </c>
      <c r="E4894" t="s">
        <v>68</v>
      </c>
      <c r="F4894" t="s">
        <v>11</v>
      </c>
      <c r="G4894" t="s">
        <v>12</v>
      </c>
    </row>
    <row r="4895" spans="1:7" x14ac:dyDescent="0.3">
      <c r="A4895" t="s">
        <v>74</v>
      </c>
      <c r="B4895" t="s">
        <v>8</v>
      </c>
      <c r="C4895" t="s">
        <v>21</v>
      </c>
      <c r="D4895">
        <v>0</v>
      </c>
      <c r="E4895" t="s">
        <v>68</v>
      </c>
      <c r="F4895" t="s">
        <v>11</v>
      </c>
      <c r="G4895" t="s">
        <v>12</v>
      </c>
    </row>
    <row r="4896" spans="1:7" x14ac:dyDescent="0.3">
      <c r="A4896" t="s">
        <v>74</v>
      </c>
      <c r="B4896" t="s">
        <v>8</v>
      </c>
      <c r="C4896" t="s">
        <v>22</v>
      </c>
      <c r="D4896">
        <v>1178</v>
      </c>
      <c r="E4896" t="s">
        <v>68</v>
      </c>
      <c r="F4896" t="s">
        <v>11</v>
      </c>
      <c r="G4896" t="s">
        <v>12</v>
      </c>
    </row>
    <row r="4897" spans="1:7" x14ac:dyDescent="0.3">
      <c r="A4897" t="s">
        <v>74</v>
      </c>
      <c r="B4897" t="s">
        <v>23</v>
      </c>
      <c r="C4897" t="s">
        <v>9</v>
      </c>
      <c r="D4897">
        <v>13</v>
      </c>
      <c r="E4897" t="s">
        <v>68</v>
      </c>
      <c r="F4897" t="s">
        <v>11</v>
      </c>
      <c r="G4897" t="s">
        <v>12</v>
      </c>
    </row>
    <row r="4898" spans="1:7" x14ac:dyDescent="0.3">
      <c r="A4898" t="s">
        <v>74</v>
      </c>
      <c r="B4898" t="s">
        <v>23</v>
      </c>
      <c r="C4898" t="s">
        <v>13</v>
      </c>
      <c r="D4898">
        <v>120</v>
      </c>
      <c r="E4898" t="s">
        <v>68</v>
      </c>
      <c r="F4898" t="s">
        <v>11</v>
      </c>
      <c r="G4898" t="s">
        <v>12</v>
      </c>
    </row>
    <row r="4899" spans="1:7" x14ac:dyDescent="0.3">
      <c r="A4899" t="s">
        <v>74</v>
      </c>
      <c r="B4899" t="s">
        <v>23</v>
      </c>
      <c r="C4899" t="s">
        <v>14</v>
      </c>
      <c r="D4899">
        <v>149</v>
      </c>
      <c r="E4899" t="s">
        <v>68</v>
      </c>
      <c r="F4899" t="s">
        <v>11</v>
      </c>
      <c r="G4899" t="s">
        <v>12</v>
      </c>
    </row>
    <row r="4900" spans="1:7" x14ac:dyDescent="0.3">
      <c r="A4900" t="s">
        <v>74</v>
      </c>
      <c r="B4900" t="s">
        <v>23</v>
      </c>
      <c r="C4900" t="s">
        <v>15</v>
      </c>
      <c r="D4900">
        <v>5</v>
      </c>
      <c r="E4900" t="s">
        <v>68</v>
      </c>
      <c r="F4900" t="s">
        <v>11</v>
      </c>
      <c r="G4900" t="s">
        <v>12</v>
      </c>
    </row>
    <row r="4901" spans="1:7" x14ac:dyDescent="0.3">
      <c r="A4901" t="s">
        <v>74</v>
      </c>
      <c r="B4901" t="s">
        <v>23</v>
      </c>
      <c r="C4901" t="s">
        <v>16</v>
      </c>
      <c r="D4901">
        <v>68</v>
      </c>
      <c r="E4901" t="s">
        <v>68</v>
      </c>
      <c r="F4901" t="s">
        <v>11</v>
      </c>
      <c r="G4901" t="s">
        <v>12</v>
      </c>
    </row>
    <row r="4902" spans="1:7" x14ac:dyDescent="0.3">
      <c r="A4902" t="s">
        <v>74</v>
      </c>
      <c r="B4902" t="s">
        <v>23</v>
      </c>
      <c r="C4902" t="s">
        <v>17</v>
      </c>
      <c r="D4902">
        <v>18</v>
      </c>
      <c r="E4902" t="s">
        <v>68</v>
      </c>
      <c r="F4902" t="s">
        <v>11</v>
      </c>
      <c r="G4902" t="s">
        <v>12</v>
      </c>
    </row>
    <row r="4903" spans="1:7" x14ac:dyDescent="0.3">
      <c r="A4903" t="s">
        <v>74</v>
      </c>
      <c r="B4903" t="s">
        <v>23</v>
      </c>
      <c r="C4903" t="s">
        <v>18</v>
      </c>
      <c r="D4903">
        <v>0</v>
      </c>
      <c r="E4903" t="s">
        <v>68</v>
      </c>
      <c r="F4903" t="s">
        <v>11</v>
      </c>
      <c r="G4903" t="s">
        <v>12</v>
      </c>
    </row>
    <row r="4904" spans="1:7" x14ac:dyDescent="0.3">
      <c r="A4904" t="s">
        <v>74</v>
      </c>
      <c r="B4904" t="s">
        <v>23</v>
      </c>
      <c r="C4904" t="s">
        <v>19</v>
      </c>
      <c r="D4904">
        <v>30</v>
      </c>
      <c r="E4904" t="s">
        <v>68</v>
      </c>
      <c r="F4904" t="s">
        <v>11</v>
      </c>
      <c r="G4904" t="s">
        <v>12</v>
      </c>
    </row>
    <row r="4905" spans="1:7" x14ac:dyDescent="0.3">
      <c r="A4905" t="s">
        <v>74</v>
      </c>
      <c r="B4905" t="s">
        <v>23</v>
      </c>
      <c r="C4905" t="s">
        <v>20</v>
      </c>
      <c r="D4905">
        <v>10</v>
      </c>
      <c r="E4905" t="s">
        <v>68</v>
      </c>
      <c r="F4905" t="s">
        <v>11</v>
      </c>
      <c r="G4905" t="s">
        <v>12</v>
      </c>
    </row>
    <row r="4906" spans="1:7" x14ac:dyDescent="0.3">
      <c r="A4906" t="s">
        <v>74</v>
      </c>
      <c r="B4906" t="s">
        <v>23</v>
      </c>
      <c r="C4906" t="s">
        <v>21</v>
      </c>
      <c r="D4906">
        <v>3</v>
      </c>
      <c r="E4906" t="s">
        <v>68</v>
      </c>
      <c r="F4906" t="s">
        <v>11</v>
      </c>
      <c r="G4906" t="s">
        <v>12</v>
      </c>
    </row>
    <row r="4907" spans="1:7" x14ac:dyDescent="0.3">
      <c r="A4907" t="s">
        <v>74</v>
      </c>
      <c r="B4907" t="s">
        <v>23</v>
      </c>
      <c r="C4907" t="s">
        <v>22</v>
      </c>
      <c r="D4907">
        <v>473</v>
      </c>
      <c r="E4907" t="s">
        <v>68</v>
      </c>
      <c r="F4907" t="s">
        <v>11</v>
      </c>
      <c r="G4907" t="s">
        <v>12</v>
      </c>
    </row>
    <row r="4908" spans="1:7" x14ac:dyDescent="0.3">
      <c r="A4908" t="s">
        <v>75</v>
      </c>
      <c r="B4908" t="s">
        <v>8</v>
      </c>
      <c r="C4908" t="s">
        <v>9</v>
      </c>
      <c r="D4908">
        <v>6134</v>
      </c>
      <c r="E4908" t="s">
        <v>68</v>
      </c>
      <c r="F4908" t="s">
        <v>11</v>
      </c>
      <c r="G4908" t="s">
        <v>12</v>
      </c>
    </row>
    <row r="4909" spans="1:7" x14ac:dyDescent="0.3">
      <c r="A4909" t="s">
        <v>75</v>
      </c>
      <c r="B4909" t="s">
        <v>8</v>
      </c>
      <c r="C4909" t="s">
        <v>13</v>
      </c>
      <c r="D4909">
        <v>0</v>
      </c>
      <c r="E4909" t="s">
        <v>68</v>
      </c>
      <c r="F4909" t="s">
        <v>11</v>
      </c>
      <c r="G4909" t="s">
        <v>12</v>
      </c>
    </row>
    <row r="4910" spans="1:7" x14ac:dyDescent="0.3">
      <c r="A4910" t="s">
        <v>75</v>
      </c>
      <c r="B4910" t="s">
        <v>8</v>
      </c>
      <c r="C4910" t="s">
        <v>14</v>
      </c>
      <c r="D4910">
        <v>4</v>
      </c>
      <c r="E4910" t="s">
        <v>68</v>
      </c>
      <c r="F4910" t="s">
        <v>11</v>
      </c>
      <c r="G4910" t="s">
        <v>12</v>
      </c>
    </row>
    <row r="4911" spans="1:7" x14ac:dyDescent="0.3">
      <c r="A4911" t="s">
        <v>75</v>
      </c>
      <c r="B4911" t="s">
        <v>8</v>
      </c>
      <c r="C4911" t="s">
        <v>15</v>
      </c>
      <c r="D4911">
        <v>0</v>
      </c>
      <c r="E4911" t="s">
        <v>68</v>
      </c>
      <c r="F4911" t="s">
        <v>11</v>
      </c>
      <c r="G4911" t="s">
        <v>12</v>
      </c>
    </row>
    <row r="4912" spans="1:7" x14ac:dyDescent="0.3">
      <c r="A4912" t="s">
        <v>75</v>
      </c>
      <c r="B4912" t="s">
        <v>8</v>
      </c>
      <c r="C4912" t="s">
        <v>16</v>
      </c>
      <c r="D4912">
        <v>0</v>
      </c>
      <c r="E4912" t="s">
        <v>68</v>
      </c>
      <c r="F4912" t="s">
        <v>11</v>
      </c>
      <c r="G4912" t="s">
        <v>12</v>
      </c>
    </row>
    <row r="4913" spans="1:7" x14ac:dyDescent="0.3">
      <c r="A4913" t="s">
        <v>75</v>
      </c>
      <c r="B4913" t="s">
        <v>8</v>
      </c>
      <c r="C4913" t="s">
        <v>17</v>
      </c>
      <c r="D4913">
        <v>7</v>
      </c>
      <c r="E4913" t="s">
        <v>68</v>
      </c>
      <c r="F4913" t="s">
        <v>11</v>
      </c>
      <c r="G4913" t="s">
        <v>12</v>
      </c>
    </row>
    <row r="4914" spans="1:7" x14ac:dyDescent="0.3">
      <c r="A4914" t="s">
        <v>75</v>
      </c>
      <c r="B4914" t="s">
        <v>8</v>
      </c>
      <c r="C4914" t="s">
        <v>18</v>
      </c>
      <c r="D4914">
        <v>0</v>
      </c>
      <c r="E4914" t="s">
        <v>68</v>
      </c>
      <c r="F4914" t="s">
        <v>11</v>
      </c>
      <c r="G4914" t="s">
        <v>12</v>
      </c>
    </row>
    <row r="4915" spans="1:7" x14ac:dyDescent="0.3">
      <c r="A4915" t="s">
        <v>75</v>
      </c>
      <c r="B4915" t="s">
        <v>8</v>
      </c>
      <c r="C4915" t="s">
        <v>19</v>
      </c>
      <c r="D4915">
        <v>0</v>
      </c>
      <c r="E4915" t="s">
        <v>68</v>
      </c>
      <c r="F4915" t="s">
        <v>11</v>
      </c>
      <c r="G4915" t="s">
        <v>12</v>
      </c>
    </row>
    <row r="4916" spans="1:7" x14ac:dyDescent="0.3">
      <c r="A4916" t="s">
        <v>75</v>
      </c>
      <c r="B4916" t="s">
        <v>8</v>
      </c>
      <c r="C4916" t="s">
        <v>20</v>
      </c>
      <c r="D4916">
        <v>0</v>
      </c>
      <c r="E4916" t="s">
        <v>68</v>
      </c>
      <c r="F4916" t="s">
        <v>11</v>
      </c>
      <c r="G4916" t="s">
        <v>12</v>
      </c>
    </row>
    <row r="4917" spans="1:7" x14ac:dyDescent="0.3">
      <c r="A4917" t="s">
        <v>75</v>
      </c>
      <c r="B4917" t="s">
        <v>8</v>
      </c>
      <c r="C4917" t="s">
        <v>21</v>
      </c>
      <c r="D4917">
        <v>0</v>
      </c>
      <c r="E4917" t="s">
        <v>68</v>
      </c>
      <c r="F4917" t="s">
        <v>11</v>
      </c>
      <c r="G4917" t="s">
        <v>12</v>
      </c>
    </row>
    <row r="4918" spans="1:7" x14ac:dyDescent="0.3">
      <c r="A4918" t="s">
        <v>75</v>
      </c>
      <c r="B4918" t="s">
        <v>8</v>
      </c>
      <c r="C4918" t="s">
        <v>22</v>
      </c>
      <c r="D4918">
        <v>0</v>
      </c>
      <c r="E4918" t="s">
        <v>68</v>
      </c>
      <c r="F4918" t="s">
        <v>11</v>
      </c>
      <c r="G4918" t="s">
        <v>12</v>
      </c>
    </row>
    <row r="4919" spans="1:7" x14ac:dyDescent="0.3">
      <c r="A4919" t="s">
        <v>75</v>
      </c>
      <c r="B4919" t="s">
        <v>23</v>
      </c>
      <c r="C4919" t="s">
        <v>9</v>
      </c>
      <c r="D4919">
        <v>1220</v>
      </c>
      <c r="E4919" t="s">
        <v>68</v>
      </c>
      <c r="F4919" t="s">
        <v>11</v>
      </c>
      <c r="G4919" t="s">
        <v>12</v>
      </c>
    </row>
    <row r="4920" spans="1:7" x14ac:dyDescent="0.3">
      <c r="A4920" t="s">
        <v>75</v>
      </c>
      <c r="B4920" t="s">
        <v>23</v>
      </c>
      <c r="C4920" t="s">
        <v>13</v>
      </c>
      <c r="D4920">
        <v>25</v>
      </c>
      <c r="E4920" t="s">
        <v>68</v>
      </c>
      <c r="F4920" t="s">
        <v>11</v>
      </c>
      <c r="G4920" t="s">
        <v>12</v>
      </c>
    </row>
    <row r="4921" spans="1:7" x14ac:dyDescent="0.3">
      <c r="A4921" t="s">
        <v>75</v>
      </c>
      <c r="B4921" t="s">
        <v>23</v>
      </c>
      <c r="C4921" t="s">
        <v>14</v>
      </c>
      <c r="D4921">
        <v>322</v>
      </c>
      <c r="E4921" t="s">
        <v>68</v>
      </c>
      <c r="F4921" t="s">
        <v>11</v>
      </c>
      <c r="G4921" t="s">
        <v>12</v>
      </c>
    </row>
    <row r="4922" spans="1:7" x14ac:dyDescent="0.3">
      <c r="A4922" t="s">
        <v>75</v>
      </c>
      <c r="B4922" t="s">
        <v>23</v>
      </c>
      <c r="C4922" t="s">
        <v>15</v>
      </c>
      <c r="D4922">
        <v>11</v>
      </c>
      <c r="E4922" t="s">
        <v>68</v>
      </c>
      <c r="F4922" t="s">
        <v>11</v>
      </c>
      <c r="G4922" t="s">
        <v>12</v>
      </c>
    </row>
    <row r="4923" spans="1:7" x14ac:dyDescent="0.3">
      <c r="A4923" t="s">
        <v>75</v>
      </c>
      <c r="B4923" t="s">
        <v>23</v>
      </c>
      <c r="C4923" t="s">
        <v>16</v>
      </c>
      <c r="D4923">
        <v>269</v>
      </c>
      <c r="E4923" t="s">
        <v>68</v>
      </c>
      <c r="F4923" t="s">
        <v>11</v>
      </c>
      <c r="G4923" t="s">
        <v>12</v>
      </c>
    </row>
    <row r="4924" spans="1:7" x14ac:dyDescent="0.3">
      <c r="A4924" t="s">
        <v>75</v>
      </c>
      <c r="B4924" t="s">
        <v>23</v>
      </c>
      <c r="C4924" t="s">
        <v>17</v>
      </c>
      <c r="D4924">
        <v>29</v>
      </c>
      <c r="E4924" t="s">
        <v>68</v>
      </c>
      <c r="F4924" t="s">
        <v>11</v>
      </c>
      <c r="G4924" t="s">
        <v>12</v>
      </c>
    </row>
    <row r="4925" spans="1:7" x14ac:dyDescent="0.3">
      <c r="A4925" t="s">
        <v>75</v>
      </c>
      <c r="B4925" t="s">
        <v>23</v>
      </c>
      <c r="C4925" t="s">
        <v>18</v>
      </c>
      <c r="D4925">
        <v>0</v>
      </c>
      <c r="E4925" t="s">
        <v>68</v>
      </c>
      <c r="F4925" t="s">
        <v>11</v>
      </c>
      <c r="G4925" t="s">
        <v>12</v>
      </c>
    </row>
    <row r="4926" spans="1:7" x14ac:dyDescent="0.3">
      <c r="A4926" t="s">
        <v>75</v>
      </c>
      <c r="B4926" t="s">
        <v>23</v>
      </c>
      <c r="C4926" t="s">
        <v>19</v>
      </c>
      <c r="D4926">
        <v>10</v>
      </c>
      <c r="E4926" t="s">
        <v>68</v>
      </c>
      <c r="F4926" t="s">
        <v>11</v>
      </c>
      <c r="G4926" t="s">
        <v>12</v>
      </c>
    </row>
    <row r="4927" spans="1:7" x14ac:dyDescent="0.3">
      <c r="A4927" t="s">
        <v>75</v>
      </c>
      <c r="B4927" t="s">
        <v>23</v>
      </c>
      <c r="C4927" t="s">
        <v>20</v>
      </c>
      <c r="D4927">
        <v>18</v>
      </c>
      <c r="E4927" t="s">
        <v>68</v>
      </c>
      <c r="F4927" t="s">
        <v>11</v>
      </c>
      <c r="G4927" t="s">
        <v>12</v>
      </c>
    </row>
    <row r="4928" spans="1:7" x14ac:dyDescent="0.3">
      <c r="A4928" t="s">
        <v>75</v>
      </c>
      <c r="B4928" t="s">
        <v>23</v>
      </c>
      <c r="C4928" t="s">
        <v>21</v>
      </c>
      <c r="D4928">
        <v>7</v>
      </c>
      <c r="E4928" t="s">
        <v>68</v>
      </c>
      <c r="F4928" t="s">
        <v>11</v>
      </c>
      <c r="G4928" t="s">
        <v>12</v>
      </c>
    </row>
    <row r="4929" spans="1:7" x14ac:dyDescent="0.3">
      <c r="A4929" t="s">
        <v>75</v>
      </c>
      <c r="B4929" t="s">
        <v>23</v>
      </c>
      <c r="C4929" t="s">
        <v>22</v>
      </c>
      <c r="D4929">
        <v>4</v>
      </c>
      <c r="E4929" t="s">
        <v>68</v>
      </c>
      <c r="F4929" t="s">
        <v>11</v>
      </c>
      <c r="G4929" t="s">
        <v>12</v>
      </c>
    </row>
    <row r="4930" spans="1:7" x14ac:dyDescent="0.3">
      <c r="A4930" t="s">
        <v>76</v>
      </c>
      <c r="B4930" t="s">
        <v>8</v>
      </c>
      <c r="C4930" t="s">
        <v>9</v>
      </c>
      <c r="D4930">
        <v>5950</v>
      </c>
      <c r="E4930" t="s">
        <v>68</v>
      </c>
      <c r="F4930" t="s">
        <v>11</v>
      </c>
      <c r="G4930" t="s">
        <v>12</v>
      </c>
    </row>
    <row r="4931" spans="1:7" x14ac:dyDescent="0.3">
      <c r="A4931" t="s">
        <v>76</v>
      </c>
      <c r="B4931" t="s">
        <v>8</v>
      </c>
      <c r="C4931" t="s">
        <v>13</v>
      </c>
      <c r="D4931">
        <v>0</v>
      </c>
      <c r="E4931" t="s">
        <v>68</v>
      </c>
      <c r="F4931" t="s">
        <v>11</v>
      </c>
      <c r="G4931" t="s">
        <v>12</v>
      </c>
    </row>
    <row r="4932" spans="1:7" x14ac:dyDescent="0.3">
      <c r="A4932" t="s">
        <v>76</v>
      </c>
      <c r="B4932" t="s">
        <v>8</v>
      </c>
      <c r="C4932" t="s">
        <v>14</v>
      </c>
      <c r="D4932">
        <v>4</v>
      </c>
      <c r="E4932" t="s">
        <v>68</v>
      </c>
      <c r="F4932" t="s">
        <v>11</v>
      </c>
      <c r="G4932" t="s">
        <v>12</v>
      </c>
    </row>
    <row r="4933" spans="1:7" x14ac:dyDescent="0.3">
      <c r="A4933" t="s">
        <v>76</v>
      </c>
      <c r="B4933" t="s">
        <v>8</v>
      </c>
      <c r="C4933" t="s">
        <v>15</v>
      </c>
      <c r="D4933">
        <v>0</v>
      </c>
      <c r="E4933" t="s">
        <v>68</v>
      </c>
      <c r="F4933" t="s">
        <v>11</v>
      </c>
      <c r="G4933" t="s">
        <v>12</v>
      </c>
    </row>
    <row r="4934" spans="1:7" x14ac:dyDescent="0.3">
      <c r="A4934" t="s">
        <v>76</v>
      </c>
      <c r="B4934" t="s">
        <v>8</v>
      </c>
      <c r="C4934" t="s">
        <v>16</v>
      </c>
      <c r="D4934">
        <v>0</v>
      </c>
      <c r="E4934" t="s">
        <v>68</v>
      </c>
      <c r="F4934" t="s">
        <v>11</v>
      </c>
      <c r="G4934" t="s">
        <v>12</v>
      </c>
    </row>
    <row r="4935" spans="1:7" x14ac:dyDescent="0.3">
      <c r="A4935" t="s">
        <v>76</v>
      </c>
      <c r="B4935" t="s">
        <v>8</v>
      </c>
      <c r="C4935" t="s">
        <v>17</v>
      </c>
      <c r="D4935">
        <v>7</v>
      </c>
      <c r="E4935" t="s">
        <v>68</v>
      </c>
      <c r="F4935" t="s">
        <v>11</v>
      </c>
      <c r="G4935" t="s">
        <v>12</v>
      </c>
    </row>
    <row r="4936" spans="1:7" x14ac:dyDescent="0.3">
      <c r="A4936" t="s">
        <v>76</v>
      </c>
      <c r="B4936" t="s">
        <v>8</v>
      </c>
      <c r="C4936" t="s">
        <v>18</v>
      </c>
      <c r="D4936">
        <v>0</v>
      </c>
      <c r="E4936" t="s">
        <v>68</v>
      </c>
      <c r="F4936" t="s">
        <v>11</v>
      </c>
      <c r="G4936" t="s">
        <v>12</v>
      </c>
    </row>
    <row r="4937" spans="1:7" x14ac:dyDescent="0.3">
      <c r="A4937" t="s">
        <v>76</v>
      </c>
      <c r="B4937" t="s">
        <v>8</v>
      </c>
      <c r="C4937" t="s">
        <v>19</v>
      </c>
      <c r="D4937">
        <v>0</v>
      </c>
      <c r="E4937" t="s">
        <v>68</v>
      </c>
      <c r="F4937" t="s">
        <v>11</v>
      </c>
      <c r="G4937" t="s">
        <v>12</v>
      </c>
    </row>
    <row r="4938" spans="1:7" x14ac:dyDescent="0.3">
      <c r="A4938" t="s">
        <v>76</v>
      </c>
      <c r="B4938" t="s">
        <v>8</v>
      </c>
      <c r="C4938" t="s">
        <v>20</v>
      </c>
      <c r="D4938">
        <v>0</v>
      </c>
      <c r="E4938" t="s">
        <v>68</v>
      </c>
      <c r="F4938" t="s">
        <v>11</v>
      </c>
      <c r="G4938" t="s">
        <v>12</v>
      </c>
    </row>
    <row r="4939" spans="1:7" x14ac:dyDescent="0.3">
      <c r="A4939" t="s">
        <v>76</v>
      </c>
      <c r="B4939" t="s">
        <v>8</v>
      </c>
      <c r="C4939" t="s">
        <v>21</v>
      </c>
      <c r="D4939">
        <v>0</v>
      </c>
      <c r="E4939" t="s">
        <v>68</v>
      </c>
      <c r="F4939" t="s">
        <v>11</v>
      </c>
      <c r="G4939" t="s">
        <v>12</v>
      </c>
    </row>
    <row r="4940" spans="1:7" x14ac:dyDescent="0.3">
      <c r="A4940" t="s">
        <v>76</v>
      </c>
      <c r="B4940" t="s">
        <v>8</v>
      </c>
      <c r="C4940" t="s">
        <v>22</v>
      </c>
      <c r="D4940">
        <v>0</v>
      </c>
      <c r="E4940" t="s">
        <v>68</v>
      </c>
      <c r="F4940" t="s">
        <v>11</v>
      </c>
      <c r="G4940" t="s">
        <v>12</v>
      </c>
    </row>
    <row r="4941" spans="1:7" x14ac:dyDescent="0.3">
      <c r="A4941" t="s">
        <v>76</v>
      </c>
      <c r="B4941" t="s">
        <v>23</v>
      </c>
      <c r="C4941" t="s">
        <v>9</v>
      </c>
      <c r="D4941">
        <v>1183</v>
      </c>
      <c r="E4941" t="s">
        <v>68</v>
      </c>
      <c r="F4941" t="s">
        <v>11</v>
      </c>
      <c r="G4941" t="s">
        <v>12</v>
      </c>
    </row>
    <row r="4942" spans="1:7" x14ac:dyDescent="0.3">
      <c r="A4942" t="s">
        <v>76</v>
      </c>
      <c r="B4942" t="s">
        <v>23</v>
      </c>
      <c r="C4942" t="s">
        <v>13</v>
      </c>
      <c r="D4942">
        <v>24</v>
      </c>
      <c r="E4942" t="s">
        <v>68</v>
      </c>
      <c r="F4942" t="s">
        <v>11</v>
      </c>
      <c r="G4942" t="s">
        <v>12</v>
      </c>
    </row>
    <row r="4943" spans="1:7" x14ac:dyDescent="0.3">
      <c r="A4943" t="s">
        <v>76</v>
      </c>
      <c r="B4943" t="s">
        <v>23</v>
      </c>
      <c r="C4943" t="s">
        <v>14</v>
      </c>
      <c r="D4943">
        <v>312</v>
      </c>
      <c r="E4943" t="s">
        <v>68</v>
      </c>
      <c r="F4943" t="s">
        <v>11</v>
      </c>
      <c r="G4943" t="s">
        <v>12</v>
      </c>
    </row>
    <row r="4944" spans="1:7" x14ac:dyDescent="0.3">
      <c r="A4944" t="s">
        <v>76</v>
      </c>
      <c r="B4944" t="s">
        <v>23</v>
      </c>
      <c r="C4944" t="s">
        <v>15</v>
      </c>
      <c r="D4944">
        <v>10</v>
      </c>
      <c r="E4944" t="s">
        <v>68</v>
      </c>
      <c r="F4944" t="s">
        <v>11</v>
      </c>
      <c r="G4944" t="s">
        <v>12</v>
      </c>
    </row>
    <row r="4945" spans="1:7" x14ac:dyDescent="0.3">
      <c r="A4945" t="s">
        <v>76</v>
      </c>
      <c r="B4945" t="s">
        <v>23</v>
      </c>
      <c r="C4945" t="s">
        <v>16</v>
      </c>
      <c r="D4945">
        <v>261</v>
      </c>
      <c r="E4945" t="s">
        <v>68</v>
      </c>
      <c r="F4945" t="s">
        <v>11</v>
      </c>
      <c r="G4945" t="s">
        <v>12</v>
      </c>
    </row>
    <row r="4946" spans="1:7" x14ac:dyDescent="0.3">
      <c r="A4946" t="s">
        <v>76</v>
      </c>
      <c r="B4946" t="s">
        <v>23</v>
      </c>
      <c r="C4946" t="s">
        <v>17</v>
      </c>
      <c r="D4946">
        <v>28</v>
      </c>
      <c r="E4946" t="s">
        <v>68</v>
      </c>
      <c r="F4946" t="s">
        <v>11</v>
      </c>
      <c r="G4946" t="s">
        <v>12</v>
      </c>
    </row>
    <row r="4947" spans="1:7" x14ac:dyDescent="0.3">
      <c r="A4947" t="s">
        <v>76</v>
      </c>
      <c r="B4947" t="s">
        <v>23</v>
      </c>
      <c r="C4947" t="s">
        <v>18</v>
      </c>
      <c r="D4947">
        <v>0</v>
      </c>
      <c r="E4947" t="s">
        <v>68</v>
      </c>
      <c r="F4947" t="s">
        <v>11</v>
      </c>
      <c r="G4947" t="s">
        <v>12</v>
      </c>
    </row>
    <row r="4948" spans="1:7" x14ac:dyDescent="0.3">
      <c r="A4948" t="s">
        <v>76</v>
      </c>
      <c r="B4948" t="s">
        <v>23</v>
      </c>
      <c r="C4948" t="s">
        <v>19</v>
      </c>
      <c r="D4948">
        <v>9</v>
      </c>
      <c r="E4948" t="s">
        <v>68</v>
      </c>
      <c r="F4948" t="s">
        <v>11</v>
      </c>
      <c r="G4948" t="s">
        <v>12</v>
      </c>
    </row>
    <row r="4949" spans="1:7" x14ac:dyDescent="0.3">
      <c r="A4949" t="s">
        <v>76</v>
      </c>
      <c r="B4949" t="s">
        <v>23</v>
      </c>
      <c r="C4949" t="s">
        <v>20</v>
      </c>
      <c r="D4949">
        <v>18</v>
      </c>
      <c r="E4949" t="s">
        <v>68</v>
      </c>
      <c r="F4949" t="s">
        <v>11</v>
      </c>
      <c r="G4949" t="s">
        <v>12</v>
      </c>
    </row>
    <row r="4950" spans="1:7" x14ac:dyDescent="0.3">
      <c r="A4950" t="s">
        <v>76</v>
      </c>
      <c r="B4950" t="s">
        <v>23</v>
      </c>
      <c r="C4950" t="s">
        <v>21</v>
      </c>
      <c r="D4950">
        <v>7</v>
      </c>
      <c r="E4950" t="s">
        <v>68</v>
      </c>
      <c r="F4950" t="s">
        <v>11</v>
      </c>
      <c r="G4950" t="s">
        <v>12</v>
      </c>
    </row>
    <row r="4951" spans="1:7" x14ac:dyDescent="0.3">
      <c r="A4951" t="s">
        <v>76</v>
      </c>
      <c r="B4951" t="s">
        <v>23</v>
      </c>
      <c r="C4951" t="s">
        <v>22</v>
      </c>
      <c r="D4951">
        <v>4</v>
      </c>
      <c r="E4951" t="s">
        <v>68</v>
      </c>
      <c r="F4951" t="s">
        <v>11</v>
      </c>
      <c r="G4951" t="s">
        <v>12</v>
      </c>
    </row>
    <row r="4952" spans="1:7" x14ac:dyDescent="0.3">
      <c r="A4952" t="s">
        <v>77</v>
      </c>
      <c r="B4952" t="s">
        <v>8</v>
      </c>
      <c r="C4952" t="s">
        <v>9</v>
      </c>
      <c r="D4952">
        <v>0</v>
      </c>
      <c r="E4952" t="s">
        <v>68</v>
      </c>
      <c r="F4952" t="s">
        <v>11</v>
      </c>
      <c r="G4952" t="s">
        <v>12</v>
      </c>
    </row>
    <row r="4953" spans="1:7" x14ac:dyDescent="0.3">
      <c r="A4953" t="s">
        <v>77</v>
      </c>
      <c r="B4953" t="s">
        <v>8</v>
      </c>
      <c r="C4953" t="s">
        <v>13</v>
      </c>
      <c r="D4953">
        <v>0</v>
      </c>
      <c r="E4953" t="s">
        <v>68</v>
      </c>
      <c r="F4953" t="s">
        <v>11</v>
      </c>
      <c r="G4953" t="s">
        <v>12</v>
      </c>
    </row>
    <row r="4954" spans="1:7" x14ac:dyDescent="0.3">
      <c r="A4954" t="s">
        <v>77</v>
      </c>
      <c r="B4954" t="s">
        <v>8</v>
      </c>
      <c r="C4954" t="s">
        <v>14</v>
      </c>
      <c r="D4954">
        <v>0</v>
      </c>
      <c r="E4954" t="s">
        <v>68</v>
      </c>
      <c r="F4954" t="s">
        <v>11</v>
      </c>
      <c r="G4954" t="s">
        <v>12</v>
      </c>
    </row>
    <row r="4955" spans="1:7" x14ac:dyDescent="0.3">
      <c r="A4955" t="s">
        <v>77</v>
      </c>
      <c r="B4955" t="s">
        <v>8</v>
      </c>
      <c r="C4955" t="s">
        <v>15</v>
      </c>
      <c r="D4955">
        <v>0</v>
      </c>
      <c r="E4955" t="s">
        <v>68</v>
      </c>
      <c r="F4955" t="s">
        <v>11</v>
      </c>
      <c r="G4955" t="s">
        <v>12</v>
      </c>
    </row>
    <row r="4956" spans="1:7" x14ac:dyDescent="0.3">
      <c r="A4956" t="s">
        <v>77</v>
      </c>
      <c r="B4956" t="s">
        <v>8</v>
      </c>
      <c r="C4956" t="s">
        <v>16</v>
      </c>
      <c r="D4956">
        <v>0</v>
      </c>
      <c r="E4956" t="s">
        <v>68</v>
      </c>
      <c r="F4956" t="s">
        <v>11</v>
      </c>
      <c r="G4956" t="s">
        <v>12</v>
      </c>
    </row>
    <row r="4957" spans="1:7" x14ac:dyDescent="0.3">
      <c r="A4957" t="s">
        <v>77</v>
      </c>
      <c r="B4957" t="s">
        <v>8</v>
      </c>
      <c r="C4957" t="s">
        <v>17</v>
      </c>
      <c r="D4957">
        <v>0</v>
      </c>
      <c r="E4957" t="s">
        <v>68</v>
      </c>
      <c r="F4957" t="s">
        <v>11</v>
      </c>
      <c r="G4957" t="s">
        <v>12</v>
      </c>
    </row>
    <row r="4958" spans="1:7" x14ac:dyDescent="0.3">
      <c r="A4958" t="s">
        <v>77</v>
      </c>
      <c r="B4958" t="s">
        <v>8</v>
      </c>
      <c r="C4958" t="s">
        <v>18</v>
      </c>
      <c r="D4958">
        <v>0</v>
      </c>
      <c r="E4958" t="s">
        <v>68</v>
      </c>
      <c r="F4958" t="s">
        <v>11</v>
      </c>
      <c r="G4958" t="s">
        <v>12</v>
      </c>
    </row>
    <row r="4959" spans="1:7" x14ac:dyDescent="0.3">
      <c r="A4959" t="s">
        <v>77</v>
      </c>
      <c r="B4959" t="s">
        <v>8</v>
      </c>
      <c r="C4959" t="s">
        <v>19</v>
      </c>
      <c r="D4959">
        <v>0</v>
      </c>
      <c r="E4959" t="s">
        <v>68</v>
      </c>
      <c r="F4959" t="s">
        <v>11</v>
      </c>
      <c r="G4959" t="s">
        <v>12</v>
      </c>
    </row>
    <row r="4960" spans="1:7" x14ac:dyDescent="0.3">
      <c r="A4960" t="s">
        <v>77</v>
      </c>
      <c r="B4960" t="s">
        <v>8</v>
      </c>
      <c r="C4960" t="s">
        <v>20</v>
      </c>
      <c r="D4960">
        <v>674</v>
      </c>
      <c r="E4960" t="s">
        <v>68</v>
      </c>
      <c r="F4960" t="s">
        <v>11</v>
      </c>
      <c r="G4960" t="s">
        <v>12</v>
      </c>
    </row>
    <row r="4961" spans="1:7" x14ac:dyDescent="0.3">
      <c r="A4961" t="s">
        <v>77</v>
      </c>
      <c r="B4961" t="s">
        <v>8</v>
      </c>
      <c r="C4961" t="s">
        <v>21</v>
      </c>
      <c r="D4961">
        <v>0</v>
      </c>
      <c r="E4961" t="s">
        <v>68</v>
      </c>
      <c r="F4961" t="s">
        <v>11</v>
      </c>
      <c r="G4961" t="s">
        <v>12</v>
      </c>
    </row>
    <row r="4962" spans="1:7" x14ac:dyDescent="0.3">
      <c r="A4962" t="s">
        <v>77</v>
      </c>
      <c r="B4962" t="s">
        <v>8</v>
      </c>
      <c r="C4962" t="s">
        <v>22</v>
      </c>
      <c r="D4962">
        <v>0</v>
      </c>
      <c r="E4962" t="s">
        <v>68</v>
      </c>
      <c r="F4962" t="s">
        <v>11</v>
      </c>
      <c r="G4962" t="s">
        <v>12</v>
      </c>
    </row>
    <row r="4963" spans="1:7" x14ac:dyDescent="0.3">
      <c r="A4963" t="s">
        <v>77</v>
      </c>
      <c r="B4963" t="s">
        <v>23</v>
      </c>
      <c r="C4963" t="s">
        <v>9</v>
      </c>
      <c r="D4963">
        <v>10</v>
      </c>
      <c r="E4963" t="s">
        <v>68</v>
      </c>
      <c r="F4963" t="s">
        <v>11</v>
      </c>
      <c r="G4963" t="s">
        <v>12</v>
      </c>
    </row>
    <row r="4964" spans="1:7" x14ac:dyDescent="0.3">
      <c r="A4964" t="s">
        <v>77</v>
      </c>
      <c r="B4964" t="s">
        <v>23</v>
      </c>
      <c r="C4964" t="s">
        <v>13</v>
      </c>
      <c r="D4964">
        <v>8</v>
      </c>
      <c r="E4964" t="s">
        <v>68</v>
      </c>
      <c r="F4964" t="s">
        <v>11</v>
      </c>
      <c r="G4964" t="s">
        <v>12</v>
      </c>
    </row>
    <row r="4965" spans="1:7" x14ac:dyDescent="0.3">
      <c r="A4965" t="s">
        <v>77</v>
      </c>
      <c r="B4965" t="s">
        <v>23</v>
      </c>
      <c r="C4965" t="s">
        <v>14</v>
      </c>
      <c r="D4965">
        <v>35</v>
      </c>
      <c r="E4965" t="s">
        <v>68</v>
      </c>
      <c r="F4965" t="s">
        <v>11</v>
      </c>
      <c r="G4965" t="s">
        <v>12</v>
      </c>
    </row>
    <row r="4966" spans="1:7" x14ac:dyDescent="0.3">
      <c r="A4966" t="s">
        <v>77</v>
      </c>
      <c r="B4966" t="s">
        <v>23</v>
      </c>
      <c r="C4966" t="s">
        <v>15</v>
      </c>
      <c r="D4966">
        <v>8</v>
      </c>
      <c r="E4966" t="s">
        <v>68</v>
      </c>
      <c r="F4966" t="s">
        <v>11</v>
      </c>
      <c r="G4966" t="s">
        <v>12</v>
      </c>
    </row>
    <row r="4967" spans="1:7" x14ac:dyDescent="0.3">
      <c r="A4967" t="s">
        <v>77</v>
      </c>
      <c r="B4967" t="s">
        <v>23</v>
      </c>
      <c r="C4967" t="s">
        <v>16</v>
      </c>
      <c r="D4967">
        <v>29</v>
      </c>
      <c r="E4967" t="s">
        <v>68</v>
      </c>
      <c r="F4967" t="s">
        <v>11</v>
      </c>
      <c r="G4967" t="s">
        <v>12</v>
      </c>
    </row>
    <row r="4968" spans="1:7" x14ac:dyDescent="0.3">
      <c r="A4968" t="s">
        <v>77</v>
      </c>
      <c r="B4968" t="s">
        <v>23</v>
      </c>
      <c r="C4968" t="s">
        <v>17</v>
      </c>
      <c r="D4968">
        <v>2</v>
      </c>
      <c r="E4968" t="s">
        <v>68</v>
      </c>
      <c r="F4968" t="s">
        <v>11</v>
      </c>
      <c r="G4968" t="s">
        <v>12</v>
      </c>
    </row>
    <row r="4969" spans="1:7" x14ac:dyDescent="0.3">
      <c r="A4969" t="s">
        <v>77</v>
      </c>
      <c r="B4969" t="s">
        <v>23</v>
      </c>
      <c r="C4969" t="s">
        <v>18</v>
      </c>
      <c r="D4969">
        <v>0</v>
      </c>
      <c r="E4969" t="s">
        <v>68</v>
      </c>
      <c r="F4969" t="s">
        <v>11</v>
      </c>
      <c r="G4969" t="s">
        <v>12</v>
      </c>
    </row>
    <row r="4970" spans="1:7" x14ac:dyDescent="0.3">
      <c r="A4970" t="s">
        <v>77</v>
      </c>
      <c r="B4970" t="s">
        <v>23</v>
      </c>
      <c r="C4970" t="s">
        <v>19</v>
      </c>
      <c r="D4970">
        <v>3</v>
      </c>
      <c r="E4970" t="s">
        <v>68</v>
      </c>
      <c r="F4970" t="s">
        <v>11</v>
      </c>
      <c r="G4970" t="s">
        <v>12</v>
      </c>
    </row>
    <row r="4971" spans="1:7" x14ac:dyDescent="0.3">
      <c r="A4971" t="s">
        <v>77</v>
      </c>
      <c r="B4971" t="s">
        <v>23</v>
      </c>
      <c r="C4971" t="s">
        <v>20</v>
      </c>
      <c r="D4971">
        <v>897</v>
      </c>
      <c r="E4971" t="s">
        <v>68</v>
      </c>
      <c r="F4971" t="s">
        <v>11</v>
      </c>
      <c r="G4971" t="s">
        <v>12</v>
      </c>
    </row>
    <row r="4972" spans="1:7" x14ac:dyDescent="0.3">
      <c r="A4972" t="s">
        <v>77</v>
      </c>
      <c r="B4972" t="s">
        <v>23</v>
      </c>
      <c r="C4972" t="s">
        <v>21</v>
      </c>
      <c r="D4972">
        <v>4</v>
      </c>
      <c r="E4972" t="s">
        <v>68</v>
      </c>
      <c r="F4972" t="s">
        <v>11</v>
      </c>
      <c r="G4972" t="s">
        <v>12</v>
      </c>
    </row>
    <row r="4973" spans="1:7" x14ac:dyDescent="0.3">
      <c r="A4973" t="s">
        <v>77</v>
      </c>
      <c r="B4973" t="s">
        <v>23</v>
      </c>
      <c r="C4973" t="s">
        <v>22</v>
      </c>
      <c r="D4973">
        <v>2</v>
      </c>
      <c r="E4973" t="s">
        <v>68</v>
      </c>
      <c r="F4973" t="s">
        <v>11</v>
      </c>
      <c r="G4973" t="s">
        <v>12</v>
      </c>
    </row>
    <row r="4974" spans="1:7" x14ac:dyDescent="0.3">
      <c r="A4974" t="s">
        <v>78</v>
      </c>
      <c r="B4974" t="s">
        <v>8</v>
      </c>
      <c r="C4974" t="s">
        <v>9</v>
      </c>
      <c r="D4974">
        <v>0</v>
      </c>
      <c r="E4974" t="s">
        <v>68</v>
      </c>
      <c r="F4974" t="s">
        <v>11</v>
      </c>
      <c r="G4974" t="s">
        <v>12</v>
      </c>
    </row>
    <row r="4975" spans="1:7" x14ac:dyDescent="0.3">
      <c r="A4975" t="s">
        <v>78</v>
      </c>
      <c r="B4975" t="s">
        <v>8</v>
      </c>
      <c r="C4975" t="s">
        <v>13</v>
      </c>
      <c r="D4975">
        <v>0</v>
      </c>
      <c r="E4975" t="s">
        <v>68</v>
      </c>
      <c r="F4975" t="s">
        <v>11</v>
      </c>
      <c r="G4975" t="s">
        <v>12</v>
      </c>
    </row>
    <row r="4976" spans="1:7" x14ac:dyDescent="0.3">
      <c r="A4976" t="s">
        <v>78</v>
      </c>
      <c r="B4976" t="s">
        <v>8</v>
      </c>
      <c r="C4976" t="s">
        <v>14</v>
      </c>
      <c r="D4976">
        <v>6</v>
      </c>
      <c r="E4976" t="s">
        <v>68</v>
      </c>
      <c r="F4976" t="s">
        <v>11</v>
      </c>
      <c r="G4976" t="s">
        <v>12</v>
      </c>
    </row>
    <row r="4977" spans="1:7" x14ac:dyDescent="0.3">
      <c r="A4977" t="s">
        <v>78</v>
      </c>
      <c r="B4977" t="s">
        <v>8</v>
      </c>
      <c r="C4977" t="s">
        <v>15</v>
      </c>
      <c r="D4977">
        <v>0</v>
      </c>
      <c r="E4977" t="s">
        <v>68</v>
      </c>
      <c r="F4977" t="s">
        <v>11</v>
      </c>
      <c r="G4977" t="s">
        <v>12</v>
      </c>
    </row>
    <row r="4978" spans="1:7" x14ac:dyDescent="0.3">
      <c r="A4978" t="s">
        <v>78</v>
      </c>
      <c r="B4978" t="s">
        <v>8</v>
      </c>
      <c r="C4978" t="s">
        <v>16</v>
      </c>
      <c r="D4978">
        <v>3487</v>
      </c>
      <c r="E4978" t="s">
        <v>68</v>
      </c>
      <c r="F4978" t="s">
        <v>11</v>
      </c>
      <c r="G4978" t="s">
        <v>12</v>
      </c>
    </row>
    <row r="4979" spans="1:7" x14ac:dyDescent="0.3">
      <c r="A4979" t="s">
        <v>78</v>
      </c>
      <c r="B4979" t="s">
        <v>8</v>
      </c>
      <c r="C4979" t="s">
        <v>17</v>
      </c>
      <c r="D4979">
        <v>5</v>
      </c>
      <c r="E4979" t="s">
        <v>68</v>
      </c>
      <c r="F4979" t="s">
        <v>11</v>
      </c>
      <c r="G4979" t="s">
        <v>12</v>
      </c>
    </row>
    <row r="4980" spans="1:7" x14ac:dyDescent="0.3">
      <c r="A4980" t="s">
        <v>78</v>
      </c>
      <c r="B4980" t="s">
        <v>8</v>
      </c>
      <c r="C4980" t="s">
        <v>18</v>
      </c>
      <c r="D4980">
        <v>0</v>
      </c>
      <c r="E4980" t="s">
        <v>68</v>
      </c>
      <c r="F4980" t="s">
        <v>11</v>
      </c>
      <c r="G4980" t="s">
        <v>12</v>
      </c>
    </row>
    <row r="4981" spans="1:7" x14ac:dyDescent="0.3">
      <c r="A4981" t="s">
        <v>78</v>
      </c>
      <c r="B4981" t="s">
        <v>8</v>
      </c>
      <c r="C4981" t="s">
        <v>19</v>
      </c>
      <c r="D4981">
        <v>0</v>
      </c>
      <c r="E4981" t="s">
        <v>68</v>
      </c>
      <c r="F4981" t="s">
        <v>11</v>
      </c>
      <c r="G4981" t="s">
        <v>12</v>
      </c>
    </row>
    <row r="4982" spans="1:7" x14ac:dyDescent="0.3">
      <c r="A4982" t="s">
        <v>78</v>
      </c>
      <c r="B4982" t="s">
        <v>8</v>
      </c>
      <c r="C4982" t="s">
        <v>20</v>
      </c>
      <c r="D4982">
        <v>0</v>
      </c>
      <c r="E4982" t="s">
        <v>68</v>
      </c>
      <c r="F4982" t="s">
        <v>11</v>
      </c>
      <c r="G4982" t="s">
        <v>12</v>
      </c>
    </row>
    <row r="4983" spans="1:7" x14ac:dyDescent="0.3">
      <c r="A4983" t="s">
        <v>78</v>
      </c>
      <c r="B4983" t="s">
        <v>8</v>
      </c>
      <c r="C4983" t="s">
        <v>21</v>
      </c>
      <c r="D4983">
        <v>0</v>
      </c>
      <c r="E4983" t="s">
        <v>68</v>
      </c>
      <c r="F4983" t="s">
        <v>11</v>
      </c>
      <c r="G4983" t="s">
        <v>12</v>
      </c>
    </row>
    <row r="4984" spans="1:7" x14ac:dyDescent="0.3">
      <c r="A4984" t="s">
        <v>78</v>
      </c>
      <c r="B4984" t="s">
        <v>8</v>
      </c>
      <c r="C4984" t="s">
        <v>22</v>
      </c>
      <c r="D4984">
        <v>0</v>
      </c>
      <c r="E4984" t="s">
        <v>68</v>
      </c>
      <c r="F4984" t="s">
        <v>11</v>
      </c>
      <c r="G4984" t="s">
        <v>12</v>
      </c>
    </row>
    <row r="4985" spans="1:7" x14ac:dyDescent="0.3">
      <c r="A4985" t="s">
        <v>78</v>
      </c>
      <c r="B4985" t="s">
        <v>23</v>
      </c>
      <c r="C4985" t="s">
        <v>9</v>
      </c>
      <c r="D4985">
        <v>0</v>
      </c>
      <c r="E4985" t="s">
        <v>68</v>
      </c>
      <c r="F4985" t="s">
        <v>11</v>
      </c>
      <c r="G4985" t="s">
        <v>12</v>
      </c>
    </row>
    <row r="4986" spans="1:7" x14ac:dyDescent="0.3">
      <c r="A4986" t="s">
        <v>78</v>
      </c>
      <c r="B4986" t="s">
        <v>23</v>
      </c>
      <c r="C4986" t="s">
        <v>13</v>
      </c>
      <c r="D4986">
        <v>0</v>
      </c>
      <c r="E4986" t="s">
        <v>68</v>
      </c>
      <c r="F4986" t="s">
        <v>11</v>
      </c>
      <c r="G4986" t="s">
        <v>12</v>
      </c>
    </row>
    <row r="4987" spans="1:7" x14ac:dyDescent="0.3">
      <c r="A4987" t="s">
        <v>78</v>
      </c>
      <c r="B4987" t="s">
        <v>23</v>
      </c>
      <c r="C4987" t="s">
        <v>14</v>
      </c>
      <c r="D4987">
        <v>2</v>
      </c>
      <c r="E4987" t="s">
        <v>68</v>
      </c>
      <c r="F4987" t="s">
        <v>11</v>
      </c>
      <c r="G4987" t="s">
        <v>12</v>
      </c>
    </row>
    <row r="4988" spans="1:7" x14ac:dyDescent="0.3">
      <c r="A4988" t="s">
        <v>78</v>
      </c>
      <c r="B4988" t="s">
        <v>23</v>
      </c>
      <c r="C4988" t="s">
        <v>15</v>
      </c>
      <c r="D4988">
        <v>0</v>
      </c>
      <c r="E4988" t="s">
        <v>68</v>
      </c>
      <c r="F4988" t="s">
        <v>11</v>
      </c>
      <c r="G4988" t="s">
        <v>12</v>
      </c>
    </row>
    <row r="4989" spans="1:7" x14ac:dyDescent="0.3">
      <c r="A4989" t="s">
        <v>78</v>
      </c>
      <c r="B4989" t="s">
        <v>23</v>
      </c>
      <c r="C4989" t="s">
        <v>16</v>
      </c>
      <c r="D4989">
        <v>852</v>
      </c>
      <c r="E4989" t="s">
        <v>68</v>
      </c>
      <c r="F4989" t="s">
        <v>11</v>
      </c>
      <c r="G4989" t="s">
        <v>12</v>
      </c>
    </row>
    <row r="4990" spans="1:7" x14ac:dyDescent="0.3">
      <c r="A4990" t="s">
        <v>78</v>
      </c>
      <c r="B4990" t="s">
        <v>23</v>
      </c>
      <c r="C4990" t="s">
        <v>17</v>
      </c>
      <c r="D4990">
        <v>0</v>
      </c>
      <c r="E4990" t="s">
        <v>68</v>
      </c>
      <c r="F4990" t="s">
        <v>11</v>
      </c>
      <c r="G4990" t="s">
        <v>12</v>
      </c>
    </row>
    <row r="4991" spans="1:7" x14ac:dyDescent="0.3">
      <c r="A4991" t="s">
        <v>78</v>
      </c>
      <c r="B4991" t="s">
        <v>23</v>
      </c>
      <c r="C4991" t="s">
        <v>18</v>
      </c>
      <c r="D4991">
        <v>0</v>
      </c>
      <c r="E4991" t="s">
        <v>68</v>
      </c>
      <c r="F4991" t="s">
        <v>11</v>
      </c>
      <c r="G4991" t="s">
        <v>12</v>
      </c>
    </row>
    <row r="4992" spans="1:7" x14ac:dyDescent="0.3">
      <c r="A4992" t="s">
        <v>78</v>
      </c>
      <c r="B4992" t="s">
        <v>23</v>
      </c>
      <c r="C4992" t="s">
        <v>19</v>
      </c>
      <c r="D4992">
        <v>0</v>
      </c>
      <c r="E4992" t="s">
        <v>68</v>
      </c>
      <c r="F4992" t="s">
        <v>11</v>
      </c>
      <c r="G4992" t="s">
        <v>12</v>
      </c>
    </row>
    <row r="4993" spans="1:7" x14ac:dyDescent="0.3">
      <c r="A4993" t="s">
        <v>78</v>
      </c>
      <c r="B4993" t="s">
        <v>23</v>
      </c>
      <c r="C4993" t="s">
        <v>20</v>
      </c>
      <c r="D4993">
        <v>6</v>
      </c>
      <c r="E4993" t="s">
        <v>68</v>
      </c>
      <c r="F4993" t="s">
        <v>11</v>
      </c>
      <c r="G4993" t="s">
        <v>12</v>
      </c>
    </row>
    <row r="4994" spans="1:7" x14ac:dyDescent="0.3">
      <c r="A4994" t="s">
        <v>78</v>
      </c>
      <c r="B4994" t="s">
        <v>23</v>
      </c>
      <c r="C4994" t="s">
        <v>21</v>
      </c>
      <c r="D4994">
        <v>0</v>
      </c>
      <c r="E4994" t="s">
        <v>68</v>
      </c>
      <c r="F4994" t="s">
        <v>11</v>
      </c>
      <c r="G4994" t="s">
        <v>12</v>
      </c>
    </row>
    <row r="4995" spans="1:7" x14ac:dyDescent="0.3">
      <c r="A4995" t="s">
        <v>78</v>
      </c>
      <c r="B4995" t="s">
        <v>23</v>
      </c>
      <c r="C4995" t="s">
        <v>22</v>
      </c>
      <c r="D4995">
        <v>0</v>
      </c>
      <c r="E4995" t="s">
        <v>68</v>
      </c>
      <c r="F4995" t="s">
        <v>11</v>
      </c>
      <c r="G4995" t="s">
        <v>12</v>
      </c>
    </row>
    <row r="4996" spans="1:7" x14ac:dyDescent="0.3">
      <c r="A4996" t="s">
        <v>79</v>
      </c>
      <c r="B4996" t="s">
        <v>8</v>
      </c>
      <c r="C4996" t="s">
        <v>9</v>
      </c>
      <c r="D4996">
        <v>0</v>
      </c>
      <c r="E4996" t="s">
        <v>68</v>
      </c>
      <c r="F4996" t="s">
        <v>11</v>
      </c>
      <c r="G4996" t="s">
        <v>12</v>
      </c>
    </row>
    <row r="4997" spans="1:7" x14ac:dyDescent="0.3">
      <c r="A4997" t="s">
        <v>79</v>
      </c>
      <c r="B4997" t="s">
        <v>8</v>
      </c>
      <c r="C4997" t="s">
        <v>13</v>
      </c>
      <c r="D4997">
        <v>0</v>
      </c>
      <c r="E4997" t="s">
        <v>68</v>
      </c>
      <c r="F4997" t="s">
        <v>11</v>
      </c>
      <c r="G4997" t="s">
        <v>12</v>
      </c>
    </row>
    <row r="4998" spans="1:7" x14ac:dyDescent="0.3">
      <c r="A4998" t="s">
        <v>79</v>
      </c>
      <c r="B4998" t="s">
        <v>8</v>
      </c>
      <c r="C4998" t="s">
        <v>14</v>
      </c>
      <c r="D4998">
        <v>5</v>
      </c>
      <c r="E4998" t="s">
        <v>68</v>
      </c>
      <c r="F4998" t="s">
        <v>11</v>
      </c>
      <c r="G4998" t="s">
        <v>12</v>
      </c>
    </row>
    <row r="4999" spans="1:7" x14ac:dyDescent="0.3">
      <c r="A4999" t="s">
        <v>79</v>
      </c>
      <c r="B4999" t="s">
        <v>8</v>
      </c>
      <c r="C4999" t="s">
        <v>15</v>
      </c>
      <c r="D4999">
        <v>0</v>
      </c>
      <c r="E4999" t="s">
        <v>68</v>
      </c>
      <c r="F4999" t="s">
        <v>11</v>
      </c>
      <c r="G4999" t="s">
        <v>12</v>
      </c>
    </row>
    <row r="5000" spans="1:7" x14ac:dyDescent="0.3">
      <c r="A5000" t="s">
        <v>79</v>
      </c>
      <c r="B5000" t="s">
        <v>8</v>
      </c>
      <c r="C5000" t="s">
        <v>16</v>
      </c>
      <c r="D5000">
        <v>2983</v>
      </c>
      <c r="E5000" t="s">
        <v>68</v>
      </c>
      <c r="F5000" t="s">
        <v>11</v>
      </c>
      <c r="G5000" t="s">
        <v>12</v>
      </c>
    </row>
    <row r="5001" spans="1:7" x14ac:dyDescent="0.3">
      <c r="A5001" t="s">
        <v>79</v>
      </c>
      <c r="B5001" t="s">
        <v>8</v>
      </c>
      <c r="C5001" t="s">
        <v>17</v>
      </c>
      <c r="D5001">
        <v>4</v>
      </c>
      <c r="E5001" t="s">
        <v>68</v>
      </c>
      <c r="F5001" t="s">
        <v>11</v>
      </c>
      <c r="G5001" t="s">
        <v>12</v>
      </c>
    </row>
    <row r="5002" spans="1:7" x14ac:dyDescent="0.3">
      <c r="A5002" t="s">
        <v>79</v>
      </c>
      <c r="B5002" t="s">
        <v>8</v>
      </c>
      <c r="C5002" t="s">
        <v>18</v>
      </c>
      <c r="D5002">
        <v>0</v>
      </c>
      <c r="E5002" t="s">
        <v>68</v>
      </c>
      <c r="F5002" t="s">
        <v>11</v>
      </c>
      <c r="G5002" t="s">
        <v>12</v>
      </c>
    </row>
    <row r="5003" spans="1:7" x14ac:dyDescent="0.3">
      <c r="A5003" t="s">
        <v>79</v>
      </c>
      <c r="B5003" t="s">
        <v>8</v>
      </c>
      <c r="C5003" t="s">
        <v>19</v>
      </c>
      <c r="D5003">
        <v>0</v>
      </c>
      <c r="E5003" t="s">
        <v>68</v>
      </c>
      <c r="F5003" t="s">
        <v>11</v>
      </c>
      <c r="G5003" t="s">
        <v>12</v>
      </c>
    </row>
    <row r="5004" spans="1:7" x14ac:dyDescent="0.3">
      <c r="A5004" t="s">
        <v>79</v>
      </c>
      <c r="B5004" t="s">
        <v>8</v>
      </c>
      <c r="C5004" t="s">
        <v>20</v>
      </c>
      <c r="D5004">
        <v>0</v>
      </c>
      <c r="E5004" t="s">
        <v>68</v>
      </c>
      <c r="F5004" t="s">
        <v>11</v>
      </c>
      <c r="G5004" t="s">
        <v>12</v>
      </c>
    </row>
    <row r="5005" spans="1:7" x14ac:dyDescent="0.3">
      <c r="A5005" t="s">
        <v>79</v>
      </c>
      <c r="B5005" t="s">
        <v>8</v>
      </c>
      <c r="C5005" t="s">
        <v>21</v>
      </c>
      <c r="D5005">
        <v>0</v>
      </c>
      <c r="E5005" t="s">
        <v>68</v>
      </c>
      <c r="F5005" t="s">
        <v>11</v>
      </c>
      <c r="G5005" t="s">
        <v>12</v>
      </c>
    </row>
    <row r="5006" spans="1:7" x14ac:dyDescent="0.3">
      <c r="A5006" t="s">
        <v>79</v>
      </c>
      <c r="B5006" t="s">
        <v>8</v>
      </c>
      <c r="C5006" t="s">
        <v>22</v>
      </c>
      <c r="D5006">
        <v>0</v>
      </c>
      <c r="E5006" t="s">
        <v>68</v>
      </c>
      <c r="F5006" t="s">
        <v>11</v>
      </c>
      <c r="G5006" t="s">
        <v>12</v>
      </c>
    </row>
    <row r="5007" spans="1:7" x14ac:dyDescent="0.3">
      <c r="A5007" t="s">
        <v>79</v>
      </c>
      <c r="B5007" t="s">
        <v>23</v>
      </c>
      <c r="C5007" t="s">
        <v>9</v>
      </c>
      <c r="D5007">
        <v>0</v>
      </c>
      <c r="E5007" t="s">
        <v>68</v>
      </c>
      <c r="F5007" t="s">
        <v>11</v>
      </c>
      <c r="G5007" t="s">
        <v>12</v>
      </c>
    </row>
    <row r="5008" spans="1:7" x14ac:dyDescent="0.3">
      <c r="A5008" t="s">
        <v>79</v>
      </c>
      <c r="B5008" t="s">
        <v>23</v>
      </c>
      <c r="C5008" t="s">
        <v>13</v>
      </c>
      <c r="D5008">
        <v>0</v>
      </c>
      <c r="E5008" t="s">
        <v>68</v>
      </c>
      <c r="F5008" t="s">
        <v>11</v>
      </c>
      <c r="G5008" t="s">
        <v>12</v>
      </c>
    </row>
    <row r="5009" spans="1:7" x14ac:dyDescent="0.3">
      <c r="A5009" t="s">
        <v>79</v>
      </c>
      <c r="B5009" t="s">
        <v>23</v>
      </c>
      <c r="C5009" t="s">
        <v>14</v>
      </c>
      <c r="D5009">
        <v>2</v>
      </c>
      <c r="E5009" t="s">
        <v>68</v>
      </c>
      <c r="F5009" t="s">
        <v>11</v>
      </c>
      <c r="G5009" t="s">
        <v>12</v>
      </c>
    </row>
    <row r="5010" spans="1:7" x14ac:dyDescent="0.3">
      <c r="A5010" t="s">
        <v>79</v>
      </c>
      <c r="B5010" t="s">
        <v>23</v>
      </c>
      <c r="C5010" t="s">
        <v>15</v>
      </c>
      <c r="D5010">
        <v>0</v>
      </c>
      <c r="E5010" t="s">
        <v>68</v>
      </c>
      <c r="F5010" t="s">
        <v>11</v>
      </c>
      <c r="G5010" t="s">
        <v>12</v>
      </c>
    </row>
    <row r="5011" spans="1:7" x14ac:dyDescent="0.3">
      <c r="A5011" t="s">
        <v>79</v>
      </c>
      <c r="B5011" t="s">
        <v>23</v>
      </c>
      <c r="C5011" t="s">
        <v>16</v>
      </c>
      <c r="D5011">
        <v>729</v>
      </c>
      <c r="E5011" t="s">
        <v>68</v>
      </c>
      <c r="F5011" t="s">
        <v>11</v>
      </c>
      <c r="G5011" t="s">
        <v>12</v>
      </c>
    </row>
    <row r="5012" spans="1:7" x14ac:dyDescent="0.3">
      <c r="A5012" t="s">
        <v>79</v>
      </c>
      <c r="B5012" t="s">
        <v>23</v>
      </c>
      <c r="C5012" t="s">
        <v>17</v>
      </c>
      <c r="D5012">
        <v>0</v>
      </c>
      <c r="E5012" t="s">
        <v>68</v>
      </c>
      <c r="F5012" t="s">
        <v>11</v>
      </c>
      <c r="G5012" t="s">
        <v>12</v>
      </c>
    </row>
    <row r="5013" spans="1:7" x14ac:dyDescent="0.3">
      <c r="A5013" t="s">
        <v>79</v>
      </c>
      <c r="B5013" t="s">
        <v>23</v>
      </c>
      <c r="C5013" t="s">
        <v>18</v>
      </c>
      <c r="D5013">
        <v>0</v>
      </c>
      <c r="E5013" t="s">
        <v>68</v>
      </c>
      <c r="F5013" t="s">
        <v>11</v>
      </c>
      <c r="G5013" t="s">
        <v>12</v>
      </c>
    </row>
    <row r="5014" spans="1:7" x14ac:dyDescent="0.3">
      <c r="A5014" t="s">
        <v>79</v>
      </c>
      <c r="B5014" t="s">
        <v>23</v>
      </c>
      <c r="C5014" t="s">
        <v>19</v>
      </c>
      <c r="D5014">
        <v>0</v>
      </c>
      <c r="E5014" t="s">
        <v>68</v>
      </c>
      <c r="F5014" t="s">
        <v>11</v>
      </c>
      <c r="G5014" t="s">
        <v>12</v>
      </c>
    </row>
    <row r="5015" spans="1:7" x14ac:dyDescent="0.3">
      <c r="A5015" t="s">
        <v>79</v>
      </c>
      <c r="B5015" t="s">
        <v>23</v>
      </c>
      <c r="C5015" t="s">
        <v>20</v>
      </c>
      <c r="D5015">
        <v>5</v>
      </c>
      <c r="E5015" t="s">
        <v>68</v>
      </c>
      <c r="F5015" t="s">
        <v>11</v>
      </c>
      <c r="G5015" t="s">
        <v>12</v>
      </c>
    </row>
    <row r="5016" spans="1:7" x14ac:dyDescent="0.3">
      <c r="A5016" t="s">
        <v>79</v>
      </c>
      <c r="B5016" t="s">
        <v>23</v>
      </c>
      <c r="C5016" t="s">
        <v>21</v>
      </c>
      <c r="D5016">
        <v>0</v>
      </c>
      <c r="E5016" t="s">
        <v>68</v>
      </c>
      <c r="F5016" t="s">
        <v>11</v>
      </c>
      <c r="G5016" t="s">
        <v>12</v>
      </c>
    </row>
    <row r="5017" spans="1:7" x14ac:dyDescent="0.3">
      <c r="A5017" t="s">
        <v>79</v>
      </c>
      <c r="B5017" t="s">
        <v>23</v>
      </c>
      <c r="C5017" t="s">
        <v>22</v>
      </c>
      <c r="D5017">
        <v>0</v>
      </c>
      <c r="E5017" t="s">
        <v>68</v>
      </c>
      <c r="F5017" t="s">
        <v>11</v>
      </c>
      <c r="G5017" t="s">
        <v>12</v>
      </c>
    </row>
    <row r="5018" spans="1:7" x14ac:dyDescent="0.3">
      <c r="A5018" t="s">
        <v>80</v>
      </c>
      <c r="B5018" t="s">
        <v>8</v>
      </c>
      <c r="C5018" t="s">
        <v>9</v>
      </c>
      <c r="D5018">
        <v>0</v>
      </c>
      <c r="E5018" t="s">
        <v>68</v>
      </c>
      <c r="F5018" t="s">
        <v>11</v>
      </c>
      <c r="G5018" t="s">
        <v>12</v>
      </c>
    </row>
    <row r="5019" spans="1:7" x14ac:dyDescent="0.3">
      <c r="A5019" t="s">
        <v>80</v>
      </c>
      <c r="B5019" t="s">
        <v>8</v>
      </c>
      <c r="C5019" t="s">
        <v>13</v>
      </c>
      <c r="D5019">
        <v>0</v>
      </c>
      <c r="E5019" t="s">
        <v>68</v>
      </c>
      <c r="F5019" t="s">
        <v>11</v>
      </c>
      <c r="G5019" t="s">
        <v>12</v>
      </c>
    </row>
    <row r="5020" spans="1:7" x14ac:dyDescent="0.3">
      <c r="A5020" t="s">
        <v>80</v>
      </c>
      <c r="B5020" t="s">
        <v>8</v>
      </c>
      <c r="C5020" t="s">
        <v>14</v>
      </c>
      <c r="D5020">
        <v>0</v>
      </c>
      <c r="E5020" t="s">
        <v>68</v>
      </c>
      <c r="F5020" t="s">
        <v>11</v>
      </c>
      <c r="G5020" t="s">
        <v>12</v>
      </c>
    </row>
    <row r="5021" spans="1:7" x14ac:dyDescent="0.3">
      <c r="A5021" t="s">
        <v>80</v>
      </c>
      <c r="B5021" t="s">
        <v>8</v>
      </c>
      <c r="C5021" t="s">
        <v>15</v>
      </c>
      <c r="D5021">
        <v>0</v>
      </c>
      <c r="E5021" t="s">
        <v>68</v>
      </c>
      <c r="F5021" t="s">
        <v>11</v>
      </c>
      <c r="G5021" t="s">
        <v>12</v>
      </c>
    </row>
    <row r="5022" spans="1:7" x14ac:dyDescent="0.3">
      <c r="A5022" t="s">
        <v>80</v>
      </c>
      <c r="B5022" t="s">
        <v>8</v>
      </c>
      <c r="C5022" t="s">
        <v>16</v>
      </c>
      <c r="D5022">
        <v>0</v>
      </c>
      <c r="E5022" t="s">
        <v>68</v>
      </c>
      <c r="F5022" t="s">
        <v>11</v>
      </c>
      <c r="G5022" t="s">
        <v>12</v>
      </c>
    </row>
    <row r="5023" spans="1:7" x14ac:dyDescent="0.3">
      <c r="A5023" t="s">
        <v>80</v>
      </c>
      <c r="B5023" t="s">
        <v>8</v>
      </c>
      <c r="C5023" t="s">
        <v>17</v>
      </c>
      <c r="D5023">
        <v>0</v>
      </c>
      <c r="E5023" t="s">
        <v>68</v>
      </c>
      <c r="F5023" t="s">
        <v>11</v>
      </c>
      <c r="G5023" t="s">
        <v>12</v>
      </c>
    </row>
    <row r="5024" spans="1:7" x14ac:dyDescent="0.3">
      <c r="A5024" t="s">
        <v>80</v>
      </c>
      <c r="B5024" t="s">
        <v>8</v>
      </c>
      <c r="C5024" t="s">
        <v>18</v>
      </c>
      <c r="D5024">
        <v>0</v>
      </c>
      <c r="E5024" t="s">
        <v>68</v>
      </c>
      <c r="F5024" t="s">
        <v>11</v>
      </c>
      <c r="G5024" t="s">
        <v>12</v>
      </c>
    </row>
    <row r="5025" spans="1:7" x14ac:dyDescent="0.3">
      <c r="A5025" t="s">
        <v>80</v>
      </c>
      <c r="B5025" t="s">
        <v>8</v>
      </c>
      <c r="C5025" t="s">
        <v>19</v>
      </c>
      <c r="D5025">
        <v>0</v>
      </c>
      <c r="E5025" t="s">
        <v>68</v>
      </c>
      <c r="F5025" t="s">
        <v>11</v>
      </c>
      <c r="G5025" t="s">
        <v>12</v>
      </c>
    </row>
    <row r="5026" spans="1:7" x14ac:dyDescent="0.3">
      <c r="A5026" t="s">
        <v>80</v>
      </c>
      <c r="B5026" t="s">
        <v>8</v>
      </c>
      <c r="C5026" t="s">
        <v>20</v>
      </c>
      <c r="D5026">
        <v>0</v>
      </c>
      <c r="E5026" t="s">
        <v>68</v>
      </c>
      <c r="F5026" t="s">
        <v>11</v>
      </c>
      <c r="G5026" t="s">
        <v>12</v>
      </c>
    </row>
    <row r="5027" spans="1:7" x14ac:dyDescent="0.3">
      <c r="A5027" t="s">
        <v>80</v>
      </c>
      <c r="B5027" t="s">
        <v>8</v>
      </c>
      <c r="C5027" t="s">
        <v>21</v>
      </c>
      <c r="D5027">
        <v>0</v>
      </c>
      <c r="E5027" t="s">
        <v>68</v>
      </c>
      <c r="F5027" t="s">
        <v>11</v>
      </c>
      <c r="G5027" t="s">
        <v>12</v>
      </c>
    </row>
    <row r="5028" spans="1:7" x14ac:dyDescent="0.3">
      <c r="A5028" t="s">
        <v>80</v>
      </c>
      <c r="B5028" t="s">
        <v>8</v>
      </c>
      <c r="C5028" t="s">
        <v>22</v>
      </c>
      <c r="D5028">
        <v>738</v>
      </c>
      <c r="E5028" t="s">
        <v>68</v>
      </c>
      <c r="F5028" t="s">
        <v>11</v>
      </c>
      <c r="G5028" t="s">
        <v>12</v>
      </c>
    </row>
    <row r="5029" spans="1:7" x14ac:dyDescent="0.3">
      <c r="A5029" t="s">
        <v>80</v>
      </c>
      <c r="B5029" t="s">
        <v>23</v>
      </c>
      <c r="C5029" t="s">
        <v>9</v>
      </c>
      <c r="D5029">
        <v>8</v>
      </c>
      <c r="E5029" t="s">
        <v>68</v>
      </c>
      <c r="F5029" t="s">
        <v>11</v>
      </c>
      <c r="G5029" t="s">
        <v>12</v>
      </c>
    </row>
    <row r="5030" spans="1:7" x14ac:dyDescent="0.3">
      <c r="A5030" t="s">
        <v>80</v>
      </c>
      <c r="B5030" t="s">
        <v>23</v>
      </c>
      <c r="C5030" t="s">
        <v>13</v>
      </c>
      <c r="D5030">
        <v>75</v>
      </c>
      <c r="E5030" t="s">
        <v>68</v>
      </c>
      <c r="F5030" t="s">
        <v>11</v>
      </c>
      <c r="G5030" t="s">
        <v>12</v>
      </c>
    </row>
    <row r="5031" spans="1:7" x14ac:dyDescent="0.3">
      <c r="A5031" t="s">
        <v>80</v>
      </c>
      <c r="B5031" t="s">
        <v>23</v>
      </c>
      <c r="C5031" t="s">
        <v>14</v>
      </c>
      <c r="D5031">
        <v>94</v>
      </c>
      <c r="E5031" t="s">
        <v>68</v>
      </c>
      <c r="F5031" t="s">
        <v>11</v>
      </c>
      <c r="G5031" t="s">
        <v>12</v>
      </c>
    </row>
    <row r="5032" spans="1:7" x14ac:dyDescent="0.3">
      <c r="A5032" t="s">
        <v>80</v>
      </c>
      <c r="B5032" t="s">
        <v>23</v>
      </c>
      <c r="C5032" t="s">
        <v>15</v>
      </c>
      <c r="D5032">
        <v>3</v>
      </c>
      <c r="E5032" t="s">
        <v>68</v>
      </c>
      <c r="F5032" t="s">
        <v>11</v>
      </c>
      <c r="G5032" t="s">
        <v>12</v>
      </c>
    </row>
    <row r="5033" spans="1:7" x14ac:dyDescent="0.3">
      <c r="A5033" t="s">
        <v>80</v>
      </c>
      <c r="B5033" t="s">
        <v>23</v>
      </c>
      <c r="C5033" t="s">
        <v>16</v>
      </c>
      <c r="D5033">
        <v>43</v>
      </c>
      <c r="E5033" t="s">
        <v>68</v>
      </c>
      <c r="F5033" t="s">
        <v>11</v>
      </c>
      <c r="G5033" t="s">
        <v>12</v>
      </c>
    </row>
    <row r="5034" spans="1:7" x14ac:dyDescent="0.3">
      <c r="A5034" t="s">
        <v>80</v>
      </c>
      <c r="B5034" t="s">
        <v>23</v>
      </c>
      <c r="C5034" t="s">
        <v>17</v>
      </c>
      <c r="D5034">
        <v>12</v>
      </c>
      <c r="E5034" t="s">
        <v>68</v>
      </c>
      <c r="F5034" t="s">
        <v>11</v>
      </c>
      <c r="G5034" t="s">
        <v>12</v>
      </c>
    </row>
    <row r="5035" spans="1:7" x14ac:dyDescent="0.3">
      <c r="A5035" t="s">
        <v>80</v>
      </c>
      <c r="B5035" t="s">
        <v>23</v>
      </c>
      <c r="C5035" t="s">
        <v>18</v>
      </c>
      <c r="D5035">
        <v>0</v>
      </c>
      <c r="E5035" t="s">
        <v>68</v>
      </c>
      <c r="F5035" t="s">
        <v>11</v>
      </c>
      <c r="G5035" t="s">
        <v>12</v>
      </c>
    </row>
    <row r="5036" spans="1:7" x14ac:dyDescent="0.3">
      <c r="A5036" t="s">
        <v>80</v>
      </c>
      <c r="B5036" t="s">
        <v>23</v>
      </c>
      <c r="C5036" t="s">
        <v>19</v>
      </c>
      <c r="D5036">
        <v>19</v>
      </c>
      <c r="E5036" t="s">
        <v>68</v>
      </c>
      <c r="F5036" t="s">
        <v>11</v>
      </c>
      <c r="G5036" t="s">
        <v>12</v>
      </c>
    </row>
    <row r="5037" spans="1:7" x14ac:dyDescent="0.3">
      <c r="A5037" t="s">
        <v>80</v>
      </c>
      <c r="B5037" t="s">
        <v>23</v>
      </c>
      <c r="C5037" t="s">
        <v>20</v>
      </c>
      <c r="D5037">
        <v>6</v>
      </c>
      <c r="E5037" t="s">
        <v>68</v>
      </c>
      <c r="F5037" t="s">
        <v>11</v>
      </c>
      <c r="G5037" t="s">
        <v>12</v>
      </c>
    </row>
    <row r="5038" spans="1:7" x14ac:dyDescent="0.3">
      <c r="A5038" t="s">
        <v>80</v>
      </c>
      <c r="B5038" t="s">
        <v>23</v>
      </c>
      <c r="C5038" t="s">
        <v>21</v>
      </c>
      <c r="D5038">
        <v>2</v>
      </c>
      <c r="E5038" t="s">
        <v>68</v>
      </c>
      <c r="F5038" t="s">
        <v>11</v>
      </c>
      <c r="G5038" t="s">
        <v>12</v>
      </c>
    </row>
    <row r="5039" spans="1:7" x14ac:dyDescent="0.3">
      <c r="A5039" t="s">
        <v>80</v>
      </c>
      <c r="B5039" t="s">
        <v>23</v>
      </c>
      <c r="C5039" t="s">
        <v>22</v>
      </c>
      <c r="D5039">
        <v>296</v>
      </c>
      <c r="E5039" t="s">
        <v>68</v>
      </c>
      <c r="F5039" t="s">
        <v>11</v>
      </c>
      <c r="G5039" t="s">
        <v>12</v>
      </c>
    </row>
    <row r="5040" spans="1:7" x14ac:dyDescent="0.3">
      <c r="A5040" t="s">
        <v>81</v>
      </c>
      <c r="B5040" t="s">
        <v>8</v>
      </c>
      <c r="C5040" t="s">
        <v>9</v>
      </c>
      <c r="D5040">
        <v>0</v>
      </c>
      <c r="E5040" t="s">
        <v>68</v>
      </c>
      <c r="F5040" t="s">
        <v>11</v>
      </c>
      <c r="G5040" t="s">
        <v>12</v>
      </c>
    </row>
    <row r="5041" spans="1:7" x14ac:dyDescent="0.3">
      <c r="A5041" t="s">
        <v>81</v>
      </c>
      <c r="B5041" t="s">
        <v>8</v>
      </c>
      <c r="C5041" t="s">
        <v>13</v>
      </c>
      <c r="D5041">
        <v>138</v>
      </c>
      <c r="E5041" t="s">
        <v>68</v>
      </c>
      <c r="F5041" t="s">
        <v>11</v>
      </c>
      <c r="G5041" t="s">
        <v>12</v>
      </c>
    </row>
    <row r="5042" spans="1:7" x14ac:dyDescent="0.3">
      <c r="A5042" t="s">
        <v>81</v>
      </c>
      <c r="B5042" t="s">
        <v>8</v>
      </c>
      <c r="C5042" t="s">
        <v>14</v>
      </c>
      <c r="D5042">
        <v>560</v>
      </c>
      <c r="E5042" t="s">
        <v>68</v>
      </c>
      <c r="F5042" t="s">
        <v>11</v>
      </c>
      <c r="G5042" t="s">
        <v>12</v>
      </c>
    </row>
    <row r="5043" spans="1:7" x14ac:dyDescent="0.3">
      <c r="A5043" t="s">
        <v>81</v>
      </c>
      <c r="B5043" t="s">
        <v>8</v>
      </c>
      <c r="C5043" t="s">
        <v>15</v>
      </c>
      <c r="D5043">
        <v>473</v>
      </c>
      <c r="E5043" t="s">
        <v>68</v>
      </c>
      <c r="F5043" t="s">
        <v>11</v>
      </c>
      <c r="G5043" t="s">
        <v>12</v>
      </c>
    </row>
    <row r="5044" spans="1:7" x14ac:dyDescent="0.3">
      <c r="A5044" t="s">
        <v>81</v>
      </c>
      <c r="B5044" t="s">
        <v>8</v>
      </c>
      <c r="C5044" t="s">
        <v>16</v>
      </c>
      <c r="D5044">
        <v>751</v>
      </c>
      <c r="E5044" t="s">
        <v>68</v>
      </c>
      <c r="F5044" t="s">
        <v>11</v>
      </c>
      <c r="G5044" t="s">
        <v>12</v>
      </c>
    </row>
    <row r="5045" spans="1:7" x14ac:dyDescent="0.3">
      <c r="A5045" t="s">
        <v>81</v>
      </c>
      <c r="B5045" t="s">
        <v>8</v>
      </c>
      <c r="C5045" t="s">
        <v>17</v>
      </c>
      <c r="D5045">
        <v>1</v>
      </c>
      <c r="E5045" t="s">
        <v>68</v>
      </c>
      <c r="F5045" t="s">
        <v>11</v>
      </c>
      <c r="G5045" t="s">
        <v>12</v>
      </c>
    </row>
    <row r="5046" spans="1:7" x14ac:dyDescent="0.3">
      <c r="A5046" t="s">
        <v>81</v>
      </c>
      <c r="B5046" t="s">
        <v>8</v>
      </c>
      <c r="C5046" t="s">
        <v>18</v>
      </c>
      <c r="D5046">
        <v>0</v>
      </c>
      <c r="E5046" t="s">
        <v>68</v>
      </c>
      <c r="F5046" t="s">
        <v>11</v>
      </c>
      <c r="G5046" t="s">
        <v>12</v>
      </c>
    </row>
    <row r="5047" spans="1:7" x14ac:dyDescent="0.3">
      <c r="A5047" t="s">
        <v>81</v>
      </c>
      <c r="B5047" t="s">
        <v>8</v>
      </c>
      <c r="C5047" t="s">
        <v>19</v>
      </c>
      <c r="D5047">
        <v>1860</v>
      </c>
      <c r="E5047" t="s">
        <v>68</v>
      </c>
      <c r="F5047" t="s">
        <v>11</v>
      </c>
      <c r="G5047" t="s">
        <v>12</v>
      </c>
    </row>
    <row r="5048" spans="1:7" x14ac:dyDescent="0.3">
      <c r="A5048" t="s">
        <v>81</v>
      </c>
      <c r="B5048" t="s">
        <v>8</v>
      </c>
      <c r="C5048" t="s">
        <v>20</v>
      </c>
      <c r="D5048">
        <v>0</v>
      </c>
      <c r="E5048" t="s">
        <v>68</v>
      </c>
      <c r="F5048" t="s">
        <v>11</v>
      </c>
      <c r="G5048" t="s">
        <v>12</v>
      </c>
    </row>
    <row r="5049" spans="1:7" x14ac:dyDescent="0.3">
      <c r="A5049" t="s">
        <v>81</v>
      </c>
      <c r="B5049" t="s">
        <v>8</v>
      </c>
      <c r="C5049" t="s">
        <v>21</v>
      </c>
      <c r="D5049">
        <v>1255</v>
      </c>
      <c r="E5049" t="s">
        <v>68</v>
      </c>
      <c r="F5049" t="s">
        <v>11</v>
      </c>
      <c r="G5049" t="s">
        <v>12</v>
      </c>
    </row>
    <row r="5050" spans="1:7" x14ac:dyDescent="0.3">
      <c r="A5050" t="s">
        <v>81</v>
      </c>
      <c r="B5050" t="s">
        <v>8</v>
      </c>
      <c r="C5050" t="s">
        <v>22</v>
      </c>
      <c r="D5050">
        <v>118</v>
      </c>
      <c r="E5050" t="s">
        <v>68</v>
      </c>
      <c r="F5050" t="s">
        <v>11</v>
      </c>
      <c r="G5050" t="s">
        <v>12</v>
      </c>
    </row>
    <row r="5051" spans="1:7" x14ac:dyDescent="0.3">
      <c r="A5051" t="s">
        <v>81</v>
      </c>
      <c r="B5051" t="s">
        <v>23</v>
      </c>
      <c r="C5051" t="s">
        <v>9</v>
      </c>
      <c r="D5051">
        <v>2</v>
      </c>
      <c r="E5051" t="s">
        <v>68</v>
      </c>
      <c r="F5051" t="s">
        <v>11</v>
      </c>
      <c r="G5051" t="s">
        <v>12</v>
      </c>
    </row>
    <row r="5052" spans="1:7" x14ac:dyDescent="0.3">
      <c r="A5052" t="s">
        <v>81</v>
      </c>
      <c r="B5052" t="s">
        <v>23</v>
      </c>
      <c r="C5052" t="s">
        <v>13</v>
      </c>
      <c r="D5052">
        <v>110</v>
      </c>
      <c r="E5052" t="s">
        <v>68</v>
      </c>
      <c r="F5052" t="s">
        <v>11</v>
      </c>
      <c r="G5052" t="s">
        <v>12</v>
      </c>
    </row>
    <row r="5053" spans="1:7" x14ac:dyDescent="0.3">
      <c r="A5053" t="s">
        <v>81</v>
      </c>
      <c r="B5053" t="s">
        <v>23</v>
      </c>
      <c r="C5053" t="s">
        <v>14</v>
      </c>
      <c r="D5053">
        <v>115</v>
      </c>
      <c r="E5053" t="s">
        <v>68</v>
      </c>
      <c r="F5053" t="s">
        <v>11</v>
      </c>
      <c r="G5053" t="s">
        <v>12</v>
      </c>
    </row>
    <row r="5054" spans="1:7" x14ac:dyDescent="0.3">
      <c r="A5054" t="s">
        <v>81</v>
      </c>
      <c r="B5054" t="s">
        <v>23</v>
      </c>
      <c r="C5054" t="s">
        <v>15</v>
      </c>
      <c r="D5054">
        <v>50</v>
      </c>
      <c r="E5054" t="s">
        <v>68</v>
      </c>
      <c r="F5054" t="s">
        <v>11</v>
      </c>
      <c r="G5054" t="s">
        <v>12</v>
      </c>
    </row>
    <row r="5055" spans="1:7" x14ac:dyDescent="0.3">
      <c r="A5055" t="s">
        <v>81</v>
      </c>
      <c r="B5055" t="s">
        <v>23</v>
      </c>
      <c r="C5055" t="s">
        <v>16</v>
      </c>
      <c r="D5055">
        <v>211</v>
      </c>
      <c r="E5055" t="s">
        <v>68</v>
      </c>
      <c r="F5055" t="s">
        <v>11</v>
      </c>
      <c r="G5055" t="s">
        <v>12</v>
      </c>
    </row>
    <row r="5056" spans="1:7" x14ac:dyDescent="0.3">
      <c r="A5056" t="s">
        <v>81</v>
      </c>
      <c r="B5056" t="s">
        <v>23</v>
      </c>
      <c r="C5056" t="s">
        <v>17</v>
      </c>
      <c r="D5056">
        <v>2</v>
      </c>
      <c r="E5056" t="s">
        <v>68</v>
      </c>
      <c r="F5056" t="s">
        <v>11</v>
      </c>
      <c r="G5056" t="s">
        <v>12</v>
      </c>
    </row>
    <row r="5057" spans="1:7" x14ac:dyDescent="0.3">
      <c r="A5057" t="s">
        <v>81</v>
      </c>
      <c r="B5057" t="s">
        <v>23</v>
      </c>
      <c r="C5057" t="s">
        <v>18</v>
      </c>
      <c r="D5057">
        <v>0</v>
      </c>
      <c r="E5057" t="s">
        <v>68</v>
      </c>
      <c r="F5057" t="s">
        <v>11</v>
      </c>
      <c r="G5057" t="s">
        <v>12</v>
      </c>
    </row>
    <row r="5058" spans="1:7" x14ac:dyDescent="0.3">
      <c r="A5058" t="s">
        <v>81</v>
      </c>
      <c r="B5058" t="s">
        <v>23</v>
      </c>
      <c r="C5058" t="s">
        <v>19</v>
      </c>
      <c r="D5058">
        <v>381</v>
      </c>
      <c r="E5058" t="s">
        <v>68</v>
      </c>
      <c r="F5058" t="s">
        <v>11</v>
      </c>
      <c r="G5058" t="s">
        <v>12</v>
      </c>
    </row>
    <row r="5059" spans="1:7" x14ac:dyDescent="0.3">
      <c r="A5059" t="s">
        <v>81</v>
      </c>
      <c r="B5059" t="s">
        <v>23</v>
      </c>
      <c r="C5059" t="s">
        <v>20</v>
      </c>
      <c r="D5059">
        <v>3</v>
      </c>
      <c r="E5059" t="s">
        <v>68</v>
      </c>
      <c r="F5059" t="s">
        <v>11</v>
      </c>
      <c r="G5059" t="s">
        <v>12</v>
      </c>
    </row>
    <row r="5060" spans="1:7" x14ac:dyDescent="0.3">
      <c r="A5060" t="s">
        <v>81</v>
      </c>
      <c r="B5060" t="s">
        <v>23</v>
      </c>
      <c r="C5060" t="s">
        <v>21</v>
      </c>
      <c r="D5060">
        <v>46</v>
      </c>
      <c r="E5060" t="s">
        <v>68</v>
      </c>
      <c r="F5060" t="s">
        <v>11</v>
      </c>
      <c r="G5060" t="s">
        <v>12</v>
      </c>
    </row>
    <row r="5061" spans="1:7" x14ac:dyDescent="0.3">
      <c r="A5061" t="s">
        <v>81</v>
      </c>
      <c r="B5061" t="s">
        <v>23</v>
      </c>
      <c r="C5061" t="s">
        <v>22</v>
      </c>
      <c r="D5061">
        <v>50</v>
      </c>
      <c r="E5061" t="s">
        <v>68</v>
      </c>
      <c r="F5061" t="s">
        <v>11</v>
      </c>
      <c r="G5061" t="s">
        <v>12</v>
      </c>
    </row>
    <row r="5062" spans="1:7" x14ac:dyDescent="0.3">
      <c r="A5062" t="s">
        <v>82</v>
      </c>
      <c r="B5062" t="s">
        <v>8</v>
      </c>
      <c r="C5062" t="s">
        <v>9</v>
      </c>
      <c r="D5062">
        <v>0</v>
      </c>
      <c r="E5062" t="s">
        <v>68</v>
      </c>
      <c r="F5062" t="s">
        <v>11</v>
      </c>
      <c r="G5062" t="s">
        <v>12</v>
      </c>
    </row>
    <row r="5063" spans="1:7" x14ac:dyDescent="0.3">
      <c r="A5063" t="s">
        <v>82</v>
      </c>
      <c r="B5063" t="s">
        <v>8</v>
      </c>
      <c r="C5063" t="s">
        <v>13</v>
      </c>
      <c r="D5063">
        <v>0</v>
      </c>
      <c r="E5063" t="s">
        <v>68</v>
      </c>
      <c r="F5063" t="s">
        <v>11</v>
      </c>
      <c r="G5063" t="s">
        <v>12</v>
      </c>
    </row>
    <row r="5064" spans="1:7" x14ac:dyDescent="0.3">
      <c r="A5064" t="s">
        <v>82</v>
      </c>
      <c r="B5064" t="s">
        <v>8</v>
      </c>
      <c r="C5064" t="s">
        <v>14</v>
      </c>
      <c r="D5064">
        <v>5</v>
      </c>
      <c r="E5064" t="s">
        <v>68</v>
      </c>
      <c r="F5064" t="s">
        <v>11</v>
      </c>
      <c r="G5064" t="s">
        <v>12</v>
      </c>
    </row>
    <row r="5065" spans="1:7" x14ac:dyDescent="0.3">
      <c r="A5065" t="s">
        <v>82</v>
      </c>
      <c r="B5065" t="s">
        <v>8</v>
      </c>
      <c r="C5065" t="s">
        <v>15</v>
      </c>
      <c r="D5065">
        <v>0</v>
      </c>
      <c r="E5065" t="s">
        <v>68</v>
      </c>
      <c r="F5065" t="s">
        <v>11</v>
      </c>
      <c r="G5065" t="s">
        <v>12</v>
      </c>
    </row>
    <row r="5066" spans="1:7" x14ac:dyDescent="0.3">
      <c r="A5066" t="s">
        <v>82</v>
      </c>
      <c r="B5066" t="s">
        <v>8</v>
      </c>
      <c r="C5066" t="s">
        <v>16</v>
      </c>
      <c r="D5066">
        <v>2596</v>
      </c>
      <c r="E5066" t="s">
        <v>68</v>
      </c>
      <c r="F5066" t="s">
        <v>11</v>
      </c>
      <c r="G5066" t="s">
        <v>12</v>
      </c>
    </row>
    <row r="5067" spans="1:7" x14ac:dyDescent="0.3">
      <c r="A5067" t="s">
        <v>82</v>
      </c>
      <c r="B5067" t="s">
        <v>8</v>
      </c>
      <c r="C5067" t="s">
        <v>17</v>
      </c>
      <c r="D5067">
        <v>3</v>
      </c>
      <c r="E5067" t="s">
        <v>68</v>
      </c>
      <c r="F5067" t="s">
        <v>11</v>
      </c>
      <c r="G5067" t="s">
        <v>12</v>
      </c>
    </row>
    <row r="5068" spans="1:7" x14ac:dyDescent="0.3">
      <c r="A5068" t="s">
        <v>82</v>
      </c>
      <c r="B5068" t="s">
        <v>8</v>
      </c>
      <c r="C5068" t="s">
        <v>18</v>
      </c>
      <c r="D5068">
        <v>0</v>
      </c>
      <c r="E5068" t="s">
        <v>68</v>
      </c>
      <c r="F5068" t="s">
        <v>11</v>
      </c>
      <c r="G5068" t="s">
        <v>12</v>
      </c>
    </row>
    <row r="5069" spans="1:7" x14ac:dyDescent="0.3">
      <c r="A5069" t="s">
        <v>82</v>
      </c>
      <c r="B5069" t="s">
        <v>8</v>
      </c>
      <c r="C5069" t="s">
        <v>19</v>
      </c>
      <c r="D5069">
        <v>0</v>
      </c>
      <c r="E5069" t="s">
        <v>68</v>
      </c>
      <c r="F5069" t="s">
        <v>11</v>
      </c>
      <c r="G5069" t="s">
        <v>12</v>
      </c>
    </row>
    <row r="5070" spans="1:7" x14ac:dyDescent="0.3">
      <c r="A5070" t="s">
        <v>82</v>
      </c>
      <c r="B5070" t="s">
        <v>8</v>
      </c>
      <c r="C5070" t="s">
        <v>20</v>
      </c>
      <c r="D5070">
        <v>0</v>
      </c>
      <c r="E5070" t="s">
        <v>68</v>
      </c>
      <c r="F5070" t="s">
        <v>11</v>
      </c>
      <c r="G5070" t="s">
        <v>12</v>
      </c>
    </row>
    <row r="5071" spans="1:7" x14ac:dyDescent="0.3">
      <c r="A5071" t="s">
        <v>82</v>
      </c>
      <c r="B5071" t="s">
        <v>8</v>
      </c>
      <c r="C5071" t="s">
        <v>21</v>
      </c>
      <c r="D5071">
        <v>0</v>
      </c>
      <c r="E5071" t="s">
        <v>68</v>
      </c>
      <c r="F5071" t="s">
        <v>11</v>
      </c>
      <c r="G5071" t="s">
        <v>12</v>
      </c>
    </row>
    <row r="5072" spans="1:7" x14ac:dyDescent="0.3">
      <c r="A5072" t="s">
        <v>82</v>
      </c>
      <c r="B5072" t="s">
        <v>8</v>
      </c>
      <c r="C5072" t="s">
        <v>22</v>
      </c>
      <c r="D5072">
        <v>0</v>
      </c>
      <c r="E5072" t="s">
        <v>68</v>
      </c>
      <c r="F5072" t="s">
        <v>11</v>
      </c>
      <c r="G5072" t="s">
        <v>12</v>
      </c>
    </row>
    <row r="5073" spans="1:7" x14ac:dyDescent="0.3">
      <c r="A5073" t="s">
        <v>82</v>
      </c>
      <c r="B5073" t="s">
        <v>23</v>
      </c>
      <c r="C5073" t="s">
        <v>9</v>
      </c>
      <c r="D5073">
        <v>0</v>
      </c>
      <c r="E5073" t="s">
        <v>68</v>
      </c>
      <c r="F5073" t="s">
        <v>11</v>
      </c>
      <c r="G5073" t="s">
        <v>12</v>
      </c>
    </row>
    <row r="5074" spans="1:7" x14ac:dyDescent="0.3">
      <c r="A5074" t="s">
        <v>82</v>
      </c>
      <c r="B5074" t="s">
        <v>23</v>
      </c>
      <c r="C5074" t="s">
        <v>13</v>
      </c>
      <c r="D5074">
        <v>0</v>
      </c>
      <c r="E5074" t="s">
        <v>68</v>
      </c>
      <c r="F5074" t="s">
        <v>11</v>
      </c>
      <c r="G5074" t="s">
        <v>12</v>
      </c>
    </row>
    <row r="5075" spans="1:7" x14ac:dyDescent="0.3">
      <c r="A5075" t="s">
        <v>82</v>
      </c>
      <c r="B5075" t="s">
        <v>23</v>
      </c>
      <c r="C5075" t="s">
        <v>14</v>
      </c>
      <c r="D5075">
        <v>2</v>
      </c>
      <c r="E5075" t="s">
        <v>68</v>
      </c>
      <c r="F5075" t="s">
        <v>11</v>
      </c>
      <c r="G5075" t="s">
        <v>12</v>
      </c>
    </row>
    <row r="5076" spans="1:7" x14ac:dyDescent="0.3">
      <c r="A5076" t="s">
        <v>82</v>
      </c>
      <c r="B5076" t="s">
        <v>23</v>
      </c>
      <c r="C5076" t="s">
        <v>15</v>
      </c>
      <c r="D5076">
        <v>0</v>
      </c>
      <c r="E5076" t="s">
        <v>68</v>
      </c>
      <c r="F5076" t="s">
        <v>11</v>
      </c>
      <c r="G5076" t="s">
        <v>12</v>
      </c>
    </row>
    <row r="5077" spans="1:7" x14ac:dyDescent="0.3">
      <c r="A5077" t="s">
        <v>82</v>
      </c>
      <c r="B5077" t="s">
        <v>23</v>
      </c>
      <c r="C5077" t="s">
        <v>16</v>
      </c>
      <c r="D5077">
        <v>634</v>
      </c>
      <c r="E5077" t="s">
        <v>68</v>
      </c>
      <c r="F5077" t="s">
        <v>11</v>
      </c>
      <c r="G5077" t="s">
        <v>12</v>
      </c>
    </row>
    <row r="5078" spans="1:7" x14ac:dyDescent="0.3">
      <c r="A5078" t="s">
        <v>82</v>
      </c>
      <c r="B5078" t="s">
        <v>23</v>
      </c>
      <c r="C5078" t="s">
        <v>17</v>
      </c>
      <c r="D5078">
        <v>0</v>
      </c>
      <c r="E5078" t="s">
        <v>68</v>
      </c>
      <c r="F5078" t="s">
        <v>11</v>
      </c>
      <c r="G5078" t="s">
        <v>12</v>
      </c>
    </row>
    <row r="5079" spans="1:7" x14ac:dyDescent="0.3">
      <c r="A5079" t="s">
        <v>82</v>
      </c>
      <c r="B5079" t="s">
        <v>23</v>
      </c>
      <c r="C5079" t="s">
        <v>18</v>
      </c>
      <c r="D5079">
        <v>0</v>
      </c>
      <c r="E5079" t="s">
        <v>68</v>
      </c>
      <c r="F5079" t="s">
        <v>11</v>
      </c>
      <c r="G5079" t="s">
        <v>12</v>
      </c>
    </row>
    <row r="5080" spans="1:7" x14ac:dyDescent="0.3">
      <c r="A5080" t="s">
        <v>82</v>
      </c>
      <c r="B5080" t="s">
        <v>23</v>
      </c>
      <c r="C5080" t="s">
        <v>19</v>
      </c>
      <c r="D5080">
        <v>0</v>
      </c>
      <c r="E5080" t="s">
        <v>68</v>
      </c>
      <c r="F5080" t="s">
        <v>11</v>
      </c>
      <c r="G5080" t="s">
        <v>12</v>
      </c>
    </row>
    <row r="5081" spans="1:7" x14ac:dyDescent="0.3">
      <c r="A5081" t="s">
        <v>82</v>
      </c>
      <c r="B5081" t="s">
        <v>23</v>
      </c>
      <c r="C5081" t="s">
        <v>20</v>
      </c>
      <c r="D5081">
        <v>4</v>
      </c>
      <c r="E5081" t="s">
        <v>68</v>
      </c>
      <c r="F5081" t="s">
        <v>11</v>
      </c>
      <c r="G5081" t="s">
        <v>12</v>
      </c>
    </row>
    <row r="5082" spans="1:7" x14ac:dyDescent="0.3">
      <c r="A5082" t="s">
        <v>82</v>
      </c>
      <c r="B5082" t="s">
        <v>23</v>
      </c>
      <c r="C5082" t="s">
        <v>21</v>
      </c>
      <c r="D5082">
        <v>0</v>
      </c>
      <c r="E5082" t="s">
        <v>68</v>
      </c>
      <c r="F5082" t="s">
        <v>11</v>
      </c>
      <c r="G5082" t="s">
        <v>12</v>
      </c>
    </row>
    <row r="5083" spans="1:7" x14ac:dyDescent="0.3">
      <c r="A5083" t="s">
        <v>82</v>
      </c>
      <c r="B5083" t="s">
        <v>23</v>
      </c>
      <c r="C5083" t="s">
        <v>22</v>
      </c>
      <c r="D5083">
        <v>0</v>
      </c>
      <c r="E5083" t="s">
        <v>68</v>
      </c>
      <c r="F5083" t="s">
        <v>11</v>
      </c>
      <c r="G5083" t="s">
        <v>12</v>
      </c>
    </row>
    <row r="5084" spans="1:7" x14ac:dyDescent="0.3">
      <c r="A5084" t="s">
        <v>83</v>
      </c>
      <c r="B5084" t="s">
        <v>8</v>
      </c>
      <c r="C5084" t="s">
        <v>9</v>
      </c>
      <c r="D5084">
        <v>0</v>
      </c>
      <c r="E5084" t="s">
        <v>68</v>
      </c>
      <c r="F5084" t="s">
        <v>11</v>
      </c>
      <c r="G5084" t="s">
        <v>12</v>
      </c>
    </row>
    <row r="5085" spans="1:7" x14ac:dyDescent="0.3">
      <c r="A5085" t="s">
        <v>83</v>
      </c>
      <c r="B5085" t="s">
        <v>8</v>
      </c>
      <c r="C5085" t="s">
        <v>13</v>
      </c>
      <c r="D5085">
        <v>0</v>
      </c>
      <c r="E5085" t="s">
        <v>68</v>
      </c>
      <c r="F5085" t="s">
        <v>11</v>
      </c>
      <c r="G5085" t="s">
        <v>12</v>
      </c>
    </row>
    <row r="5086" spans="1:7" x14ac:dyDescent="0.3">
      <c r="A5086" t="s">
        <v>83</v>
      </c>
      <c r="B5086" t="s">
        <v>8</v>
      </c>
      <c r="C5086" t="s">
        <v>14</v>
      </c>
      <c r="D5086">
        <v>0</v>
      </c>
      <c r="E5086" t="s">
        <v>68</v>
      </c>
      <c r="F5086" t="s">
        <v>11</v>
      </c>
      <c r="G5086" t="s">
        <v>12</v>
      </c>
    </row>
    <row r="5087" spans="1:7" x14ac:dyDescent="0.3">
      <c r="A5087" t="s">
        <v>83</v>
      </c>
      <c r="B5087" t="s">
        <v>8</v>
      </c>
      <c r="C5087" t="s">
        <v>15</v>
      </c>
      <c r="D5087">
        <v>0</v>
      </c>
      <c r="E5087" t="s">
        <v>68</v>
      </c>
      <c r="F5087" t="s">
        <v>11</v>
      </c>
      <c r="G5087" t="s">
        <v>12</v>
      </c>
    </row>
    <row r="5088" spans="1:7" x14ac:dyDescent="0.3">
      <c r="A5088" t="s">
        <v>83</v>
      </c>
      <c r="B5088" t="s">
        <v>8</v>
      </c>
      <c r="C5088" t="s">
        <v>16</v>
      </c>
      <c r="D5088">
        <v>0</v>
      </c>
      <c r="E5088" t="s">
        <v>68</v>
      </c>
      <c r="F5088" t="s">
        <v>11</v>
      </c>
      <c r="G5088" t="s">
        <v>12</v>
      </c>
    </row>
    <row r="5089" spans="1:7" x14ac:dyDescent="0.3">
      <c r="A5089" t="s">
        <v>83</v>
      </c>
      <c r="B5089" t="s">
        <v>8</v>
      </c>
      <c r="C5089" t="s">
        <v>17</v>
      </c>
      <c r="D5089">
        <v>0</v>
      </c>
      <c r="E5089" t="s">
        <v>68</v>
      </c>
      <c r="F5089" t="s">
        <v>11</v>
      </c>
      <c r="G5089" t="s">
        <v>12</v>
      </c>
    </row>
    <row r="5090" spans="1:7" x14ac:dyDescent="0.3">
      <c r="A5090" t="s">
        <v>83</v>
      </c>
      <c r="B5090" t="s">
        <v>8</v>
      </c>
      <c r="C5090" t="s">
        <v>18</v>
      </c>
      <c r="D5090">
        <v>0</v>
      </c>
      <c r="E5090" t="s">
        <v>68</v>
      </c>
      <c r="F5090" t="s">
        <v>11</v>
      </c>
      <c r="G5090" t="s">
        <v>12</v>
      </c>
    </row>
    <row r="5091" spans="1:7" x14ac:dyDescent="0.3">
      <c r="A5091" t="s">
        <v>83</v>
      </c>
      <c r="B5091" t="s">
        <v>8</v>
      </c>
      <c r="C5091" t="s">
        <v>19</v>
      </c>
      <c r="D5091">
        <v>0</v>
      </c>
      <c r="E5091" t="s">
        <v>68</v>
      </c>
      <c r="F5091" t="s">
        <v>11</v>
      </c>
      <c r="G5091" t="s">
        <v>12</v>
      </c>
    </row>
    <row r="5092" spans="1:7" x14ac:dyDescent="0.3">
      <c r="A5092" t="s">
        <v>83</v>
      </c>
      <c r="B5092" t="s">
        <v>8</v>
      </c>
      <c r="C5092" t="s">
        <v>20</v>
      </c>
      <c r="D5092">
        <v>0</v>
      </c>
      <c r="E5092" t="s">
        <v>68</v>
      </c>
      <c r="F5092" t="s">
        <v>11</v>
      </c>
      <c r="G5092" t="s">
        <v>12</v>
      </c>
    </row>
    <row r="5093" spans="1:7" x14ac:dyDescent="0.3">
      <c r="A5093" t="s">
        <v>83</v>
      </c>
      <c r="B5093" t="s">
        <v>8</v>
      </c>
      <c r="C5093" t="s">
        <v>21</v>
      </c>
      <c r="D5093">
        <v>0</v>
      </c>
      <c r="E5093" t="s">
        <v>68</v>
      </c>
      <c r="F5093" t="s">
        <v>11</v>
      </c>
      <c r="G5093" t="s">
        <v>12</v>
      </c>
    </row>
    <row r="5094" spans="1:7" x14ac:dyDescent="0.3">
      <c r="A5094" t="s">
        <v>83</v>
      </c>
      <c r="B5094" t="s">
        <v>8</v>
      </c>
      <c r="C5094" t="s">
        <v>22</v>
      </c>
      <c r="D5094">
        <v>606</v>
      </c>
      <c r="E5094" t="s">
        <v>68</v>
      </c>
      <c r="F5094" t="s">
        <v>11</v>
      </c>
      <c r="G5094" t="s">
        <v>12</v>
      </c>
    </row>
    <row r="5095" spans="1:7" x14ac:dyDescent="0.3">
      <c r="A5095" t="s">
        <v>83</v>
      </c>
      <c r="B5095" t="s">
        <v>23</v>
      </c>
      <c r="C5095" t="s">
        <v>9</v>
      </c>
      <c r="D5095">
        <v>7</v>
      </c>
      <c r="E5095" t="s">
        <v>68</v>
      </c>
      <c r="F5095" t="s">
        <v>11</v>
      </c>
      <c r="G5095" t="s">
        <v>12</v>
      </c>
    </row>
    <row r="5096" spans="1:7" x14ac:dyDescent="0.3">
      <c r="A5096" t="s">
        <v>83</v>
      </c>
      <c r="B5096" t="s">
        <v>23</v>
      </c>
      <c r="C5096" t="s">
        <v>13</v>
      </c>
      <c r="D5096">
        <v>62</v>
      </c>
      <c r="E5096" t="s">
        <v>68</v>
      </c>
      <c r="F5096" t="s">
        <v>11</v>
      </c>
      <c r="G5096" t="s">
        <v>12</v>
      </c>
    </row>
    <row r="5097" spans="1:7" x14ac:dyDescent="0.3">
      <c r="A5097" t="s">
        <v>83</v>
      </c>
      <c r="B5097" t="s">
        <v>23</v>
      </c>
      <c r="C5097" t="s">
        <v>14</v>
      </c>
      <c r="D5097">
        <v>77</v>
      </c>
      <c r="E5097" t="s">
        <v>68</v>
      </c>
      <c r="F5097" t="s">
        <v>11</v>
      </c>
      <c r="G5097" t="s">
        <v>12</v>
      </c>
    </row>
    <row r="5098" spans="1:7" x14ac:dyDescent="0.3">
      <c r="A5098" t="s">
        <v>83</v>
      </c>
      <c r="B5098" t="s">
        <v>23</v>
      </c>
      <c r="C5098" t="s">
        <v>15</v>
      </c>
      <c r="D5098">
        <v>3</v>
      </c>
      <c r="E5098" t="s">
        <v>68</v>
      </c>
      <c r="F5098" t="s">
        <v>11</v>
      </c>
      <c r="G5098" t="s">
        <v>12</v>
      </c>
    </row>
    <row r="5099" spans="1:7" x14ac:dyDescent="0.3">
      <c r="A5099" t="s">
        <v>83</v>
      </c>
      <c r="B5099" t="s">
        <v>23</v>
      </c>
      <c r="C5099" t="s">
        <v>16</v>
      </c>
      <c r="D5099">
        <v>35</v>
      </c>
      <c r="E5099" t="s">
        <v>68</v>
      </c>
      <c r="F5099" t="s">
        <v>11</v>
      </c>
      <c r="G5099" t="s">
        <v>12</v>
      </c>
    </row>
    <row r="5100" spans="1:7" x14ac:dyDescent="0.3">
      <c r="A5100" t="s">
        <v>83</v>
      </c>
      <c r="B5100" t="s">
        <v>23</v>
      </c>
      <c r="C5100" t="s">
        <v>17</v>
      </c>
      <c r="D5100">
        <v>9</v>
      </c>
      <c r="E5100" t="s">
        <v>68</v>
      </c>
      <c r="F5100" t="s">
        <v>11</v>
      </c>
      <c r="G5100" t="s">
        <v>12</v>
      </c>
    </row>
    <row r="5101" spans="1:7" x14ac:dyDescent="0.3">
      <c r="A5101" t="s">
        <v>83</v>
      </c>
      <c r="B5101" t="s">
        <v>23</v>
      </c>
      <c r="C5101" t="s">
        <v>18</v>
      </c>
      <c r="D5101">
        <v>0</v>
      </c>
      <c r="E5101" t="s">
        <v>68</v>
      </c>
      <c r="F5101" t="s">
        <v>11</v>
      </c>
      <c r="G5101" t="s">
        <v>12</v>
      </c>
    </row>
    <row r="5102" spans="1:7" x14ac:dyDescent="0.3">
      <c r="A5102" t="s">
        <v>83</v>
      </c>
      <c r="B5102" t="s">
        <v>23</v>
      </c>
      <c r="C5102" t="s">
        <v>19</v>
      </c>
      <c r="D5102">
        <v>15</v>
      </c>
      <c r="E5102" t="s">
        <v>68</v>
      </c>
      <c r="F5102" t="s">
        <v>11</v>
      </c>
      <c r="G5102" t="s">
        <v>12</v>
      </c>
    </row>
    <row r="5103" spans="1:7" x14ac:dyDescent="0.3">
      <c r="A5103" t="s">
        <v>83</v>
      </c>
      <c r="B5103" t="s">
        <v>23</v>
      </c>
      <c r="C5103" t="s">
        <v>20</v>
      </c>
      <c r="D5103">
        <v>5</v>
      </c>
      <c r="E5103" t="s">
        <v>68</v>
      </c>
      <c r="F5103" t="s">
        <v>11</v>
      </c>
      <c r="G5103" t="s">
        <v>12</v>
      </c>
    </row>
    <row r="5104" spans="1:7" x14ac:dyDescent="0.3">
      <c r="A5104" t="s">
        <v>83</v>
      </c>
      <c r="B5104" t="s">
        <v>23</v>
      </c>
      <c r="C5104" t="s">
        <v>21</v>
      </c>
      <c r="D5104">
        <v>2</v>
      </c>
      <c r="E5104" t="s">
        <v>68</v>
      </c>
      <c r="F5104" t="s">
        <v>11</v>
      </c>
      <c r="G5104" t="s">
        <v>12</v>
      </c>
    </row>
    <row r="5105" spans="1:7" x14ac:dyDescent="0.3">
      <c r="A5105" t="s">
        <v>83</v>
      </c>
      <c r="B5105" t="s">
        <v>23</v>
      </c>
      <c r="C5105" t="s">
        <v>22</v>
      </c>
      <c r="D5105">
        <v>243</v>
      </c>
      <c r="E5105" t="s">
        <v>68</v>
      </c>
      <c r="F5105" t="s">
        <v>11</v>
      </c>
      <c r="G5105" t="s">
        <v>12</v>
      </c>
    </row>
    <row r="5106" spans="1:7" x14ac:dyDescent="0.3">
      <c r="A5106" t="s">
        <v>67</v>
      </c>
      <c r="B5106" t="s">
        <v>8</v>
      </c>
      <c r="C5106" t="s">
        <v>9</v>
      </c>
      <c r="D5106">
        <v>0</v>
      </c>
      <c r="E5106" t="s">
        <v>68</v>
      </c>
      <c r="F5106" t="s">
        <v>36</v>
      </c>
      <c r="G5106" t="s">
        <v>37</v>
      </c>
    </row>
    <row r="5107" spans="1:7" x14ac:dyDescent="0.3">
      <c r="A5107" t="s">
        <v>67</v>
      </c>
      <c r="B5107" t="s">
        <v>8</v>
      </c>
      <c r="C5107" t="s">
        <v>13</v>
      </c>
      <c r="D5107">
        <v>0</v>
      </c>
      <c r="E5107" t="s">
        <v>68</v>
      </c>
      <c r="F5107" t="s">
        <v>36</v>
      </c>
      <c r="G5107" t="s">
        <v>37</v>
      </c>
    </row>
    <row r="5108" spans="1:7" x14ac:dyDescent="0.3">
      <c r="A5108" t="s">
        <v>67</v>
      </c>
      <c r="B5108" t="s">
        <v>8</v>
      </c>
      <c r="C5108" t="s">
        <v>14</v>
      </c>
      <c r="D5108">
        <v>0</v>
      </c>
      <c r="E5108" t="s">
        <v>68</v>
      </c>
      <c r="F5108" t="s">
        <v>36</v>
      </c>
      <c r="G5108" t="s">
        <v>37</v>
      </c>
    </row>
    <row r="5109" spans="1:7" x14ac:dyDescent="0.3">
      <c r="A5109" t="s">
        <v>67</v>
      </c>
      <c r="B5109" t="s">
        <v>8</v>
      </c>
      <c r="C5109" t="s">
        <v>15</v>
      </c>
      <c r="D5109">
        <v>0</v>
      </c>
      <c r="E5109" t="s">
        <v>68</v>
      </c>
      <c r="F5109" t="s">
        <v>36</v>
      </c>
      <c r="G5109" t="s">
        <v>37</v>
      </c>
    </row>
    <row r="5110" spans="1:7" x14ac:dyDescent="0.3">
      <c r="A5110" t="s">
        <v>67</v>
      </c>
      <c r="B5110" t="s">
        <v>8</v>
      </c>
      <c r="C5110" t="s">
        <v>16</v>
      </c>
      <c r="D5110">
        <v>0</v>
      </c>
      <c r="E5110" t="s">
        <v>68</v>
      </c>
      <c r="F5110" t="s">
        <v>36</v>
      </c>
      <c r="G5110" t="s">
        <v>37</v>
      </c>
    </row>
    <row r="5111" spans="1:7" x14ac:dyDescent="0.3">
      <c r="A5111" t="s">
        <v>67</v>
      </c>
      <c r="B5111" t="s">
        <v>8</v>
      </c>
      <c r="C5111" t="s">
        <v>17</v>
      </c>
      <c r="D5111">
        <v>0</v>
      </c>
      <c r="E5111" t="s">
        <v>68</v>
      </c>
      <c r="F5111" t="s">
        <v>36</v>
      </c>
      <c r="G5111" t="s">
        <v>37</v>
      </c>
    </row>
    <row r="5112" spans="1:7" x14ac:dyDescent="0.3">
      <c r="A5112" t="s">
        <v>67</v>
      </c>
      <c r="B5112" t="s">
        <v>8</v>
      </c>
      <c r="C5112" t="s">
        <v>18</v>
      </c>
      <c r="D5112">
        <v>0</v>
      </c>
      <c r="E5112" t="s">
        <v>68</v>
      </c>
      <c r="F5112" t="s">
        <v>36</v>
      </c>
      <c r="G5112" t="s">
        <v>37</v>
      </c>
    </row>
    <row r="5113" spans="1:7" x14ac:dyDescent="0.3">
      <c r="A5113" t="s">
        <v>67</v>
      </c>
      <c r="B5113" t="s">
        <v>8</v>
      </c>
      <c r="C5113" t="s">
        <v>19</v>
      </c>
      <c r="D5113">
        <v>0</v>
      </c>
      <c r="E5113" t="s">
        <v>68</v>
      </c>
      <c r="F5113" t="s">
        <v>36</v>
      </c>
      <c r="G5113" t="s">
        <v>37</v>
      </c>
    </row>
    <row r="5114" spans="1:7" x14ac:dyDescent="0.3">
      <c r="A5114" t="s">
        <v>67</v>
      </c>
      <c r="B5114" t="s">
        <v>8</v>
      </c>
      <c r="C5114" t="s">
        <v>20</v>
      </c>
      <c r="D5114">
        <v>0</v>
      </c>
      <c r="E5114" t="s">
        <v>68</v>
      </c>
      <c r="F5114" t="s">
        <v>36</v>
      </c>
      <c r="G5114" t="s">
        <v>37</v>
      </c>
    </row>
    <row r="5115" spans="1:7" x14ac:dyDescent="0.3">
      <c r="A5115" t="s">
        <v>67</v>
      </c>
      <c r="B5115" t="s">
        <v>8</v>
      </c>
      <c r="C5115" t="s">
        <v>21</v>
      </c>
      <c r="D5115">
        <v>0</v>
      </c>
      <c r="E5115" t="s">
        <v>68</v>
      </c>
      <c r="F5115" t="s">
        <v>36</v>
      </c>
      <c r="G5115" t="s">
        <v>37</v>
      </c>
    </row>
    <row r="5116" spans="1:7" x14ac:dyDescent="0.3">
      <c r="A5116" t="s">
        <v>67</v>
      </c>
      <c r="B5116" t="s">
        <v>8</v>
      </c>
      <c r="C5116" t="s">
        <v>22</v>
      </c>
      <c r="D5116">
        <v>0</v>
      </c>
      <c r="E5116" t="s">
        <v>68</v>
      </c>
      <c r="F5116" t="s">
        <v>36</v>
      </c>
      <c r="G5116" t="s">
        <v>37</v>
      </c>
    </row>
    <row r="5117" spans="1:7" x14ac:dyDescent="0.3">
      <c r="A5117" t="s">
        <v>67</v>
      </c>
      <c r="B5117" t="s">
        <v>23</v>
      </c>
      <c r="C5117" t="s">
        <v>9</v>
      </c>
      <c r="D5117">
        <v>710</v>
      </c>
      <c r="E5117" t="s">
        <v>68</v>
      </c>
      <c r="F5117" t="s">
        <v>36</v>
      </c>
      <c r="G5117" t="s">
        <v>37</v>
      </c>
    </row>
    <row r="5118" spans="1:7" x14ac:dyDescent="0.3">
      <c r="A5118" t="s">
        <v>67</v>
      </c>
      <c r="B5118" t="s">
        <v>23</v>
      </c>
      <c r="C5118" t="s">
        <v>13</v>
      </c>
      <c r="D5118">
        <v>113</v>
      </c>
      <c r="E5118" t="s">
        <v>68</v>
      </c>
      <c r="F5118" t="s">
        <v>36</v>
      </c>
      <c r="G5118" t="s">
        <v>37</v>
      </c>
    </row>
    <row r="5119" spans="1:7" x14ac:dyDescent="0.3">
      <c r="A5119" t="s">
        <v>67</v>
      </c>
      <c r="B5119" t="s">
        <v>23</v>
      </c>
      <c r="C5119" t="s">
        <v>14</v>
      </c>
      <c r="D5119">
        <v>2292</v>
      </c>
      <c r="E5119" t="s">
        <v>68</v>
      </c>
      <c r="F5119" t="s">
        <v>36</v>
      </c>
      <c r="G5119" t="s">
        <v>37</v>
      </c>
    </row>
    <row r="5120" spans="1:7" x14ac:dyDescent="0.3">
      <c r="A5120" t="s">
        <v>67</v>
      </c>
      <c r="B5120" t="s">
        <v>23</v>
      </c>
      <c r="C5120" t="s">
        <v>15</v>
      </c>
      <c r="D5120">
        <v>326</v>
      </c>
      <c r="E5120" t="s">
        <v>68</v>
      </c>
      <c r="F5120" t="s">
        <v>36</v>
      </c>
      <c r="G5120" t="s">
        <v>37</v>
      </c>
    </row>
    <row r="5121" spans="1:7" x14ac:dyDescent="0.3">
      <c r="A5121" t="s">
        <v>67</v>
      </c>
      <c r="B5121" t="s">
        <v>23</v>
      </c>
      <c r="C5121" t="s">
        <v>16</v>
      </c>
      <c r="D5121">
        <v>1810603</v>
      </c>
      <c r="E5121" t="s">
        <v>68</v>
      </c>
      <c r="F5121" t="s">
        <v>36</v>
      </c>
      <c r="G5121" t="s">
        <v>37</v>
      </c>
    </row>
    <row r="5122" spans="1:7" x14ac:dyDescent="0.3">
      <c r="A5122" t="s">
        <v>67</v>
      </c>
      <c r="B5122" t="s">
        <v>23</v>
      </c>
      <c r="C5122" t="s">
        <v>17</v>
      </c>
      <c r="D5122">
        <v>179</v>
      </c>
      <c r="E5122" t="s">
        <v>68</v>
      </c>
      <c r="F5122" t="s">
        <v>36</v>
      </c>
      <c r="G5122" t="s">
        <v>37</v>
      </c>
    </row>
    <row r="5123" spans="1:7" x14ac:dyDescent="0.3">
      <c r="A5123" t="s">
        <v>67</v>
      </c>
      <c r="B5123" t="s">
        <v>23</v>
      </c>
      <c r="C5123" t="s">
        <v>18</v>
      </c>
      <c r="D5123">
        <v>0</v>
      </c>
      <c r="E5123" t="s">
        <v>68</v>
      </c>
      <c r="F5123" t="s">
        <v>36</v>
      </c>
      <c r="G5123" t="s">
        <v>37</v>
      </c>
    </row>
    <row r="5124" spans="1:7" x14ac:dyDescent="0.3">
      <c r="A5124" t="s">
        <v>67</v>
      </c>
      <c r="B5124" t="s">
        <v>23</v>
      </c>
      <c r="C5124" t="s">
        <v>19</v>
      </c>
      <c r="D5124">
        <v>40</v>
      </c>
      <c r="E5124" t="s">
        <v>68</v>
      </c>
      <c r="F5124" t="s">
        <v>36</v>
      </c>
      <c r="G5124" t="s">
        <v>37</v>
      </c>
    </row>
    <row r="5125" spans="1:7" x14ac:dyDescent="0.3">
      <c r="A5125" t="s">
        <v>67</v>
      </c>
      <c r="B5125" t="s">
        <v>23</v>
      </c>
      <c r="C5125" t="s">
        <v>20</v>
      </c>
      <c r="D5125">
        <v>2488</v>
      </c>
      <c r="E5125" t="s">
        <v>68</v>
      </c>
      <c r="F5125" t="s">
        <v>36</v>
      </c>
      <c r="G5125" t="s">
        <v>37</v>
      </c>
    </row>
    <row r="5126" spans="1:7" x14ac:dyDescent="0.3">
      <c r="A5126" t="s">
        <v>67</v>
      </c>
      <c r="B5126" t="s">
        <v>23</v>
      </c>
      <c r="C5126" t="s">
        <v>21</v>
      </c>
      <c r="D5126">
        <v>829</v>
      </c>
      <c r="E5126" t="s">
        <v>68</v>
      </c>
      <c r="F5126" t="s">
        <v>36</v>
      </c>
      <c r="G5126" t="s">
        <v>37</v>
      </c>
    </row>
    <row r="5127" spans="1:7" x14ac:dyDescent="0.3">
      <c r="A5127" t="s">
        <v>67</v>
      </c>
      <c r="B5127" t="s">
        <v>23</v>
      </c>
      <c r="C5127" t="s">
        <v>22</v>
      </c>
      <c r="D5127">
        <v>402</v>
      </c>
      <c r="E5127" t="s">
        <v>68</v>
      </c>
      <c r="F5127" t="s">
        <v>36</v>
      </c>
      <c r="G5127" t="s">
        <v>37</v>
      </c>
    </row>
    <row r="5128" spans="1:7" x14ac:dyDescent="0.3">
      <c r="A5128" t="s">
        <v>69</v>
      </c>
      <c r="B5128" t="s">
        <v>8</v>
      </c>
      <c r="C5128" t="s">
        <v>9</v>
      </c>
      <c r="D5128">
        <v>0</v>
      </c>
      <c r="E5128" t="s">
        <v>68</v>
      </c>
      <c r="F5128" t="s">
        <v>36</v>
      </c>
      <c r="G5128" t="s">
        <v>37</v>
      </c>
    </row>
    <row r="5129" spans="1:7" x14ac:dyDescent="0.3">
      <c r="A5129" t="s">
        <v>69</v>
      </c>
      <c r="B5129" t="s">
        <v>8</v>
      </c>
      <c r="C5129" t="s">
        <v>13</v>
      </c>
      <c r="D5129">
        <v>0</v>
      </c>
      <c r="E5129" t="s">
        <v>68</v>
      </c>
      <c r="F5129" t="s">
        <v>36</v>
      </c>
      <c r="G5129" t="s">
        <v>37</v>
      </c>
    </row>
    <row r="5130" spans="1:7" x14ac:dyDescent="0.3">
      <c r="A5130" t="s">
        <v>69</v>
      </c>
      <c r="B5130" t="s">
        <v>8</v>
      </c>
      <c r="C5130" t="s">
        <v>14</v>
      </c>
      <c r="D5130">
        <v>0</v>
      </c>
      <c r="E5130" t="s">
        <v>68</v>
      </c>
      <c r="F5130" t="s">
        <v>36</v>
      </c>
      <c r="G5130" t="s">
        <v>37</v>
      </c>
    </row>
    <row r="5131" spans="1:7" x14ac:dyDescent="0.3">
      <c r="A5131" t="s">
        <v>69</v>
      </c>
      <c r="B5131" t="s">
        <v>8</v>
      </c>
      <c r="C5131" t="s">
        <v>15</v>
      </c>
      <c r="D5131">
        <v>0</v>
      </c>
      <c r="E5131" t="s">
        <v>68</v>
      </c>
      <c r="F5131" t="s">
        <v>36</v>
      </c>
      <c r="G5131" t="s">
        <v>37</v>
      </c>
    </row>
    <row r="5132" spans="1:7" x14ac:dyDescent="0.3">
      <c r="A5132" t="s">
        <v>69</v>
      </c>
      <c r="B5132" t="s">
        <v>8</v>
      </c>
      <c r="C5132" t="s">
        <v>16</v>
      </c>
      <c r="D5132">
        <v>0</v>
      </c>
      <c r="E5132" t="s">
        <v>68</v>
      </c>
      <c r="F5132" t="s">
        <v>36</v>
      </c>
      <c r="G5132" t="s">
        <v>37</v>
      </c>
    </row>
    <row r="5133" spans="1:7" x14ac:dyDescent="0.3">
      <c r="A5133" t="s">
        <v>69</v>
      </c>
      <c r="B5133" t="s">
        <v>8</v>
      </c>
      <c r="C5133" t="s">
        <v>17</v>
      </c>
      <c r="D5133">
        <v>0</v>
      </c>
      <c r="E5133" t="s">
        <v>68</v>
      </c>
      <c r="F5133" t="s">
        <v>36</v>
      </c>
      <c r="G5133" t="s">
        <v>37</v>
      </c>
    </row>
    <row r="5134" spans="1:7" x14ac:dyDescent="0.3">
      <c r="A5134" t="s">
        <v>69</v>
      </c>
      <c r="B5134" t="s">
        <v>8</v>
      </c>
      <c r="C5134" t="s">
        <v>18</v>
      </c>
      <c r="D5134">
        <v>0</v>
      </c>
      <c r="E5134" t="s">
        <v>68</v>
      </c>
      <c r="F5134" t="s">
        <v>36</v>
      </c>
      <c r="G5134" t="s">
        <v>37</v>
      </c>
    </row>
    <row r="5135" spans="1:7" x14ac:dyDescent="0.3">
      <c r="A5135" t="s">
        <v>69</v>
      </c>
      <c r="B5135" t="s">
        <v>8</v>
      </c>
      <c r="C5135" t="s">
        <v>19</v>
      </c>
      <c r="D5135">
        <v>0</v>
      </c>
      <c r="E5135" t="s">
        <v>68</v>
      </c>
      <c r="F5135" t="s">
        <v>36</v>
      </c>
      <c r="G5135" t="s">
        <v>37</v>
      </c>
    </row>
    <row r="5136" spans="1:7" x14ac:dyDescent="0.3">
      <c r="A5136" t="s">
        <v>69</v>
      </c>
      <c r="B5136" t="s">
        <v>8</v>
      </c>
      <c r="C5136" t="s">
        <v>20</v>
      </c>
      <c r="D5136">
        <v>0</v>
      </c>
      <c r="E5136" t="s">
        <v>68</v>
      </c>
      <c r="F5136" t="s">
        <v>36</v>
      </c>
      <c r="G5136" t="s">
        <v>37</v>
      </c>
    </row>
    <row r="5137" spans="1:7" x14ac:dyDescent="0.3">
      <c r="A5137" t="s">
        <v>69</v>
      </c>
      <c r="B5137" t="s">
        <v>8</v>
      </c>
      <c r="C5137" t="s">
        <v>21</v>
      </c>
      <c r="D5137">
        <v>0</v>
      </c>
      <c r="E5137" t="s">
        <v>68</v>
      </c>
      <c r="F5137" t="s">
        <v>36</v>
      </c>
      <c r="G5137" t="s">
        <v>37</v>
      </c>
    </row>
    <row r="5138" spans="1:7" x14ac:dyDescent="0.3">
      <c r="A5138" t="s">
        <v>69</v>
      </c>
      <c r="B5138" t="s">
        <v>8</v>
      </c>
      <c r="C5138" t="s">
        <v>22</v>
      </c>
      <c r="D5138">
        <v>0</v>
      </c>
      <c r="E5138" t="s">
        <v>68</v>
      </c>
      <c r="F5138" t="s">
        <v>36</v>
      </c>
      <c r="G5138" t="s">
        <v>37</v>
      </c>
    </row>
    <row r="5139" spans="1:7" x14ac:dyDescent="0.3">
      <c r="A5139" t="s">
        <v>69</v>
      </c>
      <c r="B5139" t="s">
        <v>23</v>
      </c>
      <c r="C5139" t="s">
        <v>9</v>
      </c>
      <c r="D5139">
        <v>2366</v>
      </c>
      <c r="E5139" t="s">
        <v>68</v>
      </c>
      <c r="F5139" t="s">
        <v>36</v>
      </c>
      <c r="G5139" t="s">
        <v>37</v>
      </c>
    </row>
    <row r="5140" spans="1:7" x14ac:dyDescent="0.3">
      <c r="A5140" t="s">
        <v>69</v>
      </c>
      <c r="B5140" t="s">
        <v>23</v>
      </c>
      <c r="C5140" t="s">
        <v>13</v>
      </c>
      <c r="D5140">
        <v>23023</v>
      </c>
      <c r="E5140" t="s">
        <v>68</v>
      </c>
      <c r="F5140" t="s">
        <v>36</v>
      </c>
      <c r="G5140" t="s">
        <v>37</v>
      </c>
    </row>
    <row r="5141" spans="1:7" x14ac:dyDescent="0.3">
      <c r="A5141" t="s">
        <v>69</v>
      </c>
      <c r="B5141" t="s">
        <v>23</v>
      </c>
      <c r="C5141" t="s">
        <v>14</v>
      </c>
      <c r="D5141">
        <v>3068</v>
      </c>
      <c r="E5141" t="s">
        <v>68</v>
      </c>
      <c r="F5141" t="s">
        <v>36</v>
      </c>
      <c r="G5141" t="s">
        <v>37</v>
      </c>
    </row>
    <row r="5142" spans="1:7" x14ac:dyDescent="0.3">
      <c r="A5142" t="s">
        <v>69</v>
      </c>
      <c r="B5142" t="s">
        <v>23</v>
      </c>
      <c r="C5142" t="s">
        <v>15</v>
      </c>
      <c r="D5142">
        <v>20928</v>
      </c>
      <c r="E5142" t="s">
        <v>68</v>
      </c>
      <c r="F5142" t="s">
        <v>36</v>
      </c>
      <c r="G5142" t="s">
        <v>37</v>
      </c>
    </row>
    <row r="5143" spans="1:7" x14ac:dyDescent="0.3">
      <c r="A5143" t="s">
        <v>69</v>
      </c>
      <c r="B5143" t="s">
        <v>23</v>
      </c>
      <c r="C5143" t="s">
        <v>16</v>
      </c>
      <c r="D5143">
        <v>21321</v>
      </c>
      <c r="E5143" t="s">
        <v>68</v>
      </c>
      <c r="F5143" t="s">
        <v>36</v>
      </c>
      <c r="G5143" t="s">
        <v>37</v>
      </c>
    </row>
    <row r="5144" spans="1:7" x14ac:dyDescent="0.3">
      <c r="A5144" t="s">
        <v>69</v>
      </c>
      <c r="B5144" t="s">
        <v>23</v>
      </c>
      <c r="C5144" t="s">
        <v>17</v>
      </c>
      <c r="D5144">
        <v>60</v>
      </c>
      <c r="E5144" t="s">
        <v>68</v>
      </c>
      <c r="F5144" t="s">
        <v>36</v>
      </c>
      <c r="G5144" t="s">
        <v>37</v>
      </c>
    </row>
    <row r="5145" spans="1:7" x14ac:dyDescent="0.3">
      <c r="A5145" t="s">
        <v>69</v>
      </c>
      <c r="B5145" t="s">
        <v>23</v>
      </c>
      <c r="C5145" t="s">
        <v>18</v>
      </c>
      <c r="D5145">
        <v>0</v>
      </c>
      <c r="E5145" t="s">
        <v>68</v>
      </c>
      <c r="F5145" t="s">
        <v>36</v>
      </c>
      <c r="G5145" t="s">
        <v>37</v>
      </c>
    </row>
    <row r="5146" spans="1:7" x14ac:dyDescent="0.3">
      <c r="A5146" t="s">
        <v>69</v>
      </c>
      <c r="B5146" t="s">
        <v>23</v>
      </c>
      <c r="C5146" t="s">
        <v>19</v>
      </c>
      <c r="D5146">
        <v>6875</v>
      </c>
      <c r="E5146" t="s">
        <v>68</v>
      </c>
      <c r="F5146" t="s">
        <v>36</v>
      </c>
      <c r="G5146" t="s">
        <v>37</v>
      </c>
    </row>
    <row r="5147" spans="1:7" x14ac:dyDescent="0.3">
      <c r="A5147" t="s">
        <v>69</v>
      </c>
      <c r="B5147" t="s">
        <v>23</v>
      </c>
      <c r="C5147" t="s">
        <v>20</v>
      </c>
      <c r="D5147">
        <v>6981</v>
      </c>
      <c r="E5147" t="s">
        <v>68</v>
      </c>
      <c r="F5147" t="s">
        <v>36</v>
      </c>
      <c r="G5147" t="s">
        <v>37</v>
      </c>
    </row>
    <row r="5148" spans="1:7" x14ac:dyDescent="0.3">
      <c r="A5148" t="s">
        <v>69</v>
      </c>
      <c r="B5148" t="s">
        <v>23</v>
      </c>
      <c r="C5148" t="s">
        <v>21</v>
      </c>
      <c r="D5148">
        <v>755</v>
      </c>
      <c r="E5148" t="s">
        <v>68</v>
      </c>
      <c r="F5148" t="s">
        <v>36</v>
      </c>
      <c r="G5148" t="s">
        <v>37</v>
      </c>
    </row>
    <row r="5149" spans="1:7" x14ac:dyDescent="0.3">
      <c r="A5149" t="s">
        <v>69</v>
      </c>
      <c r="B5149" t="s">
        <v>23</v>
      </c>
      <c r="C5149" t="s">
        <v>22</v>
      </c>
      <c r="D5149">
        <v>237173</v>
      </c>
      <c r="E5149" t="s">
        <v>68</v>
      </c>
      <c r="F5149" t="s">
        <v>36</v>
      </c>
      <c r="G5149" t="s">
        <v>37</v>
      </c>
    </row>
    <row r="5150" spans="1:7" x14ac:dyDescent="0.3">
      <c r="A5150" t="s">
        <v>70</v>
      </c>
      <c r="B5150" t="s">
        <v>8</v>
      </c>
      <c r="C5150" t="s">
        <v>9</v>
      </c>
      <c r="D5150">
        <v>0</v>
      </c>
      <c r="E5150" t="s">
        <v>68</v>
      </c>
      <c r="F5150" t="s">
        <v>36</v>
      </c>
      <c r="G5150" t="s">
        <v>37</v>
      </c>
    </row>
    <row r="5151" spans="1:7" x14ac:dyDescent="0.3">
      <c r="A5151" t="s">
        <v>70</v>
      </c>
      <c r="B5151" t="s">
        <v>8</v>
      </c>
      <c r="C5151" t="s">
        <v>13</v>
      </c>
      <c r="D5151">
        <v>0</v>
      </c>
      <c r="E5151" t="s">
        <v>68</v>
      </c>
      <c r="F5151" t="s">
        <v>36</v>
      </c>
      <c r="G5151" t="s">
        <v>37</v>
      </c>
    </row>
    <row r="5152" spans="1:7" x14ac:dyDescent="0.3">
      <c r="A5152" t="s">
        <v>70</v>
      </c>
      <c r="B5152" t="s">
        <v>8</v>
      </c>
      <c r="C5152" t="s">
        <v>14</v>
      </c>
      <c r="D5152">
        <v>0</v>
      </c>
      <c r="E5152" t="s">
        <v>68</v>
      </c>
      <c r="F5152" t="s">
        <v>36</v>
      </c>
      <c r="G5152" t="s">
        <v>37</v>
      </c>
    </row>
    <row r="5153" spans="1:7" x14ac:dyDescent="0.3">
      <c r="A5153" t="s">
        <v>70</v>
      </c>
      <c r="B5153" t="s">
        <v>8</v>
      </c>
      <c r="C5153" t="s">
        <v>15</v>
      </c>
      <c r="D5153">
        <v>0</v>
      </c>
      <c r="E5153" t="s">
        <v>68</v>
      </c>
      <c r="F5153" t="s">
        <v>36</v>
      </c>
      <c r="G5153" t="s">
        <v>37</v>
      </c>
    </row>
    <row r="5154" spans="1:7" x14ac:dyDescent="0.3">
      <c r="A5154" t="s">
        <v>70</v>
      </c>
      <c r="B5154" t="s">
        <v>8</v>
      </c>
      <c r="C5154" t="s">
        <v>16</v>
      </c>
      <c r="D5154">
        <v>0</v>
      </c>
      <c r="E5154" t="s">
        <v>68</v>
      </c>
      <c r="F5154" t="s">
        <v>36</v>
      </c>
      <c r="G5154" t="s">
        <v>37</v>
      </c>
    </row>
    <row r="5155" spans="1:7" x14ac:dyDescent="0.3">
      <c r="A5155" t="s">
        <v>70</v>
      </c>
      <c r="B5155" t="s">
        <v>8</v>
      </c>
      <c r="C5155" t="s">
        <v>17</v>
      </c>
      <c r="D5155">
        <v>0</v>
      </c>
      <c r="E5155" t="s">
        <v>68</v>
      </c>
      <c r="F5155" t="s">
        <v>36</v>
      </c>
      <c r="G5155" t="s">
        <v>37</v>
      </c>
    </row>
    <row r="5156" spans="1:7" x14ac:dyDescent="0.3">
      <c r="A5156" t="s">
        <v>70</v>
      </c>
      <c r="B5156" t="s">
        <v>8</v>
      </c>
      <c r="C5156" t="s">
        <v>18</v>
      </c>
      <c r="D5156">
        <v>0</v>
      </c>
      <c r="E5156" t="s">
        <v>68</v>
      </c>
      <c r="F5156" t="s">
        <v>36</v>
      </c>
      <c r="G5156" t="s">
        <v>37</v>
      </c>
    </row>
    <row r="5157" spans="1:7" x14ac:dyDescent="0.3">
      <c r="A5157" t="s">
        <v>70</v>
      </c>
      <c r="B5157" t="s">
        <v>8</v>
      </c>
      <c r="C5157" t="s">
        <v>19</v>
      </c>
      <c r="D5157">
        <v>0</v>
      </c>
      <c r="E5157" t="s">
        <v>68</v>
      </c>
      <c r="F5157" t="s">
        <v>36</v>
      </c>
      <c r="G5157" t="s">
        <v>37</v>
      </c>
    </row>
    <row r="5158" spans="1:7" x14ac:dyDescent="0.3">
      <c r="A5158" t="s">
        <v>70</v>
      </c>
      <c r="B5158" t="s">
        <v>8</v>
      </c>
      <c r="C5158" t="s">
        <v>20</v>
      </c>
      <c r="D5158">
        <v>0</v>
      </c>
      <c r="E5158" t="s">
        <v>68</v>
      </c>
      <c r="F5158" t="s">
        <v>36</v>
      </c>
      <c r="G5158" t="s">
        <v>37</v>
      </c>
    </row>
    <row r="5159" spans="1:7" x14ac:dyDescent="0.3">
      <c r="A5159" t="s">
        <v>70</v>
      </c>
      <c r="B5159" t="s">
        <v>8</v>
      </c>
      <c r="C5159" t="s">
        <v>21</v>
      </c>
      <c r="D5159">
        <v>0</v>
      </c>
      <c r="E5159" t="s">
        <v>68</v>
      </c>
      <c r="F5159" t="s">
        <v>36</v>
      </c>
      <c r="G5159" t="s">
        <v>37</v>
      </c>
    </row>
    <row r="5160" spans="1:7" x14ac:dyDescent="0.3">
      <c r="A5160" t="s">
        <v>70</v>
      </c>
      <c r="B5160" t="s">
        <v>8</v>
      </c>
      <c r="C5160" t="s">
        <v>22</v>
      </c>
      <c r="D5160">
        <v>0</v>
      </c>
      <c r="E5160" t="s">
        <v>68</v>
      </c>
      <c r="F5160" t="s">
        <v>36</v>
      </c>
      <c r="G5160" t="s">
        <v>37</v>
      </c>
    </row>
    <row r="5161" spans="1:7" x14ac:dyDescent="0.3">
      <c r="A5161" t="s">
        <v>70</v>
      </c>
      <c r="B5161" t="s">
        <v>23</v>
      </c>
      <c r="C5161" t="s">
        <v>9</v>
      </c>
      <c r="D5161">
        <v>234</v>
      </c>
      <c r="E5161" t="s">
        <v>68</v>
      </c>
      <c r="F5161" t="s">
        <v>36</v>
      </c>
      <c r="G5161" t="s">
        <v>37</v>
      </c>
    </row>
    <row r="5162" spans="1:7" x14ac:dyDescent="0.3">
      <c r="A5162" t="s">
        <v>70</v>
      </c>
      <c r="B5162" t="s">
        <v>23</v>
      </c>
      <c r="C5162" t="s">
        <v>13</v>
      </c>
      <c r="D5162">
        <v>177</v>
      </c>
      <c r="E5162" t="s">
        <v>68</v>
      </c>
      <c r="F5162" t="s">
        <v>36</v>
      </c>
      <c r="G5162" t="s">
        <v>37</v>
      </c>
    </row>
    <row r="5163" spans="1:7" x14ac:dyDescent="0.3">
      <c r="A5163" t="s">
        <v>70</v>
      </c>
      <c r="B5163" t="s">
        <v>23</v>
      </c>
      <c r="C5163" t="s">
        <v>14</v>
      </c>
      <c r="D5163">
        <v>1473</v>
      </c>
      <c r="E5163" t="s">
        <v>68</v>
      </c>
      <c r="F5163" t="s">
        <v>36</v>
      </c>
      <c r="G5163" t="s">
        <v>37</v>
      </c>
    </row>
    <row r="5164" spans="1:7" x14ac:dyDescent="0.3">
      <c r="A5164" t="s">
        <v>70</v>
      </c>
      <c r="B5164" t="s">
        <v>23</v>
      </c>
      <c r="C5164" t="s">
        <v>15</v>
      </c>
      <c r="D5164">
        <v>245</v>
      </c>
      <c r="E5164" t="s">
        <v>68</v>
      </c>
      <c r="F5164" t="s">
        <v>36</v>
      </c>
      <c r="G5164" t="s">
        <v>37</v>
      </c>
    </row>
    <row r="5165" spans="1:7" x14ac:dyDescent="0.3">
      <c r="A5165" t="s">
        <v>70</v>
      </c>
      <c r="B5165" t="s">
        <v>23</v>
      </c>
      <c r="C5165" t="s">
        <v>16</v>
      </c>
      <c r="D5165">
        <v>1955</v>
      </c>
      <c r="E5165" t="s">
        <v>68</v>
      </c>
      <c r="F5165" t="s">
        <v>36</v>
      </c>
      <c r="G5165" t="s">
        <v>37</v>
      </c>
    </row>
    <row r="5166" spans="1:7" x14ac:dyDescent="0.3">
      <c r="A5166" t="s">
        <v>70</v>
      </c>
      <c r="B5166" t="s">
        <v>23</v>
      </c>
      <c r="C5166" t="s">
        <v>17</v>
      </c>
      <c r="D5166">
        <v>188933</v>
      </c>
      <c r="E5166" t="s">
        <v>68</v>
      </c>
      <c r="F5166" t="s">
        <v>36</v>
      </c>
      <c r="G5166" t="s">
        <v>37</v>
      </c>
    </row>
    <row r="5167" spans="1:7" x14ac:dyDescent="0.3">
      <c r="A5167" t="s">
        <v>70</v>
      </c>
      <c r="B5167" t="s">
        <v>23</v>
      </c>
      <c r="C5167" t="s">
        <v>18</v>
      </c>
      <c r="D5167">
        <v>0</v>
      </c>
      <c r="E5167" t="s">
        <v>68</v>
      </c>
      <c r="F5167" t="s">
        <v>36</v>
      </c>
      <c r="G5167" t="s">
        <v>37</v>
      </c>
    </row>
    <row r="5168" spans="1:7" x14ac:dyDescent="0.3">
      <c r="A5168" t="s">
        <v>70</v>
      </c>
      <c r="B5168" t="s">
        <v>23</v>
      </c>
      <c r="C5168" t="s">
        <v>19</v>
      </c>
      <c r="D5168">
        <v>16</v>
      </c>
      <c r="E5168" t="s">
        <v>68</v>
      </c>
      <c r="F5168" t="s">
        <v>36</v>
      </c>
      <c r="G5168" t="s">
        <v>37</v>
      </c>
    </row>
    <row r="5169" spans="1:7" x14ac:dyDescent="0.3">
      <c r="A5169" t="s">
        <v>70</v>
      </c>
      <c r="B5169" t="s">
        <v>23</v>
      </c>
      <c r="C5169" t="s">
        <v>20</v>
      </c>
      <c r="D5169">
        <v>1085</v>
      </c>
      <c r="E5169" t="s">
        <v>68</v>
      </c>
      <c r="F5169" t="s">
        <v>36</v>
      </c>
      <c r="G5169" t="s">
        <v>37</v>
      </c>
    </row>
    <row r="5170" spans="1:7" x14ac:dyDescent="0.3">
      <c r="A5170" t="s">
        <v>70</v>
      </c>
      <c r="B5170" t="s">
        <v>23</v>
      </c>
      <c r="C5170" t="s">
        <v>21</v>
      </c>
      <c r="D5170">
        <v>22</v>
      </c>
      <c r="E5170" t="s">
        <v>68</v>
      </c>
      <c r="F5170" t="s">
        <v>36</v>
      </c>
      <c r="G5170" t="s">
        <v>37</v>
      </c>
    </row>
    <row r="5171" spans="1:7" x14ac:dyDescent="0.3">
      <c r="A5171" t="s">
        <v>70</v>
      </c>
      <c r="B5171" t="s">
        <v>23</v>
      </c>
      <c r="C5171" t="s">
        <v>22</v>
      </c>
      <c r="D5171">
        <v>70</v>
      </c>
      <c r="E5171" t="s">
        <v>68</v>
      </c>
      <c r="F5171" t="s">
        <v>36</v>
      </c>
      <c r="G5171" t="s">
        <v>37</v>
      </c>
    </row>
    <row r="5172" spans="1:7" x14ac:dyDescent="0.3">
      <c r="A5172" t="s">
        <v>71</v>
      </c>
      <c r="B5172" t="s">
        <v>8</v>
      </c>
      <c r="C5172" t="s">
        <v>9</v>
      </c>
      <c r="D5172">
        <v>0</v>
      </c>
      <c r="E5172" t="s">
        <v>68</v>
      </c>
      <c r="F5172" t="s">
        <v>36</v>
      </c>
      <c r="G5172" t="s">
        <v>37</v>
      </c>
    </row>
    <row r="5173" spans="1:7" x14ac:dyDescent="0.3">
      <c r="A5173" t="s">
        <v>71</v>
      </c>
      <c r="B5173" t="s">
        <v>8</v>
      </c>
      <c r="C5173" t="s">
        <v>13</v>
      </c>
      <c r="D5173">
        <v>0</v>
      </c>
      <c r="E5173" t="s">
        <v>68</v>
      </c>
      <c r="F5173" t="s">
        <v>36</v>
      </c>
      <c r="G5173" t="s">
        <v>37</v>
      </c>
    </row>
    <row r="5174" spans="1:7" x14ac:dyDescent="0.3">
      <c r="A5174" t="s">
        <v>71</v>
      </c>
      <c r="B5174" t="s">
        <v>8</v>
      </c>
      <c r="C5174" t="s">
        <v>14</v>
      </c>
      <c r="D5174">
        <v>0</v>
      </c>
      <c r="E5174" t="s">
        <v>68</v>
      </c>
      <c r="F5174" t="s">
        <v>36</v>
      </c>
      <c r="G5174" t="s">
        <v>37</v>
      </c>
    </row>
    <row r="5175" spans="1:7" x14ac:dyDescent="0.3">
      <c r="A5175" t="s">
        <v>71</v>
      </c>
      <c r="B5175" t="s">
        <v>8</v>
      </c>
      <c r="C5175" t="s">
        <v>15</v>
      </c>
      <c r="D5175">
        <v>0</v>
      </c>
      <c r="E5175" t="s">
        <v>68</v>
      </c>
      <c r="F5175" t="s">
        <v>36</v>
      </c>
      <c r="G5175" t="s">
        <v>37</v>
      </c>
    </row>
    <row r="5176" spans="1:7" x14ac:dyDescent="0.3">
      <c r="A5176" t="s">
        <v>71</v>
      </c>
      <c r="B5176" t="s">
        <v>8</v>
      </c>
      <c r="C5176" t="s">
        <v>16</v>
      </c>
      <c r="D5176">
        <v>0</v>
      </c>
      <c r="E5176" t="s">
        <v>68</v>
      </c>
      <c r="F5176" t="s">
        <v>36</v>
      </c>
      <c r="G5176" t="s">
        <v>37</v>
      </c>
    </row>
    <row r="5177" spans="1:7" x14ac:dyDescent="0.3">
      <c r="A5177" t="s">
        <v>71</v>
      </c>
      <c r="B5177" t="s">
        <v>8</v>
      </c>
      <c r="C5177" t="s">
        <v>17</v>
      </c>
      <c r="D5177">
        <v>0</v>
      </c>
      <c r="E5177" t="s">
        <v>68</v>
      </c>
      <c r="F5177" t="s">
        <v>36</v>
      </c>
      <c r="G5177" t="s">
        <v>37</v>
      </c>
    </row>
    <row r="5178" spans="1:7" x14ac:dyDescent="0.3">
      <c r="A5178" t="s">
        <v>71</v>
      </c>
      <c r="B5178" t="s">
        <v>8</v>
      </c>
      <c r="C5178" t="s">
        <v>18</v>
      </c>
      <c r="D5178">
        <v>0</v>
      </c>
      <c r="E5178" t="s">
        <v>68</v>
      </c>
      <c r="F5178" t="s">
        <v>36</v>
      </c>
      <c r="G5178" t="s">
        <v>37</v>
      </c>
    </row>
    <row r="5179" spans="1:7" x14ac:dyDescent="0.3">
      <c r="A5179" t="s">
        <v>71</v>
      </c>
      <c r="B5179" t="s">
        <v>8</v>
      </c>
      <c r="C5179" t="s">
        <v>19</v>
      </c>
      <c r="D5179">
        <v>0</v>
      </c>
      <c r="E5179" t="s">
        <v>68</v>
      </c>
      <c r="F5179" t="s">
        <v>36</v>
      </c>
      <c r="G5179" t="s">
        <v>37</v>
      </c>
    </row>
    <row r="5180" spans="1:7" x14ac:dyDescent="0.3">
      <c r="A5180" t="s">
        <v>71</v>
      </c>
      <c r="B5180" t="s">
        <v>8</v>
      </c>
      <c r="C5180" t="s">
        <v>20</v>
      </c>
      <c r="D5180">
        <v>0</v>
      </c>
      <c r="E5180" t="s">
        <v>68</v>
      </c>
      <c r="F5180" t="s">
        <v>36</v>
      </c>
      <c r="G5180" t="s">
        <v>37</v>
      </c>
    </row>
    <row r="5181" spans="1:7" x14ac:dyDescent="0.3">
      <c r="A5181" t="s">
        <v>71</v>
      </c>
      <c r="B5181" t="s">
        <v>8</v>
      </c>
      <c r="C5181" t="s">
        <v>21</v>
      </c>
      <c r="D5181">
        <v>0</v>
      </c>
      <c r="E5181" t="s">
        <v>68</v>
      </c>
      <c r="F5181" t="s">
        <v>36</v>
      </c>
      <c r="G5181" t="s">
        <v>37</v>
      </c>
    </row>
    <row r="5182" spans="1:7" x14ac:dyDescent="0.3">
      <c r="A5182" t="s">
        <v>71</v>
      </c>
      <c r="B5182" t="s">
        <v>8</v>
      </c>
      <c r="C5182" t="s">
        <v>22</v>
      </c>
      <c r="D5182">
        <v>0</v>
      </c>
      <c r="E5182" t="s">
        <v>68</v>
      </c>
      <c r="F5182" t="s">
        <v>36</v>
      </c>
      <c r="G5182" t="s">
        <v>37</v>
      </c>
    </row>
    <row r="5183" spans="1:7" x14ac:dyDescent="0.3">
      <c r="A5183" t="s">
        <v>71</v>
      </c>
      <c r="B5183" t="s">
        <v>23</v>
      </c>
      <c r="C5183" t="s">
        <v>9</v>
      </c>
      <c r="D5183">
        <v>1413</v>
      </c>
      <c r="E5183" t="s">
        <v>68</v>
      </c>
      <c r="F5183" t="s">
        <v>36</v>
      </c>
      <c r="G5183" t="s">
        <v>37</v>
      </c>
    </row>
    <row r="5184" spans="1:7" x14ac:dyDescent="0.3">
      <c r="A5184" t="s">
        <v>71</v>
      </c>
      <c r="B5184" t="s">
        <v>23</v>
      </c>
      <c r="C5184" t="s">
        <v>13</v>
      </c>
      <c r="D5184">
        <v>13753</v>
      </c>
      <c r="E5184" t="s">
        <v>68</v>
      </c>
      <c r="F5184" t="s">
        <v>36</v>
      </c>
      <c r="G5184" t="s">
        <v>37</v>
      </c>
    </row>
    <row r="5185" spans="1:7" x14ac:dyDescent="0.3">
      <c r="A5185" t="s">
        <v>71</v>
      </c>
      <c r="B5185" t="s">
        <v>23</v>
      </c>
      <c r="C5185" t="s">
        <v>14</v>
      </c>
      <c r="D5185">
        <v>1833</v>
      </c>
      <c r="E5185" t="s">
        <v>68</v>
      </c>
      <c r="F5185" t="s">
        <v>36</v>
      </c>
      <c r="G5185" t="s">
        <v>37</v>
      </c>
    </row>
    <row r="5186" spans="1:7" x14ac:dyDescent="0.3">
      <c r="A5186" t="s">
        <v>71</v>
      </c>
      <c r="B5186" t="s">
        <v>23</v>
      </c>
      <c r="C5186" t="s">
        <v>15</v>
      </c>
      <c r="D5186">
        <v>12501</v>
      </c>
      <c r="E5186" t="s">
        <v>68</v>
      </c>
      <c r="F5186" t="s">
        <v>36</v>
      </c>
      <c r="G5186" t="s">
        <v>37</v>
      </c>
    </row>
    <row r="5187" spans="1:7" x14ac:dyDescent="0.3">
      <c r="A5187" t="s">
        <v>71</v>
      </c>
      <c r="B5187" t="s">
        <v>23</v>
      </c>
      <c r="C5187" t="s">
        <v>16</v>
      </c>
      <c r="D5187">
        <v>12736</v>
      </c>
      <c r="E5187" t="s">
        <v>68</v>
      </c>
      <c r="F5187" t="s">
        <v>36</v>
      </c>
      <c r="G5187" t="s">
        <v>37</v>
      </c>
    </row>
    <row r="5188" spans="1:7" x14ac:dyDescent="0.3">
      <c r="A5188" t="s">
        <v>71</v>
      </c>
      <c r="B5188" t="s">
        <v>23</v>
      </c>
      <c r="C5188" t="s">
        <v>17</v>
      </c>
      <c r="D5188">
        <v>36</v>
      </c>
      <c r="E5188" t="s">
        <v>68</v>
      </c>
      <c r="F5188" t="s">
        <v>36</v>
      </c>
      <c r="G5188" t="s">
        <v>37</v>
      </c>
    </row>
    <row r="5189" spans="1:7" x14ac:dyDescent="0.3">
      <c r="A5189" t="s">
        <v>71</v>
      </c>
      <c r="B5189" t="s">
        <v>23</v>
      </c>
      <c r="C5189" t="s">
        <v>18</v>
      </c>
      <c r="D5189">
        <v>0</v>
      </c>
      <c r="E5189" t="s">
        <v>68</v>
      </c>
      <c r="F5189" t="s">
        <v>36</v>
      </c>
      <c r="G5189" t="s">
        <v>37</v>
      </c>
    </row>
    <row r="5190" spans="1:7" x14ac:dyDescent="0.3">
      <c r="A5190" t="s">
        <v>71</v>
      </c>
      <c r="B5190" t="s">
        <v>23</v>
      </c>
      <c r="C5190" t="s">
        <v>19</v>
      </c>
      <c r="D5190">
        <v>4107</v>
      </c>
      <c r="E5190" t="s">
        <v>68</v>
      </c>
      <c r="F5190" t="s">
        <v>36</v>
      </c>
      <c r="G5190" t="s">
        <v>37</v>
      </c>
    </row>
    <row r="5191" spans="1:7" x14ac:dyDescent="0.3">
      <c r="A5191" t="s">
        <v>71</v>
      </c>
      <c r="B5191" t="s">
        <v>23</v>
      </c>
      <c r="C5191" t="s">
        <v>20</v>
      </c>
      <c r="D5191">
        <v>4170</v>
      </c>
      <c r="E5191" t="s">
        <v>68</v>
      </c>
      <c r="F5191" t="s">
        <v>36</v>
      </c>
      <c r="G5191" t="s">
        <v>37</v>
      </c>
    </row>
    <row r="5192" spans="1:7" x14ac:dyDescent="0.3">
      <c r="A5192" t="s">
        <v>71</v>
      </c>
      <c r="B5192" t="s">
        <v>23</v>
      </c>
      <c r="C5192" t="s">
        <v>21</v>
      </c>
      <c r="D5192">
        <v>451</v>
      </c>
      <c r="E5192" t="s">
        <v>68</v>
      </c>
      <c r="F5192" t="s">
        <v>36</v>
      </c>
      <c r="G5192" t="s">
        <v>37</v>
      </c>
    </row>
    <row r="5193" spans="1:7" x14ac:dyDescent="0.3">
      <c r="A5193" t="s">
        <v>71</v>
      </c>
      <c r="B5193" t="s">
        <v>23</v>
      </c>
      <c r="C5193" t="s">
        <v>22</v>
      </c>
      <c r="D5193">
        <v>141674</v>
      </c>
      <c r="E5193" t="s">
        <v>68</v>
      </c>
      <c r="F5193" t="s">
        <v>36</v>
      </c>
      <c r="G5193" t="s">
        <v>37</v>
      </c>
    </row>
    <row r="5194" spans="1:7" x14ac:dyDescent="0.3">
      <c r="A5194" t="s">
        <v>72</v>
      </c>
      <c r="B5194" t="s">
        <v>8</v>
      </c>
      <c r="C5194" t="s">
        <v>9</v>
      </c>
      <c r="D5194">
        <v>0</v>
      </c>
      <c r="E5194" t="s">
        <v>68</v>
      </c>
      <c r="F5194" t="s">
        <v>36</v>
      </c>
      <c r="G5194" t="s">
        <v>37</v>
      </c>
    </row>
    <row r="5195" spans="1:7" x14ac:dyDescent="0.3">
      <c r="A5195" t="s">
        <v>72</v>
      </c>
      <c r="B5195" t="s">
        <v>8</v>
      </c>
      <c r="C5195" t="s">
        <v>13</v>
      </c>
      <c r="D5195">
        <v>0</v>
      </c>
      <c r="E5195" t="s">
        <v>68</v>
      </c>
      <c r="F5195" t="s">
        <v>36</v>
      </c>
      <c r="G5195" t="s">
        <v>37</v>
      </c>
    </row>
    <row r="5196" spans="1:7" x14ac:dyDescent="0.3">
      <c r="A5196" t="s">
        <v>72</v>
      </c>
      <c r="B5196" t="s">
        <v>8</v>
      </c>
      <c r="C5196" t="s">
        <v>14</v>
      </c>
      <c r="D5196">
        <v>0</v>
      </c>
      <c r="E5196" t="s">
        <v>68</v>
      </c>
      <c r="F5196" t="s">
        <v>36</v>
      </c>
      <c r="G5196" t="s">
        <v>37</v>
      </c>
    </row>
    <row r="5197" spans="1:7" x14ac:dyDescent="0.3">
      <c r="A5197" t="s">
        <v>72</v>
      </c>
      <c r="B5197" t="s">
        <v>8</v>
      </c>
      <c r="C5197" t="s">
        <v>15</v>
      </c>
      <c r="D5197">
        <v>0</v>
      </c>
      <c r="E5197" t="s">
        <v>68</v>
      </c>
      <c r="F5197" t="s">
        <v>36</v>
      </c>
      <c r="G5197" t="s">
        <v>37</v>
      </c>
    </row>
    <row r="5198" spans="1:7" x14ac:dyDescent="0.3">
      <c r="A5198" t="s">
        <v>72</v>
      </c>
      <c r="B5198" t="s">
        <v>8</v>
      </c>
      <c r="C5198" t="s">
        <v>16</v>
      </c>
      <c r="D5198">
        <v>0</v>
      </c>
      <c r="E5198" t="s">
        <v>68</v>
      </c>
      <c r="F5198" t="s">
        <v>36</v>
      </c>
      <c r="G5198" t="s">
        <v>37</v>
      </c>
    </row>
    <row r="5199" spans="1:7" x14ac:dyDescent="0.3">
      <c r="A5199" t="s">
        <v>72</v>
      </c>
      <c r="B5199" t="s">
        <v>8</v>
      </c>
      <c r="C5199" t="s">
        <v>17</v>
      </c>
      <c r="D5199">
        <v>0</v>
      </c>
      <c r="E5199" t="s">
        <v>68</v>
      </c>
      <c r="F5199" t="s">
        <v>36</v>
      </c>
      <c r="G5199" t="s">
        <v>37</v>
      </c>
    </row>
    <row r="5200" spans="1:7" x14ac:dyDescent="0.3">
      <c r="A5200" t="s">
        <v>72</v>
      </c>
      <c r="B5200" t="s">
        <v>8</v>
      </c>
      <c r="C5200" t="s">
        <v>18</v>
      </c>
      <c r="D5200">
        <v>0</v>
      </c>
      <c r="E5200" t="s">
        <v>68</v>
      </c>
      <c r="F5200" t="s">
        <v>36</v>
      </c>
      <c r="G5200" t="s">
        <v>37</v>
      </c>
    </row>
    <row r="5201" spans="1:7" x14ac:dyDescent="0.3">
      <c r="A5201" t="s">
        <v>72</v>
      </c>
      <c r="B5201" t="s">
        <v>8</v>
      </c>
      <c r="C5201" t="s">
        <v>19</v>
      </c>
      <c r="D5201">
        <v>0</v>
      </c>
      <c r="E5201" t="s">
        <v>68</v>
      </c>
      <c r="F5201" t="s">
        <v>36</v>
      </c>
      <c r="G5201" t="s">
        <v>37</v>
      </c>
    </row>
    <row r="5202" spans="1:7" x14ac:dyDescent="0.3">
      <c r="A5202" t="s">
        <v>72</v>
      </c>
      <c r="B5202" t="s">
        <v>8</v>
      </c>
      <c r="C5202" t="s">
        <v>20</v>
      </c>
      <c r="D5202">
        <v>0</v>
      </c>
      <c r="E5202" t="s">
        <v>68</v>
      </c>
      <c r="F5202" t="s">
        <v>36</v>
      </c>
      <c r="G5202" t="s">
        <v>37</v>
      </c>
    </row>
    <row r="5203" spans="1:7" x14ac:dyDescent="0.3">
      <c r="A5203" t="s">
        <v>72</v>
      </c>
      <c r="B5203" t="s">
        <v>8</v>
      </c>
      <c r="C5203" t="s">
        <v>21</v>
      </c>
      <c r="D5203">
        <v>0</v>
      </c>
      <c r="E5203" t="s">
        <v>68</v>
      </c>
      <c r="F5203" t="s">
        <v>36</v>
      </c>
      <c r="G5203" t="s">
        <v>37</v>
      </c>
    </row>
    <row r="5204" spans="1:7" x14ac:dyDescent="0.3">
      <c r="A5204" t="s">
        <v>72</v>
      </c>
      <c r="B5204" t="s">
        <v>8</v>
      </c>
      <c r="C5204" t="s">
        <v>22</v>
      </c>
      <c r="D5204">
        <v>0</v>
      </c>
      <c r="E5204" t="s">
        <v>68</v>
      </c>
      <c r="F5204" t="s">
        <v>36</v>
      </c>
      <c r="G5204" t="s">
        <v>37</v>
      </c>
    </row>
    <row r="5205" spans="1:7" x14ac:dyDescent="0.3">
      <c r="A5205" t="s">
        <v>72</v>
      </c>
      <c r="B5205" t="s">
        <v>23</v>
      </c>
      <c r="C5205" t="s">
        <v>9</v>
      </c>
      <c r="D5205">
        <v>1413</v>
      </c>
      <c r="E5205" t="s">
        <v>68</v>
      </c>
      <c r="F5205" t="s">
        <v>36</v>
      </c>
      <c r="G5205" t="s">
        <v>37</v>
      </c>
    </row>
    <row r="5206" spans="1:7" x14ac:dyDescent="0.3">
      <c r="A5206" t="s">
        <v>72</v>
      </c>
      <c r="B5206" t="s">
        <v>23</v>
      </c>
      <c r="C5206" t="s">
        <v>13</v>
      </c>
      <c r="D5206">
        <v>13753</v>
      </c>
      <c r="E5206" t="s">
        <v>68</v>
      </c>
      <c r="F5206" t="s">
        <v>36</v>
      </c>
      <c r="G5206" t="s">
        <v>37</v>
      </c>
    </row>
    <row r="5207" spans="1:7" x14ac:dyDescent="0.3">
      <c r="A5207" t="s">
        <v>72</v>
      </c>
      <c r="B5207" t="s">
        <v>23</v>
      </c>
      <c r="C5207" t="s">
        <v>14</v>
      </c>
      <c r="D5207">
        <v>1833</v>
      </c>
      <c r="E5207" t="s">
        <v>68</v>
      </c>
      <c r="F5207" t="s">
        <v>36</v>
      </c>
      <c r="G5207" t="s">
        <v>37</v>
      </c>
    </row>
    <row r="5208" spans="1:7" x14ac:dyDescent="0.3">
      <c r="A5208" t="s">
        <v>72</v>
      </c>
      <c r="B5208" t="s">
        <v>23</v>
      </c>
      <c r="C5208" t="s">
        <v>15</v>
      </c>
      <c r="D5208">
        <v>12501</v>
      </c>
      <c r="E5208" t="s">
        <v>68</v>
      </c>
      <c r="F5208" t="s">
        <v>36</v>
      </c>
      <c r="G5208" t="s">
        <v>37</v>
      </c>
    </row>
    <row r="5209" spans="1:7" x14ac:dyDescent="0.3">
      <c r="A5209" t="s">
        <v>72</v>
      </c>
      <c r="B5209" t="s">
        <v>23</v>
      </c>
      <c r="C5209" t="s">
        <v>16</v>
      </c>
      <c r="D5209">
        <v>12736</v>
      </c>
      <c r="E5209" t="s">
        <v>68</v>
      </c>
      <c r="F5209" t="s">
        <v>36</v>
      </c>
      <c r="G5209" t="s">
        <v>37</v>
      </c>
    </row>
    <row r="5210" spans="1:7" x14ac:dyDescent="0.3">
      <c r="A5210" t="s">
        <v>72</v>
      </c>
      <c r="B5210" t="s">
        <v>23</v>
      </c>
      <c r="C5210" t="s">
        <v>17</v>
      </c>
      <c r="D5210">
        <v>36</v>
      </c>
      <c r="E5210" t="s">
        <v>68</v>
      </c>
      <c r="F5210" t="s">
        <v>36</v>
      </c>
      <c r="G5210" t="s">
        <v>37</v>
      </c>
    </row>
    <row r="5211" spans="1:7" x14ac:dyDescent="0.3">
      <c r="A5211" t="s">
        <v>72</v>
      </c>
      <c r="B5211" t="s">
        <v>23</v>
      </c>
      <c r="C5211" t="s">
        <v>18</v>
      </c>
      <c r="D5211">
        <v>0</v>
      </c>
      <c r="E5211" t="s">
        <v>68</v>
      </c>
      <c r="F5211" t="s">
        <v>36</v>
      </c>
      <c r="G5211" t="s">
        <v>37</v>
      </c>
    </row>
    <row r="5212" spans="1:7" x14ac:dyDescent="0.3">
      <c r="A5212" t="s">
        <v>72</v>
      </c>
      <c r="B5212" t="s">
        <v>23</v>
      </c>
      <c r="C5212" t="s">
        <v>19</v>
      </c>
      <c r="D5212">
        <v>4107</v>
      </c>
      <c r="E5212" t="s">
        <v>68</v>
      </c>
      <c r="F5212" t="s">
        <v>36</v>
      </c>
      <c r="G5212" t="s">
        <v>37</v>
      </c>
    </row>
    <row r="5213" spans="1:7" x14ac:dyDescent="0.3">
      <c r="A5213" t="s">
        <v>72</v>
      </c>
      <c r="B5213" t="s">
        <v>23</v>
      </c>
      <c r="C5213" t="s">
        <v>20</v>
      </c>
      <c r="D5213">
        <v>4170</v>
      </c>
      <c r="E5213" t="s">
        <v>68</v>
      </c>
      <c r="F5213" t="s">
        <v>36</v>
      </c>
      <c r="G5213" t="s">
        <v>37</v>
      </c>
    </row>
    <row r="5214" spans="1:7" x14ac:dyDescent="0.3">
      <c r="A5214" t="s">
        <v>72</v>
      </c>
      <c r="B5214" t="s">
        <v>23</v>
      </c>
      <c r="C5214" t="s">
        <v>21</v>
      </c>
      <c r="D5214">
        <v>451</v>
      </c>
      <c r="E5214" t="s">
        <v>68</v>
      </c>
      <c r="F5214" t="s">
        <v>36</v>
      </c>
      <c r="G5214" t="s">
        <v>37</v>
      </c>
    </row>
    <row r="5215" spans="1:7" x14ac:dyDescent="0.3">
      <c r="A5215" t="s">
        <v>72</v>
      </c>
      <c r="B5215" t="s">
        <v>23</v>
      </c>
      <c r="C5215" t="s">
        <v>22</v>
      </c>
      <c r="D5215">
        <v>141674</v>
      </c>
      <c r="E5215" t="s">
        <v>68</v>
      </c>
      <c r="F5215" t="s">
        <v>36</v>
      </c>
      <c r="G5215" t="s">
        <v>37</v>
      </c>
    </row>
    <row r="5216" spans="1:7" x14ac:dyDescent="0.3">
      <c r="A5216" t="s">
        <v>73</v>
      </c>
      <c r="B5216" t="s">
        <v>8</v>
      </c>
      <c r="C5216" t="s">
        <v>9</v>
      </c>
      <c r="D5216">
        <v>0</v>
      </c>
      <c r="E5216" t="s">
        <v>68</v>
      </c>
      <c r="F5216" t="s">
        <v>36</v>
      </c>
      <c r="G5216" t="s">
        <v>37</v>
      </c>
    </row>
    <row r="5217" spans="1:7" x14ac:dyDescent="0.3">
      <c r="A5217" t="s">
        <v>73</v>
      </c>
      <c r="B5217" t="s">
        <v>8</v>
      </c>
      <c r="C5217" t="s">
        <v>13</v>
      </c>
      <c r="D5217">
        <v>0</v>
      </c>
      <c r="E5217" t="s">
        <v>68</v>
      </c>
      <c r="F5217" t="s">
        <v>36</v>
      </c>
      <c r="G5217" t="s">
        <v>37</v>
      </c>
    </row>
    <row r="5218" spans="1:7" x14ac:dyDescent="0.3">
      <c r="A5218" t="s">
        <v>73</v>
      </c>
      <c r="B5218" t="s">
        <v>8</v>
      </c>
      <c r="C5218" t="s">
        <v>14</v>
      </c>
      <c r="D5218">
        <v>0</v>
      </c>
      <c r="E5218" t="s">
        <v>68</v>
      </c>
      <c r="F5218" t="s">
        <v>36</v>
      </c>
      <c r="G5218" t="s">
        <v>37</v>
      </c>
    </row>
    <row r="5219" spans="1:7" x14ac:dyDescent="0.3">
      <c r="A5219" t="s">
        <v>73</v>
      </c>
      <c r="B5219" t="s">
        <v>8</v>
      </c>
      <c r="C5219" t="s">
        <v>15</v>
      </c>
      <c r="D5219">
        <v>0</v>
      </c>
      <c r="E5219" t="s">
        <v>68</v>
      </c>
      <c r="F5219" t="s">
        <v>36</v>
      </c>
      <c r="G5219" t="s">
        <v>37</v>
      </c>
    </row>
    <row r="5220" spans="1:7" x14ac:dyDescent="0.3">
      <c r="A5220" t="s">
        <v>73</v>
      </c>
      <c r="B5220" t="s">
        <v>8</v>
      </c>
      <c r="C5220" t="s">
        <v>16</v>
      </c>
      <c r="D5220">
        <v>0</v>
      </c>
      <c r="E5220" t="s">
        <v>68</v>
      </c>
      <c r="F5220" t="s">
        <v>36</v>
      </c>
      <c r="G5220" t="s">
        <v>37</v>
      </c>
    </row>
    <row r="5221" spans="1:7" x14ac:dyDescent="0.3">
      <c r="A5221" t="s">
        <v>73</v>
      </c>
      <c r="B5221" t="s">
        <v>8</v>
      </c>
      <c r="C5221" t="s">
        <v>17</v>
      </c>
      <c r="D5221">
        <v>0</v>
      </c>
      <c r="E5221" t="s">
        <v>68</v>
      </c>
      <c r="F5221" t="s">
        <v>36</v>
      </c>
      <c r="G5221" t="s">
        <v>37</v>
      </c>
    </row>
    <row r="5222" spans="1:7" x14ac:dyDescent="0.3">
      <c r="A5222" t="s">
        <v>73</v>
      </c>
      <c r="B5222" t="s">
        <v>8</v>
      </c>
      <c r="C5222" t="s">
        <v>18</v>
      </c>
      <c r="D5222">
        <v>0</v>
      </c>
      <c r="E5222" t="s">
        <v>68</v>
      </c>
      <c r="F5222" t="s">
        <v>36</v>
      </c>
      <c r="G5222" t="s">
        <v>37</v>
      </c>
    </row>
    <row r="5223" spans="1:7" x14ac:dyDescent="0.3">
      <c r="A5223" t="s">
        <v>73</v>
      </c>
      <c r="B5223" t="s">
        <v>8</v>
      </c>
      <c r="C5223" t="s">
        <v>19</v>
      </c>
      <c r="D5223">
        <v>0</v>
      </c>
      <c r="E5223" t="s">
        <v>68</v>
      </c>
      <c r="F5223" t="s">
        <v>36</v>
      </c>
      <c r="G5223" t="s">
        <v>37</v>
      </c>
    </row>
    <row r="5224" spans="1:7" x14ac:dyDescent="0.3">
      <c r="A5224" t="s">
        <v>73</v>
      </c>
      <c r="B5224" t="s">
        <v>8</v>
      </c>
      <c r="C5224" t="s">
        <v>20</v>
      </c>
      <c r="D5224">
        <v>0</v>
      </c>
      <c r="E5224" t="s">
        <v>68</v>
      </c>
      <c r="F5224" t="s">
        <v>36</v>
      </c>
      <c r="G5224" t="s">
        <v>37</v>
      </c>
    </row>
    <row r="5225" spans="1:7" x14ac:dyDescent="0.3">
      <c r="A5225" t="s">
        <v>73</v>
      </c>
      <c r="B5225" t="s">
        <v>8</v>
      </c>
      <c r="C5225" t="s">
        <v>21</v>
      </c>
      <c r="D5225">
        <v>0</v>
      </c>
      <c r="E5225" t="s">
        <v>68</v>
      </c>
      <c r="F5225" t="s">
        <v>36</v>
      </c>
      <c r="G5225" t="s">
        <v>37</v>
      </c>
    </row>
    <row r="5226" spans="1:7" x14ac:dyDescent="0.3">
      <c r="A5226" t="s">
        <v>73</v>
      </c>
      <c r="B5226" t="s">
        <v>8</v>
      </c>
      <c r="C5226" t="s">
        <v>22</v>
      </c>
      <c r="D5226">
        <v>0</v>
      </c>
      <c r="E5226" t="s">
        <v>68</v>
      </c>
      <c r="F5226" t="s">
        <v>36</v>
      </c>
      <c r="G5226" t="s">
        <v>37</v>
      </c>
    </row>
    <row r="5227" spans="1:7" x14ac:dyDescent="0.3">
      <c r="A5227" t="s">
        <v>73</v>
      </c>
      <c r="B5227" t="s">
        <v>23</v>
      </c>
      <c r="C5227" t="s">
        <v>9</v>
      </c>
      <c r="D5227">
        <v>263</v>
      </c>
      <c r="E5227" t="s">
        <v>68</v>
      </c>
      <c r="F5227" t="s">
        <v>36</v>
      </c>
      <c r="G5227" t="s">
        <v>37</v>
      </c>
    </row>
    <row r="5228" spans="1:7" x14ac:dyDescent="0.3">
      <c r="A5228" t="s">
        <v>73</v>
      </c>
      <c r="B5228" t="s">
        <v>23</v>
      </c>
      <c r="C5228" t="s">
        <v>13</v>
      </c>
      <c r="D5228">
        <v>42</v>
      </c>
      <c r="E5228" t="s">
        <v>68</v>
      </c>
      <c r="F5228" t="s">
        <v>36</v>
      </c>
      <c r="G5228" t="s">
        <v>37</v>
      </c>
    </row>
    <row r="5229" spans="1:7" x14ac:dyDescent="0.3">
      <c r="A5229" t="s">
        <v>73</v>
      </c>
      <c r="B5229" t="s">
        <v>23</v>
      </c>
      <c r="C5229" t="s">
        <v>14</v>
      </c>
      <c r="D5229">
        <v>849</v>
      </c>
      <c r="E5229" t="s">
        <v>68</v>
      </c>
      <c r="F5229" t="s">
        <v>36</v>
      </c>
      <c r="G5229" t="s">
        <v>37</v>
      </c>
    </row>
    <row r="5230" spans="1:7" x14ac:dyDescent="0.3">
      <c r="A5230" t="s">
        <v>73</v>
      </c>
      <c r="B5230" t="s">
        <v>23</v>
      </c>
      <c r="C5230" t="s">
        <v>15</v>
      </c>
      <c r="D5230">
        <v>121</v>
      </c>
      <c r="E5230" t="s">
        <v>68</v>
      </c>
      <c r="F5230" t="s">
        <v>36</v>
      </c>
      <c r="G5230" t="s">
        <v>37</v>
      </c>
    </row>
    <row r="5231" spans="1:7" x14ac:dyDescent="0.3">
      <c r="A5231" t="s">
        <v>73</v>
      </c>
      <c r="B5231" t="s">
        <v>23</v>
      </c>
      <c r="C5231" t="s">
        <v>16</v>
      </c>
      <c r="D5231">
        <v>670594</v>
      </c>
      <c r="E5231" t="s">
        <v>68</v>
      </c>
      <c r="F5231" t="s">
        <v>36</v>
      </c>
      <c r="G5231" t="s">
        <v>37</v>
      </c>
    </row>
    <row r="5232" spans="1:7" x14ac:dyDescent="0.3">
      <c r="A5232" t="s">
        <v>73</v>
      </c>
      <c r="B5232" t="s">
        <v>23</v>
      </c>
      <c r="C5232" t="s">
        <v>17</v>
      </c>
      <c r="D5232">
        <v>66</v>
      </c>
      <c r="E5232" t="s">
        <v>68</v>
      </c>
      <c r="F5232" t="s">
        <v>36</v>
      </c>
      <c r="G5232" t="s">
        <v>37</v>
      </c>
    </row>
    <row r="5233" spans="1:7" x14ac:dyDescent="0.3">
      <c r="A5233" t="s">
        <v>73</v>
      </c>
      <c r="B5233" t="s">
        <v>23</v>
      </c>
      <c r="C5233" t="s">
        <v>18</v>
      </c>
      <c r="D5233">
        <v>0</v>
      </c>
      <c r="E5233" t="s">
        <v>68</v>
      </c>
      <c r="F5233" t="s">
        <v>36</v>
      </c>
      <c r="G5233" t="s">
        <v>37</v>
      </c>
    </row>
    <row r="5234" spans="1:7" x14ac:dyDescent="0.3">
      <c r="A5234" t="s">
        <v>73</v>
      </c>
      <c r="B5234" t="s">
        <v>23</v>
      </c>
      <c r="C5234" t="s">
        <v>19</v>
      </c>
      <c r="D5234">
        <v>15</v>
      </c>
      <c r="E5234" t="s">
        <v>68</v>
      </c>
      <c r="F5234" t="s">
        <v>36</v>
      </c>
      <c r="G5234" t="s">
        <v>37</v>
      </c>
    </row>
    <row r="5235" spans="1:7" x14ac:dyDescent="0.3">
      <c r="A5235" t="s">
        <v>73</v>
      </c>
      <c r="B5235" t="s">
        <v>23</v>
      </c>
      <c r="C5235" t="s">
        <v>20</v>
      </c>
      <c r="D5235">
        <v>921</v>
      </c>
      <c r="E5235" t="s">
        <v>68</v>
      </c>
      <c r="F5235" t="s">
        <v>36</v>
      </c>
      <c r="G5235" t="s">
        <v>37</v>
      </c>
    </row>
    <row r="5236" spans="1:7" x14ac:dyDescent="0.3">
      <c r="A5236" t="s">
        <v>73</v>
      </c>
      <c r="B5236" t="s">
        <v>23</v>
      </c>
      <c r="C5236" t="s">
        <v>21</v>
      </c>
      <c r="D5236">
        <v>307</v>
      </c>
      <c r="E5236" t="s">
        <v>68</v>
      </c>
      <c r="F5236" t="s">
        <v>36</v>
      </c>
      <c r="G5236" t="s">
        <v>37</v>
      </c>
    </row>
    <row r="5237" spans="1:7" x14ac:dyDescent="0.3">
      <c r="A5237" t="s">
        <v>73</v>
      </c>
      <c r="B5237" t="s">
        <v>23</v>
      </c>
      <c r="C5237" t="s">
        <v>22</v>
      </c>
      <c r="D5237">
        <v>149</v>
      </c>
      <c r="E5237" t="s">
        <v>68</v>
      </c>
      <c r="F5237" t="s">
        <v>36</v>
      </c>
      <c r="G5237" t="s">
        <v>37</v>
      </c>
    </row>
    <row r="5238" spans="1:7" x14ac:dyDescent="0.3">
      <c r="A5238" t="s">
        <v>74</v>
      </c>
      <c r="B5238" t="s">
        <v>8</v>
      </c>
      <c r="C5238" t="s">
        <v>9</v>
      </c>
      <c r="D5238">
        <v>0</v>
      </c>
      <c r="E5238" t="s">
        <v>68</v>
      </c>
      <c r="F5238" t="s">
        <v>36</v>
      </c>
      <c r="G5238" t="s">
        <v>37</v>
      </c>
    </row>
    <row r="5239" spans="1:7" x14ac:dyDescent="0.3">
      <c r="A5239" t="s">
        <v>74</v>
      </c>
      <c r="B5239" t="s">
        <v>8</v>
      </c>
      <c r="C5239" t="s">
        <v>13</v>
      </c>
      <c r="D5239">
        <v>0</v>
      </c>
      <c r="E5239" t="s">
        <v>68</v>
      </c>
      <c r="F5239" t="s">
        <v>36</v>
      </c>
      <c r="G5239" t="s">
        <v>37</v>
      </c>
    </row>
    <row r="5240" spans="1:7" x14ac:dyDescent="0.3">
      <c r="A5240" t="s">
        <v>74</v>
      </c>
      <c r="B5240" t="s">
        <v>8</v>
      </c>
      <c r="C5240" t="s">
        <v>14</v>
      </c>
      <c r="D5240">
        <v>0</v>
      </c>
      <c r="E5240" t="s">
        <v>68</v>
      </c>
      <c r="F5240" t="s">
        <v>36</v>
      </c>
      <c r="G5240" t="s">
        <v>37</v>
      </c>
    </row>
    <row r="5241" spans="1:7" x14ac:dyDescent="0.3">
      <c r="A5241" t="s">
        <v>74</v>
      </c>
      <c r="B5241" t="s">
        <v>8</v>
      </c>
      <c r="C5241" t="s">
        <v>15</v>
      </c>
      <c r="D5241">
        <v>0</v>
      </c>
      <c r="E5241" t="s">
        <v>68</v>
      </c>
      <c r="F5241" t="s">
        <v>36</v>
      </c>
      <c r="G5241" t="s">
        <v>37</v>
      </c>
    </row>
    <row r="5242" spans="1:7" x14ac:dyDescent="0.3">
      <c r="A5242" t="s">
        <v>74</v>
      </c>
      <c r="B5242" t="s">
        <v>8</v>
      </c>
      <c r="C5242" t="s">
        <v>16</v>
      </c>
      <c r="D5242">
        <v>0</v>
      </c>
      <c r="E5242" t="s">
        <v>68</v>
      </c>
      <c r="F5242" t="s">
        <v>36</v>
      </c>
      <c r="G5242" t="s">
        <v>37</v>
      </c>
    </row>
    <row r="5243" spans="1:7" x14ac:dyDescent="0.3">
      <c r="A5243" t="s">
        <v>74</v>
      </c>
      <c r="B5243" t="s">
        <v>8</v>
      </c>
      <c r="C5243" t="s">
        <v>17</v>
      </c>
      <c r="D5243">
        <v>0</v>
      </c>
      <c r="E5243" t="s">
        <v>68</v>
      </c>
      <c r="F5243" t="s">
        <v>36</v>
      </c>
      <c r="G5243" t="s">
        <v>37</v>
      </c>
    </row>
    <row r="5244" spans="1:7" x14ac:dyDescent="0.3">
      <c r="A5244" t="s">
        <v>74</v>
      </c>
      <c r="B5244" t="s">
        <v>8</v>
      </c>
      <c r="C5244" t="s">
        <v>18</v>
      </c>
      <c r="D5244">
        <v>0</v>
      </c>
      <c r="E5244" t="s">
        <v>68</v>
      </c>
      <c r="F5244" t="s">
        <v>36</v>
      </c>
      <c r="G5244" t="s">
        <v>37</v>
      </c>
    </row>
    <row r="5245" spans="1:7" x14ac:dyDescent="0.3">
      <c r="A5245" t="s">
        <v>74</v>
      </c>
      <c r="B5245" t="s">
        <v>8</v>
      </c>
      <c r="C5245" t="s">
        <v>19</v>
      </c>
      <c r="D5245">
        <v>0</v>
      </c>
      <c r="E5245" t="s">
        <v>68</v>
      </c>
      <c r="F5245" t="s">
        <v>36</v>
      </c>
      <c r="G5245" t="s">
        <v>37</v>
      </c>
    </row>
    <row r="5246" spans="1:7" x14ac:dyDescent="0.3">
      <c r="A5246" t="s">
        <v>74</v>
      </c>
      <c r="B5246" t="s">
        <v>8</v>
      </c>
      <c r="C5246" t="s">
        <v>20</v>
      </c>
      <c r="D5246">
        <v>0</v>
      </c>
      <c r="E5246" t="s">
        <v>68</v>
      </c>
      <c r="F5246" t="s">
        <v>36</v>
      </c>
      <c r="G5246" t="s">
        <v>37</v>
      </c>
    </row>
    <row r="5247" spans="1:7" x14ac:dyDescent="0.3">
      <c r="A5247" t="s">
        <v>74</v>
      </c>
      <c r="B5247" t="s">
        <v>8</v>
      </c>
      <c r="C5247" t="s">
        <v>21</v>
      </c>
      <c r="D5247">
        <v>0</v>
      </c>
      <c r="E5247" t="s">
        <v>68</v>
      </c>
      <c r="F5247" t="s">
        <v>36</v>
      </c>
      <c r="G5247" t="s">
        <v>37</v>
      </c>
    </row>
    <row r="5248" spans="1:7" x14ac:dyDescent="0.3">
      <c r="A5248" t="s">
        <v>74</v>
      </c>
      <c r="B5248" t="s">
        <v>8</v>
      </c>
      <c r="C5248" t="s">
        <v>22</v>
      </c>
      <c r="D5248">
        <v>0</v>
      </c>
      <c r="E5248" t="s">
        <v>68</v>
      </c>
      <c r="F5248" t="s">
        <v>36</v>
      </c>
      <c r="G5248" t="s">
        <v>37</v>
      </c>
    </row>
    <row r="5249" spans="1:7" x14ac:dyDescent="0.3">
      <c r="A5249" t="s">
        <v>74</v>
      </c>
      <c r="B5249" t="s">
        <v>23</v>
      </c>
      <c r="C5249" t="s">
        <v>9</v>
      </c>
      <c r="D5249">
        <v>1120</v>
      </c>
      <c r="E5249" t="s">
        <v>68</v>
      </c>
      <c r="F5249" t="s">
        <v>36</v>
      </c>
      <c r="G5249" t="s">
        <v>37</v>
      </c>
    </row>
    <row r="5250" spans="1:7" x14ac:dyDescent="0.3">
      <c r="A5250" t="s">
        <v>74</v>
      </c>
      <c r="B5250" t="s">
        <v>23</v>
      </c>
      <c r="C5250" t="s">
        <v>13</v>
      </c>
      <c r="D5250">
        <v>10900</v>
      </c>
      <c r="E5250" t="s">
        <v>68</v>
      </c>
      <c r="F5250" t="s">
        <v>36</v>
      </c>
      <c r="G5250" t="s">
        <v>37</v>
      </c>
    </row>
    <row r="5251" spans="1:7" x14ac:dyDescent="0.3">
      <c r="A5251" t="s">
        <v>74</v>
      </c>
      <c r="B5251" t="s">
        <v>23</v>
      </c>
      <c r="C5251" t="s">
        <v>14</v>
      </c>
      <c r="D5251">
        <v>1453</v>
      </c>
      <c r="E5251" t="s">
        <v>68</v>
      </c>
      <c r="F5251" t="s">
        <v>36</v>
      </c>
      <c r="G5251" t="s">
        <v>37</v>
      </c>
    </row>
    <row r="5252" spans="1:7" x14ac:dyDescent="0.3">
      <c r="A5252" t="s">
        <v>74</v>
      </c>
      <c r="B5252" t="s">
        <v>23</v>
      </c>
      <c r="C5252" t="s">
        <v>15</v>
      </c>
      <c r="D5252">
        <v>9908</v>
      </c>
      <c r="E5252" t="s">
        <v>68</v>
      </c>
      <c r="F5252" t="s">
        <v>36</v>
      </c>
      <c r="G5252" t="s">
        <v>37</v>
      </c>
    </row>
    <row r="5253" spans="1:7" x14ac:dyDescent="0.3">
      <c r="A5253" t="s">
        <v>74</v>
      </c>
      <c r="B5253" t="s">
        <v>23</v>
      </c>
      <c r="C5253" t="s">
        <v>16</v>
      </c>
      <c r="D5253">
        <v>10095</v>
      </c>
      <c r="E5253" t="s">
        <v>68</v>
      </c>
      <c r="F5253" t="s">
        <v>36</v>
      </c>
      <c r="G5253" t="s">
        <v>37</v>
      </c>
    </row>
    <row r="5254" spans="1:7" x14ac:dyDescent="0.3">
      <c r="A5254" t="s">
        <v>74</v>
      </c>
      <c r="B5254" t="s">
        <v>23</v>
      </c>
      <c r="C5254" t="s">
        <v>17</v>
      </c>
      <c r="D5254">
        <v>28</v>
      </c>
      <c r="E5254" t="s">
        <v>68</v>
      </c>
      <c r="F5254" t="s">
        <v>36</v>
      </c>
      <c r="G5254" t="s">
        <v>37</v>
      </c>
    </row>
    <row r="5255" spans="1:7" x14ac:dyDescent="0.3">
      <c r="A5255" t="s">
        <v>74</v>
      </c>
      <c r="B5255" t="s">
        <v>23</v>
      </c>
      <c r="C5255" t="s">
        <v>18</v>
      </c>
      <c r="D5255">
        <v>0</v>
      </c>
      <c r="E5255" t="s">
        <v>68</v>
      </c>
      <c r="F5255" t="s">
        <v>36</v>
      </c>
      <c r="G5255" t="s">
        <v>37</v>
      </c>
    </row>
    <row r="5256" spans="1:7" x14ac:dyDescent="0.3">
      <c r="A5256" t="s">
        <v>74</v>
      </c>
      <c r="B5256" t="s">
        <v>23</v>
      </c>
      <c r="C5256" t="s">
        <v>19</v>
      </c>
      <c r="D5256">
        <v>3255</v>
      </c>
      <c r="E5256" t="s">
        <v>68</v>
      </c>
      <c r="F5256" t="s">
        <v>36</v>
      </c>
      <c r="G5256" t="s">
        <v>37</v>
      </c>
    </row>
    <row r="5257" spans="1:7" x14ac:dyDescent="0.3">
      <c r="A5257" t="s">
        <v>74</v>
      </c>
      <c r="B5257" t="s">
        <v>23</v>
      </c>
      <c r="C5257" t="s">
        <v>20</v>
      </c>
      <c r="D5257">
        <v>3305</v>
      </c>
      <c r="E5257" t="s">
        <v>68</v>
      </c>
      <c r="F5257" t="s">
        <v>36</v>
      </c>
      <c r="G5257" t="s">
        <v>37</v>
      </c>
    </row>
    <row r="5258" spans="1:7" x14ac:dyDescent="0.3">
      <c r="A5258" t="s">
        <v>74</v>
      </c>
      <c r="B5258" t="s">
        <v>23</v>
      </c>
      <c r="C5258" t="s">
        <v>21</v>
      </c>
      <c r="D5258">
        <v>357</v>
      </c>
      <c r="E5258" t="s">
        <v>68</v>
      </c>
      <c r="F5258" t="s">
        <v>36</v>
      </c>
      <c r="G5258" t="s">
        <v>37</v>
      </c>
    </row>
    <row r="5259" spans="1:7" x14ac:dyDescent="0.3">
      <c r="A5259" t="s">
        <v>74</v>
      </c>
      <c r="B5259" t="s">
        <v>23</v>
      </c>
      <c r="C5259" t="s">
        <v>22</v>
      </c>
      <c r="D5259">
        <v>112290</v>
      </c>
      <c r="E5259" t="s">
        <v>68</v>
      </c>
      <c r="F5259" t="s">
        <v>36</v>
      </c>
      <c r="G5259" t="s">
        <v>37</v>
      </c>
    </row>
    <row r="5260" spans="1:7" x14ac:dyDescent="0.3">
      <c r="A5260" t="s">
        <v>75</v>
      </c>
      <c r="B5260" t="s">
        <v>8</v>
      </c>
      <c r="C5260" t="s">
        <v>9</v>
      </c>
      <c r="D5260">
        <v>0</v>
      </c>
      <c r="E5260" t="s">
        <v>68</v>
      </c>
      <c r="F5260" t="s">
        <v>36</v>
      </c>
      <c r="G5260" t="s">
        <v>37</v>
      </c>
    </row>
    <row r="5261" spans="1:7" x14ac:dyDescent="0.3">
      <c r="A5261" t="s">
        <v>75</v>
      </c>
      <c r="B5261" t="s">
        <v>8</v>
      </c>
      <c r="C5261" t="s">
        <v>13</v>
      </c>
      <c r="D5261">
        <v>0</v>
      </c>
      <c r="E5261" t="s">
        <v>68</v>
      </c>
      <c r="F5261" t="s">
        <v>36</v>
      </c>
      <c r="G5261" t="s">
        <v>37</v>
      </c>
    </row>
    <row r="5262" spans="1:7" x14ac:dyDescent="0.3">
      <c r="A5262" t="s">
        <v>75</v>
      </c>
      <c r="B5262" t="s">
        <v>8</v>
      </c>
      <c r="C5262" t="s">
        <v>14</v>
      </c>
      <c r="D5262">
        <v>0</v>
      </c>
      <c r="E5262" t="s">
        <v>68</v>
      </c>
      <c r="F5262" t="s">
        <v>36</v>
      </c>
      <c r="G5262" t="s">
        <v>37</v>
      </c>
    </row>
    <row r="5263" spans="1:7" x14ac:dyDescent="0.3">
      <c r="A5263" t="s">
        <v>75</v>
      </c>
      <c r="B5263" t="s">
        <v>8</v>
      </c>
      <c r="C5263" t="s">
        <v>15</v>
      </c>
      <c r="D5263">
        <v>0</v>
      </c>
      <c r="E5263" t="s">
        <v>68</v>
      </c>
      <c r="F5263" t="s">
        <v>36</v>
      </c>
      <c r="G5263" t="s">
        <v>37</v>
      </c>
    </row>
    <row r="5264" spans="1:7" x14ac:dyDescent="0.3">
      <c r="A5264" t="s">
        <v>75</v>
      </c>
      <c r="B5264" t="s">
        <v>8</v>
      </c>
      <c r="C5264" t="s">
        <v>16</v>
      </c>
      <c r="D5264">
        <v>0</v>
      </c>
      <c r="E5264" t="s">
        <v>68</v>
      </c>
      <c r="F5264" t="s">
        <v>36</v>
      </c>
      <c r="G5264" t="s">
        <v>37</v>
      </c>
    </row>
    <row r="5265" spans="1:7" x14ac:dyDescent="0.3">
      <c r="A5265" t="s">
        <v>75</v>
      </c>
      <c r="B5265" t="s">
        <v>8</v>
      </c>
      <c r="C5265" t="s">
        <v>17</v>
      </c>
      <c r="D5265">
        <v>0</v>
      </c>
      <c r="E5265" t="s">
        <v>68</v>
      </c>
      <c r="F5265" t="s">
        <v>36</v>
      </c>
      <c r="G5265" t="s">
        <v>37</v>
      </c>
    </row>
    <row r="5266" spans="1:7" x14ac:dyDescent="0.3">
      <c r="A5266" t="s">
        <v>75</v>
      </c>
      <c r="B5266" t="s">
        <v>8</v>
      </c>
      <c r="C5266" t="s">
        <v>18</v>
      </c>
      <c r="D5266">
        <v>0</v>
      </c>
      <c r="E5266" t="s">
        <v>68</v>
      </c>
      <c r="F5266" t="s">
        <v>36</v>
      </c>
      <c r="G5266" t="s">
        <v>37</v>
      </c>
    </row>
    <row r="5267" spans="1:7" x14ac:dyDescent="0.3">
      <c r="A5267" t="s">
        <v>75</v>
      </c>
      <c r="B5267" t="s">
        <v>8</v>
      </c>
      <c r="C5267" t="s">
        <v>19</v>
      </c>
      <c r="D5267">
        <v>0</v>
      </c>
      <c r="E5267" t="s">
        <v>68</v>
      </c>
      <c r="F5267" t="s">
        <v>36</v>
      </c>
      <c r="G5267" t="s">
        <v>37</v>
      </c>
    </row>
    <row r="5268" spans="1:7" x14ac:dyDescent="0.3">
      <c r="A5268" t="s">
        <v>75</v>
      </c>
      <c r="B5268" t="s">
        <v>8</v>
      </c>
      <c r="C5268" t="s">
        <v>20</v>
      </c>
      <c r="D5268">
        <v>0</v>
      </c>
      <c r="E5268" t="s">
        <v>68</v>
      </c>
      <c r="F5268" t="s">
        <v>36</v>
      </c>
      <c r="G5268" t="s">
        <v>37</v>
      </c>
    </row>
    <row r="5269" spans="1:7" x14ac:dyDescent="0.3">
      <c r="A5269" t="s">
        <v>75</v>
      </c>
      <c r="B5269" t="s">
        <v>8</v>
      </c>
      <c r="C5269" t="s">
        <v>21</v>
      </c>
      <c r="D5269">
        <v>0</v>
      </c>
      <c r="E5269" t="s">
        <v>68</v>
      </c>
      <c r="F5269" t="s">
        <v>36</v>
      </c>
      <c r="G5269" t="s">
        <v>37</v>
      </c>
    </row>
    <row r="5270" spans="1:7" x14ac:dyDescent="0.3">
      <c r="A5270" t="s">
        <v>75</v>
      </c>
      <c r="B5270" t="s">
        <v>8</v>
      </c>
      <c r="C5270" t="s">
        <v>22</v>
      </c>
      <c r="D5270">
        <v>0</v>
      </c>
      <c r="E5270" t="s">
        <v>68</v>
      </c>
      <c r="F5270" t="s">
        <v>36</v>
      </c>
      <c r="G5270" t="s">
        <v>37</v>
      </c>
    </row>
    <row r="5271" spans="1:7" x14ac:dyDescent="0.3">
      <c r="A5271" t="s">
        <v>75</v>
      </c>
      <c r="B5271" t="s">
        <v>23</v>
      </c>
      <c r="C5271" t="s">
        <v>9</v>
      </c>
      <c r="D5271">
        <v>501332</v>
      </c>
      <c r="E5271" t="s">
        <v>68</v>
      </c>
      <c r="F5271" t="s">
        <v>36</v>
      </c>
      <c r="G5271" t="s">
        <v>37</v>
      </c>
    </row>
    <row r="5272" spans="1:7" x14ac:dyDescent="0.3">
      <c r="A5272" t="s">
        <v>75</v>
      </c>
      <c r="B5272" t="s">
        <v>23</v>
      </c>
      <c r="C5272" t="s">
        <v>13</v>
      </c>
      <c r="D5272">
        <v>4831</v>
      </c>
      <c r="E5272" t="s">
        <v>68</v>
      </c>
      <c r="F5272" t="s">
        <v>36</v>
      </c>
      <c r="G5272" t="s">
        <v>37</v>
      </c>
    </row>
    <row r="5273" spans="1:7" x14ac:dyDescent="0.3">
      <c r="A5273" t="s">
        <v>75</v>
      </c>
      <c r="B5273" t="s">
        <v>23</v>
      </c>
      <c r="C5273" t="s">
        <v>14</v>
      </c>
      <c r="D5273">
        <v>3401</v>
      </c>
      <c r="E5273" t="s">
        <v>68</v>
      </c>
      <c r="F5273" t="s">
        <v>36</v>
      </c>
      <c r="G5273" t="s">
        <v>37</v>
      </c>
    </row>
    <row r="5274" spans="1:7" x14ac:dyDescent="0.3">
      <c r="A5274" t="s">
        <v>75</v>
      </c>
      <c r="B5274" t="s">
        <v>23</v>
      </c>
      <c r="C5274" t="s">
        <v>15</v>
      </c>
      <c r="D5274">
        <v>6528</v>
      </c>
      <c r="E5274" t="s">
        <v>68</v>
      </c>
      <c r="F5274" t="s">
        <v>36</v>
      </c>
      <c r="G5274" t="s">
        <v>37</v>
      </c>
    </row>
    <row r="5275" spans="1:7" x14ac:dyDescent="0.3">
      <c r="A5275" t="s">
        <v>75</v>
      </c>
      <c r="B5275" t="s">
        <v>23</v>
      </c>
      <c r="C5275" t="s">
        <v>16</v>
      </c>
      <c r="D5275">
        <v>93659</v>
      </c>
      <c r="E5275" t="s">
        <v>68</v>
      </c>
      <c r="F5275" t="s">
        <v>36</v>
      </c>
      <c r="G5275" t="s">
        <v>37</v>
      </c>
    </row>
    <row r="5276" spans="1:7" x14ac:dyDescent="0.3">
      <c r="A5276" t="s">
        <v>75</v>
      </c>
      <c r="B5276" t="s">
        <v>23</v>
      </c>
      <c r="C5276" t="s">
        <v>17</v>
      </c>
      <c r="D5276">
        <v>4574</v>
      </c>
      <c r="E5276" t="s">
        <v>68</v>
      </c>
      <c r="F5276" t="s">
        <v>36</v>
      </c>
      <c r="G5276" t="s">
        <v>37</v>
      </c>
    </row>
    <row r="5277" spans="1:7" x14ac:dyDescent="0.3">
      <c r="A5277" t="s">
        <v>75</v>
      </c>
      <c r="B5277" t="s">
        <v>23</v>
      </c>
      <c r="C5277" t="s">
        <v>18</v>
      </c>
      <c r="D5277">
        <v>0</v>
      </c>
      <c r="E5277" t="s">
        <v>68</v>
      </c>
      <c r="F5277" t="s">
        <v>36</v>
      </c>
      <c r="G5277" t="s">
        <v>37</v>
      </c>
    </row>
    <row r="5278" spans="1:7" x14ac:dyDescent="0.3">
      <c r="A5278" t="s">
        <v>75</v>
      </c>
      <c r="B5278" t="s">
        <v>23</v>
      </c>
      <c r="C5278" t="s">
        <v>19</v>
      </c>
      <c r="D5278">
        <v>3814</v>
      </c>
      <c r="E5278" t="s">
        <v>68</v>
      </c>
      <c r="F5278" t="s">
        <v>36</v>
      </c>
      <c r="G5278" t="s">
        <v>37</v>
      </c>
    </row>
    <row r="5279" spans="1:7" x14ac:dyDescent="0.3">
      <c r="A5279" t="s">
        <v>75</v>
      </c>
      <c r="B5279" t="s">
        <v>23</v>
      </c>
      <c r="C5279" t="s">
        <v>20</v>
      </c>
      <c r="D5279">
        <v>22859</v>
      </c>
      <c r="E5279" t="s">
        <v>68</v>
      </c>
      <c r="F5279" t="s">
        <v>36</v>
      </c>
      <c r="G5279" t="s">
        <v>37</v>
      </c>
    </row>
    <row r="5280" spans="1:7" x14ac:dyDescent="0.3">
      <c r="A5280" t="s">
        <v>75</v>
      </c>
      <c r="B5280" t="s">
        <v>23</v>
      </c>
      <c r="C5280" t="s">
        <v>21</v>
      </c>
      <c r="D5280">
        <v>1005</v>
      </c>
      <c r="E5280" t="s">
        <v>68</v>
      </c>
      <c r="F5280" t="s">
        <v>36</v>
      </c>
      <c r="G5280" t="s">
        <v>37</v>
      </c>
    </row>
    <row r="5281" spans="1:7" x14ac:dyDescent="0.3">
      <c r="A5281" t="s">
        <v>75</v>
      </c>
      <c r="B5281" t="s">
        <v>23</v>
      </c>
      <c r="C5281" t="s">
        <v>22</v>
      </c>
      <c r="D5281">
        <v>1223</v>
      </c>
      <c r="E5281" t="s">
        <v>68</v>
      </c>
      <c r="F5281" t="s">
        <v>36</v>
      </c>
      <c r="G5281" t="s">
        <v>37</v>
      </c>
    </row>
    <row r="5282" spans="1:7" x14ac:dyDescent="0.3">
      <c r="A5282" t="s">
        <v>76</v>
      </c>
      <c r="B5282" t="s">
        <v>8</v>
      </c>
      <c r="C5282" t="s">
        <v>9</v>
      </c>
      <c r="D5282">
        <v>0</v>
      </c>
      <c r="E5282" t="s">
        <v>68</v>
      </c>
      <c r="F5282" t="s">
        <v>36</v>
      </c>
      <c r="G5282" t="s">
        <v>37</v>
      </c>
    </row>
    <row r="5283" spans="1:7" x14ac:dyDescent="0.3">
      <c r="A5283" t="s">
        <v>76</v>
      </c>
      <c r="B5283" t="s">
        <v>8</v>
      </c>
      <c r="C5283" t="s">
        <v>13</v>
      </c>
      <c r="D5283">
        <v>0</v>
      </c>
      <c r="E5283" t="s">
        <v>68</v>
      </c>
      <c r="F5283" t="s">
        <v>36</v>
      </c>
      <c r="G5283" t="s">
        <v>37</v>
      </c>
    </row>
    <row r="5284" spans="1:7" x14ac:dyDescent="0.3">
      <c r="A5284" t="s">
        <v>76</v>
      </c>
      <c r="B5284" t="s">
        <v>8</v>
      </c>
      <c r="C5284" t="s">
        <v>14</v>
      </c>
      <c r="D5284">
        <v>0</v>
      </c>
      <c r="E5284" t="s">
        <v>68</v>
      </c>
      <c r="F5284" t="s">
        <v>36</v>
      </c>
      <c r="G5284" t="s">
        <v>37</v>
      </c>
    </row>
    <row r="5285" spans="1:7" x14ac:dyDescent="0.3">
      <c r="A5285" t="s">
        <v>76</v>
      </c>
      <c r="B5285" t="s">
        <v>8</v>
      </c>
      <c r="C5285" t="s">
        <v>15</v>
      </c>
      <c r="D5285">
        <v>0</v>
      </c>
      <c r="E5285" t="s">
        <v>68</v>
      </c>
      <c r="F5285" t="s">
        <v>36</v>
      </c>
      <c r="G5285" t="s">
        <v>37</v>
      </c>
    </row>
    <row r="5286" spans="1:7" x14ac:dyDescent="0.3">
      <c r="A5286" t="s">
        <v>76</v>
      </c>
      <c r="B5286" t="s">
        <v>8</v>
      </c>
      <c r="C5286" t="s">
        <v>16</v>
      </c>
      <c r="D5286">
        <v>0</v>
      </c>
      <c r="E5286" t="s">
        <v>68</v>
      </c>
      <c r="F5286" t="s">
        <v>36</v>
      </c>
      <c r="G5286" t="s">
        <v>37</v>
      </c>
    </row>
    <row r="5287" spans="1:7" x14ac:dyDescent="0.3">
      <c r="A5287" t="s">
        <v>76</v>
      </c>
      <c r="B5287" t="s">
        <v>8</v>
      </c>
      <c r="C5287" t="s">
        <v>17</v>
      </c>
      <c r="D5287">
        <v>0</v>
      </c>
      <c r="E5287" t="s">
        <v>68</v>
      </c>
      <c r="F5287" t="s">
        <v>36</v>
      </c>
      <c r="G5287" t="s">
        <v>37</v>
      </c>
    </row>
    <row r="5288" spans="1:7" x14ac:dyDescent="0.3">
      <c r="A5288" t="s">
        <v>76</v>
      </c>
      <c r="B5288" t="s">
        <v>8</v>
      </c>
      <c r="C5288" t="s">
        <v>18</v>
      </c>
      <c r="D5288">
        <v>0</v>
      </c>
      <c r="E5288" t="s">
        <v>68</v>
      </c>
      <c r="F5288" t="s">
        <v>36</v>
      </c>
      <c r="G5288" t="s">
        <v>37</v>
      </c>
    </row>
    <row r="5289" spans="1:7" x14ac:dyDescent="0.3">
      <c r="A5289" t="s">
        <v>76</v>
      </c>
      <c r="B5289" t="s">
        <v>8</v>
      </c>
      <c r="C5289" t="s">
        <v>19</v>
      </c>
      <c r="D5289">
        <v>0</v>
      </c>
      <c r="E5289" t="s">
        <v>68</v>
      </c>
      <c r="F5289" t="s">
        <v>36</v>
      </c>
      <c r="G5289" t="s">
        <v>37</v>
      </c>
    </row>
    <row r="5290" spans="1:7" x14ac:dyDescent="0.3">
      <c r="A5290" t="s">
        <v>76</v>
      </c>
      <c r="B5290" t="s">
        <v>8</v>
      </c>
      <c r="C5290" t="s">
        <v>20</v>
      </c>
      <c r="D5290">
        <v>0</v>
      </c>
      <c r="E5290" t="s">
        <v>68</v>
      </c>
      <c r="F5290" t="s">
        <v>36</v>
      </c>
      <c r="G5290" t="s">
        <v>37</v>
      </c>
    </row>
    <row r="5291" spans="1:7" x14ac:dyDescent="0.3">
      <c r="A5291" t="s">
        <v>76</v>
      </c>
      <c r="B5291" t="s">
        <v>8</v>
      </c>
      <c r="C5291" t="s">
        <v>21</v>
      </c>
      <c r="D5291">
        <v>0</v>
      </c>
      <c r="E5291" t="s">
        <v>68</v>
      </c>
      <c r="F5291" t="s">
        <v>36</v>
      </c>
      <c r="G5291" t="s">
        <v>37</v>
      </c>
    </row>
    <row r="5292" spans="1:7" x14ac:dyDescent="0.3">
      <c r="A5292" t="s">
        <v>76</v>
      </c>
      <c r="B5292" t="s">
        <v>8</v>
      </c>
      <c r="C5292" t="s">
        <v>22</v>
      </c>
      <c r="D5292">
        <v>0</v>
      </c>
      <c r="E5292" t="s">
        <v>68</v>
      </c>
      <c r="F5292" t="s">
        <v>36</v>
      </c>
      <c r="G5292" t="s">
        <v>37</v>
      </c>
    </row>
    <row r="5293" spans="1:7" x14ac:dyDescent="0.3">
      <c r="A5293" t="s">
        <v>76</v>
      </c>
      <c r="B5293" t="s">
        <v>23</v>
      </c>
      <c r="C5293" t="s">
        <v>9</v>
      </c>
      <c r="D5293">
        <v>486292</v>
      </c>
      <c r="E5293" t="s">
        <v>68</v>
      </c>
      <c r="F5293" t="s">
        <v>36</v>
      </c>
      <c r="G5293" t="s">
        <v>37</v>
      </c>
    </row>
    <row r="5294" spans="1:7" x14ac:dyDescent="0.3">
      <c r="A5294" t="s">
        <v>76</v>
      </c>
      <c r="B5294" t="s">
        <v>23</v>
      </c>
      <c r="C5294" t="s">
        <v>13</v>
      </c>
      <c r="D5294">
        <v>4686</v>
      </c>
      <c r="E5294" t="s">
        <v>68</v>
      </c>
      <c r="F5294" t="s">
        <v>36</v>
      </c>
      <c r="G5294" t="s">
        <v>37</v>
      </c>
    </row>
    <row r="5295" spans="1:7" x14ac:dyDescent="0.3">
      <c r="A5295" t="s">
        <v>76</v>
      </c>
      <c r="B5295" t="s">
        <v>23</v>
      </c>
      <c r="C5295" t="s">
        <v>14</v>
      </c>
      <c r="D5295">
        <v>3299</v>
      </c>
      <c r="E5295" t="s">
        <v>68</v>
      </c>
      <c r="F5295" t="s">
        <v>36</v>
      </c>
      <c r="G5295" t="s">
        <v>37</v>
      </c>
    </row>
    <row r="5296" spans="1:7" x14ac:dyDescent="0.3">
      <c r="A5296" t="s">
        <v>76</v>
      </c>
      <c r="B5296" t="s">
        <v>23</v>
      </c>
      <c r="C5296" t="s">
        <v>15</v>
      </c>
      <c r="D5296">
        <v>6332</v>
      </c>
      <c r="E5296" t="s">
        <v>68</v>
      </c>
      <c r="F5296" t="s">
        <v>36</v>
      </c>
      <c r="G5296" t="s">
        <v>37</v>
      </c>
    </row>
    <row r="5297" spans="1:7" x14ac:dyDescent="0.3">
      <c r="A5297" t="s">
        <v>76</v>
      </c>
      <c r="B5297" t="s">
        <v>23</v>
      </c>
      <c r="C5297" t="s">
        <v>16</v>
      </c>
      <c r="D5297">
        <v>90849</v>
      </c>
      <c r="E5297" t="s">
        <v>68</v>
      </c>
      <c r="F5297" t="s">
        <v>36</v>
      </c>
      <c r="G5297" t="s">
        <v>37</v>
      </c>
    </row>
    <row r="5298" spans="1:7" x14ac:dyDescent="0.3">
      <c r="A5298" t="s">
        <v>76</v>
      </c>
      <c r="B5298" t="s">
        <v>23</v>
      </c>
      <c r="C5298" t="s">
        <v>17</v>
      </c>
      <c r="D5298">
        <v>4437</v>
      </c>
      <c r="E5298" t="s">
        <v>68</v>
      </c>
      <c r="F5298" t="s">
        <v>36</v>
      </c>
      <c r="G5298" t="s">
        <v>37</v>
      </c>
    </row>
    <row r="5299" spans="1:7" x14ac:dyDescent="0.3">
      <c r="A5299" t="s">
        <v>76</v>
      </c>
      <c r="B5299" t="s">
        <v>23</v>
      </c>
      <c r="C5299" t="s">
        <v>18</v>
      </c>
      <c r="D5299">
        <v>0</v>
      </c>
      <c r="E5299" t="s">
        <v>68</v>
      </c>
      <c r="F5299" t="s">
        <v>36</v>
      </c>
      <c r="G5299" t="s">
        <v>37</v>
      </c>
    </row>
    <row r="5300" spans="1:7" x14ac:dyDescent="0.3">
      <c r="A5300" t="s">
        <v>76</v>
      </c>
      <c r="B5300" t="s">
        <v>23</v>
      </c>
      <c r="C5300" t="s">
        <v>19</v>
      </c>
      <c r="D5300">
        <v>3700</v>
      </c>
      <c r="E5300" t="s">
        <v>68</v>
      </c>
      <c r="F5300" t="s">
        <v>36</v>
      </c>
      <c r="G5300" t="s">
        <v>37</v>
      </c>
    </row>
    <row r="5301" spans="1:7" x14ac:dyDescent="0.3">
      <c r="A5301" t="s">
        <v>76</v>
      </c>
      <c r="B5301" t="s">
        <v>23</v>
      </c>
      <c r="C5301" t="s">
        <v>20</v>
      </c>
      <c r="D5301">
        <v>22173</v>
      </c>
      <c r="E5301" t="s">
        <v>68</v>
      </c>
      <c r="F5301" t="s">
        <v>36</v>
      </c>
      <c r="G5301" t="s">
        <v>37</v>
      </c>
    </row>
    <row r="5302" spans="1:7" x14ac:dyDescent="0.3">
      <c r="A5302" t="s">
        <v>76</v>
      </c>
      <c r="B5302" t="s">
        <v>23</v>
      </c>
      <c r="C5302" t="s">
        <v>21</v>
      </c>
      <c r="D5302">
        <v>975</v>
      </c>
      <c r="E5302" t="s">
        <v>68</v>
      </c>
      <c r="F5302" t="s">
        <v>36</v>
      </c>
      <c r="G5302" t="s">
        <v>37</v>
      </c>
    </row>
    <row r="5303" spans="1:7" x14ac:dyDescent="0.3">
      <c r="A5303" t="s">
        <v>76</v>
      </c>
      <c r="B5303" t="s">
        <v>23</v>
      </c>
      <c r="C5303" t="s">
        <v>22</v>
      </c>
      <c r="D5303">
        <v>1186</v>
      </c>
      <c r="E5303" t="s">
        <v>68</v>
      </c>
      <c r="F5303" t="s">
        <v>36</v>
      </c>
      <c r="G5303" t="s">
        <v>37</v>
      </c>
    </row>
    <row r="5304" spans="1:7" x14ac:dyDescent="0.3">
      <c r="A5304" t="s">
        <v>77</v>
      </c>
      <c r="B5304" t="s">
        <v>8</v>
      </c>
      <c r="C5304" t="s">
        <v>9</v>
      </c>
      <c r="D5304">
        <v>0</v>
      </c>
      <c r="E5304" t="s">
        <v>68</v>
      </c>
      <c r="F5304" t="s">
        <v>36</v>
      </c>
      <c r="G5304" t="s">
        <v>37</v>
      </c>
    </row>
    <row r="5305" spans="1:7" x14ac:dyDescent="0.3">
      <c r="A5305" t="s">
        <v>77</v>
      </c>
      <c r="B5305" t="s">
        <v>8</v>
      </c>
      <c r="C5305" t="s">
        <v>13</v>
      </c>
      <c r="D5305">
        <v>0</v>
      </c>
      <c r="E5305" t="s">
        <v>68</v>
      </c>
      <c r="F5305" t="s">
        <v>36</v>
      </c>
      <c r="G5305" t="s">
        <v>37</v>
      </c>
    </row>
    <row r="5306" spans="1:7" x14ac:dyDescent="0.3">
      <c r="A5306" t="s">
        <v>77</v>
      </c>
      <c r="B5306" t="s">
        <v>8</v>
      </c>
      <c r="C5306" t="s">
        <v>14</v>
      </c>
      <c r="D5306">
        <v>0</v>
      </c>
      <c r="E5306" t="s">
        <v>68</v>
      </c>
      <c r="F5306" t="s">
        <v>36</v>
      </c>
      <c r="G5306" t="s">
        <v>37</v>
      </c>
    </row>
    <row r="5307" spans="1:7" x14ac:dyDescent="0.3">
      <c r="A5307" t="s">
        <v>77</v>
      </c>
      <c r="B5307" t="s">
        <v>8</v>
      </c>
      <c r="C5307" t="s">
        <v>15</v>
      </c>
      <c r="D5307">
        <v>0</v>
      </c>
      <c r="E5307" t="s">
        <v>68</v>
      </c>
      <c r="F5307" t="s">
        <v>36</v>
      </c>
      <c r="G5307" t="s">
        <v>37</v>
      </c>
    </row>
    <row r="5308" spans="1:7" x14ac:dyDescent="0.3">
      <c r="A5308" t="s">
        <v>77</v>
      </c>
      <c r="B5308" t="s">
        <v>8</v>
      </c>
      <c r="C5308" t="s">
        <v>16</v>
      </c>
      <c r="D5308">
        <v>0</v>
      </c>
      <c r="E5308" t="s">
        <v>68</v>
      </c>
      <c r="F5308" t="s">
        <v>36</v>
      </c>
      <c r="G5308" t="s">
        <v>37</v>
      </c>
    </row>
    <row r="5309" spans="1:7" x14ac:dyDescent="0.3">
      <c r="A5309" t="s">
        <v>77</v>
      </c>
      <c r="B5309" t="s">
        <v>8</v>
      </c>
      <c r="C5309" t="s">
        <v>17</v>
      </c>
      <c r="D5309">
        <v>0</v>
      </c>
      <c r="E5309" t="s">
        <v>68</v>
      </c>
      <c r="F5309" t="s">
        <v>36</v>
      </c>
      <c r="G5309" t="s">
        <v>37</v>
      </c>
    </row>
    <row r="5310" spans="1:7" x14ac:dyDescent="0.3">
      <c r="A5310" t="s">
        <v>77</v>
      </c>
      <c r="B5310" t="s">
        <v>8</v>
      </c>
      <c r="C5310" t="s">
        <v>18</v>
      </c>
      <c r="D5310">
        <v>0</v>
      </c>
      <c r="E5310" t="s">
        <v>68</v>
      </c>
      <c r="F5310" t="s">
        <v>36</v>
      </c>
      <c r="G5310" t="s">
        <v>37</v>
      </c>
    </row>
    <row r="5311" spans="1:7" x14ac:dyDescent="0.3">
      <c r="A5311" t="s">
        <v>77</v>
      </c>
      <c r="B5311" t="s">
        <v>8</v>
      </c>
      <c r="C5311" t="s">
        <v>19</v>
      </c>
      <c r="D5311">
        <v>0</v>
      </c>
      <c r="E5311" t="s">
        <v>68</v>
      </c>
      <c r="F5311" t="s">
        <v>36</v>
      </c>
      <c r="G5311" t="s">
        <v>37</v>
      </c>
    </row>
    <row r="5312" spans="1:7" x14ac:dyDescent="0.3">
      <c r="A5312" t="s">
        <v>77</v>
      </c>
      <c r="B5312" t="s">
        <v>8</v>
      </c>
      <c r="C5312" t="s">
        <v>20</v>
      </c>
      <c r="D5312">
        <v>0</v>
      </c>
      <c r="E5312" t="s">
        <v>68</v>
      </c>
      <c r="F5312" t="s">
        <v>36</v>
      </c>
      <c r="G5312" t="s">
        <v>37</v>
      </c>
    </row>
    <row r="5313" spans="1:7" x14ac:dyDescent="0.3">
      <c r="A5313" t="s">
        <v>77</v>
      </c>
      <c r="B5313" t="s">
        <v>8</v>
      </c>
      <c r="C5313" t="s">
        <v>21</v>
      </c>
      <c r="D5313">
        <v>0</v>
      </c>
      <c r="E5313" t="s">
        <v>68</v>
      </c>
      <c r="F5313" t="s">
        <v>36</v>
      </c>
      <c r="G5313" t="s">
        <v>37</v>
      </c>
    </row>
    <row r="5314" spans="1:7" x14ac:dyDescent="0.3">
      <c r="A5314" t="s">
        <v>77</v>
      </c>
      <c r="B5314" t="s">
        <v>8</v>
      </c>
      <c r="C5314" t="s">
        <v>22</v>
      </c>
      <c r="D5314">
        <v>0</v>
      </c>
      <c r="E5314" t="s">
        <v>68</v>
      </c>
      <c r="F5314" t="s">
        <v>36</v>
      </c>
      <c r="G5314" t="s">
        <v>37</v>
      </c>
    </row>
    <row r="5315" spans="1:7" x14ac:dyDescent="0.3">
      <c r="A5315" t="s">
        <v>77</v>
      </c>
      <c r="B5315" t="s">
        <v>23</v>
      </c>
      <c r="C5315" t="s">
        <v>9</v>
      </c>
      <c r="D5315">
        <v>314</v>
      </c>
      <c r="E5315" t="s">
        <v>68</v>
      </c>
      <c r="F5315" t="s">
        <v>36</v>
      </c>
      <c r="G5315" t="s">
        <v>37</v>
      </c>
    </row>
    <row r="5316" spans="1:7" x14ac:dyDescent="0.3">
      <c r="A5316" t="s">
        <v>77</v>
      </c>
      <c r="B5316" t="s">
        <v>23</v>
      </c>
      <c r="C5316" t="s">
        <v>13</v>
      </c>
      <c r="D5316">
        <v>1420</v>
      </c>
      <c r="E5316" t="s">
        <v>68</v>
      </c>
      <c r="F5316" t="s">
        <v>36</v>
      </c>
      <c r="G5316" t="s">
        <v>37</v>
      </c>
    </row>
    <row r="5317" spans="1:7" x14ac:dyDescent="0.3">
      <c r="A5317" t="s">
        <v>77</v>
      </c>
      <c r="B5317" t="s">
        <v>23</v>
      </c>
      <c r="C5317" t="s">
        <v>14</v>
      </c>
      <c r="D5317">
        <v>329</v>
      </c>
      <c r="E5317" t="s">
        <v>68</v>
      </c>
      <c r="F5317" t="s">
        <v>36</v>
      </c>
      <c r="G5317" t="s">
        <v>37</v>
      </c>
    </row>
    <row r="5318" spans="1:7" x14ac:dyDescent="0.3">
      <c r="A5318" t="s">
        <v>77</v>
      </c>
      <c r="B5318" t="s">
        <v>23</v>
      </c>
      <c r="C5318" t="s">
        <v>15</v>
      </c>
      <c r="D5318">
        <v>5110</v>
      </c>
      <c r="E5318" t="s">
        <v>68</v>
      </c>
      <c r="F5318" t="s">
        <v>36</v>
      </c>
      <c r="G5318" t="s">
        <v>37</v>
      </c>
    </row>
    <row r="5319" spans="1:7" x14ac:dyDescent="0.3">
      <c r="A5319" t="s">
        <v>77</v>
      </c>
      <c r="B5319" t="s">
        <v>23</v>
      </c>
      <c r="C5319" t="s">
        <v>16</v>
      </c>
      <c r="D5319">
        <v>3583</v>
      </c>
      <c r="E5319" t="s">
        <v>68</v>
      </c>
      <c r="F5319" t="s">
        <v>36</v>
      </c>
      <c r="G5319" t="s">
        <v>37</v>
      </c>
    </row>
    <row r="5320" spans="1:7" x14ac:dyDescent="0.3">
      <c r="A5320" t="s">
        <v>77</v>
      </c>
      <c r="B5320" t="s">
        <v>23</v>
      </c>
      <c r="C5320" t="s">
        <v>17</v>
      </c>
      <c r="D5320">
        <v>39</v>
      </c>
      <c r="E5320" t="s">
        <v>68</v>
      </c>
      <c r="F5320" t="s">
        <v>36</v>
      </c>
      <c r="G5320" t="s">
        <v>37</v>
      </c>
    </row>
    <row r="5321" spans="1:7" x14ac:dyDescent="0.3">
      <c r="A5321" t="s">
        <v>77</v>
      </c>
      <c r="B5321" t="s">
        <v>23</v>
      </c>
      <c r="C5321" t="s">
        <v>18</v>
      </c>
      <c r="D5321">
        <v>0</v>
      </c>
      <c r="E5321" t="s">
        <v>68</v>
      </c>
      <c r="F5321" t="s">
        <v>36</v>
      </c>
      <c r="G5321" t="s">
        <v>37</v>
      </c>
    </row>
    <row r="5322" spans="1:7" x14ac:dyDescent="0.3">
      <c r="A5322" t="s">
        <v>77</v>
      </c>
      <c r="B5322" t="s">
        <v>23</v>
      </c>
      <c r="C5322" t="s">
        <v>19</v>
      </c>
      <c r="D5322">
        <v>241</v>
      </c>
      <c r="E5322" t="s">
        <v>68</v>
      </c>
      <c r="F5322" t="s">
        <v>36</v>
      </c>
      <c r="G5322" t="s">
        <v>37</v>
      </c>
    </row>
    <row r="5323" spans="1:7" x14ac:dyDescent="0.3">
      <c r="A5323" t="s">
        <v>77</v>
      </c>
      <c r="B5323" t="s">
        <v>23</v>
      </c>
      <c r="C5323" t="s">
        <v>20</v>
      </c>
      <c r="D5323">
        <v>1152564</v>
      </c>
      <c r="E5323" t="s">
        <v>68</v>
      </c>
      <c r="F5323" t="s">
        <v>36</v>
      </c>
      <c r="G5323" t="s">
        <v>37</v>
      </c>
    </row>
    <row r="5324" spans="1:7" x14ac:dyDescent="0.3">
      <c r="A5324" t="s">
        <v>77</v>
      </c>
      <c r="B5324" t="s">
        <v>23</v>
      </c>
      <c r="C5324" t="s">
        <v>21</v>
      </c>
      <c r="D5324">
        <v>3158</v>
      </c>
      <c r="E5324" t="s">
        <v>68</v>
      </c>
      <c r="F5324" t="s">
        <v>36</v>
      </c>
      <c r="G5324" t="s">
        <v>37</v>
      </c>
    </row>
    <row r="5325" spans="1:7" x14ac:dyDescent="0.3">
      <c r="A5325" t="s">
        <v>77</v>
      </c>
      <c r="B5325" t="s">
        <v>23</v>
      </c>
      <c r="C5325" t="s">
        <v>22</v>
      </c>
      <c r="D5325">
        <v>627</v>
      </c>
      <c r="E5325" t="s">
        <v>68</v>
      </c>
      <c r="F5325" t="s">
        <v>36</v>
      </c>
      <c r="G5325" t="s">
        <v>37</v>
      </c>
    </row>
    <row r="5326" spans="1:7" x14ac:dyDescent="0.3">
      <c r="A5326" t="s">
        <v>78</v>
      </c>
      <c r="B5326" t="s">
        <v>8</v>
      </c>
      <c r="C5326" t="s">
        <v>9</v>
      </c>
      <c r="D5326">
        <v>0</v>
      </c>
      <c r="E5326" t="s">
        <v>68</v>
      </c>
      <c r="F5326" t="s">
        <v>36</v>
      </c>
      <c r="G5326" t="s">
        <v>37</v>
      </c>
    </row>
    <row r="5327" spans="1:7" x14ac:dyDescent="0.3">
      <c r="A5327" t="s">
        <v>78</v>
      </c>
      <c r="B5327" t="s">
        <v>8</v>
      </c>
      <c r="C5327" t="s">
        <v>13</v>
      </c>
      <c r="D5327">
        <v>0</v>
      </c>
      <c r="E5327" t="s">
        <v>68</v>
      </c>
      <c r="F5327" t="s">
        <v>36</v>
      </c>
      <c r="G5327" t="s">
        <v>37</v>
      </c>
    </row>
    <row r="5328" spans="1:7" x14ac:dyDescent="0.3">
      <c r="A5328" t="s">
        <v>78</v>
      </c>
      <c r="B5328" t="s">
        <v>8</v>
      </c>
      <c r="C5328" t="s">
        <v>14</v>
      </c>
      <c r="D5328">
        <v>0</v>
      </c>
      <c r="E5328" t="s">
        <v>68</v>
      </c>
      <c r="F5328" t="s">
        <v>36</v>
      </c>
      <c r="G5328" t="s">
        <v>37</v>
      </c>
    </row>
    <row r="5329" spans="1:7" x14ac:dyDescent="0.3">
      <c r="A5329" t="s">
        <v>78</v>
      </c>
      <c r="B5329" t="s">
        <v>8</v>
      </c>
      <c r="C5329" t="s">
        <v>15</v>
      </c>
      <c r="D5329">
        <v>0</v>
      </c>
      <c r="E5329" t="s">
        <v>68</v>
      </c>
      <c r="F5329" t="s">
        <v>36</v>
      </c>
      <c r="G5329" t="s">
        <v>37</v>
      </c>
    </row>
    <row r="5330" spans="1:7" x14ac:dyDescent="0.3">
      <c r="A5330" t="s">
        <v>78</v>
      </c>
      <c r="B5330" t="s">
        <v>8</v>
      </c>
      <c r="C5330" t="s">
        <v>16</v>
      </c>
      <c r="D5330">
        <v>0</v>
      </c>
      <c r="E5330" t="s">
        <v>68</v>
      </c>
      <c r="F5330" t="s">
        <v>36</v>
      </c>
      <c r="G5330" t="s">
        <v>37</v>
      </c>
    </row>
    <row r="5331" spans="1:7" x14ac:dyDescent="0.3">
      <c r="A5331" t="s">
        <v>78</v>
      </c>
      <c r="B5331" t="s">
        <v>8</v>
      </c>
      <c r="C5331" t="s">
        <v>17</v>
      </c>
      <c r="D5331">
        <v>0</v>
      </c>
      <c r="E5331" t="s">
        <v>68</v>
      </c>
      <c r="F5331" t="s">
        <v>36</v>
      </c>
      <c r="G5331" t="s">
        <v>37</v>
      </c>
    </row>
    <row r="5332" spans="1:7" x14ac:dyDescent="0.3">
      <c r="A5332" t="s">
        <v>78</v>
      </c>
      <c r="B5332" t="s">
        <v>8</v>
      </c>
      <c r="C5332" t="s">
        <v>18</v>
      </c>
      <c r="D5332">
        <v>0</v>
      </c>
      <c r="E5332" t="s">
        <v>68</v>
      </c>
      <c r="F5332" t="s">
        <v>36</v>
      </c>
      <c r="G5332" t="s">
        <v>37</v>
      </c>
    </row>
    <row r="5333" spans="1:7" x14ac:dyDescent="0.3">
      <c r="A5333" t="s">
        <v>78</v>
      </c>
      <c r="B5333" t="s">
        <v>8</v>
      </c>
      <c r="C5333" t="s">
        <v>19</v>
      </c>
      <c r="D5333">
        <v>0</v>
      </c>
      <c r="E5333" t="s">
        <v>68</v>
      </c>
      <c r="F5333" t="s">
        <v>36</v>
      </c>
      <c r="G5333" t="s">
        <v>37</v>
      </c>
    </row>
    <row r="5334" spans="1:7" x14ac:dyDescent="0.3">
      <c r="A5334" t="s">
        <v>78</v>
      </c>
      <c r="B5334" t="s">
        <v>8</v>
      </c>
      <c r="C5334" t="s">
        <v>20</v>
      </c>
      <c r="D5334">
        <v>0</v>
      </c>
      <c r="E5334" t="s">
        <v>68</v>
      </c>
      <c r="F5334" t="s">
        <v>36</v>
      </c>
      <c r="G5334" t="s">
        <v>37</v>
      </c>
    </row>
    <row r="5335" spans="1:7" x14ac:dyDescent="0.3">
      <c r="A5335" t="s">
        <v>78</v>
      </c>
      <c r="B5335" t="s">
        <v>8</v>
      </c>
      <c r="C5335" t="s">
        <v>21</v>
      </c>
      <c r="D5335">
        <v>0</v>
      </c>
      <c r="E5335" t="s">
        <v>68</v>
      </c>
      <c r="F5335" t="s">
        <v>36</v>
      </c>
      <c r="G5335" t="s">
        <v>37</v>
      </c>
    </row>
    <row r="5336" spans="1:7" x14ac:dyDescent="0.3">
      <c r="A5336" t="s">
        <v>78</v>
      </c>
      <c r="B5336" t="s">
        <v>8</v>
      </c>
      <c r="C5336" t="s">
        <v>22</v>
      </c>
      <c r="D5336">
        <v>0</v>
      </c>
      <c r="E5336" t="s">
        <v>68</v>
      </c>
      <c r="F5336" t="s">
        <v>36</v>
      </c>
      <c r="G5336" t="s">
        <v>37</v>
      </c>
    </row>
    <row r="5337" spans="1:7" x14ac:dyDescent="0.3">
      <c r="A5337" t="s">
        <v>78</v>
      </c>
      <c r="B5337" t="s">
        <v>23</v>
      </c>
      <c r="C5337" t="s">
        <v>9</v>
      </c>
      <c r="D5337">
        <v>215</v>
      </c>
      <c r="E5337" t="s">
        <v>68</v>
      </c>
      <c r="F5337" t="s">
        <v>36</v>
      </c>
      <c r="G5337" t="s">
        <v>37</v>
      </c>
    </row>
    <row r="5338" spans="1:7" x14ac:dyDescent="0.3">
      <c r="A5338" t="s">
        <v>78</v>
      </c>
      <c r="B5338" t="s">
        <v>23</v>
      </c>
      <c r="C5338" t="s">
        <v>13</v>
      </c>
      <c r="D5338">
        <v>34</v>
      </c>
      <c r="E5338" t="s">
        <v>68</v>
      </c>
      <c r="F5338" t="s">
        <v>36</v>
      </c>
      <c r="G5338" t="s">
        <v>37</v>
      </c>
    </row>
    <row r="5339" spans="1:7" x14ac:dyDescent="0.3">
      <c r="A5339" t="s">
        <v>78</v>
      </c>
      <c r="B5339" t="s">
        <v>23</v>
      </c>
      <c r="C5339" t="s">
        <v>14</v>
      </c>
      <c r="D5339">
        <v>695</v>
      </c>
      <c r="E5339" t="s">
        <v>68</v>
      </c>
      <c r="F5339" t="s">
        <v>36</v>
      </c>
      <c r="G5339" t="s">
        <v>37</v>
      </c>
    </row>
    <row r="5340" spans="1:7" x14ac:dyDescent="0.3">
      <c r="A5340" t="s">
        <v>78</v>
      </c>
      <c r="B5340" t="s">
        <v>23</v>
      </c>
      <c r="C5340" t="s">
        <v>15</v>
      </c>
      <c r="D5340">
        <v>99</v>
      </c>
      <c r="E5340" t="s">
        <v>68</v>
      </c>
      <c r="F5340" t="s">
        <v>36</v>
      </c>
      <c r="G5340" t="s">
        <v>37</v>
      </c>
    </row>
    <row r="5341" spans="1:7" x14ac:dyDescent="0.3">
      <c r="A5341" t="s">
        <v>78</v>
      </c>
      <c r="B5341" t="s">
        <v>23</v>
      </c>
      <c r="C5341" t="s">
        <v>16</v>
      </c>
      <c r="D5341">
        <v>548668</v>
      </c>
      <c r="E5341" t="s">
        <v>68</v>
      </c>
      <c r="F5341" t="s">
        <v>36</v>
      </c>
      <c r="G5341" t="s">
        <v>37</v>
      </c>
    </row>
    <row r="5342" spans="1:7" x14ac:dyDescent="0.3">
      <c r="A5342" t="s">
        <v>78</v>
      </c>
      <c r="B5342" t="s">
        <v>23</v>
      </c>
      <c r="C5342" t="s">
        <v>17</v>
      </c>
      <c r="D5342">
        <v>54</v>
      </c>
      <c r="E5342" t="s">
        <v>68</v>
      </c>
      <c r="F5342" t="s">
        <v>36</v>
      </c>
      <c r="G5342" t="s">
        <v>37</v>
      </c>
    </row>
    <row r="5343" spans="1:7" x14ac:dyDescent="0.3">
      <c r="A5343" t="s">
        <v>78</v>
      </c>
      <c r="B5343" t="s">
        <v>23</v>
      </c>
      <c r="C5343" t="s">
        <v>18</v>
      </c>
      <c r="D5343">
        <v>0</v>
      </c>
      <c r="E5343" t="s">
        <v>68</v>
      </c>
      <c r="F5343" t="s">
        <v>36</v>
      </c>
      <c r="G5343" t="s">
        <v>37</v>
      </c>
    </row>
    <row r="5344" spans="1:7" x14ac:dyDescent="0.3">
      <c r="A5344" t="s">
        <v>78</v>
      </c>
      <c r="B5344" t="s">
        <v>23</v>
      </c>
      <c r="C5344" t="s">
        <v>19</v>
      </c>
      <c r="D5344">
        <v>12</v>
      </c>
      <c r="E5344" t="s">
        <v>68</v>
      </c>
      <c r="F5344" t="s">
        <v>36</v>
      </c>
      <c r="G5344" t="s">
        <v>37</v>
      </c>
    </row>
    <row r="5345" spans="1:7" x14ac:dyDescent="0.3">
      <c r="A5345" t="s">
        <v>78</v>
      </c>
      <c r="B5345" t="s">
        <v>23</v>
      </c>
      <c r="C5345" t="s">
        <v>20</v>
      </c>
      <c r="D5345">
        <v>754</v>
      </c>
      <c r="E5345" t="s">
        <v>68</v>
      </c>
      <c r="F5345" t="s">
        <v>36</v>
      </c>
      <c r="G5345" t="s">
        <v>37</v>
      </c>
    </row>
    <row r="5346" spans="1:7" x14ac:dyDescent="0.3">
      <c r="A5346" t="s">
        <v>78</v>
      </c>
      <c r="B5346" t="s">
        <v>23</v>
      </c>
      <c r="C5346" t="s">
        <v>21</v>
      </c>
      <c r="D5346">
        <v>251</v>
      </c>
      <c r="E5346" t="s">
        <v>68</v>
      </c>
      <c r="F5346" t="s">
        <v>36</v>
      </c>
      <c r="G5346" t="s">
        <v>37</v>
      </c>
    </row>
    <row r="5347" spans="1:7" x14ac:dyDescent="0.3">
      <c r="A5347" t="s">
        <v>78</v>
      </c>
      <c r="B5347" t="s">
        <v>23</v>
      </c>
      <c r="C5347" t="s">
        <v>22</v>
      </c>
      <c r="D5347">
        <v>122</v>
      </c>
      <c r="E5347" t="s">
        <v>68</v>
      </c>
      <c r="F5347" t="s">
        <v>36</v>
      </c>
      <c r="G5347" t="s">
        <v>37</v>
      </c>
    </row>
    <row r="5348" spans="1:7" x14ac:dyDescent="0.3">
      <c r="A5348" t="s">
        <v>79</v>
      </c>
      <c r="B5348" t="s">
        <v>8</v>
      </c>
      <c r="C5348" t="s">
        <v>9</v>
      </c>
      <c r="D5348">
        <v>0</v>
      </c>
      <c r="E5348" t="s">
        <v>68</v>
      </c>
      <c r="F5348" t="s">
        <v>36</v>
      </c>
      <c r="G5348" t="s">
        <v>37</v>
      </c>
    </row>
    <row r="5349" spans="1:7" x14ac:dyDescent="0.3">
      <c r="A5349" t="s">
        <v>79</v>
      </c>
      <c r="B5349" t="s">
        <v>8</v>
      </c>
      <c r="C5349" t="s">
        <v>13</v>
      </c>
      <c r="D5349">
        <v>0</v>
      </c>
      <c r="E5349" t="s">
        <v>68</v>
      </c>
      <c r="F5349" t="s">
        <v>36</v>
      </c>
      <c r="G5349" t="s">
        <v>37</v>
      </c>
    </row>
    <row r="5350" spans="1:7" x14ac:dyDescent="0.3">
      <c r="A5350" t="s">
        <v>79</v>
      </c>
      <c r="B5350" t="s">
        <v>8</v>
      </c>
      <c r="C5350" t="s">
        <v>14</v>
      </c>
      <c r="D5350">
        <v>0</v>
      </c>
      <c r="E5350" t="s">
        <v>68</v>
      </c>
      <c r="F5350" t="s">
        <v>36</v>
      </c>
      <c r="G5350" t="s">
        <v>37</v>
      </c>
    </row>
    <row r="5351" spans="1:7" x14ac:dyDescent="0.3">
      <c r="A5351" t="s">
        <v>79</v>
      </c>
      <c r="B5351" t="s">
        <v>8</v>
      </c>
      <c r="C5351" t="s">
        <v>15</v>
      </c>
      <c r="D5351">
        <v>0</v>
      </c>
      <c r="E5351" t="s">
        <v>68</v>
      </c>
      <c r="F5351" t="s">
        <v>36</v>
      </c>
      <c r="G5351" t="s">
        <v>37</v>
      </c>
    </row>
    <row r="5352" spans="1:7" x14ac:dyDescent="0.3">
      <c r="A5352" t="s">
        <v>79</v>
      </c>
      <c r="B5352" t="s">
        <v>8</v>
      </c>
      <c r="C5352" t="s">
        <v>16</v>
      </c>
      <c r="D5352">
        <v>0</v>
      </c>
      <c r="E5352" t="s">
        <v>68</v>
      </c>
      <c r="F5352" t="s">
        <v>36</v>
      </c>
      <c r="G5352" t="s">
        <v>37</v>
      </c>
    </row>
    <row r="5353" spans="1:7" x14ac:dyDescent="0.3">
      <c r="A5353" t="s">
        <v>79</v>
      </c>
      <c r="B5353" t="s">
        <v>8</v>
      </c>
      <c r="C5353" t="s">
        <v>17</v>
      </c>
      <c r="D5353">
        <v>0</v>
      </c>
      <c r="E5353" t="s">
        <v>68</v>
      </c>
      <c r="F5353" t="s">
        <v>36</v>
      </c>
      <c r="G5353" t="s">
        <v>37</v>
      </c>
    </row>
    <row r="5354" spans="1:7" x14ac:dyDescent="0.3">
      <c r="A5354" t="s">
        <v>79</v>
      </c>
      <c r="B5354" t="s">
        <v>8</v>
      </c>
      <c r="C5354" t="s">
        <v>18</v>
      </c>
      <c r="D5354">
        <v>0</v>
      </c>
      <c r="E5354" t="s">
        <v>68</v>
      </c>
      <c r="F5354" t="s">
        <v>36</v>
      </c>
      <c r="G5354" t="s">
        <v>37</v>
      </c>
    </row>
    <row r="5355" spans="1:7" x14ac:dyDescent="0.3">
      <c r="A5355" t="s">
        <v>79</v>
      </c>
      <c r="B5355" t="s">
        <v>8</v>
      </c>
      <c r="C5355" t="s">
        <v>19</v>
      </c>
      <c r="D5355">
        <v>0</v>
      </c>
      <c r="E5355" t="s">
        <v>68</v>
      </c>
      <c r="F5355" t="s">
        <v>36</v>
      </c>
      <c r="G5355" t="s">
        <v>37</v>
      </c>
    </row>
    <row r="5356" spans="1:7" x14ac:dyDescent="0.3">
      <c r="A5356" t="s">
        <v>79</v>
      </c>
      <c r="B5356" t="s">
        <v>8</v>
      </c>
      <c r="C5356" t="s">
        <v>20</v>
      </c>
      <c r="D5356">
        <v>0</v>
      </c>
      <c r="E5356" t="s">
        <v>68</v>
      </c>
      <c r="F5356" t="s">
        <v>36</v>
      </c>
      <c r="G5356" t="s">
        <v>37</v>
      </c>
    </row>
    <row r="5357" spans="1:7" x14ac:dyDescent="0.3">
      <c r="A5357" t="s">
        <v>79</v>
      </c>
      <c r="B5357" t="s">
        <v>8</v>
      </c>
      <c r="C5357" t="s">
        <v>21</v>
      </c>
      <c r="D5357">
        <v>0</v>
      </c>
      <c r="E5357" t="s">
        <v>68</v>
      </c>
      <c r="F5357" t="s">
        <v>36</v>
      </c>
      <c r="G5357" t="s">
        <v>37</v>
      </c>
    </row>
    <row r="5358" spans="1:7" x14ac:dyDescent="0.3">
      <c r="A5358" t="s">
        <v>79</v>
      </c>
      <c r="B5358" t="s">
        <v>8</v>
      </c>
      <c r="C5358" t="s">
        <v>22</v>
      </c>
      <c r="D5358">
        <v>0</v>
      </c>
      <c r="E5358" t="s">
        <v>68</v>
      </c>
      <c r="F5358" t="s">
        <v>36</v>
      </c>
      <c r="G5358" t="s">
        <v>37</v>
      </c>
    </row>
    <row r="5359" spans="1:7" x14ac:dyDescent="0.3">
      <c r="A5359" t="s">
        <v>79</v>
      </c>
      <c r="B5359" t="s">
        <v>23</v>
      </c>
      <c r="C5359" t="s">
        <v>9</v>
      </c>
      <c r="D5359">
        <v>184</v>
      </c>
      <c r="E5359" t="s">
        <v>68</v>
      </c>
      <c r="F5359" t="s">
        <v>36</v>
      </c>
      <c r="G5359" t="s">
        <v>37</v>
      </c>
    </row>
    <row r="5360" spans="1:7" x14ac:dyDescent="0.3">
      <c r="A5360" t="s">
        <v>79</v>
      </c>
      <c r="B5360" t="s">
        <v>23</v>
      </c>
      <c r="C5360" t="s">
        <v>13</v>
      </c>
      <c r="D5360">
        <v>29</v>
      </c>
      <c r="E5360" t="s">
        <v>68</v>
      </c>
      <c r="F5360" t="s">
        <v>36</v>
      </c>
      <c r="G5360" t="s">
        <v>37</v>
      </c>
    </row>
    <row r="5361" spans="1:7" x14ac:dyDescent="0.3">
      <c r="A5361" t="s">
        <v>79</v>
      </c>
      <c r="B5361" t="s">
        <v>23</v>
      </c>
      <c r="C5361" t="s">
        <v>14</v>
      </c>
      <c r="D5361">
        <v>594</v>
      </c>
      <c r="E5361" t="s">
        <v>68</v>
      </c>
      <c r="F5361" t="s">
        <v>36</v>
      </c>
      <c r="G5361" t="s">
        <v>37</v>
      </c>
    </row>
    <row r="5362" spans="1:7" x14ac:dyDescent="0.3">
      <c r="A5362" t="s">
        <v>79</v>
      </c>
      <c r="B5362" t="s">
        <v>23</v>
      </c>
      <c r="C5362" t="s">
        <v>15</v>
      </c>
      <c r="D5362">
        <v>84</v>
      </c>
      <c r="E5362" t="s">
        <v>68</v>
      </c>
      <c r="F5362" t="s">
        <v>36</v>
      </c>
      <c r="G5362" t="s">
        <v>37</v>
      </c>
    </row>
    <row r="5363" spans="1:7" x14ac:dyDescent="0.3">
      <c r="A5363" t="s">
        <v>79</v>
      </c>
      <c r="B5363" t="s">
        <v>23</v>
      </c>
      <c r="C5363" t="s">
        <v>16</v>
      </c>
      <c r="D5363">
        <v>469416</v>
      </c>
      <c r="E5363" t="s">
        <v>68</v>
      </c>
      <c r="F5363" t="s">
        <v>36</v>
      </c>
      <c r="G5363" t="s">
        <v>37</v>
      </c>
    </row>
    <row r="5364" spans="1:7" x14ac:dyDescent="0.3">
      <c r="A5364" t="s">
        <v>79</v>
      </c>
      <c r="B5364" t="s">
        <v>23</v>
      </c>
      <c r="C5364" t="s">
        <v>17</v>
      </c>
      <c r="D5364">
        <v>46</v>
      </c>
      <c r="E5364" t="s">
        <v>68</v>
      </c>
      <c r="F5364" t="s">
        <v>36</v>
      </c>
      <c r="G5364" t="s">
        <v>37</v>
      </c>
    </row>
    <row r="5365" spans="1:7" x14ac:dyDescent="0.3">
      <c r="A5365" t="s">
        <v>79</v>
      </c>
      <c r="B5365" t="s">
        <v>23</v>
      </c>
      <c r="C5365" t="s">
        <v>18</v>
      </c>
      <c r="D5365">
        <v>0</v>
      </c>
      <c r="E5365" t="s">
        <v>68</v>
      </c>
      <c r="F5365" t="s">
        <v>36</v>
      </c>
      <c r="G5365" t="s">
        <v>37</v>
      </c>
    </row>
    <row r="5366" spans="1:7" x14ac:dyDescent="0.3">
      <c r="A5366" t="s">
        <v>79</v>
      </c>
      <c r="B5366" t="s">
        <v>23</v>
      </c>
      <c r="C5366" t="s">
        <v>19</v>
      </c>
      <c r="D5366">
        <v>10</v>
      </c>
      <c r="E5366" t="s">
        <v>68</v>
      </c>
      <c r="F5366" t="s">
        <v>36</v>
      </c>
      <c r="G5366" t="s">
        <v>37</v>
      </c>
    </row>
    <row r="5367" spans="1:7" x14ac:dyDescent="0.3">
      <c r="A5367" t="s">
        <v>79</v>
      </c>
      <c r="B5367" t="s">
        <v>23</v>
      </c>
      <c r="C5367" t="s">
        <v>20</v>
      </c>
      <c r="D5367">
        <v>645</v>
      </c>
      <c r="E5367" t="s">
        <v>68</v>
      </c>
      <c r="F5367" t="s">
        <v>36</v>
      </c>
      <c r="G5367" t="s">
        <v>37</v>
      </c>
    </row>
    <row r="5368" spans="1:7" x14ac:dyDescent="0.3">
      <c r="A5368" t="s">
        <v>79</v>
      </c>
      <c r="B5368" t="s">
        <v>23</v>
      </c>
      <c r="C5368" t="s">
        <v>21</v>
      </c>
      <c r="D5368">
        <v>215</v>
      </c>
      <c r="E5368" t="s">
        <v>68</v>
      </c>
      <c r="F5368" t="s">
        <v>36</v>
      </c>
      <c r="G5368" t="s">
        <v>37</v>
      </c>
    </row>
    <row r="5369" spans="1:7" x14ac:dyDescent="0.3">
      <c r="A5369" t="s">
        <v>79</v>
      </c>
      <c r="B5369" t="s">
        <v>23</v>
      </c>
      <c r="C5369" t="s">
        <v>22</v>
      </c>
      <c r="D5369">
        <v>104</v>
      </c>
      <c r="E5369" t="s">
        <v>68</v>
      </c>
      <c r="F5369" t="s">
        <v>36</v>
      </c>
      <c r="G5369" t="s">
        <v>37</v>
      </c>
    </row>
    <row r="5370" spans="1:7" x14ac:dyDescent="0.3">
      <c r="A5370" t="s">
        <v>80</v>
      </c>
      <c r="B5370" t="s">
        <v>8</v>
      </c>
      <c r="C5370" t="s">
        <v>9</v>
      </c>
      <c r="D5370">
        <v>0</v>
      </c>
      <c r="E5370" t="s">
        <v>68</v>
      </c>
      <c r="F5370" t="s">
        <v>36</v>
      </c>
      <c r="G5370" t="s">
        <v>37</v>
      </c>
    </row>
    <row r="5371" spans="1:7" x14ac:dyDescent="0.3">
      <c r="A5371" t="s">
        <v>80</v>
      </c>
      <c r="B5371" t="s">
        <v>8</v>
      </c>
      <c r="C5371" t="s">
        <v>13</v>
      </c>
      <c r="D5371">
        <v>0</v>
      </c>
      <c r="E5371" t="s">
        <v>68</v>
      </c>
      <c r="F5371" t="s">
        <v>36</v>
      </c>
      <c r="G5371" t="s">
        <v>37</v>
      </c>
    </row>
    <row r="5372" spans="1:7" x14ac:dyDescent="0.3">
      <c r="A5372" t="s">
        <v>80</v>
      </c>
      <c r="B5372" t="s">
        <v>8</v>
      </c>
      <c r="C5372" t="s">
        <v>14</v>
      </c>
      <c r="D5372">
        <v>0</v>
      </c>
      <c r="E5372" t="s">
        <v>68</v>
      </c>
      <c r="F5372" t="s">
        <v>36</v>
      </c>
      <c r="G5372" t="s">
        <v>37</v>
      </c>
    </row>
    <row r="5373" spans="1:7" x14ac:dyDescent="0.3">
      <c r="A5373" t="s">
        <v>80</v>
      </c>
      <c r="B5373" t="s">
        <v>8</v>
      </c>
      <c r="C5373" t="s">
        <v>15</v>
      </c>
      <c r="D5373">
        <v>0</v>
      </c>
      <c r="E5373" t="s">
        <v>68</v>
      </c>
      <c r="F5373" t="s">
        <v>36</v>
      </c>
      <c r="G5373" t="s">
        <v>37</v>
      </c>
    </row>
    <row r="5374" spans="1:7" x14ac:dyDescent="0.3">
      <c r="A5374" t="s">
        <v>80</v>
      </c>
      <c r="B5374" t="s">
        <v>8</v>
      </c>
      <c r="C5374" t="s">
        <v>16</v>
      </c>
      <c r="D5374">
        <v>0</v>
      </c>
      <c r="E5374" t="s">
        <v>68</v>
      </c>
      <c r="F5374" t="s">
        <v>36</v>
      </c>
      <c r="G5374" t="s">
        <v>37</v>
      </c>
    </row>
    <row r="5375" spans="1:7" x14ac:dyDescent="0.3">
      <c r="A5375" t="s">
        <v>80</v>
      </c>
      <c r="B5375" t="s">
        <v>8</v>
      </c>
      <c r="C5375" t="s">
        <v>17</v>
      </c>
      <c r="D5375">
        <v>0</v>
      </c>
      <c r="E5375" t="s">
        <v>68</v>
      </c>
      <c r="F5375" t="s">
        <v>36</v>
      </c>
      <c r="G5375" t="s">
        <v>37</v>
      </c>
    </row>
    <row r="5376" spans="1:7" x14ac:dyDescent="0.3">
      <c r="A5376" t="s">
        <v>80</v>
      </c>
      <c r="B5376" t="s">
        <v>8</v>
      </c>
      <c r="C5376" t="s">
        <v>18</v>
      </c>
      <c r="D5376">
        <v>0</v>
      </c>
      <c r="E5376" t="s">
        <v>68</v>
      </c>
      <c r="F5376" t="s">
        <v>36</v>
      </c>
      <c r="G5376" t="s">
        <v>37</v>
      </c>
    </row>
    <row r="5377" spans="1:7" x14ac:dyDescent="0.3">
      <c r="A5377" t="s">
        <v>80</v>
      </c>
      <c r="B5377" t="s">
        <v>8</v>
      </c>
      <c r="C5377" t="s">
        <v>19</v>
      </c>
      <c r="D5377">
        <v>0</v>
      </c>
      <c r="E5377" t="s">
        <v>68</v>
      </c>
      <c r="F5377" t="s">
        <v>36</v>
      </c>
      <c r="G5377" t="s">
        <v>37</v>
      </c>
    </row>
    <row r="5378" spans="1:7" x14ac:dyDescent="0.3">
      <c r="A5378" t="s">
        <v>80</v>
      </c>
      <c r="B5378" t="s">
        <v>8</v>
      </c>
      <c r="C5378" t="s">
        <v>20</v>
      </c>
      <c r="D5378">
        <v>0</v>
      </c>
      <c r="E5378" t="s">
        <v>68</v>
      </c>
      <c r="F5378" t="s">
        <v>36</v>
      </c>
      <c r="G5378" t="s">
        <v>37</v>
      </c>
    </row>
    <row r="5379" spans="1:7" x14ac:dyDescent="0.3">
      <c r="A5379" t="s">
        <v>80</v>
      </c>
      <c r="B5379" t="s">
        <v>8</v>
      </c>
      <c r="C5379" t="s">
        <v>21</v>
      </c>
      <c r="D5379">
        <v>0</v>
      </c>
      <c r="E5379" t="s">
        <v>68</v>
      </c>
      <c r="F5379" t="s">
        <v>36</v>
      </c>
      <c r="G5379" t="s">
        <v>37</v>
      </c>
    </row>
    <row r="5380" spans="1:7" x14ac:dyDescent="0.3">
      <c r="A5380" t="s">
        <v>80</v>
      </c>
      <c r="B5380" t="s">
        <v>8</v>
      </c>
      <c r="C5380" t="s">
        <v>22</v>
      </c>
      <c r="D5380">
        <v>0</v>
      </c>
      <c r="E5380" t="s">
        <v>68</v>
      </c>
      <c r="F5380" t="s">
        <v>36</v>
      </c>
      <c r="G5380" t="s">
        <v>37</v>
      </c>
    </row>
    <row r="5381" spans="1:7" x14ac:dyDescent="0.3">
      <c r="A5381" t="s">
        <v>80</v>
      </c>
      <c r="B5381" t="s">
        <v>23</v>
      </c>
      <c r="C5381" t="s">
        <v>9</v>
      </c>
      <c r="D5381">
        <v>701</v>
      </c>
      <c r="E5381" t="s">
        <v>68</v>
      </c>
      <c r="F5381" t="s">
        <v>36</v>
      </c>
      <c r="G5381" t="s">
        <v>37</v>
      </c>
    </row>
    <row r="5382" spans="1:7" x14ac:dyDescent="0.3">
      <c r="A5382" t="s">
        <v>80</v>
      </c>
      <c r="B5382" t="s">
        <v>23</v>
      </c>
      <c r="C5382" t="s">
        <v>13</v>
      </c>
      <c r="D5382">
        <v>6825</v>
      </c>
      <c r="E5382" t="s">
        <v>68</v>
      </c>
      <c r="F5382" t="s">
        <v>36</v>
      </c>
      <c r="G5382" t="s">
        <v>37</v>
      </c>
    </row>
    <row r="5383" spans="1:7" x14ac:dyDescent="0.3">
      <c r="A5383" t="s">
        <v>80</v>
      </c>
      <c r="B5383" t="s">
        <v>23</v>
      </c>
      <c r="C5383" t="s">
        <v>14</v>
      </c>
      <c r="D5383">
        <v>910</v>
      </c>
      <c r="E5383" t="s">
        <v>68</v>
      </c>
      <c r="F5383" t="s">
        <v>36</v>
      </c>
      <c r="G5383" t="s">
        <v>37</v>
      </c>
    </row>
    <row r="5384" spans="1:7" x14ac:dyDescent="0.3">
      <c r="A5384" t="s">
        <v>80</v>
      </c>
      <c r="B5384" t="s">
        <v>23</v>
      </c>
      <c r="C5384" t="s">
        <v>15</v>
      </c>
      <c r="D5384">
        <v>6204</v>
      </c>
      <c r="E5384" t="s">
        <v>68</v>
      </c>
      <c r="F5384" t="s">
        <v>36</v>
      </c>
      <c r="G5384" t="s">
        <v>37</v>
      </c>
    </row>
    <row r="5385" spans="1:7" x14ac:dyDescent="0.3">
      <c r="A5385" t="s">
        <v>80</v>
      </c>
      <c r="B5385" t="s">
        <v>23</v>
      </c>
      <c r="C5385" t="s">
        <v>16</v>
      </c>
      <c r="D5385">
        <v>6321</v>
      </c>
      <c r="E5385" t="s">
        <v>68</v>
      </c>
      <c r="F5385" t="s">
        <v>36</v>
      </c>
      <c r="G5385" t="s">
        <v>37</v>
      </c>
    </row>
    <row r="5386" spans="1:7" x14ac:dyDescent="0.3">
      <c r="A5386" t="s">
        <v>80</v>
      </c>
      <c r="B5386" t="s">
        <v>23</v>
      </c>
      <c r="C5386" t="s">
        <v>17</v>
      </c>
      <c r="D5386">
        <v>18</v>
      </c>
      <c r="E5386" t="s">
        <v>68</v>
      </c>
      <c r="F5386" t="s">
        <v>36</v>
      </c>
      <c r="G5386" t="s">
        <v>37</v>
      </c>
    </row>
    <row r="5387" spans="1:7" x14ac:dyDescent="0.3">
      <c r="A5387" t="s">
        <v>80</v>
      </c>
      <c r="B5387" t="s">
        <v>23</v>
      </c>
      <c r="C5387" t="s">
        <v>18</v>
      </c>
      <c r="D5387">
        <v>0</v>
      </c>
      <c r="E5387" t="s">
        <v>68</v>
      </c>
      <c r="F5387" t="s">
        <v>36</v>
      </c>
      <c r="G5387" t="s">
        <v>37</v>
      </c>
    </row>
    <row r="5388" spans="1:7" x14ac:dyDescent="0.3">
      <c r="A5388" t="s">
        <v>80</v>
      </c>
      <c r="B5388" t="s">
        <v>23</v>
      </c>
      <c r="C5388" t="s">
        <v>19</v>
      </c>
      <c r="D5388">
        <v>2038</v>
      </c>
      <c r="E5388" t="s">
        <v>68</v>
      </c>
      <c r="F5388" t="s">
        <v>36</v>
      </c>
      <c r="G5388" t="s">
        <v>37</v>
      </c>
    </row>
    <row r="5389" spans="1:7" x14ac:dyDescent="0.3">
      <c r="A5389" t="s">
        <v>80</v>
      </c>
      <c r="B5389" t="s">
        <v>23</v>
      </c>
      <c r="C5389" t="s">
        <v>20</v>
      </c>
      <c r="D5389">
        <v>2069</v>
      </c>
      <c r="E5389" t="s">
        <v>68</v>
      </c>
      <c r="F5389" t="s">
        <v>36</v>
      </c>
      <c r="G5389" t="s">
        <v>37</v>
      </c>
    </row>
    <row r="5390" spans="1:7" x14ac:dyDescent="0.3">
      <c r="A5390" t="s">
        <v>80</v>
      </c>
      <c r="B5390" t="s">
        <v>23</v>
      </c>
      <c r="C5390" t="s">
        <v>21</v>
      </c>
      <c r="D5390">
        <v>224</v>
      </c>
      <c r="E5390" t="s">
        <v>68</v>
      </c>
      <c r="F5390" t="s">
        <v>36</v>
      </c>
      <c r="G5390" t="s">
        <v>37</v>
      </c>
    </row>
    <row r="5391" spans="1:7" x14ac:dyDescent="0.3">
      <c r="A5391" t="s">
        <v>80</v>
      </c>
      <c r="B5391" t="s">
        <v>23</v>
      </c>
      <c r="C5391" t="s">
        <v>22</v>
      </c>
      <c r="D5391">
        <v>70312</v>
      </c>
      <c r="E5391" t="s">
        <v>68</v>
      </c>
      <c r="F5391" t="s">
        <v>36</v>
      </c>
      <c r="G5391" t="s">
        <v>37</v>
      </c>
    </row>
    <row r="5392" spans="1:7" x14ac:dyDescent="0.3">
      <c r="A5392" t="s">
        <v>81</v>
      </c>
      <c r="B5392" t="s">
        <v>8</v>
      </c>
      <c r="C5392" t="s">
        <v>9</v>
      </c>
      <c r="D5392">
        <v>0</v>
      </c>
      <c r="E5392" t="s">
        <v>68</v>
      </c>
      <c r="F5392" t="s">
        <v>36</v>
      </c>
      <c r="G5392" t="s">
        <v>37</v>
      </c>
    </row>
    <row r="5393" spans="1:7" x14ac:dyDescent="0.3">
      <c r="A5393" t="s">
        <v>81</v>
      </c>
      <c r="B5393" t="s">
        <v>8</v>
      </c>
      <c r="C5393" t="s">
        <v>13</v>
      </c>
      <c r="D5393">
        <v>0</v>
      </c>
      <c r="E5393" t="s">
        <v>68</v>
      </c>
      <c r="F5393" t="s">
        <v>36</v>
      </c>
      <c r="G5393" t="s">
        <v>37</v>
      </c>
    </row>
    <row r="5394" spans="1:7" x14ac:dyDescent="0.3">
      <c r="A5394" t="s">
        <v>81</v>
      </c>
      <c r="B5394" t="s">
        <v>8</v>
      </c>
      <c r="C5394" t="s">
        <v>14</v>
      </c>
      <c r="D5394">
        <v>0</v>
      </c>
      <c r="E5394" t="s">
        <v>68</v>
      </c>
      <c r="F5394" t="s">
        <v>36</v>
      </c>
      <c r="G5394" t="s">
        <v>37</v>
      </c>
    </row>
    <row r="5395" spans="1:7" x14ac:dyDescent="0.3">
      <c r="A5395" t="s">
        <v>81</v>
      </c>
      <c r="B5395" t="s">
        <v>8</v>
      </c>
      <c r="C5395" t="s">
        <v>15</v>
      </c>
      <c r="D5395">
        <v>0</v>
      </c>
      <c r="E5395" t="s">
        <v>68</v>
      </c>
      <c r="F5395" t="s">
        <v>36</v>
      </c>
      <c r="G5395" t="s">
        <v>37</v>
      </c>
    </row>
    <row r="5396" spans="1:7" x14ac:dyDescent="0.3">
      <c r="A5396" t="s">
        <v>81</v>
      </c>
      <c r="B5396" t="s">
        <v>8</v>
      </c>
      <c r="C5396" t="s">
        <v>16</v>
      </c>
      <c r="D5396">
        <v>0</v>
      </c>
      <c r="E5396" t="s">
        <v>68</v>
      </c>
      <c r="F5396" t="s">
        <v>36</v>
      </c>
      <c r="G5396" t="s">
        <v>37</v>
      </c>
    </row>
    <row r="5397" spans="1:7" x14ac:dyDescent="0.3">
      <c r="A5397" t="s">
        <v>81</v>
      </c>
      <c r="B5397" t="s">
        <v>8</v>
      </c>
      <c r="C5397" t="s">
        <v>17</v>
      </c>
      <c r="D5397">
        <v>0</v>
      </c>
      <c r="E5397" t="s">
        <v>68</v>
      </c>
      <c r="F5397" t="s">
        <v>36</v>
      </c>
      <c r="G5397" t="s">
        <v>37</v>
      </c>
    </row>
    <row r="5398" spans="1:7" x14ac:dyDescent="0.3">
      <c r="A5398" t="s">
        <v>81</v>
      </c>
      <c r="B5398" t="s">
        <v>8</v>
      </c>
      <c r="C5398" t="s">
        <v>18</v>
      </c>
      <c r="D5398">
        <v>0</v>
      </c>
      <c r="E5398" t="s">
        <v>68</v>
      </c>
      <c r="F5398" t="s">
        <v>36</v>
      </c>
      <c r="G5398" t="s">
        <v>37</v>
      </c>
    </row>
    <row r="5399" spans="1:7" x14ac:dyDescent="0.3">
      <c r="A5399" t="s">
        <v>81</v>
      </c>
      <c r="B5399" t="s">
        <v>8</v>
      </c>
      <c r="C5399" t="s">
        <v>19</v>
      </c>
      <c r="D5399">
        <v>0</v>
      </c>
      <c r="E5399" t="s">
        <v>68</v>
      </c>
      <c r="F5399" t="s">
        <v>36</v>
      </c>
      <c r="G5399" t="s">
        <v>37</v>
      </c>
    </row>
    <row r="5400" spans="1:7" x14ac:dyDescent="0.3">
      <c r="A5400" t="s">
        <v>81</v>
      </c>
      <c r="B5400" t="s">
        <v>8</v>
      </c>
      <c r="C5400" t="s">
        <v>20</v>
      </c>
      <c r="D5400">
        <v>0</v>
      </c>
      <c r="E5400" t="s">
        <v>68</v>
      </c>
      <c r="F5400" t="s">
        <v>36</v>
      </c>
      <c r="G5400" t="s">
        <v>37</v>
      </c>
    </row>
    <row r="5401" spans="1:7" x14ac:dyDescent="0.3">
      <c r="A5401" t="s">
        <v>81</v>
      </c>
      <c r="B5401" t="s">
        <v>8</v>
      </c>
      <c r="C5401" t="s">
        <v>21</v>
      </c>
      <c r="D5401">
        <v>0</v>
      </c>
      <c r="E5401" t="s">
        <v>68</v>
      </c>
      <c r="F5401" t="s">
        <v>36</v>
      </c>
      <c r="G5401" t="s">
        <v>37</v>
      </c>
    </row>
    <row r="5402" spans="1:7" x14ac:dyDescent="0.3">
      <c r="A5402" t="s">
        <v>81</v>
      </c>
      <c r="B5402" t="s">
        <v>8</v>
      </c>
      <c r="C5402" t="s">
        <v>22</v>
      </c>
      <c r="D5402">
        <v>0</v>
      </c>
      <c r="E5402" t="s">
        <v>68</v>
      </c>
      <c r="F5402" t="s">
        <v>36</v>
      </c>
      <c r="G5402" t="s">
        <v>37</v>
      </c>
    </row>
    <row r="5403" spans="1:7" x14ac:dyDescent="0.3">
      <c r="A5403" t="s">
        <v>81</v>
      </c>
      <c r="B5403" t="s">
        <v>23</v>
      </c>
      <c r="C5403" t="s">
        <v>9</v>
      </c>
      <c r="D5403">
        <v>656</v>
      </c>
      <c r="E5403" t="s">
        <v>68</v>
      </c>
      <c r="F5403" t="s">
        <v>36</v>
      </c>
      <c r="G5403" t="s">
        <v>37</v>
      </c>
    </row>
    <row r="5404" spans="1:7" x14ac:dyDescent="0.3">
      <c r="A5404" t="s">
        <v>81</v>
      </c>
      <c r="B5404" t="s">
        <v>23</v>
      </c>
      <c r="C5404" t="s">
        <v>13</v>
      </c>
      <c r="D5404">
        <v>22132</v>
      </c>
      <c r="E5404" t="s">
        <v>68</v>
      </c>
      <c r="F5404" t="s">
        <v>36</v>
      </c>
      <c r="G5404" t="s">
        <v>37</v>
      </c>
    </row>
    <row r="5405" spans="1:7" x14ac:dyDescent="0.3">
      <c r="A5405" t="s">
        <v>81</v>
      </c>
      <c r="B5405" t="s">
        <v>23</v>
      </c>
      <c r="C5405" t="s">
        <v>14</v>
      </c>
      <c r="D5405">
        <v>14811</v>
      </c>
      <c r="E5405" t="s">
        <v>68</v>
      </c>
      <c r="F5405" t="s">
        <v>36</v>
      </c>
      <c r="G5405" t="s">
        <v>37</v>
      </c>
    </row>
    <row r="5406" spans="1:7" x14ac:dyDescent="0.3">
      <c r="A5406" t="s">
        <v>81</v>
      </c>
      <c r="B5406" t="s">
        <v>23</v>
      </c>
      <c r="C5406" t="s">
        <v>15</v>
      </c>
      <c r="D5406">
        <v>116257</v>
      </c>
      <c r="E5406" t="s">
        <v>68</v>
      </c>
      <c r="F5406" t="s">
        <v>36</v>
      </c>
      <c r="G5406" t="s">
        <v>37</v>
      </c>
    </row>
    <row r="5407" spans="1:7" x14ac:dyDescent="0.3">
      <c r="A5407" t="s">
        <v>81</v>
      </c>
      <c r="B5407" t="s">
        <v>23</v>
      </c>
      <c r="C5407" t="s">
        <v>16</v>
      </c>
      <c r="D5407">
        <v>125973</v>
      </c>
      <c r="E5407" t="s">
        <v>68</v>
      </c>
      <c r="F5407" t="s">
        <v>36</v>
      </c>
      <c r="G5407" t="s">
        <v>37</v>
      </c>
    </row>
    <row r="5408" spans="1:7" x14ac:dyDescent="0.3">
      <c r="A5408" t="s">
        <v>81</v>
      </c>
      <c r="B5408" t="s">
        <v>23</v>
      </c>
      <c r="C5408" t="s">
        <v>17</v>
      </c>
      <c r="D5408">
        <v>44</v>
      </c>
      <c r="E5408" t="s">
        <v>68</v>
      </c>
      <c r="F5408" t="s">
        <v>36</v>
      </c>
      <c r="G5408" t="s">
        <v>37</v>
      </c>
    </row>
    <row r="5409" spans="1:7" x14ac:dyDescent="0.3">
      <c r="A5409" t="s">
        <v>81</v>
      </c>
      <c r="B5409" t="s">
        <v>23</v>
      </c>
      <c r="C5409" t="s">
        <v>18</v>
      </c>
      <c r="D5409">
        <v>0</v>
      </c>
      <c r="E5409" t="s">
        <v>68</v>
      </c>
      <c r="F5409" t="s">
        <v>36</v>
      </c>
      <c r="G5409" t="s">
        <v>37</v>
      </c>
    </row>
    <row r="5410" spans="1:7" x14ac:dyDescent="0.3">
      <c r="A5410" t="s">
        <v>81</v>
      </c>
      <c r="B5410" t="s">
        <v>23</v>
      </c>
      <c r="C5410" t="s">
        <v>19</v>
      </c>
      <c r="D5410">
        <v>69515</v>
      </c>
      <c r="E5410" t="s">
        <v>68</v>
      </c>
      <c r="F5410" t="s">
        <v>36</v>
      </c>
      <c r="G5410" t="s">
        <v>37</v>
      </c>
    </row>
    <row r="5411" spans="1:7" x14ac:dyDescent="0.3">
      <c r="A5411" t="s">
        <v>81</v>
      </c>
      <c r="B5411" t="s">
        <v>23</v>
      </c>
      <c r="C5411" t="s">
        <v>20</v>
      </c>
      <c r="D5411">
        <v>1781</v>
      </c>
      <c r="E5411" t="s">
        <v>68</v>
      </c>
      <c r="F5411" t="s">
        <v>36</v>
      </c>
      <c r="G5411" t="s">
        <v>37</v>
      </c>
    </row>
    <row r="5412" spans="1:7" x14ac:dyDescent="0.3">
      <c r="A5412" t="s">
        <v>81</v>
      </c>
      <c r="B5412" t="s">
        <v>23</v>
      </c>
      <c r="C5412" t="s">
        <v>21</v>
      </c>
      <c r="D5412">
        <v>5212</v>
      </c>
      <c r="E5412" t="s">
        <v>68</v>
      </c>
      <c r="F5412" t="s">
        <v>36</v>
      </c>
      <c r="G5412" t="s">
        <v>37</v>
      </c>
    </row>
    <row r="5413" spans="1:7" x14ac:dyDescent="0.3">
      <c r="A5413" t="s">
        <v>81</v>
      </c>
      <c r="B5413" t="s">
        <v>23</v>
      </c>
      <c r="C5413" t="s">
        <v>22</v>
      </c>
      <c r="D5413">
        <v>12144</v>
      </c>
      <c r="E5413" t="s">
        <v>68</v>
      </c>
      <c r="F5413" t="s">
        <v>36</v>
      </c>
      <c r="G5413" t="s">
        <v>37</v>
      </c>
    </row>
    <row r="5414" spans="1:7" x14ac:dyDescent="0.3">
      <c r="A5414" t="s">
        <v>82</v>
      </c>
      <c r="B5414" t="s">
        <v>8</v>
      </c>
      <c r="C5414" t="s">
        <v>9</v>
      </c>
      <c r="D5414">
        <v>0</v>
      </c>
      <c r="E5414" t="s">
        <v>68</v>
      </c>
      <c r="F5414" t="s">
        <v>36</v>
      </c>
      <c r="G5414" t="s">
        <v>37</v>
      </c>
    </row>
    <row r="5415" spans="1:7" x14ac:dyDescent="0.3">
      <c r="A5415" t="s">
        <v>82</v>
      </c>
      <c r="B5415" t="s">
        <v>8</v>
      </c>
      <c r="C5415" t="s">
        <v>13</v>
      </c>
      <c r="D5415">
        <v>0</v>
      </c>
      <c r="E5415" t="s">
        <v>68</v>
      </c>
      <c r="F5415" t="s">
        <v>36</v>
      </c>
      <c r="G5415" t="s">
        <v>37</v>
      </c>
    </row>
    <row r="5416" spans="1:7" x14ac:dyDescent="0.3">
      <c r="A5416" t="s">
        <v>82</v>
      </c>
      <c r="B5416" t="s">
        <v>8</v>
      </c>
      <c r="C5416" t="s">
        <v>14</v>
      </c>
      <c r="D5416">
        <v>0</v>
      </c>
      <c r="E5416" t="s">
        <v>68</v>
      </c>
      <c r="F5416" t="s">
        <v>36</v>
      </c>
      <c r="G5416" t="s">
        <v>37</v>
      </c>
    </row>
    <row r="5417" spans="1:7" x14ac:dyDescent="0.3">
      <c r="A5417" t="s">
        <v>82</v>
      </c>
      <c r="B5417" t="s">
        <v>8</v>
      </c>
      <c r="C5417" t="s">
        <v>15</v>
      </c>
      <c r="D5417">
        <v>0</v>
      </c>
      <c r="E5417" t="s">
        <v>68</v>
      </c>
      <c r="F5417" t="s">
        <v>36</v>
      </c>
      <c r="G5417" t="s">
        <v>37</v>
      </c>
    </row>
    <row r="5418" spans="1:7" x14ac:dyDescent="0.3">
      <c r="A5418" t="s">
        <v>82</v>
      </c>
      <c r="B5418" t="s">
        <v>8</v>
      </c>
      <c r="C5418" t="s">
        <v>16</v>
      </c>
      <c r="D5418">
        <v>0</v>
      </c>
      <c r="E5418" t="s">
        <v>68</v>
      </c>
      <c r="F5418" t="s">
        <v>36</v>
      </c>
      <c r="G5418" t="s">
        <v>37</v>
      </c>
    </row>
    <row r="5419" spans="1:7" x14ac:dyDescent="0.3">
      <c r="A5419" t="s">
        <v>82</v>
      </c>
      <c r="B5419" t="s">
        <v>8</v>
      </c>
      <c r="C5419" t="s">
        <v>17</v>
      </c>
      <c r="D5419">
        <v>0</v>
      </c>
      <c r="E5419" t="s">
        <v>68</v>
      </c>
      <c r="F5419" t="s">
        <v>36</v>
      </c>
      <c r="G5419" t="s">
        <v>37</v>
      </c>
    </row>
    <row r="5420" spans="1:7" x14ac:dyDescent="0.3">
      <c r="A5420" t="s">
        <v>82</v>
      </c>
      <c r="B5420" t="s">
        <v>8</v>
      </c>
      <c r="C5420" t="s">
        <v>18</v>
      </c>
      <c r="D5420">
        <v>0</v>
      </c>
      <c r="E5420" t="s">
        <v>68</v>
      </c>
      <c r="F5420" t="s">
        <v>36</v>
      </c>
      <c r="G5420" t="s">
        <v>37</v>
      </c>
    </row>
    <row r="5421" spans="1:7" x14ac:dyDescent="0.3">
      <c r="A5421" t="s">
        <v>82</v>
      </c>
      <c r="B5421" t="s">
        <v>8</v>
      </c>
      <c r="C5421" t="s">
        <v>19</v>
      </c>
      <c r="D5421">
        <v>0</v>
      </c>
      <c r="E5421" t="s">
        <v>68</v>
      </c>
      <c r="F5421" t="s">
        <v>36</v>
      </c>
      <c r="G5421" t="s">
        <v>37</v>
      </c>
    </row>
    <row r="5422" spans="1:7" x14ac:dyDescent="0.3">
      <c r="A5422" t="s">
        <v>82</v>
      </c>
      <c r="B5422" t="s">
        <v>8</v>
      </c>
      <c r="C5422" t="s">
        <v>20</v>
      </c>
      <c r="D5422">
        <v>0</v>
      </c>
      <c r="E5422" t="s">
        <v>68</v>
      </c>
      <c r="F5422" t="s">
        <v>36</v>
      </c>
      <c r="G5422" t="s">
        <v>37</v>
      </c>
    </row>
    <row r="5423" spans="1:7" x14ac:dyDescent="0.3">
      <c r="A5423" t="s">
        <v>82</v>
      </c>
      <c r="B5423" t="s">
        <v>8</v>
      </c>
      <c r="C5423" t="s">
        <v>21</v>
      </c>
      <c r="D5423">
        <v>0</v>
      </c>
      <c r="E5423" t="s">
        <v>68</v>
      </c>
      <c r="F5423" t="s">
        <v>36</v>
      </c>
      <c r="G5423" t="s">
        <v>37</v>
      </c>
    </row>
    <row r="5424" spans="1:7" x14ac:dyDescent="0.3">
      <c r="A5424" t="s">
        <v>82</v>
      </c>
      <c r="B5424" t="s">
        <v>8</v>
      </c>
      <c r="C5424" t="s">
        <v>22</v>
      </c>
      <c r="D5424">
        <v>0</v>
      </c>
      <c r="E5424" t="s">
        <v>68</v>
      </c>
      <c r="F5424" t="s">
        <v>36</v>
      </c>
      <c r="G5424" t="s">
        <v>37</v>
      </c>
    </row>
    <row r="5425" spans="1:7" x14ac:dyDescent="0.3">
      <c r="A5425" t="s">
        <v>82</v>
      </c>
      <c r="B5425" t="s">
        <v>23</v>
      </c>
      <c r="C5425" t="s">
        <v>9</v>
      </c>
      <c r="D5425">
        <v>160</v>
      </c>
      <c r="E5425" t="s">
        <v>68</v>
      </c>
      <c r="F5425" t="s">
        <v>36</v>
      </c>
      <c r="G5425" t="s">
        <v>37</v>
      </c>
    </row>
    <row r="5426" spans="1:7" x14ac:dyDescent="0.3">
      <c r="A5426" t="s">
        <v>82</v>
      </c>
      <c r="B5426" t="s">
        <v>23</v>
      </c>
      <c r="C5426" t="s">
        <v>13</v>
      </c>
      <c r="D5426">
        <v>26</v>
      </c>
      <c r="E5426" t="s">
        <v>68</v>
      </c>
      <c r="F5426" t="s">
        <v>36</v>
      </c>
      <c r="G5426" t="s">
        <v>37</v>
      </c>
    </row>
    <row r="5427" spans="1:7" x14ac:dyDescent="0.3">
      <c r="A5427" t="s">
        <v>82</v>
      </c>
      <c r="B5427" t="s">
        <v>23</v>
      </c>
      <c r="C5427" t="s">
        <v>14</v>
      </c>
      <c r="D5427">
        <v>517</v>
      </c>
      <c r="E5427" t="s">
        <v>68</v>
      </c>
      <c r="F5427" t="s">
        <v>36</v>
      </c>
      <c r="G5427" t="s">
        <v>37</v>
      </c>
    </row>
    <row r="5428" spans="1:7" x14ac:dyDescent="0.3">
      <c r="A5428" t="s">
        <v>82</v>
      </c>
      <c r="B5428" t="s">
        <v>23</v>
      </c>
      <c r="C5428" t="s">
        <v>15</v>
      </c>
      <c r="D5428">
        <v>74</v>
      </c>
      <c r="E5428" t="s">
        <v>68</v>
      </c>
      <c r="F5428" t="s">
        <v>36</v>
      </c>
      <c r="G5428" t="s">
        <v>37</v>
      </c>
    </row>
    <row r="5429" spans="1:7" x14ac:dyDescent="0.3">
      <c r="A5429" t="s">
        <v>82</v>
      </c>
      <c r="B5429" t="s">
        <v>23</v>
      </c>
      <c r="C5429" t="s">
        <v>16</v>
      </c>
      <c r="D5429">
        <v>408452</v>
      </c>
      <c r="E5429" t="s">
        <v>68</v>
      </c>
      <c r="F5429" t="s">
        <v>36</v>
      </c>
      <c r="G5429" t="s">
        <v>37</v>
      </c>
    </row>
    <row r="5430" spans="1:7" x14ac:dyDescent="0.3">
      <c r="A5430" t="s">
        <v>82</v>
      </c>
      <c r="B5430" t="s">
        <v>23</v>
      </c>
      <c r="C5430" t="s">
        <v>17</v>
      </c>
      <c r="D5430">
        <v>40</v>
      </c>
      <c r="E5430" t="s">
        <v>68</v>
      </c>
      <c r="F5430" t="s">
        <v>36</v>
      </c>
      <c r="G5430" t="s">
        <v>37</v>
      </c>
    </row>
    <row r="5431" spans="1:7" x14ac:dyDescent="0.3">
      <c r="A5431" t="s">
        <v>82</v>
      </c>
      <c r="B5431" t="s">
        <v>23</v>
      </c>
      <c r="C5431" t="s">
        <v>18</v>
      </c>
      <c r="D5431">
        <v>0</v>
      </c>
      <c r="E5431" t="s">
        <v>68</v>
      </c>
      <c r="F5431" t="s">
        <v>36</v>
      </c>
      <c r="G5431" t="s">
        <v>37</v>
      </c>
    </row>
    <row r="5432" spans="1:7" x14ac:dyDescent="0.3">
      <c r="A5432" t="s">
        <v>82</v>
      </c>
      <c r="B5432" t="s">
        <v>23</v>
      </c>
      <c r="C5432" t="s">
        <v>19</v>
      </c>
      <c r="D5432">
        <v>9</v>
      </c>
      <c r="E5432" t="s">
        <v>68</v>
      </c>
      <c r="F5432" t="s">
        <v>36</v>
      </c>
      <c r="G5432" t="s">
        <v>37</v>
      </c>
    </row>
    <row r="5433" spans="1:7" x14ac:dyDescent="0.3">
      <c r="A5433" t="s">
        <v>82</v>
      </c>
      <c r="B5433" t="s">
        <v>23</v>
      </c>
      <c r="C5433" t="s">
        <v>20</v>
      </c>
      <c r="D5433">
        <v>561</v>
      </c>
      <c r="E5433" t="s">
        <v>68</v>
      </c>
      <c r="F5433" t="s">
        <v>36</v>
      </c>
      <c r="G5433" t="s">
        <v>37</v>
      </c>
    </row>
    <row r="5434" spans="1:7" x14ac:dyDescent="0.3">
      <c r="A5434" t="s">
        <v>82</v>
      </c>
      <c r="B5434" t="s">
        <v>23</v>
      </c>
      <c r="C5434" t="s">
        <v>21</v>
      </c>
      <c r="D5434">
        <v>187</v>
      </c>
      <c r="E5434" t="s">
        <v>68</v>
      </c>
      <c r="F5434" t="s">
        <v>36</v>
      </c>
      <c r="G5434" t="s">
        <v>37</v>
      </c>
    </row>
    <row r="5435" spans="1:7" x14ac:dyDescent="0.3">
      <c r="A5435" t="s">
        <v>82</v>
      </c>
      <c r="B5435" t="s">
        <v>23</v>
      </c>
      <c r="C5435" t="s">
        <v>22</v>
      </c>
      <c r="D5435">
        <v>91</v>
      </c>
      <c r="E5435" t="s">
        <v>68</v>
      </c>
      <c r="F5435" t="s">
        <v>36</v>
      </c>
      <c r="G5435" t="s">
        <v>37</v>
      </c>
    </row>
    <row r="5436" spans="1:7" x14ac:dyDescent="0.3">
      <c r="A5436" t="s">
        <v>83</v>
      </c>
      <c r="B5436" t="s">
        <v>8</v>
      </c>
      <c r="C5436" t="s">
        <v>9</v>
      </c>
      <c r="D5436">
        <v>0</v>
      </c>
      <c r="E5436" t="s">
        <v>68</v>
      </c>
      <c r="F5436" t="s">
        <v>36</v>
      </c>
      <c r="G5436" t="s">
        <v>37</v>
      </c>
    </row>
    <row r="5437" spans="1:7" x14ac:dyDescent="0.3">
      <c r="A5437" t="s">
        <v>83</v>
      </c>
      <c r="B5437" t="s">
        <v>8</v>
      </c>
      <c r="C5437" t="s">
        <v>13</v>
      </c>
      <c r="D5437">
        <v>0</v>
      </c>
      <c r="E5437" t="s">
        <v>68</v>
      </c>
      <c r="F5437" t="s">
        <v>36</v>
      </c>
      <c r="G5437" t="s">
        <v>37</v>
      </c>
    </row>
    <row r="5438" spans="1:7" x14ac:dyDescent="0.3">
      <c r="A5438" t="s">
        <v>83</v>
      </c>
      <c r="B5438" t="s">
        <v>8</v>
      </c>
      <c r="C5438" t="s">
        <v>14</v>
      </c>
      <c r="D5438">
        <v>0</v>
      </c>
      <c r="E5438" t="s">
        <v>68</v>
      </c>
      <c r="F5438" t="s">
        <v>36</v>
      </c>
      <c r="G5438" t="s">
        <v>37</v>
      </c>
    </row>
    <row r="5439" spans="1:7" x14ac:dyDescent="0.3">
      <c r="A5439" t="s">
        <v>83</v>
      </c>
      <c r="B5439" t="s">
        <v>8</v>
      </c>
      <c r="C5439" t="s">
        <v>15</v>
      </c>
      <c r="D5439">
        <v>0</v>
      </c>
      <c r="E5439" t="s">
        <v>68</v>
      </c>
      <c r="F5439" t="s">
        <v>36</v>
      </c>
      <c r="G5439" t="s">
        <v>37</v>
      </c>
    </row>
    <row r="5440" spans="1:7" x14ac:dyDescent="0.3">
      <c r="A5440" t="s">
        <v>83</v>
      </c>
      <c r="B5440" t="s">
        <v>8</v>
      </c>
      <c r="C5440" t="s">
        <v>16</v>
      </c>
      <c r="D5440">
        <v>0</v>
      </c>
      <c r="E5440" t="s">
        <v>68</v>
      </c>
      <c r="F5440" t="s">
        <v>36</v>
      </c>
      <c r="G5440" t="s">
        <v>37</v>
      </c>
    </row>
    <row r="5441" spans="1:7" x14ac:dyDescent="0.3">
      <c r="A5441" t="s">
        <v>83</v>
      </c>
      <c r="B5441" t="s">
        <v>8</v>
      </c>
      <c r="C5441" t="s">
        <v>17</v>
      </c>
      <c r="D5441">
        <v>0</v>
      </c>
      <c r="E5441" t="s">
        <v>68</v>
      </c>
      <c r="F5441" t="s">
        <v>36</v>
      </c>
      <c r="G5441" t="s">
        <v>37</v>
      </c>
    </row>
    <row r="5442" spans="1:7" x14ac:dyDescent="0.3">
      <c r="A5442" t="s">
        <v>83</v>
      </c>
      <c r="B5442" t="s">
        <v>8</v>
      </c>
      <c r="C5442" t="s">
        <v>18</v>
      </c>
      <c r="D5442">
        <v>0</v>
      </c>
      <c r="E5442" t="s">
        <v>68</v>
      </c>
      <c r="F5442" t="s">
        <v>36</v>
      </c>
      <c r="G5442" t="s">
        <v>37</v>
      </c>
    </row>
    <row r="5443" spans="1:7" x14ac:dyDescent="0.3">
      <c r="A5443" t="s">
        <v>83</v>
      </c>
      <c r="B5443" t="s">
        <v>8</v>
      </c>
      <c r="C5443" t="s">
        <v>19</v>
      </c>
      <c r="D5443">
        <v>0</v>
      </c>
      <c r="E5443" t="s">
        <v>68</v>
      </c>
      <c r="F5443" t="s">
        <v>36</v>
      </c>
      <c r="G5443" t="s">
        <v>37</v>
      </c>
    </row>
    <row r="5444" spans="1:7" x14ac:dyDescent="0.3">
      <c r="A5444" t="s">
        <v>83</v>
      </c>
      <c r="B5444" t="s">
        <v>8</v>
      </c>
      <c r="C5444" t="s">
        <v>20</v>
      </c>
      <c r="D5444">
        <v>0</v>
      </c>
      <c r="E5444" t="s">
        <v>68</v>
      </c>
      <c r="F5444" t="s">
        <v>36</v>
      </c>
      <c r="G5444" t="s">
        <v>37</v>
      </c>
    </row>
    <row r="5445" spans="1:7" x14ac:dyDescent="0.3">
      <c r="A5445" t="s">
        <v>83</v>
      </c>
      <c r="B5445" t="s">
        <v>8</v>
      </c>
      <c r="C5445" t="s">
        <v>21</v>
      </c>
      <c r="D5445">
        <v>0</v>
      </c>
      <c r="E5445" t="s">
        <v>68</v>
      </c>
      <c r="F5445" t="s">
        <v>36</v>
      </c>
      <c r="G5445" t="s">
        <v>37</v>
      </c>
    </row>
    <row r="5446" spans="1:7" x14ac:dyDescent="0.3">
      <c r="A5446" t="s">
        <v>83</v>
      </c>
      <c r="B5446" t="s">
        <v>8</v>
      </c>
      <c r="C5446" t="s">
        <v>22</v>
      </c>
      <c r="D5446">
        <v>0</v>
      </c>
      <c r="E5446" t="s">
        <v>68</v>
      </c>
      <c r="F5446" t="s">
        <v>36</v>
      </c>
      <c r="G5446" t="s">
        <v>37</v>
      </c>
    </row>
    <row r="5447" spans="1:7" x14ac:dyDescent="0.3">
      <c r="A5447" t="s">
        <v>83</v>
      </c>
      <c r="B5447" t="s">
        <v>23</v>
      </c>
      <c r="C5447" t="s">
        <v>9</v>
      </c>
      <c r="D5447">
        <v>576</v>
      </c>
      <c r="E5447" t="s">
        <v>68</v>
      </c>
      <c r="F5447" t="s">
        <v>36</v>
      </c>
      <c r="G5447" t="s">
        <v>37</v>
      </c>
    </row>
    <row r="5448" spans="1:7" x14ac:dyDescent="0.3">
      <c r="A5448" t="s">
        <v>83</v>
      </c>
      <c r="B5448" t="s">
        <v>23</v>
      </c>
      <c r="C5448" t="s">
        <v>13</v>
      </c>
      <c r="D5448">
        <v>5603</v>
      </c>
      <c r="E5448" t="s">
        <v>68</v>
      </c>
      <c r="F5448" t="s">
        <v>36</v>
      </c>
      <c r="G5448" t="s">
        <v>37</v>
      </c>
    </row>
    <row r="5449" spans="1:7" x14ac:dyDescent="0.3">
      <c r="A5449" t="s">
        <v>83</v>
      </c>
      <c r="B5449" t="s">
        <v>23</v>
      </c>
      <c r="C5449" t="s">
        <v>14</v>
      </c>
      <c r="D5449">
        <v>747</v>
      </c>
      <c r="E5449" t="s">
        <v>68</v>
      </c>
      <c r="F5449" t="s">
        <v>36</v>
      </c>
      <c r="G5449" t="s">
        <v>37</v>
      </c>
    </row>
    <row r="5450" spans="1:7" x14ac:dyDescent="0.3">
      <c r="A5450" t="s">
        <v>83</v>
      </c>
      <c r="B5450" t="s">
        <v>23</v>
      </c>
      <c r="C5450" t="s">
        <v>15</v>
      </c>
      <c r="D5450">
        <v>5093</v>
      </c>
      <c r="E5450" t="s">
        <v>68</v>
      </c>
      <c r="F5450" t="s">
        <v>36</v>
      </c>
      <c r="G5450" t="s">
        <v>37</v>
      </c>
    </row>
    <row r="5451" spans="1:7" x14ac:dyDescent="0.3">
      <c r="A5451" t="s">
        <v>83</v>
      </c>
      <c r="B5451" t="s">
        <v>23</v>
      </c>
      <c r="C5451" t="s">
        <v>16</v>
      </c>
      <c r="D5451">
        <v>5189</v>
      </c>
      <c r="E5451" t="s">
        <v>68</v>
      </c>
      <c r="F5451" t="s">
        <v>36</v>
      </c>
      <c r="G5451" t="s">
        <v>37</v>
      </c>
    </row>
    <row r="5452" spans="1:7" x14ac:dyDescent="0.3">
      <c r="A5452" t="s">
        <v>83</v>
      </c>
      <c r="B5452" t="s">
        <v>23</v>
      </c>
      <c r="C5452" t="s">
        <v>17</v>
      </c>
      <c r="D5452">
        <v>15</v>
      </c>
      <c r="E5452" t="s">
        <v>68</v>
      </c>
      <c r="F5452" t="s">
        <v>36</v>
      </c>
      <c r="G5452" t="s">
        <v>37</v>
      </c>
    </row>
    <row r="5453" spans="1:7" x14ac:dyDescent="0.3">
      <c r="A5453" t="s">
        <v>83</v>
      </c>
      <c r="B5453" t="s">
        <v>23</v>
      </c>
      <c r="C5453" t="s">
        <v>18</v>
      </c>
      <c r="D5453">
        <v>0</v>
      </c>
      <c r="E5453" t="s">
        <v>68</v>
      </c>
      <c r="F5453" t="s">
        <v>36</v>
      </c>
      <c r="G5453" t="s">
        <v>37</v>
      </c>
    </row>
    <row r="5454" spans="1:7" x14ac:dyDescent="0.3">
      <c r="A5454" t="s">
        <v>83</v>
      </c>
      <c r="B5454" t="s">
        <v>23</v>
      </c>
      <c r="C5454" t="s">
        <v>19</v>
      </c>
      <c r="D5454">
        <v>1673</v>
      </c>
      <c r="E5454" t="s">
        <v>68</v>
      </c>
      <c r="F5454" t="s">
        <v>36</v>
      </c>
      <c r="G5454" t="s">
        <v>37</v>
      </c>
    </row>
    <row r="5455" spans="1:7" x14ac:dyDescent="0.3">
      <c r="A5455" t="s">
        <v>83</v>
      </c>
      <c r="B5455" t="s">
        <v>23</v>
      </c>
      <c r="C5455" t="s">
        <v>20</v>
      </c>
      <c r="D5455">
        <v>1699</v>
      </c>
      <c r="E5455" t="s">
        <v>68</v>
      </c>
      <c r="F5455" t="s">
        <v>36</v>
      </c>
      <c r="G5455" t="s">
        <v>37</v>
      </c>
    </row>
    <row r="5456" spans="1:7" x14ac:dyDescent="0.3">
      <c r="A5456" t="s">
        <v>83</v>
      </c>
      <c r="B5456" t="s">
        <v>23</v>
      </c>
      <c r="C5456" t="s">
        <v>21</v>
      </c>
      <c r="D5456">
        <v>184</v>
      </c>
      <c r="E5456" t="s">
        <v>68</v>
      </c>
      <c r="F5456" t="s">
        <v>36</v>
      </c>
      <c r="G5456" t="s">
        <v>37</v>
      </c>
    </row>
    <row r="5457" spans="1:7" x14ac:dyDescent="0.3">
      <c r="A5457" t="s">
        <v>83</v>
      </c>
      <c r="B5457" t="s">
        <v>23</v>
      </c>
      <c r="C5457" t="s">
        <v>22</v>
      </c>
      <c r="D5457">
        <v>57719</v>
      </c>
      <c r="E5457" t="s">
        <v>68</v>
      </c>
      <c r="F5457" t="s">
        <v>36</v>
      </c>
      <c r="G5457" t="s">
        <v>37</v>
      </c>
    </row>
    <row r="5458" spans="1:7" x14ac:dyDescent="0.3">
      <c r="A5458" t="s">
        <v>67</v>
      </c>
      <c r="B5458" t="s">
        <v>8</v>
      </c>
      <c r="C5458" t="s">
        <v>9</v>
      </c>
      <c r="D5458">
        <v>2279</v>
      </c>
      <c r="E5458" t="s">
        <v>68</v>
      </c>
      <c r="F5458" t="s">
        <v>38</v>
      </c>
      <c r="G5458" t="s">
        <v>37</v>
      </c>
    </row>
    <row r="5459" spans="1:7" x14ac:dyDescent="0.3">
      <c r="A5459" t="s">
        <v>67</v>
      </c>
      <c r="B5459" t="s">
        <v>8</v>
      </c>
      <c r="C5459" t="s">
        <v>13</v>
      </c>
      <c r="D5459">
        <v>32</v>
      </c>
      <c r="E5459" t="s">
        <v>68</v>
      </c>
      <c r="F5459" t="s">
        <v>38</v>
      </c>
      <c r="G5459" t="s">
        <v>37</v>
      </c>
    </row>
    <row r="5460" spans="1:7" x14ac:dyDescent="0.3">
      <c r="A5460" t="s">
        <v>67</v>
      </c>
      <c r="B5460" t="s">
        <v>8</v>
      </c>
      <c r="C5460" t="s">
        <v>14</v>
      </c>
      <c r="D5460">
        <v>15511</v>
      </c>
      <c r="E5460" t="s">
        <v>68</v>
      </c>
      <c r="F5460" t="s">
        <v>38</v>
      </c>
      <c r="G5460" t="s">
        <v>37</v>
      </c>
    </row>
    <row r="5461" spans="1:7" x14ac:dyDescent="0.3">
      <c r="A5461" t="s">
        <v>67</v>
      </c>
      <c r="B5461" t="s">
        <v>8</v>
      </c>
      <c r="C5461" t="s">
        <v>15</v>
      </c>
      <c r="D5461">
        <v>41</v>
      </c>
      <c r="E5461" t="s">
        <v>68</v>
      </c>
      <c r="F5461" t="s">
        <v>38</v>
      </c>
      <c r="G5461" t="s">
        <v>37</v>
      </c>
    </row>
    <row r="5462" spans="1:7" x14ac:dyDescent="0.3">
      <c r="A5462" t="s">
        <v>67</v>
      </c>
      <c r="B5462" t="s">
        <v>8</v>
      </c>
      <c r="C5462" t="s">
        <v>16</v>
      </c>
      <c r="D5462">
        <v>7246595</v>
      </c>
      <c r="E5462" t="s">
        <v>68</v>
      </c>
      <c r="F5462" t="s">
        <v>38</v>
      </c>
      <c r="G5462" t="s">
        <v>37</v>
      </c>
    </row>
    <row r="5463" spans="1:7" x14ac:dyDescent="0.3">
      <c r="A5463" t="s">
        <v>67</v>
      </c>
      <c r="B5463" t="s">
        <v>8</v>
      </c>
      <c r="C5463" t="s">
        <v>17</v>
      </c>
      <c r="D5463">
        <v>3972</v>
      </c>
      <c r="E5463" t="s">
        <v>68</v>
      </c>
      <c r="F5463" t="s">
        <v>38</v>
      </c>
      <c r="G5463" t="s">
        <v>37</v>
      </c>
    </row>
    <row r="5464" spans="1:7" x14ac:dyDescent="0.3">
      <c r="A5464" t="s">
        <v>67</v>
      </c>
      <c r="B5464" t="s">
        <v>8</v>
      </c>
      <c r="C5464" t="s">
        <v>18</v>
      </c>
      <c r="D5464">
        <v>0</v>
      </c>
      <c r="E5464" t="s">
        <v>68</v>
      </c>
      <c r="F5464" t="s">
        <v>38</v>
      </c>
      <c r="G5464" t="s">
        <v>37</v>
      </c>
    </row>
    <row r="5465" spans="1:7" x14ac:dyDescent="0.3">
      <c r="A5465" t="s">
        <v>67</v>
      </c>
      <c r="B5465" t="s">
        <v>8</v>
      </c>
      <c r="C5465" t="s">
        <v>19</v>
      </c>
      <c r="D5465">
        <v>2</v>
      </c>
      <c r="E5465" t="s">
        <v>68</v>
      </c>
      <c r="F5465" t="s">
        <v>38</v>
      </c>
      <c r="G5465" t="s">
        <v>37</v>
      </c>
    </row>
    <row r="5466" spans="1:7" x14ac:dyDescent="0.3">
      <c r="A5466" t="s">
        <v>67</v>
      </c>
      <c r="B5466" t="s">
        <v>8</v>
      </c>
      <c r="C5466" t="s">
        <v>20</v>
      </c>
      <c r="D5466">
        <v>306</v>
      </c>
      <c r="E5466" t="s">
        <v>68</v>
      </c>
      <c r="F5466" t="s">
        <v>38</v>
      </c>
      <c r="G5466" t="s">
        <v>37</v>
      </c>
    </row>
    <row r="5467" spans="1:7" x14ac:dyDescent="0.3">
      <c r="A5467" t="s">
        <v>67</v>
      </c>
      <c r="B5467" t="s">
        <v>8</v>
      </c>
      <c r="C5467" t="s">
        <v>21</v>
      </c>
      <c r="D5467">
        <v>48</v>
      </c>
      <c r="E5467" t="s">
        <v>68</v>
      </c>
      <c r="F5467" t="s">
        <v>38</v>
      </c>
      <c r="G5467" t="s">
        <v>37</v>
      </c>
    </row>
    <row r="5468" spans="1:7" x14ac:dyDescent="0.3">
      <c r="A5468" t="s">
        <v>67</v>
      </c>
      <c r="B5468" t="s">
        <v>8</v>
      </c>
      <c r="C5468" t="s">
        <v>22</v>
      </c>
      <c r="D5468">
        <v>408</v>
      </c>
      <c r="E5468" t="s">
        <v>68</v>
      </c>
      <c r="F5468" t="s">
        <v>38</v>
      </c>
      <c r="G5468" t="s">
        <v>37</v>
      </c>
    </row>
    <row r="5469" spans="1:7" x14ac:dyDescent="0.3">
      <c r="A5469" t="s">
        <v>67</v>
      </c>
      <c r="B5469" t="s">
        <v>23</v>
      </c>
      <c r="C5469" t="s">
        <v>9</v>
      </c>
      <c r="D5469">
        <v>9268</v>
      </c>
      <c r="E5469" t="s">
        <v>68</v>
      </c>
      <c r="F5469" t="s">
        <v>38</v>
      </c>
      <c r="G5469" t="s">
        <v>37</v>
      </c>
    </row>
    <row r="5470" spans="1:7" x14ac:dyDescent="0.3">
      <c r="A5470" t="s">
        <v>67</v>
      </c>
      <c r="B5470" t="s">
        <v>23</v>
      </c>
      <c r="C5470" t="s">
        <v>13</v>
      </c>
      <c r="D5470">
        <v>11756</v>
      </c>
      <c r="E5470" t="s">
        <v>68</v>
      </c>
      <c r="F5470" t="s">
        <v>38</v>
      </c>
      <c r="G5470" t="s">
        <v>37</v>
      </c>
    </row>
    <row r="5471" spans="1:7" x14ac:dyDescent="0.3">
      <c r="A5471" t="s">
        <v>67</v>
      </c>
      <c r="B5471" t="s">
        <v>23</v>
      </c>
      <c r="C5471" t="s">
        <v>14</v>
      </c>
      <c r="D5471">
        <v>46355</v>
      </c>
      <c r="E5471" t="s">
        <v>68</v>
      </c>
      <c r="F5471" t="s">
        <v>38</v>
      </c>
      <c r="G5471" t="s">
        <v>37</v>
      </c>
    </row>
    <row r="5472" spans="1:7" x14ac:dyDescent="0.3">
      <c r="A5472" t="s">
        <v>67</v>
      </c>
      <c r="B5472" t="s">
        <v>23</v>
      </c>
      <c r="C5472" t="s">
        <v>15</v>
      </c>
      <c r="D5472">
        <v>1607</v>
      </c>
      <c r="E5472" t="s">
        <v>68</v>
      </c>
      <c r="F5472" t="s">
        <v>38</v>
      </c>
      <c r="G5472" t="s">
        <v>37</v>
      </c>
    </row>
    <row r="5473" spans="1:7" x14ac:dyDescent="0.3">
      <c r="A5473" t="s">
        <v>67</v>
      </c>
      <c r="B5473" t="s">
        <v>23</v>
      </c>
      <c r="C5473" t="s">
        <v>16</v>
      </c>
      <c r="D5473">
        <v>14577117</v>
      </c>
      <c r="E5473" t="s">
        <v>68</v>
      </c>
      <c r="F5473" t="s">
        <v>38</v>
      </c>
      <c r="G5473" t="s">
        <v>37</v>
      </c>
    </row>
    <row r="5474" spans="1:7" x14ac:dyDescent="0.3">
      <c r="A5474" t="s">
        <v>67</v>
      </c>
      <c r="B5474" t="s">
        <v>23</v>
      </c>
      <c r="C5474" t="s">
        <v>17</v>
      </c>
      <c r="D5474">
        <v>2098</v>
      </c>
      <c r="E5474" t="s">
        <v>68</v>
      </c>
      <c r="F5474" t="s">
        <v>38</v>
      </c>
      <c r="G5474" t="s">
        <v>37</v>
      </c>
    </row>
    <row r="5475" spans="1:7" x14ac:dyDescent="0.3">
      <c r="A5475" t="s">
        <v>67</v>
      </c>
      <c r="B5475" t="s">
        <v>23</v>
      </c>
      <c r="C5475" t="s">
        <v>18</v>
      </c>
      <c r="D5475">
        <v>87</v>
      </c>
      <c r="E5475" t="s">
        <v>68</v>
      </c>
      <c r="F5475" t="s">
        <v>38</v>
      </c>
      <c r="G5475" t="s">
        <v>37</v>
      </c>
    </row>
    <row r="5476" spans="1:7" x14ac:dyDescent="0.3">
      <c r="A5476" t="s">
        <v>67</v>
      </c>
      <c r="B5476" t="s">
        <v>23</v>
      </c>
      <c r="C5476" t="s">
        <v>19</v>
      </c>
      <c r="D5476">
        <v>2791</v>
      </c>
      <c r="E5476" t="s">
        <v>68</v>
      </c>
      <c r="F5476" t="s">
        <v>38</v>
      </c>
      <c r="G5476" t="s">
        <v>37</v>
      </c>
    </row>
    <row r="5477" spans="1:7" x14ac:dyDescent="0.3">
      <c r="A5477" t="s">
        <v>67</v>
      </c>
      <c r="B5477" t="s">
        <v>23</v>
      </c>
      <c r="C5477" t="s">
        <v>20</v>
      </c>
      <c r="D5477">
        <v>86645</v>
      </c>
      <c r="E5477" t="s">
        <v>68</v>
      </c>
      <c r="F5477" t="s">
        <v>38</v>
      </c>
      <c r="G5477" t="s">
        <v>37</v>
      </c>
    </row>
    <row r="5478" spans="1:7" x14ac:dyDescent="0.3">
      <c r="A5478" t="s">
        <v>67</v>
      </c>
      <c r="B5478" t="s">
        <v>23</v>
      </c>
      <c r="C5478" t="s">
        <v>21</v>
      </c>
      <c r="D5478">
        <v>3694</v>
      </c>
      <c r="E5478" t="s">
        <v>68</v>
      </c>
      <c r="F5478" t="s">
        <v>38</v>
      </c>
      <c r="G5478" t="s">
        <v>37</v>
      </c>
    </row>
    <row r="5479" spans="1:7" x14ac:dyDescent="0.3">
      <c r="A5479" t="s">
        <v>67</v>
      </c>
      <c r="B5479" t="s">
        <v>23</v>
      </c>
      <c r="C5479" t="s">
        <v>22</v>
      </c>
      <c r="D5479">
        <v>7380</v>
      </c>
      <c r="E5479" t="s">
        <v>68</v>
      </c>
      <c r="F5479" t="s">
        <v>38</v>
      </c>
      <c r="G5479" t="s">
        <v>37</v>
      </c>
    </row>
    <row r="5480" spans="1:7" x14ac:dyDescent="0.3">
      <c r="A5480" t="s">
        <v>69</v>
      </c>
      <c r="B5480" t="s">
        <v>8</v>
      </c>
      <c r="C5480" t="s">
        <v>9</v>
      </c>
      <c r="D5480">
        <v>176</v>
      </c>
      <c r="E5480" t="s">
        <v>68</v>
      </c>
      <c r="F5480" t="s">
        <v>38</v>
      </c>
      <c r="G5480" t="s">
        <v>37</v>
      </c>
    </row>
    <row r="5481" spans="1:7" x14ac:dyDescent="0.3">
      <c r="A5481" t="s">
        <v>69</v>
      </c>
      <c r="B5481" t="s">
        <v>8</v>
      </c>
      <c r="C5481" t="s">
        <v>13</v>
      </c>
      <c r="D5481">
        <v>343</v>
      </c>
      <c r="E5481" t="s">
        <v>68</v>
      </c>
      <c r="F5481" t="s">
        <v>38</v>
      </c>
      <c r="G5481" t="s">
        <v>37</v>
      </c>
    </row>
    <row r="5482" spans="1:7" x14ac:dyDescent="0.3">
      <c r="A5482" t="s">
        <v>69</v>
      </c>
      <c r="B5482" t="s">
        <v>8</v>
      </c>
      <c r="C5482" t="s">
        <v>14</v>
      </c>
      <c r="D5482">
        <v>314</v>
      </c>
      <c r="E5482" t="s">
        <v>68</v>
      </c>
      <c r="F5482" t="s">
        <v>38</v>
      </c>
      <c r="G5482" t="s">
        <v>37</v>
      </c>
    </row>
    <row r="5483" spans="1:7" x14ac:dyDescent="0.3">
      <c r="A5483" t="s">
        <v>69</v>
      </c>
      <c r="B5483" t="s">
        <v>8</v>
      </c>
      <c r="C5483" t="s">
        <v>15</v>
      </c>
      <c r="D5483">
        <v>42</v>
      </c>
      <c r="E5483" t="s">
        <v>68</v>
      </c>
      <c r="F5483" t="s">
        <v>38</v>
      </c>
      <c r="G5483" t="s">
        <v>37</v>
      </c>
    </row>
    <row r="5484" spans="1:7" x14ac:dyDescent="0.3">
      <c r="A5484" t="s">
        <v>69</v>
      </c>
      <c r="B5484" t="s">
        <v>8</v>
      </c>
      <c r="C5484" t="s">
        <v>16</v>
      </c>
      <c r="D5484">
        <v>681</v>
      </c>
      <c r="E5484" t="s">
        <v>68</v>
      </c>
      <c r="F5484" t="s">
        <v>38</v>
      </c>
      <c r="G5484" t="s">
        <v>37</v>
      </c>
    </row>
    <row r="5485" spans="1:7" x14ac:dyDescent="0.3">
      <c r="A5485" t="s">
        <v>69</v>
      </c>
      <c r="B5485" t="s">
        <v>8</v>
      </c>
      <c r="C5485" t="s">
        <v>17</v>
      </c>
      <c r="D5485">
        <v>0</v>
      </c>
      <c r="E5485" t="s">
        <v>68</v>
      </c>
      <c r="F5485" t="s">
        <v>38</v>
      </c>
      <c r="G5485" t="s">
        <v>37</v>
      </c>
    </row>
    <row r="5486" spans="1:7" x14ac:dyDescent="0.3">
      <c r="A5486" t="s">
        <v>69</v>
      </c>
      <c r="B5486" t="s">
        <v>8</v>
      </c>
      <c r="C5486" t="s">
        <v>18</v>
      </c>
      <c r="D5486">
        <v>0</v>
      </c>
      <c r="E5486" t="s">
        <v>68</v>
      </c>
      <c r="F5486" t="s">
        <v>38</v>
      </c>
      <c r="G5486" t="s">
        <v>37</v>
      </c>
    </row>
    <row r="5487" spans="1:7" x14ac:dyDescent="0.3">
      <c r="A5487" t="s">
        <v>69</v>
      </c>
      <c r="B5487" t="s">
        <v>8</v>
      </c>
      <c r="C5487" t="s">
        <v>19</v>
      </c>
      <c r="D5487">
        <v>0</v>
      </c>
      <c r="E5487" t="s">
        <v>68</v>
      </c>
      <c r="F5487" t="s">
        <v>38</v>
      </c>
      <c r="G5487" t="s">
        <v>37</v>
      </c>
    </row>
    <row r="5488" spans="1:7" x14ac:dyDescent="0.3">
      <c r="A5488" t="s">
        <v>69</v>
      </c>
      <c r="B5488" t="s">
        <v>8</v>
      </c>
      <c r="C5488" t="s">
        <v>20</v>
      </c>
      <c r="D5488">
        <v>59</v>
      </c>
      <c r="E5488" t="s">
        <v>68</v>
      </c>
      <c r="F5488" t="s">
        <v>38</v>
      </c>
      <c r="G5488" t="s">
        <v>37</v>
      </c>
    </row>
    <row r="5489" spans="1:7" x14ac:dyDescent="0.3">
      <c r="A5489" t="s">
        <v>69</v>
      </c>
      <c r="B5489" t="s">
        <v>8</v>
      </c>
      <c r="C5489" t="s">
        <v>21</v>
      </c>
      <c r="D5489">
        <v>273</v>
      </c>
      <c r="E5489" t="s">
        <v>68</v>
      </c>
      <c r="F5489" t="s">
        <v>38</v>
      </c>
      <c r="G5489" t="s">
        <v>37</v>
      </c>
    </row>
    <row r="5490" spans="1:7" x14ac:dyDescent="0.3">
      <c r="A5490" t="s">
        <v>69</v>
      </c>
      <c r="B5490" t="s">
        <v>8</v>
      </c>
      <c r="C5490" t="s">
        <v>22</v>
      </c>
      <c r="D5490">
        <v>2622521</v>
      </c>
      <c r="E5490" t="s">
        <v>68</v>
      </c>
      <c r="F5490" t="s">
        <v>38</v>
      </c>
      <c r="G5490" t="s">
        <v>37</v>
      </c>
    </row>
    <row r="5491" spans="1:7" x14ac:dyDescent="0.3">
      <c r="A5491" t="s">
        <v>69</v>
      </c>
      <c r="B5491" t="s">
        <v>23</v>
      </c>
      <c r="C5491" t="s">
        <v>9</v>
      </c>
      <c r="D5491">
        <v>389528</v>
      </c>
      <c r="E5491" t="s">
        <v>68</v>
      </c>
      <c r="F5491" t="s">
        <v>38</v>
      </c>
      <c r="G5491" t="s">
        <v>37</v>
      </c>
    </row>
    <row r="5492" spans="1:7" x14ac:dyDescent="0.3">
      <c r="A5492" t="s">
        <v>69</v>
      </c>
      <c r="B5492" t="s">
        <v>23</v>
      </c>
      <c r="C5492" t="s">
        <v>13</v>
      </c>
      <c r="D5492">
        <v>1528888</v>
      </c>
      <c r="E5492" t="s">
        <v>68</v>
      </c>
      <c r="F5492" t="s">
        <v>38</v>
      </c>
      <c r="G5492" t="s">
        <v>37</v>
      </c>
    </row>
    <row r="5493" spans="1:7" x14ac:dyDescent="0.3">
      <c r="A5493" t="s">
        <v>69</v>
      </c>
      <c r="B5493" t="s">
        <v>23</v>
      </c>
      <c r="C5493" t="s">
        <v>14</v>
      </c>
      <c r="D5493">
        <v>2226645</v>
      </c>
      <c r="E5493" t="s">
        <v>68</v>
      </c>
      <c r="F5493" t="s">
        <v>38</v>
      </c>
      <c r="G5493" t="s">
        <v>37</v>
      </c>
    </row>
    <row r="5494" spans="1:7" x14ac:dyDescent="0.3">
      <c r="A5494" t="s">
        <v>69</v>
      </c>
      <c r="B5494" t="s">
        <v>23</v>
      </c>
      <c r="C5494" t="s">
        <v>15</v>
      </c>
      <c r="D5494">
        <v>39506</v>
      </c>
      <c r="E5494" t="s">
        <v>68</v>
      </c>
      <c r="F5494" t="s">
        <v>38</v>
      </c>
      <c r="G5494" t="s">
        <v>37</v>
      </c>
    </row>
    <row r="5495" spans="1:7" x14ac:dyDescent="0.3">
      <c r="A5495" t="s">
        <v>69</v>
      </c>
      <c r="B5495" t="s">
        <v>23</v>
      </c>
      <c r="C5495" t="s">
        <v>16</v>
      </c>
      <c r="D5495">
        <v>784736</v>
      </c>
      <c r="E5495" t="s">
        <v>68</v>
      </c>
      <c r="F5495" t="s">
        <v>38</v>
      </c>
      <c r="G5495" t="s">
        <v>37</v>
      </c>
    </row>
    <row r="5496" spans="1:7" x14ac:dyDescent="0.3">
      <c r="A5496" t="s">
        <v>69</v>
      </c>
      <c r="B5496" t="s">
        <v>23</v>
      </c>
      <c r="C5496" t="s">
        <v>17</v>
      </c>
      <c r="D5496">
        <v>94085</v>
      </c>
      <c r="E5496" t="s">
        <v>68</v>
      </c>
      <c r="F5496" t="s">
        <v>38</v>
      </c>
      <c r="G5496" t="s">
        <v>37</v>
      </c>
    </row>
    <row r="5497" spans="1:7" x14ac:dyDescent="0.3">
      <c r="A5497" t="s">
        <v>69</v>
      </c>
      <c r="B5497" t="s">
        <v>23</v>
      </c>
      <c r="C5497" t="s">
        <v>18</v>
      </c>
      <c r="D5497">
        <v>1</v>
      </c>
      <c r="E5497" t="s">
        <v>68</v>
      </c>
      <c r="F5497" t="s">
        <v>38</v>
      </c>
      <c r="G5497" t="s">
        <v>37</v>
      </c>
    </row>
    <row r="5498" spans="1:7" x14ac:dyDescent="0.3">
      <c r="A5498" t="s">
        <v>69</v>
      </c>
      <c r="B5498" t="s">
        <v>23</v>
      </c>
      <c r="C5498" t="s">
        <v>19</v>
      </c>
      <c r="D5498">
        <v>353391</v>
      </c>
      <c r="E5498" t="s">
        <v>68</v>
      </c>
      <c r="F5498" t="s">
        <v>38</v>
      </c>
      <c r="G5498" t="s">
        <v>37</v>
      </c>
    </row>
    <row r="5499" spans="1:7" x14ac:dyDescent="0.3">
      <c r="A5499" t="s">
        <v>69</v>
      </c>
      <c r="B5499" t="s">
        <v>23</v>
      </c>
      <c r="C5499" t="s">
        <v>20</v>
      </c>
      <c r="D5499">
        <v>98418</v>
      </c>
      <c r="E5499" t="s">
        <v>68</v>
      </c>
      <c r="F5499" t="s">
        <v>38</v>
      </c>
      <c r="G5499" t="s">
        <v>37</v>
      </c>
    </row>
    <row r="5500" spans="1:7" x14ac:dyDescent="0.3">
      <c r="A5500" t="s">
        <v>69</v>
      </c>
      <c r="B5500" t="s">
        <v>23</v>
      </c>
      <c r="C5500" t="s">
        <v>21</v>
      </c>
      <c r="D5500">
        <v>46984</v>
      </c>
      <c r="E5500" t="s">
        <v>68</v>
      </c>
      <c r="F5500" t="s">
        <v>38</v>
      </c>
      <c r="G5500" t="s">
        <v>37</v>
      </c>
    </row>
    <row r="5501" spans="1:7" x14ac:dyDescent="0.3">
      <c r="A5501" t="s">
        <v>69</v>
      </c>
      <c r="B5501" t="s">
        <v>23</v>
      </c>
      <c r="C5501" t="s">
        <v>22</v>
      </c>
      <c r="D5501">
        <v>7197697</v>
      </c>
      <c r="E5501" t="s">
        <v>68</v>
      </c>
      <c r="F5501" t="s">
        <v>38</v>
      </c>
      <c r="G5501" t="s">
        <v>37</v>
      </c>
    </row>
    <row r="5502" spans="1:7" x14ac:dyDescent="0.3">
      <c r="A5502" t="s">
        <v>70</v>
      </c>
      <c r="B5502" t="s">
        <v>8</v>
      </c>
      <c r="C5502" t="s">
        <v>9</v>
      </c>
      <c r="D5502">
        <v>4</v>
      </c>
      <c r="E5502" t="s">
        <v>68</v>
      </c>
      <c r="F5502" t="s">
        <v>38</v>
      </c>
      <c r="G5502" t="s">
        <v>37</v>
      </c>
    </row>
    <row r="5503" spans="1:7" x14ac:dyDescent="0.3">
      <c r="A5503" t="s">
        <v>70</v>
      </c>
      <c r="B5503" t="s">
        <v>8</v>
      </c>
      <c r="C5503" t="s">
        <v>13</v>
      </c>
      <c r="D5503">
        <v>16</v>
      </c>
      <c r="E5503" t="s">
        <v>68</v>
      </c>
      <c r="F5503" t="s">
        <v>38</v>
      </c>
      <c r="G5503" t="s">
        <v>37</v>
      </c>
    </row>
    <row r="5504" spans="1:7" x14ac:dyDescent="0.3">
      <c r="A5504" t="s">
        <v>70</v>
      </c>
      <c r="B5504" t="s">
        <v>8</v>
      </c>
      <c r="C5504" t="s">
        <v>14</v>
      </c>
      <c r="D5504">
        <v>11</v>
      </c>
      <c r="E5504" t="s">
        <v>68</v>
      </c>
      <c r="F5504" t="s">
        <v>38</v>
      </c>
      <c r="G5504" t="s">
        <v>37</v>
      </c>
    </row>
    <row r="5505" spans="1:7" x14ac:dyDescent="0.3">
      <c r="A5505" t="s">
        <v>70</v>
      </c>
      <c r="B5505" t="s">
        <v>8</v>
      </c>
      <c r="C5505" t="s">
        <v>15</v>
      </c>
      <c r="D5505">
        <v>37</v>
      </c>
      <c r="E5505" t="s">
        <v>68</v>
      </c>
      <c r="F5505" t="s">
        <v>38</v>
      </c>
      <c r="G5505" t="s">
        <v>37</v>
      </c>
    </row>
    <row r="5506" spans="1:7" x14ac:dyDescent="0.3">
      <c r="A5506" t="s">
        <v>70</v>
      </c>
      <c r="B5506" t="s">
        <v>8</v>
      </c>
      <c r="C5506" t="s">
        <v>16</v>
      </c>
      <c r="D5506">
        <v>84</v>
      </c>
      <c r="E5506" t="s">
        <v>68</v>
      </c>
      <c r="F5506" t="s">
        <v>38</v>
      </c>
      <c r="G5506" t="s">
        <v>37</v>
      </c>
    </row>
    <row r="5507" spans="1:7" x14ac:dyDescent="0.3">
      <c r="A5507" t="s">
        <v>70</v>
      </c>
      <c r="B5507" t="s">
        <v>8</v>
      </c>
      <c r="C5507" t="s">
        <v>17</v>
      </c>
      <c r="D5507">
        <v>3593446</v>
      </c>
      <c r="E5507" t="s">
        <v>68</v>
      </c>
      <c r="F5507" t="s">
        <v>38</v>
      </c>
      <c r="G5507" t="s">
        <v>37</v>
      </c>
    </row>
    <row r="5508" spans="1:7" x14ac:dyDescent="0.3">
      <c r="A5508" t="s">
        <v>70</v>
      </c>
      <c r="B5508" t="s">
        <v>8</v>
      </c>
      <c r="C5508" t="s">
        <v>18</v>
      </c>
      <c r="D5508">
        <v>0</v>
      </c>
      <c r="E5508" t="s">
        <v>68</v>
      </c>
      <c r="F5508" t="s">
        <v>38</v>
      </c>
      <c r="G5508" t="s">
        <v>37</v>
      </c>
    </row>
    <row r="5509" spans="1:7" x14ac:dyDescent="0.3">
      <c r="A5509" t="s">
        <v>70</v>
      </c>
      <c r="B5509" t="s">
        <v>8</v>
      </c>
      <c r="C5509" t="s">
        <v>19</v>
      </c>
      <c r="D5509">
        <v>0</v>
      </c>
      <c r="E5509" t="s">
        <v>68</v>
      </c>
      <c r="F5509" t="s">
        <v>38</v>
      </c>
      <c r="G5509" t="s">
        <v>37</v>
      </c>
    </row>
    <row r="5510" spans="1:7" x14ac:dyDescent="0.3">
      <c r="A5510" t="s">
        <v>70</v>
      </c>
      <c r="B5510" t="s">
        <v>8</v>
      </c>
      <c r="C5510" t="s">
        <v>20</v>
      </c>
      <c r="D5510">
        <v>9</v>
      </c>
      <c r="E5510" t="s">
        <v>68</v>
      </c>
      <c r="F5510" t="s">
        <v>38</v>
      </c>
      <c r="G5510" t="s">
        <v>37</v>
      </c>
    </row>
    <row r="5511" spans="1:7" x14ac:dyDescent="0.3">
      <c r="A5511" t="s">
        <v>70</v>
      </c>
      <c r="B5511" t="s">
        <v>8</v>
      </c>
      <c r="C5511" t="s">
        <v>21</v>
      </c>
      <c r="D5511">
        <v>4</v>
      </c>
      <c r="E5511" t="s">
        <v>68</v>
      </c>
      <c r="F5511" t="s">
        <v>38</v>
      </c>
      <c r="G5511" t="s">
        <v>37</v>
      </c>
    </row>
    <row r="5512" spans="1:7" x14ac:dyDescent="0.3">
      <c r="A5512" t="s">
        <v>70</v>
      </c>
      <c r="B5512" t="s">
        <v>8</v>
      </c>
      <c r="C5512" t="s">
        <v>22</v>
      </c>
      <c r="D5512">
        <v>391</v>
      </c>
      <c r="E5512" t="s">
        <v>68</v>
      </c>
      <c r="F5512" t="s">
        <v>38</v>
      </c>
      <c r="G5512" t="s">
        <v>37</v>
      </c>
    </row>
    <row r="5513" spans="1:7" x14ac:dyDescent="0.3">
      <c r="A5513" t="s">
        <v>70</v>
      </c>
      <c r="B5513" t="s">
        <v>23</v>
      </c>
      <c r="C5513" t="s">
        <v>9</v>
      </c>
      <c r="D5513">
        <v>2154814</v>
      </c>
      <c r="E5513" t="s">
        <v>68</v>
      </c>
      <c r="F5513" t="s">
        <v>38</v>
      </c>
      <c r="G5513" t="s">
        <v>37</v>
      </c>
    </row>
    <row r="5514" spans="1:7" x14ac:dyDescent="0.3">
      <c r="A5514" t="s">
        <v>70</v>
      </c>
      <c r="B5514" t="s">
        <v>23</v>
      </c>
      <c r="C5514" t="s">
        <v>13</v>
      </c>
      <c r="D5514">
        <v>10042</v>
      </c>
      <c r="E5514" t="s">
        <v>68</v>
      </c>
      <c r="F5514" t="s">
        <v>38</v>
      </c>
      <c r="G5514" t="s">
        <v>37</v>
      </c>
    </row>
    <row r="5515" spans="1:7" x14ac:dyDescent="0.3">
      <c r="A5515" t="s">
        <v>70</v>
      </c>
      <c r="B5515" t="s">
        <v>23</v>
      </c>
      <c r="C5515" t="s">
        <v>14</v>
      </c>
      <c r="D5515">
        <v>652463</v>
      </c>
      <c r="E5515" t="s">
        <v>68</v>
      </c>
      <c r="F5515" t="s">
        <v>38</v>
      </c>
      <c r="G5515" t="s">
        <v>37</v>
      </c>
    </row>
    <row r="5516" spans="1:7" x14ac:dyDescent="0.3">
      <c r="A5516" t="s">
        <v>70</v>
      </c>
      <c r="B5516" t="s">
        <v>23</v>
      </c>
      <c r="C5516" t="s">
        <v>15</v>
      </c>
      <c r="D5516">
        <v>900</v>
      </c>
      <c r="E5516" t="s">
        <v>68</v>
      </c>
      <c r="F5516" t="s">
        <v>38</v>
      </c>
      <c r="G5516" t="s">
        <v>37</v>
      </c>
    </row>
    <row r="5517" spans="1:7" x14ac:dyDescent="0.3">
      <c r="A5517" t="s">
        <v>70</v>
      </c>
      <c r="B5517" t="s">
        <v>23</v>
      </c>
      <c r="C5517" t="s">
        <v>16</v>
      </c>
      <c r="D5517">
        <v>35977</v>
      </c>
      <c r="E5517" t="s">
        <v>68</v>
      </c>
      <c r="F5517" t="s">
        <v>38</v>
      </c>
      <c r="G5517" t="s">
        <v>37</v>
      </c>
    </row>
    <row r="5518" spans="1:7" x14ac:dyDescent="0.3">
      <c r="A5518" t="s">
        <v>70</v>
      </c>
      <c r="B5518" t="s">
        <v>23</v>
      </c>
      <c r="C5518" t="s">
        <v>17</v>
      </c>
      <c r="D5518">
        <v>1091191</v>
      </c>
      <c r="E5518" t="s">
        <v>68</v>
      </c>
      <c r="F5518" t="s">
        <v>38</v>
      </c>
      <c r="G5518" t="s">
        <v>37</v>
      </c>
    </row>
    <row r="5519" spans="1:7" x14ac:dyDescent="0.3">
      <c r="A5519" t="s">
        <v>70</v>
      </c>
      <c r="B5519" t="s">
        <v>23</v>
      </c>
      <c r="C5519" t="s">
        <v>18</v>
      </c>
      <c r="D5519">
        <v>6</v>
      </c>
      <c r="E5519" t="s">
        <v>68</v>
      </c>
      <c r="F5519" t="s">
        <v>38</v>
      </c>
      <c r="G5519" t="s">
        <v>37</v>
      </c>
    </row>
    <row r="5520" spans="1:7" x14ac:dyDescent="0.3">
      <c r="A5520" t="s">
        <v>70</v>
      </c>
      <c r="B5520" t="s">
        <v>23</v>
      </c>
      <c r="C5520" t="s">
        <v>19</v>
      </c>
      <c r="D5520">
        <v>869</v>
      </c>
      <c r="E5520" t="s">
        <v>68</v>
      </c>
      <c r="F5520" t="s">
        <v>38</v>
      </c>
      <c r="G5520" t="s">
        <v>37</v>
      </c>
    </row>
    <row r="5521" spans="1:7" x14ac:dyDescent="0.3">
      <c r="A5521" t="s">
        <v>70</v>
      </c>
      <c r="B5521" t="s">
        <v>23</v>
      </c>
      <c r="C5521" t="s">
        <v>20</v>
      </c>
      <c r="D5521">
        <v>12043</v>
      </c>
      <c r="E5521" t="s">
        <v>68</v>
      </c>
      <c r="F5521" t="s">
        <v>38</v>
      </c>
      <c r="G5521" t="s">
        <v>37</v>
      </c>
    </row>
    <row r="5522" spans="1:7" x14ac:dyDescent="0.3">
      <c r="A5522" t="s">
        <v>70</v>
      </c>
      <c r="B5522" t="s">
        <v>23</v>
      </c>
      <c r="C5522" t="s">
        <v>21</v>
      </c>
      <c r="D5522">
        <v>1744</v>
      </c>
      <c r="E5522" t="s">
        <v>68</v>
      </c>
      <c r="F5522" t="s">
        <v>38</v>
      </c>
      <c r="G5522" t="s">
        <v>37</v>
      </c>
    </row>
    <row r="5523" spans="1:7" x14ac:dyDescent="0.3">
      <c r="A5523" t="s">
        <v>70</v>
      </c>
      <c r="B5523" t="s">
        <v>23</v>
      </c>
      <c r="C5523" t="s">
        <v>22</v>
      </c>
      <c r="D5523">
        <v>4041</v>
      </c>
      <c r="E5523" t="s">
        <v>68</v>
      </c>
      <c r="F5523" t="s">
        <v>38</v>
      </c>
      <c r="G5523" t="s">
        <v>37</v>
      </c>
    </row>
    <row r="5524" spans="1:7" x14ac:dyDescent="0.3">
      <c r="A5524" t="s">
        <v>71</v>
      </c>
      <c r="B5524" t="s">
        <v>8</v>
      </c>
      <c r="C5524" t="s">
        <v>9</v>
      </c>
      <c r="D5524">
        <v>105</v>
      </c>
      <c r="E5524" t="s">
        <v>68</v>
      </c>
      <c r="F5524" t="s">
        <v>38</v>
      </c>
      <c r="G5524" t="s">
        <v>37</v>
      </c>
    </row>
    <row r="5525" spans="1:7" x14ac:dyDescent="0.3">
      <c r="A5525" t="s">
        <v>71</v>
      </c>
      <c r="B5525" t="s">
        <v>8</v>
      </c>
      <c r="C5525" t="s">
        <v>13</v>
      </c>
      <c r="D5525">
        <v>205</v>
      </c>
      <c r="E5525" t="s">
        <v>68</v>
      </c>
      <c r="F5525" t="s">
        <v>38</v>
      </c>
      <c r="G5525" t="s">
        <v>37</v>
      </c>
    </row>
    <row r="5526" spans="1:7" x14ac:dyDescent="0.3">
      <c r="A5526" t="s">
        <v>71</v>
      </c>
      <c r="B5526" t="s">
        <v>8</v>
      </c>
      <c r="C5526" t="s">
        <v>14</v>
      </c>
      <c r="D5526">
        <v>188</v>
      </c>
      <c r="E5526" t="s">
        <v>68</v>
      </c>
      <c r="F5526" t="s">
        <v>38</v>
      </c>
      <c r="G5526" t="s">
        <v>37</v>
      </c>
    </row>
    <row r="5527" spans="1:7" x14ac:dyDescent="0.3">
      <c r="A5527" t="s">
        <v>71</v>
      </c>
      <c r="B5527" t="s">
        <v>8</v>
      </c>
      <c r="C5527" t="s">
        <v>15</v>
      </c>
      <c r="D5527">
        <v>25</v>
      </c>
      <c r="E5527" t="s">
        <v>68</v>
      </c>
      <c r="F5527" t="s">
        <v>38</v>
      </c>
      <c r="G5527" t="s">
        <v>37</v>
      </c>
    </row>
    <row r="5528" spans="1:7" x14ac:dyDescent="0.3">
      <c r="A5528" t="s">
        <v>71</v>
      </c>
      <c r="B5528" t="s">
        <v>8</v>
      </c>
      <c r="C5528" t="s">
        <v>16</v>
      </c>
      <c r="D5528">
        <v>407</v>
      </c>
      <c r="E5528" t="s">
        <v>68</v>
      </c>
      <c r="F5528" t="s">
        <v>38</v>
      </c>
      <c r="G5528" t="s">
        <v>37</v>
      </c>
    </row>
    <row r="5529" spans="1:7" x14ac:dyDescent="0.3">
      <c r="A5529" t="s">
        <v>71</v>
      </c>
      <c r="B5529" t="s">
        <v>8</v>
      </c>
      <c r="C5529" t="s">
        <v>17</v>
      </c>
      <c r="D5529">
        <v>0</v>
      </c>
      <c r="E5529" t="s">
        <v>68</v>
      </c>
      <c r="F5529" t="s">
        <v>38</v>
      </c>
      <c r="G5529" t="s">
        <v>37</v>
      </c>
    </row>
    <row r="5530" spans="1:7" x14ac:dyDescent="0.3">
      <c r="A5530" t="s">
        <v>71</v>
      </c>
      <c r="B5530" t="s">
        <v>8</v>
      </c>
      <c r="C5530" t="s">
        <v>18</v>
      </c>
      <c r="D5530">
        <v>0</v>
      </c>
      <c r="E5530" t="s">
        <v>68</v>
      </c>
      <c r="F5530" t="s">
        <v>38</v>
      </c>
      <c r="G5530" t="s">
        <v>37</v>
      </c>
    </row>
    <row r="5531" spans="1:7" x14ac:dyDescent="0.3">
      <c r="A5531" t="s">
        <v>71</v>
      </c>
      <c r="B5531" t="s">
        <v>8</v>
      </c>
      <c r="C5531" t="s">
        <v>19</v>
      </c>
      <c r="D5531">
        <v>0</v>
      </c>
      <c r="E5531" t="s">
        <v>68</v>
      </c>
      <c r="F5531" t="s">
        <v>38</v>
      </c>
      <c r="G5531" t="s">
        <v>37</v>
      </c>
    </row>
    <row r="5532" spans="1:7" x14ac:dyDescent="0.3">
      <c r="A5532" t="s">
        <v>71</v>
      </c>
      <c r="B5532" t="s">
        <v>8</v>
      </c>
      <c r="C5532" t="s">
        <v>20</v>
      </c>
      <c r="D5532">
        <v>35</v>
      </c>
      <c r="E5532" t="s">
        <v>68</v>
      </c>
      <c r="F5532" t="s">
        <v>38</v>
      </c>
      <c r="G5532" t="s">
        <v>37</v>
      </c>
    </row>
    <row r="5533" spans="1:7" x14ac:dyDescent="0.3">
      <c r="A5533" t="s">
        <v>71</v>
      </c>
      <c r="B5533" t="s">
        <v>8</v>
      </c>
      <c r="C5533" t="s">
        <v>21</v>
      </c>
      <c r="D5533">
        <v>163</v>
      </c>
      <c r="E5533" t="s">
        <v>68</v>
      </c>
      <c r="F5533" t="s">
        <v>38</v>
      </c>
      <c r="G5533" t="s">
        <v>37</v>
      </c>
    </row>
    <row r="5534" spans="1:7" x14ac:dyDescent="0.3">
      <c r="A5534" t="s">
        <v>71</v>
      </c>
      <c r="B5534" t="s">
        <v>8</v>
      </c>
      <c r="C5534" t="s">
        <v>22</v>
      </c>
      <c r="D5534">
        <v>1566550</v>
      </c>
      <c r="E5534" t="s">
        <v>68</v>
      </c>
      <c r="F5534" t="s">
        <v>38</v>
      </c>
      <c r="G5534" t="s">
        <v>37</v>
      </c>
    </row>
    <row r="5535" spans="1:7" x14ac:dyDescent="0.3">
      <c r="A5535" t="s">
        <v>71</v>
      </c>
      <c r="B5535" t="s">
        <v>23</v>
      </c>
      <c r="C5535" t="s">
        <v>9</v>
      </c>
      <c r="D5535">
        <v>232683</v>
      </c>
      <c r="E5535" t="s">
        <v>68</v>
      </c>
      <c r="F5535" t="s">
        <v>38</v>
      </c>
      <c r="G5535" t="s">
        <v>37</v>
      </c>
    </row>
    <row r="5536" spans="1:7" x14ac:dyDescent="0.3">
      <c r="A5536" t="s">
        <v>71</v>
      </c>
      <c r="B5536" t="s">
        <v>23</v>
      </c>
      <c r="C5536" t="s">
        <v>13</v>
      </c>
      <c r="D5536">
        <v>913274</v>
      </c>
      <c r="E5536" t="s">
        <v>68</v>
      </c>
      <c r="F5536" t="s">
        <v>38</v>
      </c>
      <c r="G5536" t="s">
        <v>37</v>
      </c>
    </row>
    <row r="5537" spans="1:7" x14ac:dyDescent="0.3">
      <c r="A5537" t="s">
        <v>71</v>
      </c>
      <c r="B5537" t="s">
        <v>23</v>
      </c>
      <c r="C5537" t="s">
        <v>14</v>
      </c>
      <c r="D5537">
        <v>1330076</v>
      </c>
      <c r="E5537" t="s">
        <v>68</v>
      </c>
      <c r="F5537" t="s">
        <v>38</v>
      </c>
      <c r="G5537" t="s">
        <v>37</v>
      </c>
    </row>
    <row r="5538" spans="1:7" x14ac:dyDescent="0.3">
      <c r="A5538" t="s">
        <v>71</v>
      </c>
      <c r="B5538" t="s">
        <v>23</v>
      </c>
      <c r="C5538" t="s">
        <v>15</v>
      </c>
      <c r="D5538">
        <v>23598</v>
      </c>
      <c r="E5538" t="s">
        <v>68</v>
      </c>
      <c r="F5538" t="s">
        <v>38</v>
      </c>
      <c r="G5538" t="s">
        <v>37</v>
      </c>
    </row>
    <row r="5539" spans="1:7" x14ac:dyDescent="0.3">
      <c r="A5539" t="s">
        <v>71</v>
      </c>
      <c r="B5539" t="s">
        <v>23</v>
      </c>
      <c r="C5539" t="s">
        <v>16</v>
      </c>
      <c r="D5539">
        <v>468758</v>
      </c>
      <c r="E5539" t="s">
        <v>68</v>
      </c>
      <c r="F5539" t="s">
        <v>38</v>
      </c>
      <c r="G5539" t="s">
        <v>37</v>
      </c>
    </row>
    <row r="5540" spans="1:7" x14ac:dyDescent="0.3">
      <c r="A5540" t="s">
        <v>71</v>
      </c>
      <c r="B5540" t="s">
        <v>23</v>
      </c>
      <c r="C5540" t="s">
        <v>17</v>
      </c>
      <c r="D5540">
        <v>56201</v>
      </c>
      <c r="E5540" t="s">
        <v>68</v>
      </c>
      <c r="F5540" t="s">
        <v>38</v>
      </c>
      <c r="G5540" t="s">
        <v>37</v>
      </c>
    </row>
    <row r="5541" spans="1:7" x14ac:dyDescent="0.3">
      <c r="A5541" t="s">
        <v>71</v>
      </c>
      <c r="B5541" t="s">
        <v>23</v>
      </c>
      <c r="C5541" t="s">
        <v>18</v>
      </c>
      <c r="D5541">
        <v>0</v>
      </c>
      <c r="E5541" t="s">
        <v>68</v>
      </c>
      <c r="F5541" t="s">
        <v>38</v>
      </c>
      <c r="G5541" t="s">
        <v>37</v>
      </c>
    </row>
    <row r="5542" spans="1:7" x14ac:dyDescent="0.3">
      <c r="A5542" t="s">
        <v>71</v>
      </c>
      <c r="B5542" t="s">
        <v>23</v>
      </c>
      <c r="C5542" t="s">
        <v>19</v>
      </c>
      <c r="D5542">
        <v>211096</v>
      </c>
      <c r="E5542" t="s">
        <v>68</v>
      </c>
      <c r="F5542" t="s">
        <v>38</v>
      </c>
      <c r="G5542" t="s">
        <v>37</v>
      </c>
    </row>
    <row r="5543" spans="1:7" x14ac:dyDescent="0.3">
      <c r="A5543" t="s">
        <v>71</v>
      </c>
      <c r="B5543" t="s">
        <v>23</v>
      </c>
      <c r="C5543" t="s">
        <v>20</v>
      </c>
      <c r="D5543">
        <v>58790</v>
      </c>
      <c r="E5543" t="s">
        <v>68</v>
      </c>
      <c r="F5543" t="s">
        <v>38</v>
      </c>
      <c r="G5543" t="s">
        <v>37</v>
      </c>
    </row>
    <row r="5544" spans="1:7" x14ac:dyDescent="0.3">
      <c r="A5544" t="s">
        <v>71</v>
      </c>
      <c r="B5544" t="s">
        <v>23</v>
      </c>
      <c r="C5544" t="s">
        <v>21</v>
      </c>
      <c r="D5544">
        <v>28066</v>
      </c>
      <c r="E5544" t="s">
        <v>68</v>
      </c>
      <c r="F5544" t="s">
        <v>38</v>
      </c>
      <c r="G5544" t="s">
        <v>37</v>
      </c>
    </row>
    <row r="5545" spans="1:7" x14ac:dyDescent="0.3">
      <c r="A5545" t="s">
        <v>71</v>
      </c>
      <c r="B5545" t="s">
        <v>23</v>
      </c>
      <c r="C5545" t="s">
        <v>22</v>
      </c>
      <c r="D5545">
        <v>4299509</v>
      </c>
      <c r="E5545" t="s">
        <v>68</v>
      </c>
      <c r="F5545" t="s">
        <v>38</v>
      </c>
      <c r="G5545" t="s">
        <v>37</v>
      </c>
    </row>
    <row r="5546" spans="1:7" x14ac:dyDescent="0.3">
      <c r="A5546" t="s">
        <v>72</v>
      </c>
      <c r="B5546" t="s">
        <v>8</v>
      </c>
      <c r="C5546" t="s">
        <v>9</v>
      </c>
      <c r="D5546">
        <v>105</v>
      </c>
      <c r="E5546" t="s">
        <v>68</v>
      </c>
      <c r="F5546" t="s">
        <v>38</v>
      </c>
      <c r="G5546" t="s">
        <v>37</v>
      </c>
    </row>
    <row r="5547" spans="1:7" x14ac:dyDescent="0.3">
      <c r="A5547" t="s">
        <v>72</v>
      </c>
      <c r="B5547" t="s">
        <v>8</v>
      </c>
      <c r="C5547" t="s">
        <v>13</v>
      </c>
      <c r="D5547">
        <v>205</v>
      </c>
      <c r="E5547" t="s">
        <v>68</v>
      </c>
      <c r="F5547" t="s">
        <v>38</v>
      </c>
      <c r="G5547" t="s">
        <v>37</v>
      </c>
    </row>
    <row r="5548" spans="1:7" x14ac:dyDescent="0.3">
      <c r="A5548" t="s">
        <v>72</v>
      </c>
      <c r="B5548" t="s">
        <v>8</v>
      </c>
      <c r="C5548" t="s">
        <v>14</v>
      </c>
      <c r="D5548">
        <v>188</v>
      </c>
      <c r="E5548" t="s">
        <v>68</v>
      </c>
      <c r="F5548" t="s">
        <v>38</v>
      </c>
      <c r="G5548" t="s">
        <v>37</v>
      </c>
    </row>
    <row r="5549" spans="1:7" x14ac:dyDescent="0.3">
      <c r="A5549" t="s">
        <v>72</v>
      </c>
      <c r="B5549" t="s">
        <v>8</v>
      </c>
      <c r="C5549" t="s">
        <v>15</v>
      </c>
      <c r="D5549">
        <v>25</v>
      </c>
      <c r="E5549" t="s">
        <v>68</v>
      </c>
      <c r="F5549" t="s">
        <v>38</v>
      </c>
      <c r="G5549" t="s">
        <v>37</v>
      </c>
    </row>
    <row r="5550" spans="1:7" x14ac:dyDescent="0.3">
      <c r="A5550" t="s">
        <v>72</v>
      </c>
      <c r="B5550" t="s">
        <v>8</v>
      </c>
      <c r="C5550" t="s">
        <v>16</v>
      </c>
      <c r="D5550">
        <v>407</v>
      </c>
      <c r="E5550" t="s">
        <v>68</v>
      </c>
      <c r="F5550" t="s">
        <v>38</v>
      </c>
      <c r="G5550" t="s">
        <v>37</v>
      </c>
    </row>
    <row r="5551" spans="1:7" x14ac:dyDescent="0.3">
      <c r="A5551" t="s">
        <v>72</v>
      </c>
      <c r="B5551" t="s">
        <v>8</v>
      </c>
      <c r="C5551" t="s">
        <v>17</v>
      </c>
      <c r="D5551">
        <v>0</v>
      </c>
      <c r="E5551" t="s">
        <v>68</v>
      </c>
      <c r="F5551" t="s">
        <v>38</v>
      </c>
      <c r="G5551" t="s">
        <v>37</v>
      </c>
    </row>
    <row r="5552" spans="1:7" x14ac:dyDescent="0.3">
      <c r="A5552" t="s">
        <v>72</v>
      </c>
      <c r="B5552" t="s">
        <v>8</v>
      </c>
      <c r="C5552" t="s">
        <v>18</v>
      </c>
      <c r="D5552">
        <v>0</v>
      </c>
      <c r="E5552" t="s">
        <v>68</v>
      </c>
      <c r="F5552" t="s">
        <v>38</v>
      </c>
      <c r="G5552" t="s">
        <v>37</v>
      </c>
    </row>
    <row r="5553" spans="1:7" x14ac:dyDescent="0.3">
      <c r="A5553" t="s">
        <v>72</v>
      </c>
      <c r="B5553" t="s">
        <v>8</v>
      </c>
      <c r="C5553" t="s">
        <v>19</v>
      </c>
      <c r="D5553">
        <v>0</v>
      </c>
      <c r="E5553" t="s">
        <v>68</v>
      </c>
      <c r="F5553" t="s">
        <v>38</v>
      </c>
      <c r="G5553" t="s">
        <v>37</v>
      </c>
    </row>
    <row r="5554" spans="1:7" x14ac:dyDescent="0.3">
      <c r="A5554" t="s">
        <v>72</v>
      </c>
      <c r="B5554" t="s">
        <v>8</v>
      </c>
      <c r="C5554" t="s">
        <v>20</v>
      </c>
      <c r="D5554">
        <v>35</v>
      </c>
      <c r="E5554" t="s">
        <v>68</v>
      </c>
      <c r="F5554" t="s">
        <v>38</v>
      </c>
      <c r="G5554" t="s">
        <v>37</v>
      </c>
    </row>
    <row r="5555" spans="1:7" x14ac:dyDescent="0.3">
      <c r="A5555" t="s">
        <v>72</v>
      </c>
      <c r="B5555" t="s">
        <v>8</v>
      </c>
      <c r="C5555" t="s">
        <v>21</v>
      </c>
      <c r="D5555">
        <v>163</v>
      </c>
      <c r="E5555" t="s">
        <v>68</v>
      </c>
      <c r="F5555" t="s">
        <v>38</v>
      </c>
      <c r="G5555" t="s">
        <v>37</v>
      </c>
    </row>
    <row r="5556" spans="1:7" x14ac:dyDescent="0.3">
      <c r="A5556" t="s">
        <v>72</v>
      </c>
      <c r="B5556" t="s">
        <v>8</v>
      </c>
      <c r="C5556" t="s">
        <v>22</v>
      </c>
      <c r="D5556">
        <v>1566550</v>
      </c>
      <c r="E5556" t="s">
        <v>68</v>
      </c>
      <c r="F5556" t="s">
        <v>38</v>
      </c>
      <c r="G5556" t="s">
        <v>37</v>
      </c>
    </row>
    <row r="5557" spans="1:7" x14ac:dyDescent="0.3">
      <c r="A5557" t="s">
        <v>72</v>
      </c>
      <c r="B5557" t="s">
        <v>23</v>
      </c>
      <c r="C5557" t="s">
        <v>9</v>
      </c>
      <c r="D5557">
        <v>232683</v>
      </c>
      <c r="E5557" t="s">
        <v>68</v>
      </c>
      <c r="F5557" t="s">
        <v>38</v>
      </c>
      <c r="G5557" t="s">
        <v>37</v>
      </c>
    </row>
    <row r="5558" spans="1:7" x14ac:dyDescent="0.3">
      <c r="A5558" t="s">
        <v>72</v>
      </c>
      <c r="B5558" t="s">
        <v>23</v>
      </c>
      <c r="C5558" t="s">
        <v>13</v>
      </c>
      <c r="D5558">
        <v>913274</v>
      </c>
      <c r="E5558" t="s">
        <v>68</v>
      </c>
      <c r="F5558" t="s">
        <v>38</v>
      </c>
      <c r="G5558" t="s">
        <v>37</v>
      </c>
    </row>
    <row r="5559" spans="1:7" x14ac:dyDescent="0.3">
      <c r="A5559" t="s">
        <v>72</v>
      </c>
      <c r="B5559" t="s">
        <v>23</v>
      </c>
      <c r="C5559" t="s">
        <v>14</v>
      </c>
      <c r="D5559">
        <v>1330076</v>
      </c>
      <c r="E5559" t="s">
        <v>68</v>
      </c>
      <c r="F5559" t="s">
        <v>38</v>
      </c>
      <c r="G5559" t="s">
        <v>37</v>
      </c>
    </row>
    <row r="5560" spans="1:7" x14ac:dyDescent="0.3">
      <c r="A5560" t="s">
        <v>72</v>
      </c>
      <c r="B5560" t="s">
        <v>23</v>
      </c>
      <c r="C5560" t="s">
        <v>15</v>
      </c>
      <c r="D5560">
        <v>23598</v>
      </c>
      <c r="E5560" t="s">
        <v>68</v>
      </c>
      <c r="F5560" t="s">
        <v>38</v>
      </c>
      <c r="G5560" t="s">
        <v>37</v>
      </c>
    </row>
    <row r="5561" spans="1:7" x14ac:dyDescent="0.3">
      <c r="A5561" t="s">
        <v>72</v>
      </c>
      <c r="B5561" t="s">
        <v>23</v>
      </c>
      <c r="C5561" t="s">
        <v>16</v>
      </c>
      <c r="D5561">
        <v>468758</v>
      </c>
      <c r="E5561" t="s">
        <v>68</v>
      </c>
      <c r="F5561" t="s">
        <v>38</v>
      </c>
      <c r="G5561" t="s">
        <v>37</v>
      </c>
    </row>
    <row r="5562" spans="1:7" x14ac:dyDescent="0.3">
      <c r="A5562" t="s">
        <v>72</v>
      </c>
      <c r="B5562" t="s">
        <v>23</v>
      </c>
      <c r="C5562" t="s">
        <v>17</v>
      </c>
      <c r="D5562">
        <v>56201</v>
      </c>
      <c r="E5562" t="s">
        <v>68</v>
      </c>
      <c r="F5562" t="s">
        <v>38</v>
      </c>
      <c r="G5562" t="s">
        <v>37</v>
      </c>
    </row>
    <row r="5563" spans="1:7" x14ac:dyDescent="0.3">
      <c r="A5563" t="s">
        <v>72</v>
      </c>
      <c r="B5563" t="s">
        <v>23</v>
      </c>
      <c r="C5563" t="s">
        <v>18</v>
      </c>
      <c r="D5563">
        <v>0</v>
      </c>
      <c r="E5563" t="s">
        <v>68</v>
      </c>
      <c r="F5563" t="s">
        <v>38</v>
      </c>
      <c r="G5563" t="s">
        <v>37</v>
      </c>
    </row>
    <row r="5564" spans="1:7" x14ac:dyDescent="0.3">
      <c r="A5564" t="s">
        <v>72</v>
      </c>
      <c r="B5564" t="s">
        <v>23</v>
      </c>
      <c r="C5564" t="s">
        <v>19</v>
      </c>
      <c r="D5564">
        <v>211096</v>
      </c>
      <c r="E5564" t="s">
        <v>68</v>
      </c>
      <c r="F5564" t="s">
        <v>38</v>
      </c>
      <c r="G5564" t="s">
        <v>37</v>
      </c>
    </row>
    <row r="5565" spans="1:7" x14ac:dyDescent="0.3">
      <c r="A5565" t="s">
        <v>72</v>
      </c>
      <c r="B5565" t="s">
        <v>23</v>
      </c>
      <c r="C5565" t="s">
        <v>20</v>
      </c>
      <c r="D5565">
        <v>58790</v>
      </c>
      <c r="E5565" t="s">
        <v>68</v>
      </c>
      <c r="F5565" t="s">
        <v>38</v>
      </c>
      <c r="G5565" t="s">
        <v>37</v>
      </c>
    </row>
    <row r="5566" spans="1:7" x14ac:dyDescent="0.3">
      <c r="A5566" t="s">
        <v>72</v>
      </c>
      <c r="B5566" t="s">
        <v>23</v>
      </c>
      <c r="C5566" t="s">
        <v>21</v>
      </c>
      <c r="D5566">
        <v>28066</v>
      </c>
      <c r="E5566" t="s">
        <v>68</v>
      </c>
      <c r="F5566" t="s">
        <v>38</v>
      </c>
      <c r="G5566" t="s">
        <v>37</v>
      </c>
    </row>
    <row r="5567" spans="1:7" x14ac:dyDescent="0.3">
      <c r="A5567" t="s">
        <v>72</v>
      </c>
      <c r="B5567" t="s">
        <v>23</v>
      </c>
      <c r="C5567" t="s">
        <v>22</v>
      </c>
      <c r="D5567">
        <v>4299509</v>
      </c>
      <c r="E5567" t="s">
        <v>68</v>
      </c>
      <c r="F5567" t="s">
        <v>38</v>
      </c>
      <c r="G5567" t="s">
        <v>37</v>
      </c>
    </row>
    <row r="5568" spans="1:7" x14ac:dyDescent="0.3">
      <c r="A5568" t="s">
        <v>73</v>
      </c>
      <c r="B5568" t="s">
        <v>8</v>
      </c>
      <c r="C5568" t="s">
        <v>9</v>
      </c>
      <c r="D5568">
        <v>844</v>
      </c>
      <c r="E5568" t="s">
        <v>68</v>
      </c>
      <c r="F5568" t="s">
        <v>38</v>
      </c>
      <c r="G5568" t="s">
        <v>37</v>
      </c>
    </row>
    <row r="5569" spans="1:7" x14ac:dyDescent="0.3">
      <c r="A5569" t="s">
        <v>73</v>
      </c>
      <c r="B5569" t="s">
        <v>8</v>
      </c>
      <c r="C5569" t="s">
        <v>13</v>
      </c>
      <c r="D5569">
        <v>12</v>
      </c>
      <c r="E5569" t="s">
        <v>68</v>
      </c>
      <c r="F5569" t="s">
        <v>38</v>
      </c>
      <c r="G5569" t="s">
        <v>37</v>
      </c>
    </row>
    <row r="5570" spans="1:7" x14ac:dyDescent="0.3">
      <c r="A5570" t="s">
        <v>73</v>
      </c>
      <c r="B5570" t="s">
        <v>8</v>
      </c>
      <c r="C5570" t="s">
        <v>14</v>
      </c>
      <c r="D5570">
        <v>5745</v>
      </c>
      <c r="E5570" t="s">
        <v>68</v>
      </c>
      <c r="F5570" t="s">
        <v>38</v>
      </c>
      <c r="G5570" t="s">
        <v>37</v>
      </c>
    </row>
    <row r="5571" spans="1:7" x14ac:dyDescent="0.3">
      <c r="A5571" t="s">
        <v>73</v>
      </c>
      <c r="B5571" t="s">
        <v>8</v>
      </c>
      <c r="C5571" t="s">
        <v>15</v>
      </c>
      <c r="D5571">
        <v>15</v>
      </c>
      <c r="E5571" t="s">
        <v>68</v>
      </c>
      <c r="F5571" t="s">
        <v>38</v>
      </c>
      <c r="G5571" t="s">
        <v>37</v>
      </c>
    </row>
    <row r="5572" spans="1:7" x14ac:dyDescent="0.3">
      <c r="A5572" t="s">
        <v>73</v>
      </c>
      <c r="B5572" t="s">
        <v>8</v>
      </c>
      <c r="C5572" t="s">
        <v>16</v>
      </c>
      <c r="D5572">
        <v>2683924</v>
      </c>
      <c r="E5572" t="s">
        <v>68</v>
      </c>
      <c r="F5572" t="s">
        <v>38</v>
      </c>
      <c r="G5572" t="s">
        <v>37</v>
      </c>
    </row>
    <row r="5573" spans="1:7" x14ac:dyDescent="0.3">
      <c r="A5573" t="s">
        <v>73</v>
      </c>
      <c r="B5573" t="s">
        <v>8</v>
      </c>
      <c r="C5573" t="s">
        <v>17</v>
      </c>
      <c r="D5573">
        <v>1471</v>
      </c>
      <c r="E5573" t="s">
        <v>68</v>
      </c>
      <c r="F5573" t="s">
        <v>38</v>
      </c>
      <c r="G5573" t="s">
        <v>37</v>
      </c>
    </row>
    <row r="5574" spans="1:7" x14ac:dyDescent="0.3">
      <c r="A5574" t="s">
        <v>73</v>
      </c>
      <c r="B5574" t="s">
        <v>8</v>
      </c>
      <c r="C5574" t="s">
        <v>18</v>
      </c>
      <c r="D5574">
        <v>0</v>
      </c>
      <c r="E5574" t="s">
        <v>68</v>
      </c>
      <c r="F5574" t="s">
        <v>38</v>
      </c>
      <c r="G5574" t="s">
        <v>37</v>
      </c>
    </row>
    <row r="5575" spans="1:7" x14ac:dyDescent="0.3">
      <c r="A5575" t="s">
        <v>73</v>
      </c>
      <c r="B5575" t="s">
        <v>8</v>
      </c>
      <c r="C5575" t="s">
        <v>19</v>
      </c>
      <c r="D5575">
        <v>0</v>
      </c>
      <c r="E5575" t="s">
        <v>68</v>
      </c>
      <c r="F5575" t="s">
        <v>38</v>
      </c>
      <c r="G5575" t="s">
        <v>37</v>
      </c>
    </row>
    <row r="5576" spans="1:7" x14ac:dyDescent="0.3">
      <c r="A5576" t="s">
        <v>73</v>
      </c>
      <c r="B5576" t="s">
        <v>8</v>
      </c>
      <c r="C5576" t="s">
        <v>20</v>
      </c>
      <c r="D5576">
        <v>113</v>
      </c>
      <c r="E5576" t="s">
        <v>68</v>
      </c>
      <c r="F5576" t="s">
        <v>38</v>
      </c>
      <c r="G5576" t="s">
        <v>37</v>
      </c>
    </row>
    <row r="5577" spans="1:7" x14ac:dyDescent="0.3">
      <c r="A5577" t="s">
        <v>73</v>
      </c>
      <c r="B5577" t="s">
        <v>8</v>
      </c>
      <c r="C5577" t="s">
        <v>21</v>
      </c>
      <c r="D5577">
        <v>18</v>
      </c>
      <c r="E5577" t="s">
        <v>68</v>
      </c>
      <c r="F5577" t="s">
        <v>38</v>
      </c>
      <c r="G5577" t="s">
        <v>37</v>
      </c>
    </row>
    <row r="5578" spans="1:7" x14ac:dyDescent="0.3">
      <c r="A5578" t="s">
        <v>73</v>
      </c>
      <c r="B5578" t="s">
        <v>8</v>
      </c>
      <c r="C5578" t="s">
        <v>22</v>
      </c>
      <c r="D5578">
        <v>151</v>
      </c>
      <c r="E5578" t="s">
        <v>68</v>
      </c>
      <c r="F5578" t="s">
        <v>38</v>
      </c>
      <c r="G5578" t="s">
        <v>37</v>
      </c>
    </row>
    <row r="5579" spans="1:7" x14ac:dyDescent="0.3">
      <c r="A5579" t="s">
        <v>73</v>
      </c>
      <c r="B5579" t="s">
        <v>23</v>
      </c>
      <c r="C5579" t="s">
        <v>9</v>
      </c>
      <c r="D5579">
        <v>3432</v>
      </c>
      <c r="E5579" t="s">
        <v>68</v>
      </c>
      <c r="F5579" t="s">
        <v>38</v>
      </c>
      <c r="G5579" t="s">
        <v>37</v>
      </c>
    </row>
    <row r="5580" spans="1:7" x14ac:dyDescent="0.3">
      <c r="A5580" t="s">
        <v>73</v>
      </c>
      <c r="B5580" t="s">
        <v>23</v>
      </c>
      <c r="C5580" t="s">
        <v>13</v>
      </c>
      <c r="D5580">
        <v>4354</v>
      </c>
      <c r="E5580" t="s">
        <v>68</v>
      </c>
      <c r="F5580" t="s">
        <v>38</v>
      </c>
      <c r="G5580" t="s">
        <v>37</v>
      </c>
    </row>
    <row r="5581" spans="1:7" x14ac:dyDescent="0.3">
      <c r="A5581" t="s">
        <v>73</v>
      </c>
      <c r="B5581" t="s">
        <v>23</v>
      </c>
      <c r="C5581" t="s">
        <v>14</v>
      </c>
      <c r="D5581">
        <v>17169</v>
      </c>
      <c r="E5581" t="s">
        <v>68</v>
      </c>
      <c r="F5581" t="s">
        <v>38</v>
      </c>
      <c r="G5581" t="s">
        <v>37</v>
      </c>
    </row>
    <row r="5582" spans="1:7" x14ac:dyDescent="0.3">
      <c r="A5582" t="s">
        <v>73</v>
      </c>
      <c r="B5582" t="s">
        <v>23</v>
      </c>
      <c r="C5582" t="s">
        <v>15</v>
      </c>
      <c r="D5582">
        <v>595</v>
      </c>
      <c r="E5582" t="s">
        <v>68</v>
      </c>
      <c r="F5582" t="s">
        <v>38</v>
      </c>
      <c r="G5582" t="s">
        <v>37</v>
      </c>
    </row>
    <row r="5583" spans="1:7" x14ac:dyDescent="0.3">
      <c r="A5583" t="s">
        <v>73</v>
      </c>
      <c r="B5583" t="s">
        <v>23</v>
      </c>
      <c r="C5583" t="s">
        <v>16</v>
      </c>
      <c r="D5583">
        <v>5398932</v>
      </c>
      <c r="E5583" t="s">
        <v>68</v>
      </c>
      <c r="F5583" t="s">
        <v>38</v>
      </c>
      <c r="G5583" t="s">
        <v>37</v>
      </c>
    </row>
    <row r="5584" spans="1:7" x14ac:dyDescent="0.3">
      <c r="A5584" t="s">
        <v>73</v>
      </c>
      <c r="B5584" t="s">
        <v>23</v>
      </c>
      <c r="C5584" t="s">
        <v>17</v>
      </c>
      <c r="D5584">
        <v>777</v>
      </c>
      <c r="E5584" t="s">
        <v>68</v>
      </c>
      <c r="F5584" t="s">
        <v>38</v>
      </c>
      <c r="G5584" t="s">
        <v>37</v>
      </c>
    </row>
    <row r="5585" spans="1:7" x14ac:dyDescent="0.3">
      <c r="A5585" t="s">
        <v>73</v>
      </c>
      <c r="B5585" t="s">
        <v>23</v>
      </c>
      <c r="C5585" t="s">
        <v>18</v>
      </c>
      <c r="D5585">
        <v>32</v>
      </c>
      <c r="E5585" t="s">
        <v>68</v>
      </c>
      <c r="F5585" t="s">
        <v>38</v>
      </c>
      <c r="G5585" t="s">
        <v>37</v>
      </c>
    </row>
    <row r="5586" spans="1:7" x14ac:dyDescent="0.3">
      <c r="A5586" t="s">
        <v>73</v>
      </c>
      <c r="B5586" t="s">
        <v>23</v>
      </c>
      <c r="C5586" t="s">
        <v>19</v>
      </c>
      <c r="D5586">
        <v>1034</v>
      </c>
      <c r="E5586" t="s">
        <v>68</v>
      </c>
      <c r="F5586" t="s">
        <v>38</v>
      </c>
      <c r="G5586" t="s">
        <v>37</v>
      </c>
    </row>
    <row r="5587" spans="1:7" x14ac:dyDescent="0.3">
      <c r="A5587" t="s">
        <v>73</v>
      </c>
      <c r="B5587" t="s">
        <v>23</v>
      </c>
      <c r="C5587" t="s">
        <v>20</v>
      </c>
      <c r="D5587">
        <v>32091</v>
      </c>
      <c r="E5587" t="s">
        <v>68</v>
      </c>
      <c r="F5587" t="s">
        <v>38</v>
      </c>
      <c r="G5587" t="s">
        <v>37</v>
      </c>
    </row>
    <row r="5588" spans="1:7" x14ac:dyDescent="0.3">
      <c r="A5588" t="s">
        <v>73</v>
      </c>
      <c r="B5588" t="s">
        <v>23</v>
      </c>
      <c r="C5588" t="s">
        <v>21</v>
      </c>
      <c r="D5588">
        <v>1368</v>
      </c>
      <c r="E5588" t="s">
        <v>68</v>
      </c>
      <c r="F5588" t="s">
        <v>38</v>
      </c>
      <c r="G5588" t="s">
        <v>37</v>
      </c>
    </row>
    <row r="5589" spans="1:7" x14ac:dyDescent="0.3">
      <c r="A5589" t="s">
        <v>73</v>
      </c>
      <c r="B5589" t="s">
        <v>23</v>
      </c>
      <c r="C5589" t="s">
        <v>22</v>
      </c>
      <c r="D5589">
        <v>2733</v>
      </c>
      <c r="E5589" t="s">
        <v>68</v>
      </c>
      <c r="F5589" t="s">
        <v>38</v>
      </c>
      <c r="G5589" t="s">
        <v>37</v>
      </c>
    </row>
    <row r="5590" spans="1:7" x14ac:dyDescent="0.3">
      <c r="A5590" t="s">
        <v>74</v>
      </c>
      <c r="B5590" t="s">
        <v>8</v>
      </c>
      <c r="C5590" t="s">
        <v>9</v>
      </c>
      <c r="D5590">
        <v>83</v>
      </c>
      <c r="E5590" t="s">
        <v>68</v>
      </c>
      <c r="F5590" t="s">
        <v>38</v>
      </c>
      <c r="G5590" t="s">
        <v>37</v>
      </c>
    </row>
    <row r="5591" spans="1:7" x14ac:dyDescent="0.3">
      <c r="A5591" t="s">
        <v>74</v>
      </c>
      <c r="B5591" t="s">
        <v>8</v>
      </c>
      <c r="C5591" t="s">
        <v>13</v>
      </c>
      <c r="D5591">
        <v>162</v>
      </c>
      <c r="E5591" t="s">
        <v>68</v>
      </c>
      <c r="F5591" t="s">
        <v>38</v>
      </c>
      <c r="G5591" t="s">
        <v>37</v>
      </c>
    </row>
    <row r="5592" spans="1:7" x14ac:dyDescent="0.3">
      <c r="A5592" t="s">
        <v>74</v>
      </c>
      <c r="B5592" t="s">
        <v>8</v>
      </c>
      <c r="C5592" t="s">
        <v>14</v>
      </c>
      <c r="D5592">
        <v>149</v>
      </c>
      <c r="E5592" t="s">
        <v>68</v>
      </c>
      <c r="F5592" t="s">
        <v>38</v>
      </c>
      <c r="G5592" t="s">
        <v>37</v>
      </c>
    </row>
    <row r="5593" spans="1:7" x14ac:dyDescent="0.3">
      <c r="A5593" t="s">
        <v>74</v>
      </c>
      <c r="B5593" t="s">
        <v>8</v>
      </c>
      <c r="C5593" t="s">
        <v>15</v>
      </c>
      <c r="D5593">
        <v>20</v>
      </c>
      <c r="E5593" t="s">
        <v>68</v>
      </c>
      <c r="F5593" t="s">
        <v>38</v>
      </c>
      <c r="G5593" t="s">
        <v>37</v>
      </c>
    </row>
    <row r="5594" spans="1:7" x14ac:dyDescent="0.3">
      <c r="A5594" t="s">
        <v>74</v>
      </c>
      <c r="B5594" t="s">
        <v>8</v>
      </c>
      <c r="C5594" t="s">
        <v>16</v>
      </c>
      <c r="D5594">
        <v>322</v>
      </c>
      <c r="E5594" t="s">
        <v>68</v>
      </c>
      <c r="F5594" t="s">
        <v>38</v>
      </c>
      <c r="G5594" t="s">
        <v>37</v>
      </c>
    </row>
    <row r="5595" spans="1:7" x14ac:dyDescent="0.3">
      <c r="A5595" t="s">
        <v>74</v>
      </c>
      <c r="B5595" t="s">
        <v>8</v>
      </c>
      <c r="C5595" t="s">
        <v>17</v>
      </c>
      <c r="D5595">
        <v>0</v>
      </c>
      <c r="E5595" t="s">
        <v>68</v>
      </c>
      <c r="F5595" t="s">
        <v>38</v>
      </c>
      <c r="G5595" t="s">
        <v>37</v>
      </c>
    </row>
    <row r="5596" spans="1:7" x14ac:dyDescent="0.3">
      <c r="A5596" t="s">
        <v>74</v>
      </c>
      <c r="B5596" t="s">
        <v>8</v>
      </c>
      <c r="C5596" t="s">
        <v>18</v>
      </c>
      <c r="D5596">
        <v>0</v>
      </c>
      <c r="E5596" t="s">
        <v>68</v>
      </c>
      <c r="F5596" t="s">
        <v>38</v>
      </c>
      <c r="G5596" t="s">
        <v>37</v>
      </c>
    </row>
    <row r="5597" spans="1:7" x14ac:dyDescent="0.3">
      <c r="A5597" t="s">
        <v>74</v>
      </c>
      <c r="B5597" t="s">
        <v>8</v>
      </c>
      <c r="C5597" t="s">
        <v>19</v>
      </c>
      <c r="D5597">
        <v>0</v>
      </c>
      <c r="E5597" t="s">
        <v>68</v>
      </c>
      <c r="F5597" t="s">
        <v>38</v>
      </c>
      <c r="G5597" t="s">
        <v>37</v>
      </c>
    </row>
    <row r="5598" spans="1:7" x14ac:dyDescent="0.3">
      <c r="A5598" t="s">
        <v>74</v>
      </c>
      <c r="B5598" t="s">
        <v>8</v>
      </c>
      <c r="C5598" t="s">
        <v>20</v>
      </c>
      <c r="D5598">
        <v>28</v>
      </c>
      <c r="E5598" t="s">
        <v>68</v>
      </c>
      <c r="F5598" t="s">
        <v>38</v>
      </c>
      <c r="G5598" t="s">
        <v>37</v>
      </c>
    </row>
    <row r="5599" spans="1:7" x14ac:dyDescent="0.3">
      <c r="A5599" t="s">
        <v>74</v>
      </c>
      <c r="B5599" t="s">
        <v>8</v>
      </c>
      <c r="C5599" t="s">
        <v>21</v>
      </c>
      <c r="D5599">
        <v>129</v>
      </c>
      <c r="E5599" t="s">
        <v>68</v>
      </c>
      <c r="F5599" t="s">
        <v>38</v>
      </c>
      <c r="G5599" t="s">
        <v>37</v>
      </c>
    </row>
    <row r="5600" spans="1:7" x14ac:dyDescent="0.3">
      <c r="A5600" t="s">
        <v>74</v>
      </c>
      <c r="B5600" t="s">
        <v>8</v>
      </c>
      <c r="C5600" t="s">
        <v>22</v>
      </c>
      <c r="D5600">
        <v>1241636</v>
      </c>
      <c r="E5600" t="s">
        <v>68</v>
      </c>
      <c r="F5600" t="s">
        <v>38</v>
      </c>
      <c r="G5600" t="s">
        <v>37</v>
      </c>
    </row>
    <row r="5601" spans="1:7" x14ac:dyDescent="0.3">
      <c r="A5601" t="s">
        <v>74</v>
      </c>
      <c r="B5601" t="s">
        <v>23</v>
      </c>
      <c r="C5601" t="s">
        <v>9</v>
      </c>
      <c r="D5601">
        <v>184423</v>
      </c>
      <c r="E5601" t="s">
        <v>68</v>
      </c>
      <c r="F5601" t="s">
        <v>38</v>
      </c>
      <c r="G5601" t="s">
        <v>37</v>
      </c>
    </row>
    <row r="5602" spans="1:7" x14ac:dyDescent="0.3">
      <c r="A5602" t="s">
        <v>74</v>
      </c>
      <c r="B5602" t="s">
        <v>23</v>
      </c>
      <c r="C5602" t="s">
        <v>13</v>
      </c>
      <c r="D5602">
        <v>723854</v>
      </c>
      <c r="E5602" t="s">
        <v>68</v>
      </c>
      <c r="F5602" t="s">
        <v>38</v>
      </c>
      <c r="G5602" t="s">
        <v>37</v>
      </c>
    </row>
    <row r="5603" spans="1:7" x14ac:dyDescent="0.3">
      <c r="A5603" t="s">
        <v>74</v>
      </c>
      <c r="B5603" t="s">
        <v>23</v>
      </c>
      <c r="C5603" t="s">
        <v>14</v>
      </c>
      <c r="D5603">
        <v>1054208</v>
      </c>
      <c r="E5603" t="s">
        <v>68</v>
      </c>
      <c r="F5603" t="s">
        <v>38</v>
      </c>
      <c r="G5603" t="s">
        <v>37</v>
      </c>
    </row>
    <row r="5604" spans="1:7" x14ac:dyDescent="0.3">
      <c r="A5604" t="s">
        <v>74</v>
      </c>
      <c r="B5604" t="s">
        <v>23</v>
      </c>
      <c r="C5604" t="s">
        <v>15</v>
      </c>
      <c r="D5604">
        <v>18704</v>
      </c>
      <c r="E5604" t="s">
        <v>68</v>
      </c>
      <c r="F5604" t="s">
        <v>38</v>
      </c>
      <c r="G5604" t="s">
        <v>37</v>
      </c>
    </row>
    <row r="5605" spans="1:7" x14ac:dyDescent="0.3">
      <c r="A5605" t="s">
        <v>74</v>
      </c>
      <c r="B5605" t="s">
        <v>23</v>
      </c>
      <c r="C5605" t="s">
        <v>16</v>
      </c>
      <c r="D5605">
        <v>371534</v>
      </c>
      <c r="E5605" t="s">
        <v>68</v>
      </c>
      <c r="F5605" t="s">
        <v>38</v>
      </c>
      <c r="G5605" t="s">
        <v>37</v>
      </c>
    </row>
    <row r="5606" spans="1:7" x14ac:dyDescent="0.3">
      <c r="A5606" t="s">
        <v>74</v>
      </c>
      <c r="B5606" t="s">
        <v>23</v>
      </c>
      <c r="C5606" t="s">
        <v>17</v>
      </c>
      <c r="D5606">
        <v>44545</v>
      </c>
      <c r="E5606" t="s">
        <v>68</v>
      </c>
      <c r="F5606" t="s">
        <v>38</v>
      </c>
      <c r="G5606" t="s">
        <v>37</v>
      </c>
    </row>
    <row r="5607" spans="1:7" x14ac:dyDescent="0.3">
      <c r="A5607" t="s">
        <v>74</v>
      </c>
      <c r="B5607" t="s">
        <v>23</v>
      </c>
      <c r="C5607" t="s">
        <v>18</v>
      </c>
      <c r="D5607">
        <v>0</v>
      </c>
      <c r="E5607" t="s">
        <v>68</v>
      </c>
      <c r="F5607" t="s">
        <v>38</v>
      </c>
      <c r="G5607" t="s">
        <v>37</v>
      </c>
    </row>
    <row r="5608" spans="1:7" x14ac:dyDescent="0.3">
      <c r="A5608" t="s">
        <v>74</v>
      </c>
      <c r="B5608" t="s">
        <v>23</v>
      </c>
      <c r="C5608" t="s">
        <v>19</v>
      </c>
      <c r="D5608">
        <v>167313</v>
      </c>
      <c r="E5608" t="s">
        <v>68</v>
      </c>
      <c r="F5608" t="s">
        <v>38</v>
      </c>
      <c r="G5608" t="s">
        <v>37</v>
      </c>
    </row>
    <row r="5609" spans="1:7" x14ac:dyDescent="0.3">
      <c r="A5609" t="s">
        <v>74</v>
      </c>
      <c r="B5609" t="s">
        <v>23</v>
      </c>
      <c r="C5609" t="s">
        <v>20</v>
      </c>
      <c r="D5609">
        <v>46596</v>
      </c>
      <c r="E5609" t="s">
        <v>68</v>
      </c>
      <c r="F5609" t="s">
        <v>38</v>
      </c>
      <c r="G5609" t="s">
        <v>37</v>
      </c>
    </row>
    <row r="5610" spans="1:7" x14ac:dyDescent="0.3">
      <c r="A5610" t="s">
        <v>74</v>
      </c>
      <c r="B5610" t="s">
        <v>23</v>
      </c>
      <c r="C5610" t="s">
        <v>21</v>
      </c>
      <c r="D5610">
        <v>22245</v>
      </c>
      <c r="E5610" t="s">
        <v>68</v>
      </c>
      <c r="F5610" t="s">
        <v>38</v>
      </c>
      <c r="G5610" t="s">
        <v>37</v>
      </c>
    </row>
    <row r="5611" spans="1:7" x14ac:dyDescent="0.3">
      <c r="A5611" t="s">
        <v>74</v>
      </c>
      <c r="B5611" t="s">
        <v>23</v>
      </c>
      <c r="C5611" t="s">
        <v>22</v>
      </c>
      <c r="D5611">
        <v>3407759</v>
      </c>
      <c r="E5611" t="s">
        <v>68</v>
      </c>
      <c r="F5611" t="s">
        <v>38</v>
      </c>
      <c r="G5611" t="s">
        <v>37</v>
      </c>
    </row>
    <row r="5612" spans="1:7" x14ac:dyDescent="0.3">
      <c r="A5612" t="s">
        <v>75</v>
      </c>
      <c r="B5612" t="s">
        <v>8</v>
      </c>
      <c r="C5612" t="s">
        <v>9</v>
      </c>
      <c r="D5612">
        <v>4527816</v>
      </c>
      <c r="E5612" t="s">
        <v>68</v>
      </c>
      <c r="F5612" t="s">
        <v>38</v>
      </c>
      <c r="G5612" t="s">
        <v>37</v>
      </c>
    </row>
    <row r="5613" spans="1:7" x14ac:dyDescent="0.3">
      <c r="A5613" t="s">
        <v>75</v>
      </c>
      <c r="B5613" t="s">
        <v>8</v>
      </c>
      <c r="C5613" t="s">
        <v>13</v>
      </c>
      <c r="D5613">
        <v>0</v>
      </c>
      <c r="E5613" t="s">
        <v>68</v>
      </c>
      <c r="F5613" t="s">
        <v>38</v>
      </c>
      <c r="G5613" t="s">
        <v>37</v>
      </c>
    </row>
    <row r="5614" spans="1:7" x14ac:dyDescent="0.3">
      <c r="A5614" t="s">
        <v>75</v>
      </c>
      <c r="B5614" t="s">
        <v>8</v>
      </c>
      <c r="C5614" t="s">
        <v>14</v>
      </c>
      <c r="D5614">
        <v>3803</v>
      </c>
      <c r="E5614" t="s">
        <v>68</v>
      </c>
      <c r="F5614" t="s">
        <v>38</v>
      </c>
      <c r="G5614" t="s">
        <v>37</v>
      </c>
    </row>
    <row r="5615" spans="1:7" x14ac:dyDescent="0.3">
      <c r="A5615" t="s">
        <v>75</v>
      </c>
      <c r="B5615" t="s">
        <v>8</v>
      </c>
      <c r="C5615" t="s">
        <v>15</v>
      </c>
      <c r="D5615">
        <v>0</v>
      </c>
      <c r="E5615" t="s">
        <v>68</v>
      </c>
      <c r="F5615" t="s">
        <v>38</v>
      </c>
      <c r="G5615" t="s">
        <v>37</v>
      </c>
    </row>
    <row r="5616" spans="1:7" x14ac:dyDescent="0.3">
      <c r="A5616" t="s">
        <v>75</v>
      </c>
      <c r="B5616" t="s">
        <v>8</v>
      </c>
      <c r="C5616" t="s">
        <v>16</v>
      </c>
      <c r="D5616">
        <v>0</v>
      </c>
      <c r="E5616" t="s">
        <v>68</v>
      </c>
      <c r="F5616" t="s">
        <v>38</v>
      </c>
      <c r="G5616" t="s">
        <v>37</v>
      </c>
    </row>
    <row r="5617" spans="1:7" x14ac:dyDescent="0.3">
      <c r="A5617" t="s">
        <v>75</v>
      </c>
      <c r="B5617" t="s">
        <v>8</v>
      </c>
      <c r="C5617" t="s">
        <v>17</v>
      </c>
      <c r="D5617">
        <v>2745</v>
      </c>
      <c r="E5617" t="s">
        <v>68</v>
      </c>
      <c r="F5617" t="s">
        <v>38</v>
      </c>
      <c r="G5617" t="s">
        <v>37</v>
      </c>
    </row>
    <row r="5618" spans="1:7" x14ac:dyDescent="0.3">
      <c r="A5618" t="s">
        <v>75</v>
      </c>
      <c r="B5618" t="s">
        <v>8</v>
      </c>
      <c r="C5618" t="s">
        <v>18</v>
      </c>
      <c r="D5618">
        <v>0</v>
      </c>
      <c r="E5618" t="s">
        <v>68</v>
      </c>
      <c r="F5618" t="s">
        <v>38</v>
      </c>
      <c r="G5618" t="s">
        <v>37</v>
      </c>
    </row>
    <row r="5619" spans="1:7" x14ac:dyDescent="0.3">
      <c r="A5619" t="s">
        <v>75</v>
      </c>
      <c r="B5619" t="s">
        <v>8</v>
      </c>
      <c r="C5619" t="s">
        <v>19</v>
      </c>
      <c r="D5619">
        <v>0</v>
      </c>
      <c r="E5619" t="s">
        <v>68</v>
      </c>
      <c r="F5619" t="s">
        <v>38</v>
      </c>
      <c r="G5619" t="s">
        <v>37</v>
      </c>
    </row>
    <row r="5620" spans="1:7" x14ac:dyDescent="0.3">
      <c r="A5620" t="s">
        <v>75</v>
      </c>
      <c r="B5620" t="s">
        <v>8</v>
      </c>
      <c r="C5620" t="s">
        <v>20</v>
      </c>
      <c r="D5620">
        <v>0</v>
      </c>
      <c r="E5620" t="s">
        <v>68</v>
      </c>
      <c r="F5620" t="s">
        <v>38</v>
      </c>
      <c r="G5620" t="s">
        <v>37</v>
      </c>
    </row>
    <row r="5621" spans="1:7" x14ac:dyDescent="0.3">
      <c r="A5621" t="s">
        <v>75</v>
      </c>
      <c r="B5621" t="s">
        <v>8</v>
      </c>
      <c r="C5621" t="s">
        <v>21</v>
      </c>
      <c r="D5621">
        <v>0</v>
      </c>
      <c r="E5621" t="s">
        <v>68</v>
      </c>
      <c r="F5621" t="s">
        <v>38</v>
      </c>
      <c r="G5621" t="s">
        <v>37</v>
      </c>
    </row>
    <row r="5622" spans="1:7" x14ac:dyDescent="0.3">
      <c r="A5622" t="s">
        <v>75</v>
      </c>
      <c r="B5622" t="s">
        <v>8</v>
      </c>
      <c r="C5622" t="s">
        <v>22</v>
      </c>
      <c r="D5622">
        <v>976</v>
      </c>
      <c r="E5622" t="s">
        <v>68</v>
      </c>
      <c r="F5622" t="s">
        <v>38</v>
      </c>
      <c r="G5622" t="s">
        <v>37</v>
      </c>
    </row>
    <row r="5623" spans="1:7" x14ac:dyDescent="0.3">
      <c r="A5623" t="s">
        <v>75</v>
      </c>
      <c r="B5623" t="s">
        <v>23</v>
      </c>
      <c r="C5623" t="s">
        <v>9</v>
      </c>
      <c r="D5623">
        <v>5240066</v>
      </c>
      <c r="E5623" t="s">
        <v>68</v>
      </c>
      <c r="F5623" t="s">
        <v>38</v>
      </c>
      <c r="G5623" t="s">
        <v>37</v>
      </c>
    </row>
    <row r="5624" spans="1:7" x14ac:dyDescent="0.3">
      <c r="A5624" t="s">
        <v>75</v>
      </c>
      <c r="B5624" t="s">
        <v>23</v>
      </c>
      <c r="C5624" t="s">
        <v>13</v>
      </c>
      <c r="D5624">
        <v>165781</v>
      </c>
      <c r="E5624" t="s">
        <v>68</v>
      </c>
      <c r="F5624" t="s">
        <v>38</v>
      </c>
      <c r="G5624" t="s">
        <v>37</v>
      </c>
    </row>
    <row r="5625" spans="1:7" x14ac:dyDescent="0.3">
      <c r="A5625" t="s">
        <v>75</v>
      </c>
      <c r="B5625" t="s">
        <v>23</v>
      </c>
      <c r="C5625" t="s">
        <v>14</v>
      </c>
      <c r="D5625">
        <v>2349170</v>
      </c>
      <c r="E5625" t="s">
        <v>68</v>
      </c>
      <c r="F5625" t="s">
        <v>38</v>
      </c>
      <c r="G5625" t="s">
        <v>37</v>
      </c>
    </row>
    <row r="5626" spans="1:7" x14ac:dyDescent="0.3">
      <c r="A5626" t="s">
        <v>75</v>
      </c>
      <c r="B5626" t="s">
        <v>23</v>
      </c>
      <c r="C5626" t="s">
        <v>15</v>
      </c>
      <c r="D5626">
        <v>35937</v>
      </c>
      <c r="E5626" t="s">
        <v>68</v>
      </c>
      <c r="F5626" t="s">
        <v>38</v>
      </c>
      <c r="G5626" t="s">
        <v>37</v>
      </c>
    </row>
    <row r="5627" spans="1:7" x14ac:dyDescent="0.3">
      <c r="A5627" t="s">
        <v>75</v>
      </c>
      <c r="B5627" t="s">
        <v>23</v>
      </c>
      <c r="C5627" t="s">
        <v>16</v>
      </c>
      <c r="D5627">
        <v>1466604</v>
      </c>
      <c r="E5627" t="s">
        <v>68</v>
      </c>
      <c r="F5627" t="s">
        <v>38</v>
      </c>
      <c r="G5627" t="s">
        <v>37</v>
      </c>
    </row>
    <row r="5628" spans="1:7" x14ac:dyDescent="0.3">
      <c r="A5628" t="s">
        <v>75</v>
      </c>
      <c r="B5628" t="s">
        <v>23</v>
      </c>
      <c r="C5628" t="s">
        <v>17</v>
      </c>
      <c r="D5628">
        <v>96134</v>
      </c>
      <c r="E5628" t="s">
        <v>68</v>
      </c>
      <c r="F5628" t="s">
        <v>38</v>
      </c>
      <c r="G5628" t="s">
        <v>37</v>
      </c>
    </row>
    <row r="5629" spans="1:7" x14ac:dyDescent="0.3">
      <c r="A5629" t="s">
        <v>75</v>
      </c>
      <c r="B5629" t="s">
        <v>23</v>
      </c>
      <c r="C5629" t="s">
        <v>18</v>
      </c>
      <c r="D5629">
        <v>0</v>
      </c>
      <c r="E5629" t="s">
        <v>68</v>
      </c>
      <c r="F5629" t="s">
        <v>38</v>
      </c>
      <c r="G5629" t="s">
        <v>37</v>
      </c>
    </row>
    <row r="5630" spans="1:7" x14ac:dyDescent="0.3">
      <c r="A5630" t="s">
        <v>75</v>
      </c>
      <c r="B5630" t="s">
        <v>23</v>
      </c>
      <c r="C5630" t="s">
        <v>19</v>
      </c>
      <c r="D5630">
        <v>57647</v>
      </c>
      <c r="E5630" t="s">
        <v>68</v>
      </c>
      <c r="F5630" t="s">
        <v>38</v>
      </c>
      <c r="G5630" t="s">
        <v>37</v>
      </c>
    </row>
    <row r="5631" spans="1:7" x14ac:dyDescent="0.3">
      <c r="A5631" t="s">
        <v>75</v>
      </c>
      <c r="B5631" t="s">
        <v>23</v>
      </c>
      <c r="C5631" t="s">
        <v>20</v>
      </c>
      <c r="D5631">
        <v>64665</v>
      </c>
      <c r="E5631" t="s">
        <v>68</v>
      </c>
      <c r="F5631" t="s">
        <v>38</v>
      </c>
      <c r="G5631" t="s">
        <v>37</v>
      </c>
    </row>
    <row r="5632" spans="1:7" x14ac:dyDescent="0.3">
      <c r="A5632" t="s">
        <v>75</v>
      </c>
      <c r="B5632" t="s">
        <v>23</v>
      </c>
      <c r="C5632" t="s">
        <v>21</v>
      </c>
      <c r="D5632">
        <v>51676</v>
      </c>
      <c r="E5632" t="s">
        <v>68</v>
      </c>
      <c r="F5632" t="s">
        <v>38</v>
      </c>
      <c r="G5632" t="s">
        <v>37</v>
      </c>
    </row>
    <row r="5633" spans="1:7" x14ac:dyDescent="0.3">
      <c r="A5633" t="s">
        <v>75</v>
      </c>
      <c r="B5633" t="s">
        <v>23</v>
      </c>
      <c r="C5633" t="s">
        <v>22</v>
      </c>
      <c r="D5633">
        <v>18803</v>
      </c>
      <c r="E5633" t="s">
        <v>68</v>
      </c>
      <c r="F5633" t="s">
        <v>38</v>
      </c>
      <c r="G5633" t="s">
        <v>37</v>
      </c>
    </row>
    <row r="5634" spans="1:7" x14ac:dyDescent="0.3">
      <c r="A5634" t="s">
        <v>76</v>
      </c>
      <c r="B5634" t="s">
        <v>8</v>
      </c>
      <c r="C5634" t="s">
        <v>9</v>
      </c>
      <c r="D5634">
        <v>4391981</v>
      </c>
      <c r="E5634" t="s">
        <v>68</v>
      </c>
      <c r="F5634" t="s">
        <v>38</v>
      </c>
      <c r="G5634" t="s">
        <v>37</v>
      </c>
    </row>
    <row r="5635" spans="1:7" x14ac:dyDescent="0.3">
      <c r="A5635" t="s">
        <v>76</v>
      </c>
      <c r="B5635" t="s">
        <v>8</v>
      </c>
      <c r="C5635" t="s">
        <v>13</v>
      </c>
      <c r="D5635">
        <v>0</v>
      </c>
      <c r="E5635" t="s">
        <v>68</v>
      </c>
      <c r="F5635" t="s">
        <v>38</v>
      </c>
      <c r="G5635" t="s">
        <v>37</v>
      </c>
    </row>
    <row r="5636" spans="1:7" x14ac:dyDescent="0.3">
      <c r="A5636" t="s">
        <v>76</v>
      </c>
      <c r="B5636" t="s">
        <v>8</v>
      </c>
      <c r="C5636" t="s">
        <v>14</v>
      </c>
      <c r="D5636">
        <v>3689</v>
      </c>
      <c r="E5636" t="s">
        <v>68</v>
      </c>
      <c r="F5636" t="s">
        <v>38</v>
      </c>
      <c r="G5636" t="s">
        <v>37</v>
      </c>
    </row>
    <row r="5637" spans="1:7" x14ac:dyDescent="0.3">
      <c r="A5637" t="s">
        <v>76</v>
      </c>
      <c r="B5637" t="s">
        <v>8</v>
      </c>
      <c r="C5637" t="s">
        <v>15</v>
      </c>
      <c r="D5637">
        <v>0</v>
      </c>
      <c r="E5637" t="s">
        <v>68</v>
      </c>
      <c r="F5637" t="s">
        <v>38</v>
      </c>
      <c r="G5637" t="s">
        <v>37</v>
      </c>
    </row>
    <row r="5638" spans="1:7" x14ac:dyDescent="0.3">
      <c r="A5638" t="s">
        <v>76</v>
      </c>
      <c r="B5638" t="s">
        <v>8</v>
      </c>
      <c r="C5638" t="s">
        <v>16</v>
      </c>
      <c r="D5638">
        <v>0</v>
      </c>
      <c r="E5638" t="s">
        <v>68</v>
      </c>
      <c r="F5638" t="s">
        <v>38</v>
      </c>
      <c r="G5638" t="s">
        <v>37</v>
      </c>
    </row>
    <row r="5639" spans="1:7" x14ac:dyDescent="0.3">
      <c r="A5639" t="s">
        <v>76</v>
      </c>
      <c r="B5639" t="s">
        <v>8</v>
      </c>
      <c r="C5639" t="s">
        <v>17</v>
      </c>
      <c r="D5639">
        <v>2662</v>
      </c>
      <c r="E5639" t="s">
        <v>68</v>
      </c>
      <c r="F5639" t="s">
        <v>38</v>
      </c>
      <c r="G5639" t="s">
        <v>37</v>
      </c>
    </row>
    <row r="5640" spans="1:7" x14ac:dyDescent="0.3">
      <c r="A5640" t="s">
        <v>76</v>
      </c>
      <c r="B5640" t="s">
        <v>8</v>
      </c>
      <c r="C5640" t="s">
        <v>18</v>
      </c>
      <c r="D5640">
        <v>0</v>
      </c>
      <c r="E5640" t="s">
        <v>68</v>
      </c>
      <c r="F5640" t="s">
        <v>38</v>
      </c>
      <c r="G5640" t="s">
        <v>37</v>
      </c>
    </row>
    <row r="5641" spans="1:7" x14ac:dyDescent="0.3">
      <c r="A5641" t="s">
        <v>76</v>
      </c>
      <c r="B5641" t="s">
        <v>8</v>
      </c>
      <c r="C5641" t="s">
        <v>19</v>
      </c>
      <c r="D5641">
        <v>0</v>
      </c>
      <c r="E5641" t="s">
        <v>68</v>
      </c>
      <c r="F5641" t="s">
        <v>38</v>
      </c>
      <c r="G5641" t="s">
        <v>37</v>
      </c>
    </row>
    <row r="5642" spans="1:7" x14ac:dyDescent="0.3">
      <c r="A5642" t="s">
        <v>76</v>
      </c>
      <c r="B5642" t="s">
        <v>8</v>
      </c>
      <c r="C5642" t="s">
        <v>20</v>
      </c>
      <c r="D5642">
        <v>0</v>
      </c>
      <c r="E5642" t="s">
        <v>68</v>
      </c>
      <c r="F5642" t="s">
        <v>38</v>
      </c>
      <c r="G5642" t="s">
        <v>37</v>
      </c>
    </row>
    <row r="5643" spans="1:7" x14ac:dyDescent="0.3">
      <c r="A5643" t="s">
        <v>76</v>
      </c>
      <c r="B5643" t="s">
        <v>8</v>
      </c>
      <c r="C5643" t="s">
        <v>21</v>
      </c>
      <c r="D5643">
        <v>0</v>
      </c>
      <c r="E5643" t="s">
        <v>68</v>
      </c>
      <c r="F5643" t="s">
        <v>38</v>
      </c>
      <c r="G5643" t="s">
        <v>37</v>
      </c>
    </row>
    <row r="5644" spans="1:7" x14ac:dyDescent="0.3">
      <c r="A5644" t="s">
        <v>76</v>
      </c>
      <c r="B5644" t="s">
        <v>8</v>
      </c>
      <c r="C5644" t="s">
        <v>22</v>
      </c>
      <c r="D5644">
        <v>947</v>
      </c>
      <c r="E5644" t="s">
        <v>68</v>
      </c>
      <c r="F5644" t="s">
        <v>38</v>
      </c>
      <c r="G5644" t="s">
        <v>37</v>
      </c>
    </row>
    <row r="5645" spans="1:7" x14ac:dyDescent="0.3">
      <c r="A5645" t="s">
        <v>76</v>
      </c>
      <c r="B5645" t="s">
        <v>23</v>
      </c>
      <c r="C5645" t="s">
        <v>9</v>
      </c>
      <c r="D5645">
        <v>5082864</v>
      </c>
      <c r="E5645" t="s">
        <v>68</v>
      </c>
      <c r="F5645" t="s">
        <v>38</v>
      </c>
      <c r="G5645" t="s">
        <v>37</v>
      </c>
    </row>
    <row r="5646" spans="1:7" x14ac:dyDescent="0.3">
      <c r="A5646" t="s">
        <v>76</v>
      </c>
      <c r="B5646" t="s">
        <v>23</v>
      </c>
      <c r="C5646" t="s">
        <v>13</v>
      </c>
      <c r="D5646">
        <v>160807</v>
      </c>
      <c r="E5646" t="s">
        <v>68</v>
      </c>
      <c r="F5646" t="s">
        <v>38</v>
      </c>
      <c r="G5646" t="s">
        <v>37</v>
      </c>
    </row>
    <row r="5647" spans="1:7" x14ac:dyDescent="0.3">
      <c r="A5647" t="s">
        <v>76</v>
      </c>
      <c r="B5647" t="s">
        <v>23</v>
      </c>
      <c r="C5647" t="s">
        <v>14</v>
      </c>
      <c r="D5647">
        <v>2278695</v>
      </c>
      <c r="E5647" t="s">
        <v>68</v>
      </c>
      <c r="F5647" t="s">
        <v>38</v>
      </c>
      <c r="G5647" t="s">
        <v>37</v>
      </c>
    </row>
    <row r="5648" spans="1:7" x14ac:dyDescent="0.3">
      <c r="A5648" t="s">
        <v>76</v>
      </c>
      <c r="B5648" t="s">
        <v>23</v>
      </c>
      <c r="C5648" t="s">
        <v>15</v>
      </c>
      <c r="D5648">
        <v>34859</v>
      </c>
      <c r="E5648" t="s">
        <v>68</v>
      </c>
      <c r="F5648" t="s">
        <v>38</v>
      </c>
      <c r="G5648" t="s">
        <v>37</v>
      </c>
    </row>
    <row r="5649" spans="1:7" x14ac:dyDescent="0.3">
      <c r="A5649" t="s">
        <v>76</v>
      </c>
      <c r="B5649" t="s">
        <v>23</v>
      </c>
      <c r="C5649" t="s">
        <v>16</v>
      </c>
      <c r="D5649">
        <v>1422606</v>
      </c>
      <c r="E5649" t="s">
        <v>68</v>
      </c>
      <c r="F5649" t="s">
        <v>38</v>
      </c>
      <c r="G5649" t="s">
        <v>37</v>
      </c>
    </row>
    <row r="5650" spans="1:7" x14ac:dyDescent="0.3">
      <c r="A5650" t="s">
        <v>76</v>
      </c>
      <c r="B5650" t="s">
        <v>23</v>
      </c>
      <c r="C5650" t="s">
        <v>17</v>
      </c>
      <c r="D5650">
        <v>93250</v>
      </c>
      <c r="E5650" t="s">
        <v>68</v>
      </c>
      <c r="F5650" t="s">
        <v>38</v>
      </c>
      <c r="G5650" t="s">
        <v>37</v>
      </c>
    </row>
    <row r="5651" spans="1:7" x14ac:dyDescent="0.3">
      <c r="A5651" t="s">
        <v>76</v>
      </c>
      <c r="B5651" t="s">
        <v>23</v>
      </c>
      <c r="C5651" t="s">
        <v>18</v>
      </c>
      <c r="D5651">
        <v>0</v>
      </c>
      <c r="E5651" t="s">
        <v>68</v>
      </c>
      <c r="F5651" t="s">
        <v>38</v>
      </c>
      <c r="G5651" t="s">
        <v>37</v>
      </c>
    </row>
    <row r="5652" spans="1:7" x14ac:dyDescent="0.3">
      <c r="A5652" t="s">
        <v>76</v>
      </c>
      <c r="B5652" t="s">
        <v>23</v>
      </c>
      <c r="C5652" t="s">
        <v>19</v>
      </c>
      <c r="D5652">
        <v>55918</v>
      </c>
      <c r="E5652" t="s">
        <v>68</v>
      </c>
      <c r="F5652" t="s">
        <v>38</v>
      </c>
      <c r="G5652" t="s">
        <v>37</v>
      </c>
    </row>
    <row r="5653" spans="1:7" x14ac:dyDescent="0.3">
      <c r="A5653" t="s">
        <v>76</v>
      </c>
      <c r="B5653" t="s">
        <v>23</v>
      </c>
      <c r="C5653" t="s">
        <v>20</v>
      </c>
      <c r="D5653">
        <v>62725</v>
      </c>
      <c r="E5653" t="s">
        <v>68</v>
      </c>
      <c r="F5653" t="s">
        <v>38</v>
      </c>
      <c r="G5653" t="s">
        <v>37</v>
      </c>
    </row>
    <row r="5654" spans="1:7" x14ac:dyDescent="0.3">
      <c r="A5654" t="s">
        <v>76</v>
      </c>
      <c r="B5654" t="s">
        <v>23</v>
      </c>
      <c r="C5654" t="s">
        <v>21</v>
      </c>
      <c r="D5654">
        <v>50125</v>
      </c>
      <c r="E5654" t="s">
        <v>68</v>
      </c>
      <c r="F5654" t="s">
        <v>38</v>
      </c>
      <c r="G5654" t="s">
        <v>37</v>
      </c>
    </row>
    <row r="5655" spans="1:7" x14ac:dyDescent="0.3">
      <c r="A5655" t="s">
        <v>76</v>
      </c>
      <c r="B5655" t="s">
        <v>23</v>
      </c>
      <c r="C5655" t="s">
        <v>22</v>
      </c>
      <c r="D5655">
        <v>18239</v>
      </c>
      <c r="E5655" t="s">
        <v>68</v>
      </c>
      <c r="F5655" t="s">
        <v>38</v>
      </c>
      <c r="G5655" t="s">
        <v>37</v>
      </c>
    </row>
    <row r="5656" spans="1:7" x14ac:dyDescent="0.3">
      <c r="A5656" t="s">
        <v>77</v>
      </c>
      <c r="B5656" t="s">
        <v>8</v>
      </c>
      <c r="C5656" t="s">
        <v>9</v>
      </c>
      <c r="D5656">
        <v>3</v>
      </c>
      <c r="E5656" t="s">
        <v>68</v>
      </c>
      <c r="F5656" t="s">
        <v>38</v>
      </c>
      <c r="G5656" t="s">
        <v>37</v>
      </c>
    </row>
    <row r="5657" spans="1:7" x14ac:dyDescent="0.3">
      <c r="A5657" t="s">
        <v>77</v>
      </c>
      <c r="B5657" t="s">
        <v>8</v>
      </c>
      <c r="C5657" t="s">
        <v>13</v>
      </c>
      <c r="D5657">
        <v>62</v>
      </c>
      <c r="E5657" t="s">
        <v>68</v>
      </c>
      <c r="F5657" t="s">
        <v>38</v>
      </c>
      <c r="G5657" t="s">
        <v>37</v>
      </c>
    </row>
    <row r="5658" spans="1:7" x14ac:dyDescent="0.3">
      <c r="A5658" t="s">
        <v>77</v>
      </c>
      <c r="B5658" t="s">
        <v>8</v>
      </c>
      <c r="C5658" t="s">
        <v>14</v>
      </c>
      <c r="D5658">
        <v>33</v>
      </c>
      <c r="E5658" t="s">
        <v>68</v>
      </c>
      <c r="F5658" t="s">
        <v>38</v>
      </c>
      <c r="G5658" t="s">
        <v>37</v>
      </c>
    </row>
    <row r="5659" spans="1:7" x14ac:dyDescent="0.3">
      <c r="A5659" t="s">
        <v>77</v>
      </c>
      <c r="B5659" t="s">
        <v>8</v>
      </c>
      <c r="C5659" t="s">
        <v>15</v>
      </c>
      <c r="D5659">
        <v>122</v>
      </c>
      <c r="E5659" t="s">
        <v>68</v>
      </c>
      <c r="F5659" t="s">
        <v>38</v>
      </c>
      <c r="G5659" t="s">
        <v>37</v>
      </c>
    </row>
    <row r="5660" spans="1:7" x14ac:dyDescent="0.3">
      <c r="A5660" t="s">
        <v>77</v>
      </c>
      <c r="B5660" t="s">
        <v>8</v>
      </c>
      <c r="C5660" t="s">
        <v>16</v>
      </c>
      <c r="D5660">
        <v>36</v>
      </c>
      <c r="E5660" t="s">
        <v>68</v>
      </c>
      <c r="F5660" t="s">
        <v>38</v>
      </c>
      <c r="G5660" t="s">
        <v>37</v>
      </c>
    </row>
    <row r="5661" spans="1:7" x14ac:dyDescent="0.3">
      <c r="A5661" t="s">
        <v>77</v>
      </c>
      <c r="B5661" t="s">
        <v>8</v>
      </c>
      <c r="C5661" t="s">
        <v>17</v>
      </c>
      <c r="D5661">
        <v>192</v>
      </c>
      <c r="E5661" t="s">
        <v>68</v>
      </c>
      <c r="F5661" t="s">
        <v>38</v>
      </c>
      <c r="G5661" t="s">
        <v>37</v>
      </c>
    </row>
    <row r="5662" spans="1:7" x14ac:dyDescent="0.3">
      <c r="A5662" t="s">
        <v>77</v>
      </c>
      <c r="B5662" t="s">
        <v>8</v>
      </c>
      <c r="C5662" t="s">
        <v>18</v>
      </c>
      <c r="D5662">
        <v>0</v>
      </c>
      <c r="E5662" t="s">
        <v>68</v>
      </c>
      <c r="F5662" t="s">
        <v>38</v>
      </c>
      <c r="G5662" t="s">
        <v>37</v>
      </c>
    </row>
    <row r="5663" spans="1:7" x14ac:dyDescent="0.3">
      <c r="A5663" t="s">
        <v>77</v>
      </c>
      <c r="B5663" t="s">
        <v>8</v>
      </c>
      <c r="C5663" t="s">
        <v>19</v>
      </c>
      <c r="D5663">
        <v>1</v>
      </c>
      <c r="E5663" t="s">
        <v>68</v>
      </c>
      <c r="F5663" t="s">
        <v>38</v>
      </c>
      <c r="G5663" t="s">
        <v>37</v>
      </c>
    </row>
    <row r="5664" spans="1:7" x14ac:dyDescent="0.3">
      <c r="A5664" t="s">
        <v>77</v>
      </c>
      <c r="B5664" t="s">
        <v>8</v>
      </c>
      <c r="C5664" t="s">
        <v>20</v>
      </c>
      <c r="D5664">
        <v>4592142</v>
      </c>
      <c r="E5664" t="s">
        <v>68</v>
      </c>
      <c r="F5664" t="s">
        <v>38</v>
      </c>
      <c r="G5664" t="s">
        <v>37</v>
      </c>
    </row>
    <row r="5665" spans="1:7" x14ac:dyDescent="0.3">
      <c r="A5665" t="s">
        <v>77</v>
      </c>
      <c r="B5665" t="s">
        <v>8</v>
      </c>
      <c r="C5665" t="s">
        <v>21</v>
      </c>
      <c r="D5665">
        <v>10</v>
      </c>
      <c r="E5665" t="s">
        <v>68</v>
      </c>
      <c r="F5665" t="s">
        <v>38</v>
      </c>
      <c r="G5665" t="s">
        <v>37</v>
      </c>
    </row>
    <row r="5666" spans="1:7" x14ac:dyDescent="0.3">
      <c r="A5666" t="s">
        <v>77</v>
      </c>
      <c r="B5666" t="s">
        <v>8</v>
      </c>
      <c r="C5666" t="s">
        <v>22</v>
      </c>
      <c r="D5666">
        <v>164</v>
      </c>
      <c r="E5666" t="s">
        <v>68</v>
      </c>
      <c r="F5666" t="s">
        <v>38</v>
      </c>
      <c r="G5666" t="s">
        <v>37</v>
      </c>
    </row>
    <row r="5667" spans="1:7" x14ac:dyDescent="0.3">
      <c r="A5667" t="s">
        <v>77</v>
      </c>
      <c r="B5667" t="s">
        <v>23</v>
      </c>
      <c r="C5667" t="s">
        <v>9</v>
      </c>
      <c r="D5667">
        <v>130081</v>
      </c>
      <c r="E5667" t="s">
        <v>68</v>
      </c>
      <c r="F5667" t="s">
        <v>38</v>
      </c>
      <c r="G5667" t="s">
        <v>37</v>
      </c>
    </row>
    <row r="5668" spans="1:7" x14ac:dyDescent="0.3">
      <c r="A5668" t="s">
        <v>77</v>
      </c>
      <c r="B5668" t="s">
        <v>23</v>
      </c>
      <c r="C5668" t="s">
        <v>13</v>
      </c>
      <c r="D5668">
        <v>51810</v>
      </c>
      <c r="E5668" t="s">
        <v>68</v>
      </c>
      <c r="F5668" t="s">
        <v>38</v>
      </c>
      <c r="G5668" t="s">
        <v>37</v>
      </c>
    </row>
    <row r="5669" spans="1:7" x14ac:dyDescent="0.3">
      <c r="A5669" t="s">
        <v>77</v>
      </c>
      <c r="B5669" t="s">
        <v>23</v>
      </c>
      <c r="C5669" t="s">
        <v>14</v>
      </c>
      <c r="D5669">
        <v>275606</v>
      </c>
      <c r="E5669" t="s">
        <v>68</v>
      </c>
      <c r="F5669" t="s">
        <v>38</v>
      </c>
      <c r="G5669" t="s">
        <v>37</v>
      </c>
    </row>
    <row r="5670" spans="1:7" x14ac:dyDescent="0.3">
      <c r="A5670" t="s">
        <v>77</v>
      </c>
      <c r="B5670" t="s">
        <v>23</v>
      </c>
      <c r="C5670" t="s">
        <v>15</v>
      </c>
      <c r="D5670">
        <v>34367</v>
      </c>
      <c r="E5670" t="s">
        <v>68</v>
      </c>
      <c r="F5670" t="s">
        <v>38</v>
      </c>
      <c r="G5670" t="s">
        <v>37</v>
      </c>
    </row>
    <row r="5671" spans="1:7" x14ac:dyDescent="0.3">
      <c r="A5671" t="s">
        <v>77</v>
      </c>
      <c r="B5671" t="s">
        <v>23</v>
      </c>
      <c r="C5671" t="s">
        <v>16</v>
      </c>
      <c r="D5671">
        <v>154676</v>
      </c>
      <c r="E5671" t="s">
        <v>68</v>
      </c>
      <c r="F5671" t="s">
        <v>38</v>
      </c>
      <c r="G5671" t="s">
        <v>37</v>
      </c>
    </row>
    <row r="5672" spans="1:7" x14ac:dyDescent="0.3">
      <c r="A5672" t="s">
        <v>77</v>
      </c>
      <c r="B5672" t="s">
        <v>23</v>
      </c>
      <c r="C5672" t="s">
        <v>17</v>
      </c>
      <c r="D5672">
        <v>5573</v>
      </c>
      <c r="E5672" t="s">
        <v>68</v>
      </c>
      <c r="F5672" t="s">
        <v>38</v>
      </c>
      <c r="G5672" t="s">
        <v>37</v>
      </c>
    </row>
    <row r="5673" spans="1:7" x14ac:dyDescent="0.3">
      <c r="A5673" t="s">
        <v>77</v>
      </c>
      <c r="B5673" t="s">
        <v>23</v>
      </c>
      <c r="C5673" t="s">
        <v>18</v>
      </c>
      <c r="D5673">
        <v>0</v>
      </c>
      <c r="E5673" t="s">
        <v>68</v>
      </c>
      <c r="F5673" t="s">
        <v>38</v>
      </c>
      <c r="G5673" t="s">
        <v>37</v>
      </c>
    </row>
    <row r="5674" spans="1:7" x14ac:dyDescent="0.3">
      <c r="A5674" t="s">
        <v>77</v>
      </c>
      <c r="B5674" t="s">
        <v>23</v>
      </c>
      <c r="C5674" t="s">
        <v>19</v>
      </c>
      <c r="D5674">
        <v>14169</v>
      </c>
      <c r="E5674" t="s">
        <v>68</v>
      </c>
      <c r="F5674" t="s">
        <v>38</v>
      </c>
      <c r="G5674" t="s">
        <v>37</v>
      </c>
    </row>
    <row r="5675" spans="1:7" x14ac:dyDescent="0.3">
      <c r="A5675" t="s">
        <v>77</v>
      </c>
      <c r="B5675" t="s">
        <v>23</v>
      </c>
      <c r="C5675" t="s">
        <v>20</v>
      </c>
      <c r="D5675">
        <v>5693219</v>
      </c>
      <c r="E5675" t="s">
        <v>68</v>
      </c>
      <c r="F5675" t="s">
        <v>38</v>
      </c>
      <c r="G5675" t="s">
        <v>37</v>
      </c>
    </row>
    <row r="5676" spans="1:7" x14ac:dyDescent="0.3">
      <c r="A5676" t="s">
        <v>77</v>
      </c>
      <c r="B5676" t="s">
        <v>23</v>
      </c>
      <c r="C5676" t="s">
        <v>21</v>
      </c>
      <c r="D5676">
        <v>20616</v>
      </c>
      <c r="E5676" t="s">
        <v>68</v>
      </c>
      <c r="F5676" t="s">
        <v>38</v>
      </c>
      <c r="G5676" t="s">
        <v>37</v>
      </c>
    </row>
    <row r="5677" spans="1:7" x14ac:dyDescent="0.3">
      <c r="A5677" t="s">
        <v>77</v>
      </c>
      <c r="B5677" t="s">
        <v>23</v>
      </c>
      <c r="C5677" t="s">
        <v>22</v>
      </c>
      <c r="D5677">
        <v>6456</v>
      </c>
      <c r="E5677" t="s">
        <v>68</v>
      </c>
      <c r="F5677" t="s">
        <v>38</v>
      </c>
      <c r="G5677" t="s">
        <v>37</v>
      </c>
    </row>
    <row r="5678" spans="1:7" x14ac:dyDescent="0.3">
      <c r="A5678" t="s">
        <v>78</v>
      </c>
      <c r="B5678" t="s">
        <v>8</v>
      </c>
      <c r="C5678" t="s">
        <v>9</v>
      </c>
      <c r="D5678">
        <v>691</v>
      </c>
      <c r="E5678" t="s">
        <v>68</v>
      </c>
      <c r="F5678" t="s">
        <v>38</v>
      </c>
      <c r="G5678" t="s">
        <v>37</v>
      </c>
    </row>
    <row r="5679" spans="1:7" x14ac:dyDescent="0.3">
      <c r="A5679" t="s">
        <v>78</v>
      </c>
      <c r="B5679" t="s">
        <v>8</v>
      </c>
      <c r="C5679" t="s">
        <v>13</v>
      </c>
      <c r="D5679">
        <v>10</v>
      </c>
      <c r="E5679" t="s">
        <v>68</v>
      </c>
      <c r="F5679" t="s">
        <v>38</v>
      </c>
      <c r="G5679" t="s">
        <v>37</v>
      </c>
    </row>
    <row r="5680" spans="1:7" x14ac:dyDescent="0.3">
      <c r="A5680" t="s">
        <v>78</v>
      </c>
      <c r="B5680" t="s">
        <v>8</v>
      </c>
      <c r="C5680" t="s">
        <v>14</v>
      </c>
      <c r="D5680">
        <v>4700</v>
      </c>
      <c r="E5680" t="s">
        <v>68</v>
      </c>
      <c r="F5680" t="s">
        <v>38</v>
      </c>
      <c r="G5680" t="s">
        <v>37</v>
      </c>
    </row>
    <row r="5681" spans="1:7" x14ac:dyDescent="0.3">
      <c r="A5681" t="s">
        <v>78</v>
      </c>
      <c r="B5681" t="s">
        <v>8</v>
      </c>
      <c r="C5681" t="s">
        <v>15</v>
      </c>
      <c r="D5681">
        <v>12</v>
      </c>
      <c r="E5681" t="s">
        <v>68</v>
      </c>
      <c r="F5681" t="s">
        <v>38</v>
      </c>
      <c r="G5681" t="s">
        <v>37</v>
      </c>
    </row>
    <row r="5682" spans="1:7" x14ac:dyDescent="0.3">
      <c r="A5682" t="s">
        <v>78</v>
      </c>
      <c r="B5682" t="s">
        <v>8</v>
      </c>
      <c r="C5682" t="s">
        <v>16</v>
      </c>
      <c r="D5682">
        <v>2195938</v>
      </c>
      <c r="E5682" t="s">
        <v>68</v>
      </c>
      <c r="F5682" t="s">
        <v>38</v>
      </c>
      <c r="G5682" t="s">
        <v>37</v>
      </c>
    </row>
    <row r="5683" spans="1:7" x14ac:dyDescent="0.3">
      <c r="A5683" t="s">
        <v>78</v>
      </c>
      <c r="B5683" t="s">
        <v>8</v>
      </c>
      <c r="C5683" t="s">
        <v>17</v>
      </c>
      <c r="D5683">
        <v>1204</v>
      </c>
      <c r="E5683" t="s">
        <v>68</v>
      </c>
      <c r="F5683" t="s">
        <v>38</v>
      </c>
      <c r="G5683" t="s">
        <v>37</v>
      </c>
    </row>
    <row r="5684" spans="1:7" x14ac:dyDescent="0.3">
      <c r="A5684" t="s">
        <v>78</v>
      </c>
      <c r="B5684" t="s">
        <v>8</v>
      </c>
      <c r="C5684" t="s">
        <v>18</v>
      </c>
      <c r="D5684">
        <v>0</v>
      </c>
      <c r="E5684" t="s">
        <v>68</v>
      </c>
      <c r="F5684" t="s">
        <v>38</v>
      </c>
      <c r="G5684" t="s">
        <v>37</v>
      </c>
    </row>
    <row r="5685" spans="1:7" x14ac:dyDescent="0.3">
      <c r="A5685" t="s">
        <v>78</v>
      </c>
      <c r="B5685" t="s">
        <v>8</v>
      </c>
      <c r="C5685" t="s">
        <v>19</v>
      </c>
      <c r="D5685">
        <v>0</v>
      </c>
      <c r="E5685" t="s">
        <v>68</v>
      </c>
      <c r="F5685" t="s">
        <v>38</v>
      </c>
      <c r="G5685" t="s">
        <v>37</v>
      </c>
    </row>
    <row r="5686" spans="1:7" x14ac:dyDescent="0.3">
      <c r="A5686" t="s">
        <v>78</v>
      </c>
      <c r="B5686" t="s">
        <v>8</v>
      </c>
      <c r="C5686" t="s">
        <v>20</v>
      </c>
      <c r="D5686">
        <v>93</v>
      </c>
      <c r="E5686" t="s">
        <v>68</v>
      </c>
      <c r="F5686" t="s">
        <v>38</v>
      </c>
      <c r="G5686" t="s">
        <v>37</v>
      </c>
    </row>
    <row r="5687" spans="1:7" x14ac:dyDescent="0.3">
      <c r="A5687" t="s">
        <v>78</v>
      </c>
      <c r="B5687" t="s">
        <v>8</v>
      </c>
      <c r="C5687" t="s">
        <v>21</v>
      </c>
      <c r="D5687">
        <v>15</v>
      </c>
      <c r="E5687" t="s">
        <v>68</v>
      </c>
      <c r="F5687" t="s">
        <v>38</v>
      </c>
      <c r="G5687" t="s">
        <v>37</v>
      </c>
    </row>
    <row r="5688" spans="1:7" x14ac:dyDescent="0.3">
      <c r="A5688" t="s">
        <v>78</v>
      </c>
      <c r="B5688" t="s">
        <v>8</v>
      </c>
      <c r="C5688" t="s">
        <v>22</v>
      </c>
      <c r="D5688">
        <v>124</v>
      </c>
      <c r="E5688" t="s">
        <v>68</v>
      </c>
      <c r="F5688" t="s">
        <v>38</v>
      </c>
      <c r="G5688" t="s">
        <v>37</v>
      </c>
    </row>
    <row r="5689" spans="1:7" x14ac:dyDescent="0.3">
      <c r="A5689" t="s">
        <v>78</v>
      </c>
      <c r="B5689" t="s">
        <v>23</v>
      </c>
      <c r="C5689" t="s">
        <v>9</v>
      </c>
      <c r="D5689">
        <v>2808</v>
      </c>
      <c r="E5689" t="s">
        <v>68</v>
      </c>
      <c r="F5689" t="s">
        <v>38</v>
      </c>
      <c r="G5689" t="s">
        <v>37</v>
      </c>
    </row>
    <row r="5690" spans="1:7" x14ac:dyDescent="0.3">
      <c r="A5690" t="s">
        <v>78</v>
      </c>
      <c r="B5690" t="s">
        <v>23</v>
      </c>
      <c r="C5690" t="s">
        <v>13</v>
      </c>
      <c r="D5690">
        <v>3562</v>
      </c>
      <c r="E5690" t="s">
        <v>68</v>
      </c>
      <c r="F5690" t="s">
        <v>38</v>
      </c>
      <c r="G5690" t="s">
        <v>37</v>
      </c>
    </row>
    <row r="5691" spans="1:7" x14ac:dyDescent="0.3">
      <c r="A5691" t="s">
        <v>78</v>
      </c>
      <c r="B5691" t="s">
        <v>23</v>
      </c>
      <c r="C5691" t="s">
        <v>14</v>
      </c>
      <c r="D5691">
        <v>14047</v>
      </c>
      <c r="E5691" t="s">
        <v>68</v>
      </c>
      <c r="F5691" t="s">
        <v>38</v>
      </c>
      <c r="G5691" t="s">
        <v>37</v>
      </c>
    </row>
    <row r="5692" spans="1:7" x14ac:dyDescent="0.3">
      <c r="A5692" t="s">
        <v>78</v>
      </c>
      <c r="B5692" t="s">
        <v>23</v>
      </c>
      <c r="C5692" t="s">
        <v>15</v>
      </c>
      <c r="D5692">
        <v>487</v>
      </c>
      <c r="E5692" t="s">
        <v>68</v>
      </c>
      <c r="F5692" t="s">
        <v>38</v>
      </c>
      <c r="G5692" t="s">
        <v>37</v>
      </c>
    </row>
    <row r="5693" spans="1:7" x14ac:dyDescent="0.3">
      <c r="A5693" t="s">
        <v>78</v>
      </c>
      <c r="B5693" t="s">
        <v>23</v>
      </c>
      <c r="C5693" t="s">
        <v>16</v>
      </c>
      <c r="D5693">
        <v>4417308</v>
      </c>
      <c r="E5693" t="s">
        <v>68</v>
      </c>
      <c r="F5693" t="s">
        <v>38</v>
      </c>
      <c r="G5693" t="s">
        <v>37</v>
      </c>
    </row>
    <row r="5694" spans="1:7" x14ac:dyDescent="0.3">
      <c r="A5694" t="s">
        <v>78</v>
      </c>
      <c r="B5694" t="s">
        <v>23</v>
      </c>
      <c r="C5694" t="s">
        <v>17</v>
      </c>
      <c r="D5694">
        <v>636</v>
      </c>
      <c r="E5694" t="s">
        <v>68</v>
      </c>
      <c r="F5694" t="s">
        <v>38</v>
      </c>
      <c r="G5694" t="s">
        <v>37</v>
      </c>
    </row>
    <row r="5695" spans="1:7" x14ac:dyDescent="0.3">
      <c r="A5695" t="s">
        <v>78</v>
      </c>
      <c r="B5695" t="s">
        <v>23</v>
      </c>
      <c r="C5695" t="s">
        <v>18</v>
      </c>
      <c r="D5695">
        <v>26</v>
      </c>
      <c r="E5695" t="s">
        <v>68</v>
      </c>
      <c r="F5695" t="s">
        <v>38</v>
      </c>
      <c r="G5695" t="s">
        <v>37</v>
      </c>
    </row>
    <row r="5696" spans="1:7" x14ac:dyDescent="0.3">
      <c r="A5696" t="s">
        <v>78</v>
      </c>
      <c r="B5696" t="s">
        <v>23</v>
      </c>
      <c r="C5696" t="s">
        <v>19</v>
      </c>
      <c r="D5696">
        <v>846</v>
      </c>
      <c r="E5696" t="s">
        <v>68</v>
      </c>
      <c r="F5696" t="s">
        <v>38</v>
      </c>
      <c r="G5696" t="s">
        <v>37</v>
      </c>
    </row>
    <row r="5697" spans="1:7" x14ac:dyDescent="0.3">
      <c r="A5697" t="s">
        <v>78</v>
      </c>
      <c r="B5697" t="s">
        <v>23</v>
      </c>
      <c r="C5697" t="s">
        <v>20</v>
      </c>
      <c r="D5697">
        <v>26256</v>
      </c>
      <c r="E5697" t="s">
        <v>68</v>
      </c>
      <c r="F5697" t="s">
        <v>38</v>
      </c>
      <c r="G5697" t="s">
        <v>37</v>
      </c>
    </row>
    <row r="5698" spans="1:7" x14ac:dyDescent="0.3">
      <c r="A5698" t="s">
        <v>78</v>
      </c>
      <c r="B5698" t="s">
        <v>23</v>
      </c>
      <c r="C5698" t="s">
        <v>21</v>
      </c>
      <c r="D5698">
        <v>1119</v>
      </c>
      <c r="E5698" t="s">
        <v>68</v>
      </c>
      <c r="F5698" t="s">
        <v>38</v>
      </c>
      <c r="G5698" t="s">
        <v>37</v>
      </c>
    </row>
    <row r="5699" spans="1:7" x14ac:dyDescent="0.3">
      <c r="A5699" t="s">
        <v>78</v>
      </c>
      <c r="B5699" t="s">
        <v>23</v>
      </c>
      <c r="C5699" t="s">
        <v>22</v>
      </c>
      <c r="D5699">
        <v>2236</v>
      </c>
      <c r="E5699" t="s">
        <v>68</v>
      </c>
      <c r="F5699" t="s">
        <v>38</v>
      </c>
      <c r="G5699" t="s">
        <v>37</v>
      </c>
    </row>
    <row r="5700" spans="1:7" x14ac:dyDescent="0.3">
      <c r="A5700" t="s">
        <v>79</v>
      </c>
      <c r="B5700" t="s">
        <v>8</v>
      </c>
      <c r="C5700" t="s">
        <v>9</v>
      </c>
      <c r="D5700">
        <v>591</v>
      </c>
      <c r="E5700" t="s">
        <v>68</v>
      </c>
      <c r="F5700" t="s">
        <v>38</v>
      </c>
      <c r="G5700" t="s">
        <v>37</v>
      </c>
    </row>
    <row r="5701" spans="1:7" x14ac:dyDescent="0.3">
      <c r="A5701" t="s">
        <v>79</v>
      </c>
      <c r="B5701" t="s">
        <v>8</v>
      </c>
      <c r="C5701" t="s">
        <v>13</v>
      </c>
      <c r="D5701">
        <v>8</v>
      </c>
      <c r="E5701" t="s">
        <v>68</v>
      </c>
      <c r="F5701" t="s">
        <v>38</v>
      </c>
      <c r="G5701" t="s">
        <v>37</v>
      </c>
    </row>
    <row r="5702" spans="1:7" x14ac:dyDescent="0.3">
      <c r="A5702" t="s">
        <v>79</v>
      </c>
      <c r="B5702" t="s">
        <v>8</v>
      </c>
      <c r="C5702" t="s">
        <v>14</v>
      </c>
      <c r="D5702">
        <v>4021</v>
      </c>
      <c r="E5702" t="s">
        <v>68</v>
      </c>
      <c r="F5702" t="s">
        <v>38</v>
      </c>
      <c r="G5702" t="s">
        <v>37</v>
      </c>
    </row>
    <row r="5703" spans="1:7" x14ac:dyDescent="0.3">
      <c r="A5703" t="s">
        <v>79</v>
      </c>
      <c r="B5703" t="s">
        <v>8</v>
      </c>
      <c r="C5703" t="s">
        <v>15</v>
      </c>
      <c r="D5703">
        <v>11</v>
      </c>
      <c r="E5703" t="s">
        <v>68</v>
      </c>
      <c r="F5703" t="s">
        <v>38</v>
      </c>
      <c r="G5703" t="s">
        <v>37</v>
      </c>
    </row>
    <row r="5704" spans="1:7" x14ac:dyDescent="0.3">
      <c r="A5704" t="s">
        <v>79</v>
      </c>
      <c r="B5704" t="s">
        <v>8</v>
      </c>
      <c r="C5704" t="s">
        <v>16</v>
      </c>
      <c r="D5704">
        <v>1878747</v>
      </c>
      <c r="E5704" t="s">
        <v>68</v>
      </c>
      <c r="F5704" t="s">
        <v>38</v>
      </c>
      <c r="G5704" t="s">
        <v>37</v>
      </c>
    </row>
    <row r="5705" spans="1:7" x14ac:dyDescent="0.3">
      <c r="A5705" t="s">
        <v>79</v>
      </c>
      <c r="B5705" t="s">
        <v>8</v>
      </c>
      <c r="C5705" t="s">
        <v>17</v>
      </c>
      <c r="D5705">
        <v>1030</v>
      </c>
      <c r="E5705" t="s">
        <v>68</v>
      </c>
      <c r="F5705" t="s">
        <v>38</v>
      </c>
      <c r="G5705" t="s">
        <v>37</v>
      </c>
    </row>
    <row r="5706" spans="1:7" x14ac:dyDescent="0.3">
      <c r="A5706" t="s">
        <v>79</v>
      </c>
      <c r="B5706" t="s">
        <v>8</v>
      </c>
      <c r="C5706" t="s">
        <v>18</v>
      </c>
      <c r="D5706">
        <v>0</v>
      </c>
      <c r="E5706" t="s">
        <v>68</v>
      </c>
      <c r="F5706" t="s">
        <v>38</v>
      </c>
      <c r="G5706" t="s">
        <v>37</v>
      </c>
    </row>
    <row r="5707" spans="1:7" x14ac:dyDescent="0.3">
      <c r="A5707" t="s">
        <v>79</v>
      </c>
      <c r="B5707" t="s">
        <v>8</v>
      </c>
      <c r="C5707" t="s">
        <v>19</v>
      </c>
      <c r="D5707">
        <v>0</v>
      </c>
      <c r="E5707" t="s">
        <v>68</v>
      </c>
      <c r="F5707" t="s">
        <v>38</v>
      </c>
      <c r="G5707" t="s">
        <v>37</v>
      </c>
    </row>
    <row r="5708" spans="1:7" x14ac:dyDescent="0.3">
      <c r="A5708" t="s">
        <v>79</v>
      </c>
      <c r="B5708" t="s">
        <v>8</v>
      </c>
      <c r="C5708" t="s">
        <v>20</v>
      </c>
      <c r="D5708">
        <v>79</v>
      </c>
      <c r="E5708" t="s">
        <v>68</v>
      </c>
      <c r="F5708" t="s">
        <v>38</v>
      </c>
      <c r="G5708" t="s">
        <v>37</v>
      </c>
    </row>
    <row r="5709" spans="1:7" x14ac:dyDescent="0.3">
      <c r="A5709" t="s">
        <v>79</v>
      </c>
      <c r="B5709" t="s">
        <v>8</v>
      </c>
      <c r="C5709" t="s">
        <v>21</v>
      </c>
      <c r="D5709">
        <v>13</v>
      </c>
      <c r="E5709" t="s">
        <v>68</v>
      </c>
      <c r="F5709" t="s">
        <v>38</v>
      </c>
      <c r="G5709" t="s">
        <v>37</v>
      </c>
    </row>
    <row r="5710" spans="1:7" x14ac:dyDescent="0.3">
      <c r="A5710" t="s">
        <v>79</v>
      </c>
      <c r="B5710" t="s">
        <v>8</v>
      </c>
      <c r="C5710" t="s">
        <v>22</v>
      </c>
      <c r="D5710">
        <v>106</v>
      </c>
      <c r="E5710" t="s">
        <v>68</v>
      </c>
      <c r="F5710" t="s">
        <v>38</v>
      </c>
      <c r="G5710" t="s">
        <v>37</v>
      </c>
    </row>
    <row r="5711" spans="1:7" x14ac:dyDescent="0.3">
      <c r="A5711" t="s">
        <v>79</v>
      </c>
      <c r="B5711" t="s">
        <v>23</v>
      </c>
      <c r="C5711" t="s">
        <v>9</v>
      </c>
      <c r="D5711">
        <v>2403</v>
      </c>
      <c r="E5711" t="s">
        <v>68</v>
      </c>
      <c r="F5711" t="s">
        <v>38</v>
      </c>
      <c r="G5711" t="s">
        <v>37</v>
      </c>
    </row>
    <row r="5712" spans="1:7" x14ac:dyDescent="0.3">
      <c r="A5712" t="s">
        <v>79</v>
      </c>
      <c r="B5712" t="s">
        <v>23</v>
      </c>
      <c r="C5712" t="s">
        <v>13</v>
      </c>
      <c r="D5712">
        <v>3048</v>
      </c>
      <c r="E5712" t="s">
        <v>68</v>
      </c>
      <c r="F5712" t="s">
        <v>38</v>
      </c>
      <c r="G5712" t="s">
        <v>37</v>
      </c>
    </row>
    <row r="5713" spans="1:7" x14ac:dyDescent="0.3">
      <c r="A5713" t="s">
        <v>79</v>
      </c>
      <c r="B5713" t="s">
        <v>23</v>
      </c>
      <c r="C5713" t="s">
        <v>14</v>
      </c>
      <c r="D5713">
        <v>12018</v>
      </c>
      <c r="E5713" t="s">
        <v>68</v>
      </c>
      <c r="F5713" t="s">
        <v>38</v>
      </c>
      <c r="G5713" t="s">
        <v>37</v>
      </c>
    </row>
    <row r="5714" spans="1:7" x14ac:dyDescent="0.3">
      <c r="A5714" t="s">
        <v>79</v>
      </c>
      <c r="B5714" t="s">
        <v>23</v>
      </c>
      <c r="C5714" t="s">
        <v>15</v>
      </c>
      <c r="D5714">
        <v>417</v>
      </c>
      <c r="E5714" t="s">
        <v>68</v>
      </c>
      <c r="F5714" t="s">
        <v>38</v>
      </c>
      <c r="G5714" t="s">
        <v>37</v>
      </c>
    </row>
    <row r="5715" spans="1:7" x14ac:dyDescent="0.3">
      <c r="A5715" t="s">
        <v>79</v>
      </c>
      <c r="B5715" t="s">
        <v>23</v>
      </c>
      <c r="C5715" t="s">
        <v>16</v>
      </c>
      <c r="D5715">
        <v>3779253</v>
      </c>
      <c r="E5715" t="s">
        <v>68</v>
      </c>
      <c r="F5715" t="s">
        <v>38</v>
      </c>
      <c r="G5715" t="s">
        <v>37</v>
      </c>
    </row>
    <row r="5716" spans="1:7" x14ac:dyDescent="0.3">
      <c r="A5716" t="s">
        <v>79</v>
      </c>
      <c r="B5716" t="s">
        <v>23</v>
      </c>
      <c r="C5716" t="s">
        <v>17</v>
      </c>
      <c r="D5716">
        <v>544</v>
      </c>
      <c r="E5716" t="s">
        <v>68</v>
      </c>
      <c r="F5716" t="s">
        <v>38</v>
      </c>
      <c r="G5716" t="s">
        <v>37</v>
      </c>
    </row>
    <row r="5717" spans="1:7" x14ac:dyDescent="0.3">
      <c r="A5717" t="s">
        <v>79</v>
      </c>
      <c r="B5717" t="s">
        <v>23</v>
      </c>
      <c r="C5717" t="s">
        <v>18</v>
      </c>
      <c r="D5717">
        <v>23</v>
      </c>
      <c r="E5717" t="s">
        <v>68</v>
      </c>
      <c r="F5717" t="s">
        <v>38</v>
      </c>
      <c r="G5717" t="s">
        <v>37</v>
      </c>
    </row>
    <row r="5718" spans="1:7" x14ac:dyDescent="0.3">
      <c r="A5718" t="s">
        <v>79</v>
      </c>
      <c r="B5718" t="s">
        <v>23</v>
      </c>
      <c r="C5718" t="s">
        <v>19</v>
      </c>
      <c r="D5718">
        <v>724</v>
      </c>
      <c r="E5718" t="s">
        <v>68</v>
      </c>
      <c r="F5718" t="s">
        <v>38</v>
      </c>
      <c r="G5718" t="s">
        <v>37</v>
      </c>
    </row>
    <row r="5719" spans="1:7" x14ac:dyDescent="0.3">
      <c r="A5719" t="s">
        <v>79</v>
      </c>
      <c r="B5719" t="s">
        <v>23</v>
      </c>
      <c r="C5719" t="s">
        <v>20</v>
      </c>
      <c r="D5719">
        <v>22464</v>
      </c>
      <c r="E5719" t="s">
        <v>68</v>
      </c>
      <c r="F5719" t="s">
        <v>38</v>
      </c>
      <c r="G5719" t="s">
        <v>37</v>
      </c>
    </row>
    <row r="5720" spans="1:7" x14ac:dyDescent="0.3">
      <c r="A5720" t="s">
        <v>79</v>
      </c>
      <c r="B5720" t="s">
        <v>23</v>
      </c>
      <c r="C5720" t="s">
        <v>21</v>
      </c>
      <c r="D5720">
        <v>958</v>
      </c>
      <c r="E5720" t="s">
        <v>68</v>
      </c>
      <c r="F5720" t="s">
        <v>38</v>
      </c>
      <c r="G5720" t="s">
        <v>37</v>
      </c>
    </row>
    <row r="5721" spans="1:7" x14ac:dyDescent="0.3">
      <c r="A5721" t="s">
        <v>79</v>
      </c>
      <c r="B5721" t="s">
        <v>23</v>
      </c>
      <c r="C5721" t="s">
        <v>22</v>
      </c>
      <c r="D5721">
        <v>1913</v>
      </c>
      <c r="E5721" t="s">
        <v>68</v>
      </c>
      <c r="F5721" t="s">
        <v>38</v>
      </c>
      <c r="G5721" t="s">
        <v>37</v>
      </c>
    </row>
    <row r="5722" spans="1:7" x14ac:dyDescent="0.3">
      <c r="A5722" t="s">
        <v>80</v>
      </c>
      <c r="B5722" t="s">
        <v>8</v>
      </c>
      <c r="C5722" t="s">
        <v>9</v>
      </c>
      <c r="D5722">
        <v>52</v>
      </c>
      <c r="E5722" t="s">
        <v>68</v>
      </c>
      <c r="F5722" t="s">
        <v>38</v>
      </c>
      <c r="G5722" t="s">
        <v>37</v>
      </c>
    </row>
    <row r="5723" spans="1:7" x14ac:dyDescent="0.3">
      <c r="A5723" t="s">
        <v>80</v>
      </c>
      <c r="B5723" t="s">
        <v>8</v>
      </c>
      <c r="C5723" t="s">
        <v>13</v>
      </c>
      <c r="D5723">
        <v>102</v>
      </c>
      <c r="E5723" t="s">
        <v>68</v>
      </c>
      <c r="F5723" t="s">
        <v>38</v>
      </c>
      <c r="G5723" t="s">
        <v>37</v>
      </c>
    </row>
    <row r="5724" spans="1:7" x14ac:dyDescent="0.3">
      <c r="A5724" t="s">
        <v>80</v>
      </c>
      <c r="B5724" t="s">
        <v>8</v>
      </c>
      <c r="C5724" t="s">
        <v>14</v>
      </c>
      <c r="D5724">
        <v>93</v>
      </c>
      <c r="E5724" t="s">
        <v>68</v>
      </c>
      <c r="F5724" t="s">
        <v>38</v>
      </c>
      <c r="G5724" t="s">
        <v>37</v>
      </c>
    </row>
    <row r="5725" spans="1:7" x14ac:dyDescent="0.3">
      <c r="A5725" t="s">
        <v>80</v>
      </c>
      <c r="B5725" t="s">
        <v>8</v>
      </c>
      <c r="C5725" t="s">
        <v>15</v>
      </c>
      <c r="D5725">
        <v>12</v>
      </c>
      <c r="E5725" t="s">
        <v>68</v>
      </c>
      <c r="F5725" t="s">
        <v>38</v>
      </c>
      <c r="G5725" t="s">
        <v>37</v>
      </c>
    </row>
    <row r="5726" spans="1:7" x14ac:dyDescent="0.3">
      <c r="A5726" t="s">
        <v>80</v>
      </c>
      <c r="B5726" t="s">
        <v>8</v>
      </c>
      <c r="C5726" t="s">
        <v>16</v>
      </c>
      <c r="D5726">
        <v>202</v>
      </c>
      <c r="E5726" t="s">
        <v>68</v>
      </c>
      <c r="F5726" t="s">
        <v>38</v>
      </c>
      <c r="G5726" t="s">
        <v>37</v>
      </c>
    </row>
    <row r="5727" spans="1:7" x14ac:dyDescent="0.3">
      <c r="A5727" t="s">
        <v>80</v>
      </c>
      <c r="B5727" t="s">
        <v>8</v>
      </c>
      <c r="C5727" t="s">
        <v>17</v>
      </c>
      <c r="D5727">
        <v>0</v>
      </c>
      <c r="E5727" t="s">
        <v>68</v>
      </c>
      <c r="F5727" t="s">
        <v>38</v>
      </c>
      <c r="G5727" t="s">
        <v>37</v>
      </c>
    </row>
    <row r="5728" spans="1:7" x14ac:dyDescent="0.3">
      <c r="A5728" t="s">
        <v>80</v>
      </c>
      <c r="B5728" t="s">
        <v>8</v>
      </c>
      <c r="C5728" t="s">
        <v>18</v>
      </c>
      <c r="D5728">
        <v>0</v>
      </c>
      <c r="E5728" t="s">
        <v>68</v>
      </c>
      <c r="F5728" t="s">
        <v>38</v>
      </c>
      <c r="G5728" t="s">
        <v>37</v>
      </c>
    </row>
    <row r="5729" spans="1:7" x14ac:dyDescent="0.3">
      <c r="A5729" t="s">
        <v>80</v>
      </c>
      <c r="B5729" t="s">
        <v>8</v>
      </c>
      <c r="C5729" t="s">
        <v>19</v>
      </c>
      <c r="D5729">
        <v>0</v>
      </c>
      <c r="E5729" t="s">
        <v>68</v>
      </c>
      <c r="F5729" t="s">
        <v>38</v>
      </c>
      <c r="G5729" t="s">
        <v>37</v>
      </c>
    </row>
    <row r="5730" spans="1:7" x14ac:dyDescent="0.3">
      <c r="A5730" t="s">
        <v>80</v>
      </c>
      <c r="B5730" t="s">
        <v>8</v>
      </c>
      <c r="C5730" t="s">
        <v>20</v>
      </c>
      <c r="D5730">
        <v>17</v>
      </c>
      <c r="E5730" t="s">
        <v>68</v>
      </c>
      <c r="F5730" t="s">
        <v>38</v>
      </c>
      <c r="G5730" t="s">
        <v>37</v>
      </c>
    </row>
    <row r="5731" spans="1:7" x14ac:dyDescent="0.3">
      <c r="A5731" t="s">
        <v>80</v>
      </c>
      <c r="B5731" t="s">
        <v>8</v>
      </c>
      <c r="C5731" t="s">
        <v>21</v>
      </c>
      <c r="D5731">
        <v>81</v>
      </c>
      <c r="E5731" t="s">
        <v>68</v>
      </c>
      <c r="F5731" t="s">
        <v>38</v>
      </c>
      <c r="G5731" t="s">
        <v>37</v>
      </c>
    </row>
    <row r="5732" spans="1:7" x14ac:dyDescent="0.3">
      <c r="A5732" t="s">
        <v>80</v>
      </c>
      <c r="B5732" t="s">
        <v>8</v>
      </c>
      <c r="C5732" t="s">
        <v>22</v>
      </c>
      <c r="D5732">
        <v>777473</v>
      </c>
      <c r="E5732" t="s">
        <v>68</v>
      </c>
      <c r="F5732" t="s">
        <v>38</v>
      </c>
      <c r="G5732" t="s">
        <v>37</v>
      </c>
    </row>
    <row r="5733" spans="1:7" x14ac:dyDescent="0.3">
      <c r="A5733" t="s">
        <v>80</v>
      </c>
      <c r="B5733" t="s">
        <v>23</v>
      </c>
      <c r="C5733" t="s">
        <v>9</v>
      </c>
      <c r="D5733">
        <v>115480</v>
      </c>
      <c r="E5733" t="s">
        <v>68</v>
      </c>
      <c r="F5733" t="s">
        <v>38</v>
      </c>
      <c r="G5733" t="s">
        <v>37</v>
      </c>
    </row>
    <row r="5734" spans="1:7" x14ac:dyDescent="0.3">
      <c r="A5734" t="s">
        <v>80</v>
      </c>
      <c r="B5734" t="s">
        <v>23</v>
      </c>
      <c r="C5734" t="s">
        <v>13</v>
      </c>
      <c r="D5734">
        <v>453254</v>
      </c>
      <c r="E5734" t="s">
        <v>68</v>
      </c>
      <c r="F5734" t="s">
        <v>38</v>
      </c>
      <c r="G5734" t="s">
        <v>37</v>
      </c>
    </row>
    <row r="5735" spans="1:7" x14ac:dyDescent="0.3">
      <c r="A5735" t="s">
        <v>80</v>
      </c>
      <c r="B5735" t="s">
        <v>23</v>
      </c>
      <c r="C5735" t="s">
        <v>14</v>
      </c>
      <c r="D5735">
        <v>660112</v>
      </c>
      <c r="E5735" t="s">
        <v>68</v>
      </c>
      <c r="F5735" t="s">
        <v>38</v>
      </c>
      <c r="G5735" t="s">
        <v>37</v>
      </c>
    </row>
    <row r="5736" spans="1:7" x14ac:dyDescent="0.3">
      <c r="A5736" t="s">
        <v>80</v>
      </c>
      <c r="B5736" t="s">
        <v>23</v>
      </c>
      <c r="C5736" t="s">
        <v>15</v>
      </c>
      <c r="D5736">
        <v>11712</v>
      </c>
      <c r="E5736" t="s">
        <v>68</v>
      </c>
      <c r="F5736" t="s">
        <v>38</v>
      </c>
      <c r="G5736" t="s">
        <v>37</v>
      </c>
    </row>
    <row r="5737" spans="1:7" x14ac:dyDescent="0.3">
      <c r="A5737" t="s">
        <v>80</v>
      </c>
      <c r="B5737" t="s">
        <v>23</v>
      </c>
      <c r="C5737" t="s">
        <v>16</v>
      </c>
      <c r="D5737">
        <v>232643</v>
      </c>
      <c r="E5737" t="s">
        <v>68</v>
      </c>
      <c r="F5737" t="s">
        <v>38</v>
      </c>
      <c r="G5737" t="s">
        <v>37</v>
      </c>
    </row>
    <row r="5738" spans="1:7" x14ac:dyDescent="0.3">
      <c r="A5738" t="s">
        <v>80</v>
      </c>
      <c r="B5738" t="s">
        <v>23</v>
      </c>
      <c r="C5738" t="s">
        <v>17</v>
      </c>
      <c r="D5738">
        <v>27892</v>
      </c>
      <c r="E5738" t="s">
        <v>68</v>
      </c>
      <c r="F5738" t="s">
        <v>38</v>
      </c>
      <c r="G5738" t="s">
        <v>37</v>
      </c>
    </row>
    <row r="5739" spans="1:7" x14ac:dyDescent="0.3">
      <c r="A5739" t="s">
        <v>80</v>
      </c>
      <c r="B5739" t="s">
        <v>23</v>
      </c>
      <c r="C5739" t="s">
        <v>18</v>
      </c>
      <c r="D5739">
        <v>0</v>
      </c>
      <c r="E5739" t="s">
        <v>68</v>
      </c>
      <c r="F5739" t="s">
        <v>38</v>
      </c>
      <c r="G5739" t="s">
        <v>37</v>
      </c>
    </row>
    <row r="5740" spans="1:7" x14ac:dyDescent="0.3">
      <c r="A5740" t="s">
        <v>80</v>
      </c>
      <c r="B5740" t="s">
        <v>23</v>
      </c>
      <c r="C5740" t="s">
        <v>19</v>
      </c>
      <c r="D5740">
        <v>104766</v>
      </c>
      <c r="E5740" t="s">
        <v>68</v>
      </c>
      <c r="F5740" t="s">
        <v>38</v>
      </c>
      <c r="G5740" t="s">
        <v>37</v>
      </c>
    </row>
    <row r="5741" spans="1:7" x14ac:dyDescent="0.3">
      <c r="A5741" t="s">
        <v>80</v>
      </c>
      <c r="B5741" t="s">
        <v>23</v>
      </c>
      <c r="C5741" t="s">
        <v>20</v>
      </c>
      <c r="D5741">
        <v>29177</v>
      </c>
      <c r="E5741" t="s">
        <v>68</v>
      </c>
      <c r="F5741" t="s">
        <v>38</v>
      </c>
      <c r="G5741" t="s">
        <v>37</v>
      </c>
    </row>
    <row r="5742" spans="1:7" x14ac:dyDescent="0.3">
      <c r="A5742" t="s">
        <v>80</v>
      </c>
      <c r="B5742" t="s">
        <v>23</v>
      </c>
      <c r="C5742" t="s">
        <v>21</v>
      </c>
      <c r="D5742">
        <v>13929</v>
      </c>
      <c r="E5742" t="s">
        <v>68</v>
      </c>
      <c r="F5742" t="s">
        <v>38</v>
      </c>
      <c r="G5742" t="s">
        <v>37</v>
      </c>
    </row>
    <row r="5743" spans="1:7" x14ac:dyDescent="0.3">
      <c r="A5743" t="s">
        <v>80</v>
      </c>
      <c r="B5743" t="s">
        <v>23</v>
      </c>
      <c r="C5743" t="s">
        <v>22</v>
      </c>
      <c r="D5743">
        <v>2133831</v>
      </c>
      <c r="E5743" t="s">
        <v>68</v>
      </c>
      <c r="F5743" t="s">
        <v>38</v>
      </c>
      <c r="G5743" t="s">
        <v>37</v>
      </c>
    </row>
    <row r="5744" spans="1:7" x14ac:dyDescent="0.3">
      <c r="A5744" t="s">
        <v>81</v>
      </c>
      <c r="B5744" t="s">
        <v>8</v>
      </c>
      <c r="C5744" t="s">
        <v>9</v>
      </c>
      <c r="D5744">
        <v>163</v>
      </c>
      <c r="E5744" t="s">
        <v>68</v>
      </c>
      <c r="F5744" t="s">
        <v>38</v>
      </c>
      <c r="G5744" t="s">
        <v>37</v>
      </c>
    </row>
    <row r="5745" spans="1:7" x14ac:dyDescent="0.3">
      <c r="A5745" t="s">
        <v>81</v>
      </c>
      <c r="B5745" t="s">
        <v>8</v>
      </c>
      <c r="C5745" t="s">
        <v>13</v>
      </c>
      <c r="D5745">
        <v>123155</v>
      </c>
      <c r="E5745" t="s">
        <v>68</v>
      </c>
      <c r="F5745" t="s">
        <v>38</v>
      </c>
      <c r="G5745" t="s">
        <v>37</v>
      </c>
    </row>
    <row r="5746" spans="1:7" x14ac:dyDescent="0.3">
      <c r="A5746" t="s">
        <v>81</v>
      </c>
      <c r="B5746" t="s">
        <v>8</v>
      </c>
      <c r="C5746" t="s">
        <v>14</v>
      </c>
      <c r="D5746">
        <v>544625</v>
      </c>
      <c r="E5746" t="s">
        <v>68</v>
      </c>
      <c r="F5746" t="s">
        <v>38</v>
      </c>
      <c r="G5746" t="s">
        <v>37</v>
      </c>
    </row>
    <row r="5747" spans="1:7" x14ac:dyDescent="0.3">
      <c r="A5747" t="s">
        <v>81</v>
      </c>
      <c r="B5747" t="s">
        <v>8</v>
      </c>
      <c r="C5747" t="s">
        <v>15</v>
      </c>
      <c r="D5747">
        <v>305900</v>
      </c>
      <c r="E5747" t="s">
        <v>68</v>
      </c>
      <c r="F5747" t="s">
        <v>38</v>
      </c>
      <c r="G5747" t="s">
        <v>37</v>
      </c>
    </row>
    <row r="5748" spans="1:7" x14ac:dyDescent="0.3">
      <c r="A5748" t="s">
        <v>81</v>
      </c>
      <c r="B5748" t="s">
        <v>8</v>
      </c>
      <c r="C5748" t="s">
        <v>16</v>
      </c>
      <c r="D5748">
        <v>472704</v>
      </c>
      <c r="E5748" t="s">
        <v>68</v>
      </c>
      <c r="F5748" t="s">
        <v>38</v>
      </c>
      <c r="G5748" t="s">
        <v>37</v>
      </c>
    </row>
    <row r="5749" spans="1:7" x14ac:dyDescent="0.3">
      <c r="A5749" t="s">
        <v>81</v>
      </c>
      <c r="B5749" t="s">
        <v>8</v>
      </c>
      <c r="C5749" t="s">
        <v>17</v>
      </c>
      <c r="D5749">
        <v>313</v>
      </c>
      <c r="E5749" t="s">
        <v>68</v>
      </c>
      <c r="F5749" t="s">
        <v>38</v>
      </c>
      <c r="G5749" t="s">
        <v>37</v>
      </c>
    </row>
    <row r="5750" spans="1:7" x14ac:dyDescent="0.3">
      <c r="A5750" t="s">
        <v>81</v>
      </c>
      <c r="B5750" t="s">
        <v>8</v>
      </c>
      <c r="C5750" t="s">
        <v>18</v>
      </c>
      <c r="D5750">
        <v>0</v>
      </c>
      <c r="E5750" t="s">
        <v>68</v>
      </c>
      <c r="F5750" t="s">
        <v>38</v>
      </c>
      <c r="G5750" t="s">
        <v>37</v>
      </c>
    </row>
    <row r="5751" spans="1:7" x14ac:dyDescent="0.3">
      <c r="A5751" t="s">
        <v>81</v>
      </c>
      <c r="B5751" t="s">
        <v>8</v>
      </c>
      <c r="C5751" t="s">
        <v>19</v>
      </c>
      <c r="D5751">
        <v>406933</v>
      </c>
      <c r="E5751" t="s">
        <v>68</v>
      </c>
      <c r="F5751" t="s">
        <v>38</v>
      </c>
      <c r="G5751" t="s">
        <v>37</v>
      </c>
    </row>
    <row r="5752" spans="1:7" x14ac:dyDescent="0.3">
      <c r="A5752" t="s">
        <v>81</v>
      </c>
      <c r="B5752" t="s">
        <v>8</v>
      </c>
      <c r="C5752" t="s">
        <v>20</v>
      </c>
      <c r="D5752">
        <v>29</v>
      </c>
      <c r="E5752" t="s">
        <v>68</v>
      </c>
      <c r="F5752" t="s">
        <v>38</v>
      </c>
      <c r="G5752" t="s">
        <v>37</v>
      </c>
    </row>
    <row r="5753" spans="1:7" x14ac:dyDescent="0.3">
      <c r="A5753" t="s">
        <v>81</v>
      </c>
      <c r="B5753" t="s">
        <v>8</v>
      </c>
      <c r="C5753" t="s">
        <v>21</v>
      </c>
      <c r="D5753">
        <v>800352</v>
      </c>
      <c r="E5753" t="s">
        <v>68</v>
      </c>
      <c r="F5753" t="s">
        <v>38</v>
      </c>
      <c r="G5753" t="s">
        <v>37</v>
      </c>
    </row>
    <row r="5754" spans="1:7" x14ac:dyDescent="0.3">
      <c r="A5754" t="s">
        <v>81</v>
      </c>
      <c r="B5754" t="s">
        <v>8</v>
      </c>
      <c r="C5754" t="s">
        <v>22</v>
      </c>
      <c r="D5754">
        <v>124214</v>
      </c>
      <c r="E5754" t="s">
        <v>68</v>
      </c>
      <c r="F5754" t="s">
        <v>38</v>
      </c>
      <c r="G5754" t="s">
        <v>37</v>
      </c>
    </row>
    <row r="5755" spans="1:7" x14ac:dyDescent="0.3">
      <c r="A5755" t="s">
        <v>81</v>
      </c>
      <c r="B5755" t="s">
        <v>23</v>
      </c>
      <c r="C5755" t="s">
        <v>9</v>
      </c>
      <c r="D5755">
        <v>29059</v>
      </c>
      <c r="E5755" t="s">
        <v>68</v>
      </c>
      <c r="F5755" t="s">
        <v>38</v>
      </c>
      <c r="G5755" t="s">
        <v>37</v>
      </c>
    </row>
    <row r="5756" spans="1:7" x14ac:dyDescent="0.3">
      <c r="A5756" t="s">
        <v>81</v>
      </c>
      <c r="B5756" t="s">
        <v>23</v>
      </c>
      <c r="C5756" t="s">
        <v>13</v>
      </c>
      <c r="D5756">
        <v>618644</v>
      </c>
      <c r="E5756" t="s">
        <v>68</v>
      </c>
      <c r="F5756" t="s">
        <v>38</v>
      </c>
      <c r="G5756" t="s">
        <v>37</v>
      </c>
    </row>
    <row r="5757" spans="1:7" x14ac:dyDescent="0.3">
      <c r="A5757" t="s">
        <v>81</v>
      </c>
      <c r="B5757" t="s">
        <v>23</v>
      </c>
      <c r="C5757" t="s">
        <v>14</v>
      </c>
      <c r="D5757">
        <v>880663</v>
      </c>
      <c r="E5757" t="s">
        <v>68</v>
      </c>
      <c r="F5757" t="s">
        <v>38</v>
      </c>
      <c r="G5757" t="s">
        <v>37</v>
      </c>
    </row>
    <row r="5758" spans="1:7" x14ac:dyDescent="0.3">
      <c r="A5758" t="s">
        <v>81</v>
      </c>
      <c r="B5758" t="s">
        <v>23</v>
      </c>
      <c r="C5758" t="s">
        <v>15</v>
      </c>
      <c r="D5758">
        <v>288971</v>
      </c>
      <c r="E5758" t="s">
        <v>68</v>
      </c>
      <c r="F5758" t="s">
        <v>38</v>
      </c>
      <c r="G5758" t="s">
        <v>37</v>
      </c>
    </row>
    <row r="5759" spans="1:7" x14ac:dyDescent="0.3">
      <c r="A5759" t="s">
        <v>81</v>
      </c>
      <c r="B5759" t="s">
        <v>23</v>
      </c>
      <c r="C5759" t="s">
        <v>16</v>
      </c>
      <c r="D5759">
        <v>1097897</v>
      </c>
      <c r="E5759" t="s">
        <v>68</v>
      </c>
      <c r="F5759" t="s">
        <v>38</v>
      </c>
      <c r="G5759" t="s">
        <v>37</v>
      </c>
    </row>
    <row r="5760" spans="1:7" x14ac:dyDescent="0.3">
      <c r="A5760" t="s">
        <v>81</v>
      </c>
      <c r="B5760" t="s">
        <v>23</v>
      </c>
      <c r="C5760" t="s">
        <v>17</v>
      </c>
      <c r="D5760">
        <v>6106</v>
      </c>
      <c r="E5760" t="s">
        <v>68</v>
      </c>
      <c r="F5760" t="s">
        <v>38</v>
      </c>
      <c r="G5760" t="s">
        <v>37</v>
      </c>
    </row>
    <row r="5761" spans="1:7" x14ac:dyDescent="0.3">
      <c r="A5761" t="s">
        <v>81</v>
      </c>
      <c r="B5761" t="s">
        <v>23</v>
      </c>
      <c r="C5761" t="s">
        <v>18</v>
      </c>
      <c r="D5761">
        <v>9</v>
      </c>
      <c r="E5761" t="s">
        <v>68</v>
      </c>
      <c r="F5761" t="s">
        <v>38</v>
      </c>
      <c r="G5761" t="s">
        <v>37</v>
      </c>
    </row>
    <row r="5762" spans="1:7" x14ac:dyDescent="0.3">
      <c r="A5762" t="s">
        <v>81</v>
      </c>
      <c r="B5762" t="s">
        <v>23</v>
      </c>
      <c r="C5762" t="s">
        <v>19</v>
      </c>
      <c r="D5762">
        <v>1518629</v>
      </c>
      <c r="E5762" t="s">
        <v>68</v>
      </c>
      <c r="F5762" t="s">
        <v>38</v>
      </c>
      <c r="G5762" t="s">
        <v>37</v>
      </c>
    </row>
    <row r="5763" spans="1:7" x14ac:dyDescent="0.3">
      <c r="A5763" t="s">
        <v>81</v>
      </c>
      <c r="B5763" t="s">
        <v>23</v>
      </c>
      <c r="C5763" t="s">
        <v>20</v>
      </c>
      <c r="D5763">
        <v>15673</v>
      </c>
      <c r="E5763" t="s">
        <v>68</v>
      </c>
      <c r="F5763" t="s">
        <v>38</v>
      </c>
      <c r="G5763" t="s">
        <v>37</v>
      </c>
    </row>
    <row r="5764" spans="1:7" x14ac:dyDescent="0.3">
      <c r="A5764" t="s">
        <v>81</v>
      </c>
      <c r="B5764" t="s">
        <v>23</v>
      </c>
      <c r="C5764" t="s">
        <v>21</v>
      </c>
      <c r="D5764">
        <v>313128</v>
      </c>
      <c r="E5764" t="s">
        <v>68</v>
      </c>
      <c r="F5764" t="s">
        <v>38</v>
      </c>
      <c r="G5764" t="s">
        <v>37</v>
      </c>
    </row>
    <row r="5765" spans="1:7" x14ac:dyDescent="0.3">
      <c r="A5765" t="s">
        <v>81</v>
      </c>
      <c r="B5765" t="s">
        <v>23</v>
      </c>
      <c r="C5765" t="s">
        <v>22</v>
      </c>
      <c r="D5765">
        <v>357295</v>
      </c>
      <c r="E5765" t="s">
        <v>68</v>
      </c>
      <c r="F5765" t="s">
        <v>38</v>
      </c>
      <c r="G5765" t="s">
        <v>37</v>
      </c>
    </row>
    <row r="5766" spans="1:7" x14ac:dyDescent="0.3">
      <c r="A5766" t="s">
        <v>82</v>
      </c>
      <c r="B5766" t="s">
        <v>8</v>
      </c>
      <c r="C5766" t="s">
        <v>9</v>
      </c>
      <c r="D5766">
        <v>514</v>
      </c>
      <c r="E5766" t="s">
        <v>68</v>
      </c>
      <c r="F5766" t="s">
        <v>38</v>
      </c>
      <c r="G5766" t="s">
        <v>37</v>
      </c>
    </row>
    <row r="5767" spans="1:7" x14ac:dyDescent="0.3">
      <c r="A5767" t="s">
        <v>82</v>
      </c>
      <c r="B5767" t="s">
        <v>8</v>
      </c>
      <c r="C5767" t="s">
        <v>13</v>
      </c>
      <c r="D5767">
        <v>7</v>
      </c>
      <c r="E5767" t="s">
        <v>68</v>
      </c>
      <c r="F5767" t="s">
        <v>38</v>
      </c>
      <c r="G5767" t="s">
        <v>37</v>
      </c>
    </row>
    <row r="5768" spans="1:7" x14ac:dyDescent="0.3">
      <c r="A5768" t="s">
        <v>82</v>
      </c>
      <c r="B5768" t="s">
        <v>8</v>
      </c>
      <c r="C5768" t="s">
        <v>14</v>
      </c>
      <c r="D5768">
        <v>3499</v>
      </c>
      <c r="E5768" t="s">
        <v>68</v>
      </c>
      <c r="F5768" t="s">
        <v>38</v>
      </c>
      <c r="G5768" t="s">
        <v>37</v>
      </c>
    </row>
    <row r="5769" spans="1:7" x14ac:dyDescent="0.3">
      <c r="A5769" t="s">
        <v>82</v>
      </c>
      <c r="B5769" t="s">
        <v>8</v>
      </c>
      <c r="C5769" t="s">
        <v>15</v>
      </c>
      <c r="D5769">
        <v>9</v>
      </c>
      <c r="E5769" t="s">
        <v>68</v>
      </c>
      <c r="F5769" t="s">
        <v>38</v>
      </c>
      <c r="G5769" t="s">
        <v>37</v>
      </c>
    </row>
    <row r="5770" spans="1:7" x14ac:dyDescent="0.3">
      <c r="A5770" t="s">
        <v>82</v>
      </c>
      <c r="B5770" t="s">
        <v>8</v>
      </c>
      <c r="C5770" t="s">
        <v>16</v>
      </c>
      <c r="D5770">
        <v>1634754</v>
      </c>
      <c r="E5770" t="s">
        <v>68</v>
      </c>
      <c r="F5770" t="s">
        <v>38</v>
      </c>
      <c r="G5770" t="s">
        <v>37</v>
      </c>
    </row>
    <row r="5771" spans="1:7" x14ac:dyDescent="0.3">
      <c r="A5771" t="s">
        <v>82</v>
      </c>
      <c r="B5771" t="s">
        <v>8</v>
      </c>
      <c r="C5771" t="s">
        <v>17</v>
      </c>
      <c r="D5771">
        <v>896</v>
      </c>
      <c r="E5771" t="s">
        <v>68</v>
      </c>
      <c r="F5771" t="s">
        <v>38</v>
      </c>
      <c r="G5771" t="s">
        <v>37</v>
      </c>
    </row>
    <row r="5772" spans="1:7" x14ac:dyDescent="0.3">
      <c r="A5772" t="s">
        <v>82</v>
      </c>
      <c r="B5772" t="s">
        <v>8</v>
      </c>
      <c r="C5772" t="s">
        <v>18</v>
      </c>
      <c r="D5772">
        <v>0</v>
      </c>
      <c r="E5772" t="s">
        <v>68</v>
      </c>
      <c r="F5772" t="s">
        <v>38</v>
      </c>
      <c r="G5772" t="s">
        <v>37</v>
      </c>
    </row>
    <row r="5773" spans="1:7" x14ac:dyDescent="0.3">
      <c r="A5773" t="s">
        <v>82</v>
      </c>
      <c r="B5773" t="s">
        <v>8</v>
      </c>
      <c r="C5773" t="s">
        <v>19</v>
      </c>
      <c r="D5773">
        <v>0</v>
      </c>
      <c r="E5773" t="s">
        <v>68</v>
      </c>
      <c r="F5773" t="s">
        <v>38</v>
      </c>
      <c r="G5773" t="s">
        <v>37</v>
      </c>
    </row>
    <row r="5774" spans="1:7" x14ac:dyDescent="0.3">
      <c r="A5774" t="s">
        <v>82</v>
      </c>
      <c r="B5774" t="s">
        <v>8</v>
      </c>
      <c r="C5774" t="s">
        <v>20</v>
      </c>
      <c r="D5774">
        <v>69</v>
      </c>
      <c r="E5774" t="s">
        <v>68</v>
      </c>
      <c r="F5774" t="s">
        <v>38</v>
      </c>
      <c r="G5774" t="s">
        <v>37</v>
      </c>
    </row>
    <row r="5775" spans="1:7" x14ac:dyDescent="0.3">
      <c r="A5775" t="s">
        <v>82</v>
      </c>
      <c r="B5775" t="s">
        <v>8</v>
      </c>
      <c r="C5775" t="s">
        <v>21</v>
      </c>
      <c r="D5775">
        <v>11</v>
      </c>
      <c r="E5775" t="s">
        <v>68</v>
      </c>
      <c r="F5775" t="s">
        <v>38</v>
      </c>
      <c r="G5775" t="s">
        <v>37</v>
      </c>
    </row>
    <row r="5776" spans="1:7" x14ac:dyDescent="0.3">
      <c r="A5776" t="s">
        <v>82</v>
      </c>
      <c r="B5776" t="s">
        <v>8</v>
      </c>
      <c r="C5776" t="s">
        <v>22</v>
      </c>
      <c r="D5776">
        <v>92</v>
      </c>
      <c r="E5776" t="s">
        <v>68</v>
      </c>
      <c r="F5776" t="s">
        <v>38</v>
      </c>
      <c r="G5776" t="s">
        <v>37</v>
      </c>
    </row>
    <row r="5777" spans="1:7" x14ac:dyDescent="0.3">
      <c r="A5777" t="s">
        <v>82</v>
      </c>
      <c r="B5777" t="s">
        <v>23</v>
      </c>
      <c r="C5777" t="s">
        <v>9</v>
      </c>
      <c r="D5777">
        <v>2091</v>
      </c>
      <c r="E5777" t="s">
        <v>68</v>
      </c>
      <c r="F5777" t="s">
        <v>38</v>
      </c>
      <c r="G5777" t="s">
        <v>37</v>
      </c>
    </row>
    <row r="5778" spans="1:7" x14ac:dyDescent="0.3">
      <c r="A5778" t="s">
        <v>82</v>
      </c>
      <c r="B5778" t="s">
        <v>23</v>
      </c>
      <c r="C5778" t="s">
        <v>13</v>
      </c>
      <c r="D5778">
        <v>2652</v>
      </c>
      <c r="E5778" t="s">
        <v>68</v>
      </c>
      <c r="F5778" t="s">
        <v>38</v>
      </c>
      <c r="G5778" t="s">
        <v>37</v>
      </c>
    </row>
    <row r="5779" spans="1:7" x14ac:dyDescent="0.3">
      <c r="A5779" t="s">
        <v>82</v>
      </c>
      <c r="B5779" t="s">
        <v>23</v>
      </c>
      <c r="C5779" t="s">
        <v>14</v>
      </c>
      <c r="D5779">
        <v>10457</v>
      </c>
      <c r="E5779" t="s">
        <v>68</v>
      </c>
      <c r="F5779" t="s">
        <v>38</v>
      </c>
      <c r="G5779" t="s">
        <v>37</v>
      </c>
    </row>
    <row r="5780" spans="1:7" x14ac:dyDescent="0.3">
      <c r="A5780" t="s">
        <v>82</v>
      </c>
      <c r="B5780" t="s">
        <v>23</v>
      </c>
      <c r="C5780" t="s">
        <v>15</v>
      </c>
      <c r="D5780">
        <v>362</v>
      </c>
      <c r="E5780" t="s">
        <v>68</v>
      </c>
      <c r="F5780" t="s">
        <v>38</v>
      </c>
      <c r="G5780" t="s">
        <v>37</v>
      </c>
    </row>
    <row r="5781" spans="1:7" x14ac:dyDescent="0.3">
      <c r="A5781" t="s">
        <v>82</v>
      </c>
      <c r="B5781" t="s">
        <v>23</v>
      </c>
      <c r="C5781" t="s">
        <v>16</v>
      </c>
      <c r="D5781">
        <v>3288441</v>
      </c>
      <c r="E5781" t="s">
        <v>68</v>
      </c>
      <c r="F5781" t="s">
        <v>38</v>
      </c>
      <c r="G5781" t="s">
        <v>37</v>
      </c>
    </row>
    <row r="5782" spans="1:7" x14ac:dyDescent="0.3">
      <c r="A5782" t="s">
        <v>82</v>
      </c>
      <c r="B5782" t="s">
        <v>23</v>
      </c>
      <c r="C5782" t="s">
        <v>17</v>
      </c>
      <c r="D5782">
        <v>473</v>
      </c>
      <c r="E5782" t="s">
        <v>68</v>
      </c>
      <c r="F5782" t="s">
        <v>38</v>
      </c>
      <c r="G5782" t="s">
        <v>37</v>
      </c>
    </row>
    <row r="5783" spans="1:7" x14ac:dyDescent="0.3">
      <c r="A5783" t="s">
        <v>82</v>
      </c>
      <c r="B5783" t="s">
        <v>23</v>
      </c>
      <c r="C5783" t="s">
        <v>18</v>
      </c>
      <c r="D5783">
        <v>20</v>
      </c>
      <c r="E5783" t="s">
        <v>68</v>
      </c>
      <c r="F5783" t="s">
        <v>38</v>
      </c>
      <c r="G5783" t="s">
        <v>37</v>
      </c>
    </row>
    <row r="5784" spans="1:7" x14ac:dyDescent="0.3">
      <c r="A5784" t="s">
        <v>82</v>
      </c>
      <c r="B5784" t="s">
        <v>23</v>
      </c>
      <c r="C5784" t="s">
        <v>19</v>
      </c>
      <c r="D5784">
        <v>630</v>
      </c>
      <c r="E5784" t="s">
        <v>68</v>
      </c>
      <c r="F5784" t="s">
        <v>38</v>
      </c>
      <c r="G5784" t="s">
        <v>37</v>
      </c>
    </row>
    <row r="5785" spans="1:7" x14ac:dyDescent="0.3">
      <c r="A5785" t="s">
        <v>82</v>
      </c>
      <c r="B5785" t="s">
        <v>23</v>
      </c>
      <c r="C5785" t="s">
        <v>20</v>
      </c>
      <c r="D5785">
        <v>19546</v>
      </c>
      <c r="E5785" t="s">
        <v>68</v>
      </c>
      <c r="F5785" t="s">
        <v>38</v>
      </c>
      <c r="G5785" t="s">
        <v>37</v>
      </c>
    </row>
    <row r="5786" spans="1:7" x14ac:dyDescent="0.3">
      <c r="A5786" t="s">
        <v>82</v>
      </c>
      <c r="B5786" t="s">
        <v>23</v>
      </c>
      <c r="C5786" t="s">
        <v>21</v>
      </c>
      <c r="D5786">
        <v>833</v>
      </c>
      <c r="E5786" t="s">
        <v>68</v>
      </c>
      <c r="F5786" t="s">
        <v>38</v>
      </c>
      <c r="G5786" t="s">
        <v>37</v>
      </c>
    </row>
    <row r="5787" spans="1:7" x14ac:dyDescent="0.3">
      <c r="A5787" t="s">
        <v>82</v>
      </c>
      <c r="B5787" t="s">
        <v>23</v>
      </c>
      <c r="C5787" t="s">
        <v>22</v>
      </c>
      <c r="D5787">
        <v>1665</v>
      </c>
      <c r="E5787" t="s">
        <v>68</v>
      </c>
      <c r="F5787" t="s">
        <v>38</v>
      </c>
      <c r="G5787" t="s">
        <v>37</v>
      </c>
    </row>
    <row r="5788" spans="1:7" x14ac:dyDescent="0.3">
      <c r="A5788" t="s">
        <v>83</v>
      </c>
      <c r="B5788" t="s">
        <v>8</v>
      </c>
      <c r="C5788" t="s">
        <v>9</v>
      </c>
      <c r="D5788">
        <v>43</v>
      </c>
      <c r="E5788" t="s">
        <v>68</v>
      </c>
      <c r="F5788" t="s">
        <v>38</v>
      </c>
      <c r="G5788" t="s">
        <v>37</v>
      </c>
    </row>
    <row r="5789" spans="1:7" x14ac:dyDescent="0.3">
      <c r="A5789" t="s">
        <v>83</v>
      </c>
      <c r="B5789" t="s">
        <v>8</v>
      </c>
      <c r="C5789" t="s">
        <v>13</v>
      </c>
      <c r="D5789">
        <v>83</v>
      </c>
      <c r="E5789" t="s">
        <v>68</v>
      </c>
      <c r="F5789" t="s">
        <v>38</v>
      </c>
      <c r="G5789" t="s">
        <v>37</v>
      </c>
    </row>
    <row r="5790" spans="1:7" x14ac:dyDescent="0.3">
      <c r="A5790" t="s">
        <v>83</v>
      </c>
      <c r="B5790" t="s">
        <v>8</v>
      </c>
      <c r="C5790" t="s">
        <v>14</v>
      </c>
      <c r="D5790">
        <v>76</v>
      </c>
      <c r="E5790" t="s">
        <v>68</v>
      </c>
      <c r="F5790" t="s">
        <v>38</v>
      </c>
      <c r="G5790" t="s">
        <v>37</v>
      </c>
    </row>
    <row r="5791" spans="1:7" x14ac:dyDescent="0.3">
      <c r="A5791" t="s">
        <v>83</v>
      </c>
      <c r="B5791" t="s">
        <v>8</v>
      </c>
      <c r="C5791" t="s">
        <v>15</v>
      </c>
      <c r="D5791">
        <v>10</v>
      </c>
      <c r="E5791" t="s">
        <v>68</v>
      </c>
      <c r="F5791" t="s">
        <v>38</v>
      </c>
      <c r="G5791" t="s">
        <v>37</v>
      </c>
    </row>
    <row r="5792" spans="1:7" x14ac:dyDescent="0.3">
      <c r="A5792" t="s">
        <v>83</v>
      </c>
      <c r="B5792" t="s">
        <v>8</v>
      </c>
      <c r="C5792" t="s">
        <v>16</v>
      </c>
      <c r="D5792">
        <v>166</v>
      </c>
      <c r="E5792" t="s">
        <v>68</v>
      </c>
      <c r="F5792" t="s">
        <v>38</v>
      </c>
      <c r="G5792" t="s">
        <v>37</v>
      </c>
    </row>
    <row r="5793" spans="1:7" x14ac:dyDescent="0.3">
      <c r="A5793" t="s">
        <v>83</v>
      </c>
      <c r="B5793" t="s">
        <v>8</v>
      </c>
      <c r="C5793" t="s">
        <v>17</v>
      </c>
      <c r="D5793">
        <v>0</v>
      </c>
      <c r="E5793" t="s">
        <v>68</v>
      </c>
      <c r="F5793" t="s">
        <v>38</v>
      </c>
      <c r="G5793" t="s">
        <v>37</v>
      </c>
    </row>
    <row r="5794" spans="1:7" x14ac:dyDescent="0.3">
      <c r="A5794" t="s">
        <v>83</v>
      </c>
      <c r="B5794" t="s">
        <v>8</v>
      </c>
      <c r="C5794" t="s">
        <v>18</v>
      </c>
      <c r="D5794">
        <v>0</v>
      </c>
      <c r="E5794" t="s">
        <v>68</v>
      </c>
      <c r="F5794" t="s">
        <v>38</v>
      </c>
      <c r="G5794" t="s">
        <v>37</v>
      </c>
    </row>
    <row r="5795" spans="1:7" x14ac:dyDescent="0.3">
      <c r="A5795" t="s">
        <v>83</v>
      </c>
      <c r="B5795" t="s">
        <v>8</v>
      </c>
      <c r="C5795" t="s">
        <v>19</v>
      </c>
      <c r="D5795">
        <v>0</v>
      </c>
      <c r="E5795" t="s">
        <v>68</v>
      </c>
      <c r="F5795" t="s">
        <v>38</v>
      </c>
      <c r="G5795" t="s">
        <v>37</v>
      </c>
    </row>
    <row r="5796" spans="1:7" x14ac:dyDescent="0.3">
      <c r="A5796" t="s">
        <v>83</v>
      </c>
      <c r="B5796" t="s">
        <v>8</v>
      </c>
      <c r="C5796" t="s">
        <v>20</v>
      </c>
      <c r="D5796">
        <v>14</v>
      </c>
      <c r="E5796" t="s">
        <v>68</v>
      </c>
      <c r="F5796" t="s">
        <v>38</v>
      </c>
      <c r="G5796" t="s">
        <v>37</v>
      </c>
    </row>
    <row r="5797" spans="1:7" x14ac:dyDescent="0.3">
      <c r="A5797" t="s">
        <v>83</v>
      </c>
      <c r="B5797" t="s">
        <v>8</v>
      </c>
      <c r="C5797" t="s">
        <v>21</v>
      </c>
      <c r="D5797">
        <v>66</v>
      </c>
      <c r="E5797" t="s">
        <v>68</v>
      </c>
      <c r="F5797" t="s">
        <v>38</v>
      </c>
      <c r="G5797" t="s">
        <v>37</v>
      </c>
    </row>
    <row r="5798" spans="1:7" x14ac:dyDescent="0.3">
      <c r="A5798" t="s">
        <v>83</v>
      </c>
      <c r="B5798" t="s">
        <v>8</v>
      </c>
      <c r="C5798" t="s">
        <v>22</v>
      </c>
      <c r="D5798">
        <v>638224</v>
      </c>
      <c r="E5798" t="s">
        <v>68</v>
      </c>
      <c r="F5798" t="s">
        <v>38</v>
      </c>
      <c r="G5798" t="s">
        <v>37</v>
      </c>
    </row>
    <row r="5799" spans="1:7" x14ac:dyDescent="0.3">
      <c r="A5799" t="s">
        <v>83</v>
      </c>
      <c r="B5799" t="s">
        <v>23</v>
      </c>
      <c r="C5799" t="s">
        <v>9</v>
      </c>
      <c r="D5799">
        <v>94797</v>
      </c>
      <c r="E5799" t="s">
        <v>68</v>
      </c>
      <c r="F5799" t="s">
        <v>38</v>
      </c>
      <c r="G5799" t="s">
        <v>37</v>
      </c>
    </row>
    <row r="5800" spans="1:7" x14ac:dyDescent="0.3">
      <c r="A5800" t="s">
        <v>83</v>
      </c>
      <c r="B5800" t="s">
        <v>23</v>
      </c>
      <c r="C5800" t="s">
        <v>13</v>
      </c>
      <c r="D5800">
        <v>372075</v>
      </c>
      <c r="E5800" t="s">
        <v>68</v>
      </c>
      <c r="F5800" t="s">
        <v>38</v>
      </c>
      <c r="G5800" t="s">
        <v>37</v>
      </c>
    </row>
    <row r="5801" spans="1:7" x14ac:dyDescent="0.3">
      <c r="A5801" t="s">
        <v>83</v>
      </c>
      <c r="B5801" t="s">
        <v>23</v>
      </c>
      <c r="C5801" t="s">
        <v>14</v>
      </c>
      <c r="D5801">
        <v>541883</v>
      </c>
      <c r="E5801" t="s">
        <v>68</v>
      </c>
      <c r="F5801" t="s">
        <v>38</v>
      </c>
      <c r="G5801" t="s">
        <v>37</v>
      </c>
    </row>
    <row r="5802" spans="1:7" x14ac:dyDescent="0.3">
      <c r="A5802" t="s">
        <v>83</v>
      </c>
      <c r="B5802" t="s">
        <v>23</v>
      </c>
      <c r="C5802" t="s">
        <v>15</v>
      </c>
      <c r="D5802">
        <v>9614</v>
      </c>
      <c r="E5802" t="s">
        <v>68</v>
      </c>
      <c r="F5802" t="s">
        <v>38</v>
      </c>
      <c r="G5802" t="s">
        <v>37</v>
      </c>
    </row>
    <row r="5803" spans="1:7" x14ac:dyDescent="0.3">
      <c r="A5803" t="s">
        <v>83</v>
      </c>
      <c r="B5803" t="s">
        <v>23</v>
      </c>
      <c r="C5803" t="s">
        <v>16</v>
      </c>
      <c r="D5803">
        <v>190976</v>
      </c>
      <c r="E5803" t="s">
        <v>68</v>
      </c>
      <c r="F5803" t="s">
        <v>38</v>
      </c>
      <c r="G5803" t="s">
        <v>37</v>
      </c>
    </row>
    <row r="5804" spans="1:7" x14ac:dyDescent="0.3">
      <c r="A5804" t="s">
        <v>83</v>
      </c>
      <c r="B5804" t="s">
        <v>23</v>
      </c>
      <c r="C5804" t="s">
        <v>17</v>
      </c>
      <c r="D5804">
        <v>22897</v>
      </c>
      <c r="E5804" t="s">
        <v>68</v>
      </c>
      <c r="F5804" t="s">
        <v>38</v>
      </c>
      <c r="G5804" t="s">
        <v>37</v>
      </c>
    </row>
    <row r="5805" spans="1:7" x14ac:dyDescent="0.3">
      <c r="A5805" t="s">
        <v>83</v>
      </c>
      <c r="B5805" t="s">
        <v>23</v>
      </c>
      <c r="C5805" t="s">
        <v>18</v>
      </c>
      <c r="D5805">
        <v>0</v>
      </c>
      <c r="E5805" t="s">
        <v>68</v>
      </c>
      <c r="F5805" t="s">
        <v>38</v>
      </c>
      <c r="G5805" t="s">
        <v>37</v>
      </c>
    </row>
    <row r="5806" spans="1:7" x14ac:dyDescent="0.3">
      <c r="A5806" t="s">
        <v>83</v>
      </c>
      <c r="B5806" t="s">
        <v>23</v>
      </c>
      <c r="C5806" t="s">
        <v>19</v>
      </c>
      <c r="D5806">
        <v>86002</v>
      </c>
      <c r="E5806" t="s">
        <v>68</v>
      </c>
      <c r="F5806" t="s">
        <v>38</v>
      </c>
      <c r="G5806" t="s">
        <v>37</v>
      </c>
    </row>
    <row r="5807" spans="1:7" x14ac:dyDescent="0.3">
      <c r="A5807" t="s">
        <v>83</v>
      </c>
      <c r="B5807" t="s">
        <v>23</v>
      </c>
      <c r="C5807" t="s">
        <v>20</v>
      </c>
      <c r="D5807">
        <v>23951</v>
      </c>
      <c r="E5807" t="s">
        <v>68</v>
      </c>
      <c r="F5807" t="s">
        <v>38</v>
      </c>
      <c r="G5807" t="s">
        <v>37</v>
      </c>
    </row>
    <row r="5808" spans="1:7" x14ac:dyDescent="0.3">
      <c r="A5808" t="s">
        <v>83</v>
      </c>
      <c r="B5808" t="s">
        <v>23</v>
      </c>
      <c r="C5808" t="s">
        <v>21</v>
      </c>
      <c r="D5808">
        <v>11434</v>
      </c>
      <c r="E5808" t="s">
        <v>68</v>
      </c>
      <c r="F5808" t="s">
        <v>38</v>
      </c>
      <c r="G5808" t="s">
        <v>37</v>
      </c>
    </row>
    <row r="5809" spans="1:7" x14ac:dyDescent="0.3">
      <c r="A5809" t="s">
        <v>83</v>
      </c>
      <c r="B5809" t="s">
        <v>23</v>
      </c>
      <c r="C5809" t="s">
        <v>22</v>
      </c>
      <c r="D5809">
        <v>1751652</v>
      </c>
      <c r="E5809" t="s">
        <v>68</v>
      </c>
      <c r="F5809" t="s">
        <v>38</v>
      </c>
      <c r="G5809" t="s">
        <v>37</v>
      </c>
    </row>
    <row r="5810" spans="1:7" x14ac:dyDescent="0.3">
      <c r="A5810" t="s">
        <v>67</v>
      </c>
      <c r="B5810" t="s">
        <v>8</v>
      </c>
      <c r="C5810" t="s">
        <v>9</v>
      </c>
      <c r="D5810">
        <v>2</v>
      </c>
      <c r="E5810" t="s">
        <v>68</v>
      </c>
      <c r="F5810" t="s">
        <v>39</v>
      </c>
      <c r="G5810" t="s">
        <v>40</v>
      </c>
    </row>
    <row r="5811" spans="1:7" x14ac:dyDescent="0.3">
      <c r="A5811" t="s">
        <v>67</v>
      </c>
      <c r="B5811" t="s">
        <v>8</v>
      </c>
      <c r="C5811" t="s">
        <v>13</v>
      </c>
      <c r="D5811">
        <v>0</v>
      </c>
      <c r="E5811" t="s">
        <v>68</v>
      </c>
      <c r="F5811" t="s">
        <v>39</v>
      </c>
      <c r="G5811" t="s">
        <v>40</v>
      </c>
    </row>
    <row r="5812" spans="1:7" x14ac:dyDescent="0.3">
      <c r="A5812" t="s">
        <v>67</v>
      </c>
      <c r="B5812" t="s">
        <v>8</v>
      </c>
      <c r="C5812" t="s">
        <v>14</v>
      </c>
      <c r="D5812">
        <v>2</v>
      </c>
      <c r="E5812" t="s">
        <v>68</v>
      </c>
      <c r="F5812" t="s">
        <v>39</v>
      </c>
      <c r="G5812" t="s">
        <v>40</v>
      </c>
    </row>
    <row r="5813" spans="1:7" x14ac:dyDescent="0.3">
      <c r="A5813" t="s">
        <v>67</v>
      </c>
      <c r="B5813" t="s">
        <v>8</v>
      </c>
      <c r="C5813" t="s">
        <v>15</v>
      </c>
      <c r="D5813">
        <v>0</v>
      </c>
      <c r="E5813" t="s">
        <v>68</v>
      </c>
      <c r="F5813" t="s">
        <v>39</v>
      </c>
      <c r="G5813" t="s">
        <v>40</v>
      </c>
    </row>
    <row r="5814" spans="1:7" x14ac:dyDescent="0.3">
      <c r="A5814" t="s">
        <v>67</v>
      </c>
      <c r="B5814" t="s">
        <v>8</v>
      </c>
      <c r="C5814" t="s">
        <v>16</v>
      </c>
      <c r="D5814">
        <v>29715</v>
      </c>
      <c r="E5814" t="s">
        <v>68</v>
      </c>
      <c r="F5814" t="s">
        <v>39</v>
      </c>
      <c r="G5814" t="s">
        <v>40</v>
      </c>
    </row>
    <row r="5815" spans="1:7" x14ac:dyDescent="0.3">
      <c r="A5815" t="s">
        <v>67</v>
      </c>
      <c r="B5815" t="s">
        <v>8</v>
      </c>
      <c r="C5815" t="s">
        <v>17</v>
      </c>
      <c r="D5815">
        <v>4</v>
      </c>
      <c r="E5815" t="s">
        <v>68</v>
      </c>
      <c r="F5815" t="s">
        <v>39</v>
      </c>
      <c r="G5815" t="s">
        <v>40</v>
      </c>
    </row>
    <row r="5816" spans="1:7" x14ac:dyDescent="0.3">
      <c r="A5816" t="s">
        <v>67</v>
      </c>
      <c r="B5816" t="s">
        <v>8</v>
      </c>
      <c r="C5816" t="s">
        <v>18</v>
      </c>
      <c r="D5816">
        <v>0</v>
      </c>
      <c r="E5816" t="s">
        <v>68</v>
      </c>
      <c r="F5816" t="s">
        <v>39</v>
      </c>
      <c r="G5816" t="s">
        <v>40</v>
      </c>
    </row>
    <row r="5817" spans="1:7" x14ac:dyDescent="0.3">
      <c r="A5817" t="s">
        <v>67</v>
      </c>
      <c r="B5817" t="s">
        <v>8</v>
      </c>
      <c r="C5817" t="s">
        <v>19</v>
      </c>
      <c r="D5817">
        <v>0</v>
      </c>
      <c r="E5817" t="s">
        <v>68</v>
      </c>
      <c r="F5817" t="s">
        <v>39</v>
      </c>
      <c r="G5817" t="s">
        <v>40</v>
      </c>
    </row>
    <row r="5818" spans="1:7" x14ac:dyDescent="0.3">
      <c r="A5818" t="s">
        <v>67</v>
      </c>
      <c r="B5818" t="s">
        <v>8</v>
      </c>
      <c r="C5818" t="s">
        <v>20</v>
      </c>
      <c r="D5818">
        <v>0</v>
      </c>
      <c r="E5818" t="s">
        <v>68</v>
      </c>
      <c r="F5818" t="s">
        <v>39</v>
      </c>
      <c r="G5818" t="s">
        <v>40</v>
      </c>
    </row>
    <row r="5819" spans="1:7" x14ac:dyDescent="0.3">
      <c r="A5819" t="s">
        <v>67</v>
      </c>
      <c r="B5819" t="s">
        <v>8</v>
      </c>
      <c r="C5819" t="s">
        <v>21</v>
      </c>
      <c r="D5819">
        <v>0</v>
      </c>
      <c r="E5819" t="s">
        <v>68</v>
      </c>
      <c r="F5819" t="s">
        <v>39</v>
      </c>
      <c r="G5819" t="s">
        <v>40</v>
      </c>
    </row>
    <row r="5820" spans="1:7" x14ac:dyDescent="0.3">
      <c r="A5820" t="s">
        <v>67</v>
      </c>
      <c r="B5820" t="s">
        <v>8</v>
      </c>
      <c r="C5820" t="s">
        <v>22</v>
      </c>
      <c r="D5820">
        <v>17</v>
      </c>
      <c r="E5820" t="s">
        <v>68</v>
      </c>
      <c r="F5820" t="s">
        <v>39</v>
      </c>
      <c r="G5820" t="s">
        <v>40</v>
      </c>
    </row>
    <row r="5821" spans="1:7" x14ac:dyDescent="0.3">
      <c r="A5821" t="s">
        <v>67</v>
      </c>
      <c r="B5821" t="s">
        <v>23</v>
      </c>
      <c r="C5821" t="s">
        <v>9</v>
      </c>
      <c r="D5821">
        <v>96</v>
      </c>
      <c r="E5821" t="s">
        <v>68</v>
      </c>
      <c r="F5821" t="s">
        <v>39</v>
      </c>
      <c r="G5821" t="s">
        <v>40</v>
      </c>
    </row>
    <row r="5822" spans="1:7" x14ac:dyDescent="0.3">
      <c r="A5822" t="s">
        <v>67</v>
      </c>
      <c r="B5822" t="s">
        <v>23</v>
      </c>
      <c r="C5822" t="s">
        <v>13</v>
      </c>
      <c r="D5822">
        <v>96</v>
      </c>
      <c r="E5822" t="s">
        <v>68</v>
      </c>
      <c r="F5822" t="s">
        <v>39</v>
      </c>
      <c r="G5822" t="s">
        <v>40</v>
      </c>
    </row>
    <row r="5823" spans="1:7" x14ac:dyDescent="0.3">
      <c r="A5823" t="s">
        <v>67</v>
      </c>
      <c r="B5823" t="s">
        <v>23</v>
      </c>
      <c r="C5823" t="s">
        <v>14</v>
      </c>
      <c r="D5823">
        <v>254</v>
      </c>
      <c r="E5823" t="s">
        <v>68</v>
      </c>
      <c r="F5823" t="s">
        <v>39</v>
      </c>
      <c r="G5823" t="s">
        <v>40</v>
      </c>
    </row>
    <row r="5824" spans="1:7" x14ac:dyDescent="0.3">
      <c r="A5824" t="s">
        <v>67</v>
      </c>
      <c r="B5824" t="s">
        <v>23</v>
      </c>
      <c r="C5824" t="s">
        <v>15</v>
      </c>
      <c r="D5824">
        <v>21</v>
      </c>
      <c r="E5824" t="s">
        <v>68</v>
      </c>
      <c r="F5824" t="s">
        <v>39</v>
      </c>
      <c r="G5824" t="s">
        <v>40</v>
      </c>
    </row>
    <row r="5825" spans="1:7" x14ac:dyDescent="0.3">
      <c r="A5825" t="s">
        <v>67</v>
      </c>
      <c r="B5825" t="s">
        <v>23</v>
      </c>
      <c r="C5825" t="s">
        <v>16</v>
      </c>
      <c r="D5825">
        <v>201194</v>
      </c>
      <c r="E5825" t="s">
        <v>68</v>
      </c>
      <c r="F5825" t="s">
        <v>39</v>
      </c>
      <c r="G5825" t="s">
        <v>40</v>
      </c>
    </row>
    <row r="5826" spans="1:7" x14ac:dyDescent="0.3">
      <c r="A5826" t="s">
        <v>67</v>
      </c>
      <c r="B5826" t="s">
        <v>23</v>
      </c>
      <c r="C5826" t="s">
        <v>17</v>
      </c>
      <c r="D5826">
        <v>22</v>
      </c>
      <c r="E5826" t="s">
        <v>68</v>
      </c>
      <c r="F5826" t="s">
        <v>39</v>
      </c>
      <c r="G5826" t="s">
        <v>40</v>
      </c>
    </row>
    <row r="5827" spans="1:7" x14ac:dyDescent="0.3">
      <c r="A5827" t="s">
        <v>67</v>
      </c>
      <c r="B5827" t="s">
        <v>23</v>
      </c>
      <c r="C5827" t="s">
        <v>18</v>
      </c>
      <c r="D5827">
        <v>0</v>
      </c>
      <c r="E5827" t="s">
        <v>68</v>
      </c>
      <c r="F5827" t="s">
        <v>39</v>
      </c>
      <c r="G5827" t="s">
        <v>40</v>
      </c>
    </row>
    <row r="5828" spans="1:7" x14ac:dyDescent="0.3">
      <c r="A5828" t="s">
        <v>67</v>
      </c>
      <c r="B5828" t="s">
        <v>23</v>
      </c>
      <c r="C5828" t="s">
        <v>19</v>
      </c>
      <c r="D5828">
        <v>5</v>
      </c>
      <c r="E5828" t="s">
        <v>68</v>
      </c>
      <c r="F5828" t="s">
        <v>39</v>
      </c>
      <c r="G5828" t="s">
        <v>40</v>
      </c>
    </row>
    <row r="5829" spans="1:7" x14ac:dyDescent="0.3">
      <c r="A5829" t="s">
        <v>67</v>
      </c>
      <c r="B5829" t="s">
        <v>23</v>
      </c>
      <c r="C5829" t="s">
        <v>20</v>
      </c>
      <c r="D5829">
        <v>800</v>
      </c>
      <c r="E5829" t="s">
        <v>68</v>
      </c>
      <c r="F5829" t="s">
        <v>39</v>
      </c>
      <c r="G5829" t="s">
        <v>40</v>
      </c>
    </row>
    <row r="5830" spans="1:7" x14ac:dyDescent="0.3">
      <c r="A5830" t="s">
        <v>67</v>
      </c>
      <c r="B5830" t="s">
        <v>23</v>
      </c>
      <c r="C5830" t="s">
        <v>21</v>
      </c>
      <c r="D5830">
        <v>6</v>
      </c>
      <c r="E5830" t="s">
        <v>68</v>
      </c>
      <c r="F5830" t="s">
        <v>39</v>
      </c>
      <c r="G5830" t="s">
        <v>40</v>
      </c>
    </row>
    <row r="5831" spans="1:7" x14ac:dyDescent="0.3">
      <c r="A5831" t="s">
        <v>67</v>
      </c>
      <c r="B5831" t="s">
        <v>23</v>
      </c>
      <c r="C5831" t="s">
        <v>22</v>
      </c>
      <c r="D5831">
        <v>220</v>
      </c>
      <c r="E5831" t="s">
        <v>68</v>
      </c>
      <c r="F5831" t="s">
        <v>39</v>
      </c>
      <c r="G5831" t="s">
        <v>40</v>
      </c>
    </row>
    <row r="5832" spans="1:7" x14ac:dyDescent="0.3">
      <c r="A5832" t="s">
        <v>69</v>
      </c>
      <c r="B5832" t="s">
        <v>8</v>
      </c>
      <c r="C5832" t="s">
        <v>9</v>
      </c>
      <c r="D5832">
        <v>0</v>
      </c>
      <c r="E5832" t="s">
        <v>68</v>
      </c>
      <c r="F5832" t="s">
        <v>39</v>
      </c>
      <c r="G5832" t="s">
        <v>40</v>
      </c>
    </row>
    <row r="5833" spans="1:7" x14ac:dyDescent="0.3">
      <c r="A5833" t="s">
        <v>69</v>
      </c>
      <c r="B5833" t="s">
        <v>8</v>
      </c>
      <c r="C5833" t="s">
        <v>13</v>
      </c>
      <c r="D5833">
        <v>1</v>
      </c>
      <c r="E5833" t="s">
        <v>68</v>
      </c>
      <c r="F5833" t="s">
        <v>39</v>
      </c>
      <c r="G5833" t="s">
        <v>40</v>
      </c>
    </row>
    <row r="5834" spans="1:7" x14ac:dyDescent="0.3">
      <c r="A5834" t="s">
        <v>69</v>
      </c>
      <c r="B5834" t="s">
        <v>8</v>
      </c>
      <c r="C5834" t="s">
        <v>14</v>
      </c>
      <c r="D5834">
        <v>0</v>
      </c>
      <c r="E5834" t="s">
        <v>68</v>
      </c>
      <c r="F5834" t="s">
        <v>39</v>
      </c>
      <c r="G5834" t="s">
        <v>40</v>
      </c>
    </row>
    <row r="5835" spans="1:7" x14ac:dyDescent="0.3">
      <c r="A5835" t="s">
        <v>69</v>
      </c>
      <c r="B5835" t="s">
        <v>8</v>
      </c>
      <c r="C5835" t="s">
        <v>15</v>
      </c>
      <c r="D5835">
        <v>0</v>
      </c>
      <c r="E5835" t="s">
        <v>68</v>
      </c>
      <c r="F5835" t="s">
        <v>39</v>
      </c>
      <c r="G5835" t="s">
        <v>40</v>
      </c>
    </row>
    <row r="5836" spans="1:7" x14ac:dyDescent="0.3">
      <c r="A5836" t="s">
        <v>69</v>
      </c>
      <c r="B5836" t="s">
        <v>8</v>
      </c>
      <c r="C5836" t="s">
        <v>16</v>
      </c>
      <c r="D5836">
        <v>3</v>
      </c>
      <c r="E5836" t="s">
        <v>68</v>
      </c>
      <c r="F5836" t="s">
        <v>39</v>
      </c>
      <c r="G5836" t="s">
        <v>40</v>
      </c>
    </row>
    <row r="5837" spans="1:7" x14ac:dyDescent="0.3">
      <c r="A5837" t="s">
        <v>69</v>
      </c>
      <c r="B5837" t="s">
        <v>8</v>
      </c>
      <c r="C5837" t="s">
        <v>17</v>
      </c>
      <c r="D5837">
        <v>0</v>
      </c>
      <c r="E5837" t="s">
        <v>68</v>
      </c>
      <c r="F5837" t="s">
        <v>39</v>
      </c>
      <c r="G5837" t="s">
        <v>40</v>
      </c>
    </row>
    <row r="5838" spans="1:7" x14ac:dyDescent="0.3">
      <c r="A5838" t="s">
        <v>69</v>
      </c>
      <c r="B5838" t="s">
        <v>8</v>
      </c>
      <c r="C5838" t="s">
        <v>18</v>
      </c>
      <c r="D5838">
        <v>0</v>
      </c>
      <c r="E5838" t="s">
        <v>68</v>
      </c>
      <c r="F5838" t="s">
        <v>39</v>
      </c>
      <c r="G5838" t="s">
        <v>40</v>
      </c>
    </row>
    <row r="5839" spans="1:7" x14ac:dyDescent="0.3">
      <c r="A5839" t="s">
        <v>69</v>
      </c>
      <c r="B5839" t="s">
        <v>8</v>
      </c>
      <c r="C5839" t="s">
        <v>19</v>
      </c>
      <c r="D5839">
        <v>0</v>
      </c>
      <c r="E5839" t="s">
        <v>68</v>
      </c>
      <c r="F5839" t="s">
        <v>39</v>
      </c>
      <c r="G5839" t="s">
        <v>40</v>
      </c>
    </row>
    <row r="5840" spans="1:7" x14ac:dyDescent="0.3">
      <c r="A5840" t="s">
        <v>69</v>
      </c>
      <c r="B5840" t="s">
        <v>8</v>
      </c>
      <c r="C5840" t="s">
        <v>20</v>
      </c>
      <c r="D5840">
        <v>0</v>
      </c>
      <c r="E5840" t="s">
        <v>68</v>
      </c>
      <c r="F5840" t="s">
        <v>39</v>
      </c>
      <c r="G5840" t="s">
        <v>40</v>
      </c>
    </row>
    <row r="5841" spans="1:7" x14ac:dyDescent="0.3">
      <c r="A5841" t="s">
        <v>69</v>
      </c>
      <c r="B5841" t="s">
        <v>8</v>
      </c>
      <c r="C5841" t="s">
        <v>21</v>
      </c>
      <c r="D5841">
        <v>0</v>
      </c>
      <c r="E5841" t="s">
        <v>68</v>
      </c>
      <c r="F5841" t="s">
        <v>39</v>
      </c>
      <c r="G5841" t="s">
        <v>40</v>
      </c>
    </row>
    <row r="5842" spans="1:7" x14ac:dyDescent="0.3">
      <c r="A5842" t="s">
        <v>69</v>
      </c>
      <c r="B5842" t="s">
        <v>8</v>
      </c>
      <c r="C5842" t="s">
        <v>22</v>
      </c>
      <c r="D5842">
        <v>121828</v>
      </c>
      <c r="E5842" t="s">
        <v>68</v>
      </c>
      <c r="F5842" t="s">
        <v>39</v>
      </c>
      <c r="G5842" t="s">
        <v>40</v>
      </c>
    </row>
    <row r="5843" spans="1:7" x14ac:dyDescent="0.3">
      <c r="A5843" t="s">
        <v>69</v>
      </c>
      <c r="B5843" t="s">
        <v>23</v>
      </c>
      <c r="C5843" t="s">
        <v>9</v>
      </c>
      <c r="D5843">
        <v>2023</v>
      </c>
      <c r="E5843" t="s">
        <v>68</v>
      </c>
      <c r="F5843" t="s">
        <v>39</v>
      </c>
      <c r="G5843" t="s">
        <v>40</v>
      </c>
    </row>
    <row r="5844" spans="1:7" x14ac:dyDescent="0.3">
      <c r="A5844" t="s">
        <v>69</v>
      </c>
      <c r="B5844" t="s">
        <v>23</v>
      </c>
      <c r="C5844" t="s">
        <v>13</v>
      </c>
      <c r="D5844">
        <v>11597</v>
      </c>
      <c r="E5844" t="s">
        <v>68</v>
      </c>
      <c r="F5844" t="s">
        <v>39</v>
      </c>
      <c r="G5844" t="s">
        <v>40</v>
      </c>
    </row>
    <row r="5845" spans="1:7" x14ac:dyDescent="0.3">
      <c r="A5845" t="s">
        <v>69</v>
      </c>
      <c r="B5845" t="s">
        <v>23</v>
      </c>
      <c r="C5845" t="s">
        <v>14</v>
      </c>
      <c r="D5845">
        <v>2591</v>
      </c>
      <c r="E5845" t="s">
        <v>68</v>
      </c>
      <c r="F5845" t="s">
        <v>39</v>
      </c>
      <c r="G5845" t="s">
        <v>40</v>
      </c>
    </row>
    <row r="5846" spans="1:7" x14ac:dyDescent="0.3">
      <c r="A5846" t="s">
        <v>69</v>
      </c>
      <c r="B5846" t="s">
        <v>23</v>
      </c>
      <c r="C5846" t="s">
        <v>15</v>
      </c>
      <c r="D5846">
        <v>157</v>
      </c>
      <c r="E5846" t="s">
        <v>68</v>
      </c>
      <c r="F5846" t="s">
        <v>39</v>
      </c>
      <c r="G5846" t="s">
        <v>40</v>
      </c>
    </row>
    <row r="5847" spans="1:7" x14ac:dyDescent="0.3">
      <c r="A5847" t="s">
        <v>69</v>
      </c>
      <c r="B5847" t="s">
        <v>23</v>
      </c>
      <c r="C5847" t="s">
        <v>16</v>
      </c>
      <c r="D5847">
        <v>6364</v>
      </c>
      <c r="E5847" t="s">
        <v>68</v>
      </c>
      <c r="F5847" t="s">
        <v>39</v>
      </c>
      <c r="G5847" t="s">
        <v>40</v>
      </c>
    </row>
    <row r="5848" spans="1:7" x14ac:dyDescent="0.3">
      <c r="A5848" t="s">
        <v>69</v>
      </c>
      <c r="B5848" t="s">
        <v>23</v>
      </c>
      <c r="C5848" t="s">
        <v>17</v>
      </c>
      <c r="D5848">
        <v>487</v>
      </c>
      <c r="E5848" t="s">
        <v>68</v>
      </c>
      <c r="F5848" t="s">
        <v>39</v>
      </c>
      <c r="G5848" t="s">
        <v>40</v>
      </c>
    </row>
    <row r="5849" spans="1:7" x14ac:dyDescent="0.3">
      <c r="A5849" t="s">
        <v>69</v>
      </c>
      <c r="B5849" t="s">
        <v>23</v>
      </c>
      <c r="C5849" t="s">
        <v>18</v>
      </c>
      <c r="D5849">
        <v>0</v>
      </c>
      <c r="E5849" t="s">
        <v>68</v>
      </c>
      <c r="F5849" t="s">
        <v>39</v>
      </c>
      <c r="G5849" t="s">
        <v>40</v>
      </c>
    </row>
    <row r="5850" spans="1:7" x14ac:dyDescent="0.3">
      <c r="A5850" t="s">
        <v>69</v>
      </c>
      <c r="B5850" t="s">
        <v>23</v>
      </c>
      <c r="C5850" t="s">
        <v>19</v>
      </c>
      <c r="D5850">
        <v>406</v>
      </c>
      <c r="E5850" t="s">
        <v>68</v>
      </c>
      <c r="F5850" t="s">
        <v>39</v>
      </c>
      <c r="G5850" t="s">
        <v>40</v>
      </c>
    </row>
    <row r="5851" spans="1:7" x14ac:dyDescent="0.3">
      <c r="A5851" t="s">
        <v>69</v>
      </c>
      <c r="B5851" t="s">
        <v>23</v>
      </c>
      <c r="C5851" t="s">
        <v>20</v>
      </c>
      <c r="D5851">
        <v>984</v>
      </c>
      <c r="E5851" t="s">
        <v>68</v>
      </c>
      <c r="F5851" t="s">
        <v>39</v>
      </c>
      <c r="G5851" t="s">
        <v>40</v>
      </c>
    </row>
    <row r="5852" spans="1:7" x14ac:dyDescent="0.3">
      <c r="A5852" t="s">
        <v>69</v>
      </c>
      <c r="B5852" t="s">
        <v>23</v>
      </c>
      <c r="C5852" t="s">
        <v>21</v>
      </c>
      <c r="D5852">
        <v>51</v>
      </c>
      <c r="E5852" t="s">
        <v>68</v>
      </c>
      <c r="F5852" t="s">
        <v>39</v>
      </c>
      <c r="G5852" t="s">
        <v>40</v>
      </c>
    </row>
    <row r="5853" spans="1:7" x14ac:dyDescent="0.3">
      <c r="A5853" t="s">
        <v>69</v>
      </c>
      <c r="B5853" t="s">
        <v>23</v>
      </c>
      <c r="C5853" t="s">
        <v>22</v>
      </c>
      <c r="D5853">
        <v>102402</v>
      </c>
      <c r="E5853" t="s">
        <v>68</v>
      </c>
      <c r="F5853" t="s">
        <v>39</v>
      </c>
      <c r="G5853" t="s">
        <v>40</v>
      </c>
    </row>
    <row r="5854" spans="1:7" x14ac:dyDescent="0.3">
      <c r="A5854" t="s">
        <v>70</v>
      </c>
      <c r="B5854" t="s">
        <v>8</v>
      </c>
      <c r="C5854" t="s">
        <v>9</v>
      </c>
      <c r="D5854">
        <v>0</v>
      </c>
      <c r="E5854" t="s">
        <v>68</v>
      </c>
      <c r="F5854" t="s">
        <v>39</v>
      </c>
      <c r="G5854" t="s">
        <v>40</v>
      </c>
    </row>
    <row r="5855" spans="1:7" x14ac:dyDescent="0.3">
      <c r="A5855" t="s">
        <v>70</v>
      </c>
      <c r="B5855" t="s">
        <v>8</v>
      </c>
      <c r="C5855" t="s">
        <v>13</v>
      </c>
      <c r="D5855">
        <v>0</v>
      </c>
      <c r="E5855" t="s">
        <v>68</v>
      </c>
      <c r="F5855" t="s">
        <v>39</v>
      </c>
      <c r="G5855" t="s">
        <v>40</v>
      </c>
    </row>
    <row r="5856" spans="1:7" x14ac:dyDescent="0.3">
      <c r="A5856" t="s">
        <v>70</v>
      </c>
      <c r="B5856" t="s">
        <v>8</v>
      </c>
      <c r="C5856" t="s">
        <v>14</v>
      </c>
      <c r="D5856">
        <v>0</v>
      </c>
      <c r="E5856" t="s">
        <v>68</v>
      </c>
      <c r="F5856" t="s">
        <v>39</v>
      </c>
      <c r="G5856" t="s">
        <v>40</v>
      </c>
    </row>
    <row r="5857" spans="1:7" x14ac:dyDescent="0.3">
      <c r="A5857" t="s">
        <v>70</v>
      </c>
      <c r="B5857" t="s">
        <v>8</v>
      </c>
      <c r="C5857" t="s">
        <v>15</v>
      </c>
      <c r="D5857">
        <v>0</v>
      </c>
      <c r="E5857" t="s">
        <v>68</v>
      </c>
      <c r="F5857" t="s">
        <v>39</v>
      </c>
      <c r="G5857" t="s">
        <v>40</v>
      </c>
    </row>
    <row r="5858" spans="1:7" x14ac:dyDescent="0.3">
      <c r="A5858" t="s">
        <v>70</v>
      </c>
      <c r="B5858" t="s">
        <v>8</v>
      </c>
      <c r="C5858" t="s">
        <v>16</v>
      </c>
      <c r="D5858">
        <v>0</v>
      </c>
      <c r="E5858" t="s">
        <v>68</v>
      </c>
      <c r="F5858" t="s">
        <v>39</v>
      </c>
      <c r="G5858" t="s">
        <v>40</v>
      </c>
    </row>
    <row r="5859" spans="1:7" x14ac:dyDescent="0.3">
      <c r="A5859" t="s">
        <v>70</v>
      </c>
      <c r="B5859" t="s">
        <v>8</v>
      </c>
      <c r="C5859" t="s">
        <v>17</v>
      </c>
      <c r="D5859">
        <v>13014</v>
      </c>
      <c r="E5859" t="s">
        <v>68</v>
      </c>
      <c r="F5859" t="s">
        <v>39</v>
      </c>
      <c r="G5859" t="s">
        <v>40</v>
      </c>
    </row>
    <row r="5860" spans="1:7" x14ac:dyDescent="0.3">
      <c r="A5860" t="s">
        <v>70</v>
      </c>
      <c r="B5860" t="s">
        <v>8</v>
      </c>
      <c r="C5860" t="s">
        <v>18</v>
      </c>
      <c r="D5860">
        <v>0</v>
      </c>
      <c r="E5860" t="s">
        <v>68</v>
      </c>
      <c r="F5860" t="s">
        <v>39</v>
      </c>
      <c r="G5860" t="s">
        <v>40</v>
      </c>
    </row>
    <row r="5861" spans="1:7" x14ac:dyDescent="0.3">
      <c r="A5861" t="s">
        <v>70</v>
      </c>
      <c r="B5861" t="s">
        <v>8</v>
      </c>
      <c r="C5861" t="s">
        <v>19</v>
      </c>
      <c r="D5861">
        <v>0</v>
      </c>
      <c r="E5861" t="s">
        <v>68</v>
      </c>
      <c r="F5861" t="s">
        <v>39</v>
      </c>
      <c r="G5861" t="s">
        <v>40</v>
      </c>
    </row>
    <row r="5862" spans="1:7" x14ac:dyDescent="0.3">
      <c r="A5862" t="s">
        <v>70</v>
      </c>
      <c r="B5862" t="s">
        <v>8</v>
      </c>
      <c r="C5862" t="s">
        <v>20</v>
      </c>
      <c r="D5862">
        <v>0</v>
      </c>
      <c r="E5862" t="s">
        <v>68</v>
      </c>
      <c r="F5862" t="s">
        <v>39</v>
      </c>
      <c r="G5862" t="s">
        <v>40</v>
      </c>
    </row>
    <row r="5863" spans="1:7" x14ac:dyDescent="0.3">
      <c r="A5863" t="s">
        <v>70</v>
      </c>
      <c r="B5863" t="s">
        <v>8</v>
      </c>
      <c r="C5863" t="s">
        <v>21</v>
      </c>
      <c r="D5863">
        <v>0</v>
      </c>
      <c r="E5863" t="s">
        <v>68</v>
      </c>
      <c r="F5863" t="s">
        <v>39</v>
      </c>
      <c r="G5863" t="s">
        <v>40</v>
      </c>
    </row>
    <row r="5864" spans="1:7" x14ac:dyDescent="0.3">
      <c r="A5864" t="s">
        <v>70</v>
      </c>
      <c r="B5864" t="s">
        <v>8</v>
      </c>
      <c r="C5864" t="s">
        <v>22</v>
      </c>
      <c r="D5864">
        <v>18</v>
      </c>
      <c r="E5864" t="s">
        <v>68</v>
      </c>
      <c r="F5864" t="s">
        <v>39</v>
      </c>
      <c r="G5864" t="s">
        <v>40</v>
      </c>
    </row>
    <row r="5865" spans="1:7" x14ac:dyDescent="0.3">
      <c r="A5865" t="s">
        <v>70</v>
      </c>
      <c r="B5865" t="s">
        <v>23</v>
      </c>
      <c r="C5865" t="s">
        <v>9</v>
      </c>
      <c r="D5865">
        <v>10737</v>
      </c>
      <c r="E5865" t="s">
        <v>68</v>
      </c>
      <c r="F5865" t="s">
        <v>39</v>
      </c>
      <c r="G5865" t="s">
        <v>40</v>
      </c>
    </row>
    <row r="5866" spans="1:7" x14ac:dyDescent="0.3">
      <c r="A5866" t="s">
        <v>70</v>
      </c>
      <c r="B5866" t="s">
        <v>23</v>
      </c>
      <c r="C5866" t="s">
        <v>13</v>
      </c>
      <c r="D5866">
        <v>187</v>
      </c>
      <c r="E5866" t="s">
        <v>68</v>
      </c>
      <c r="F5866" t="s">
        <v>39</v>
      </c>
      <c r="G5866" t="s">
        <v>40</v>
      </c>
    </row>
    <row r="5867" spans="1:7" x14ac:dyDescent="0.3">
      <c r="A5867" t="s">
        <v>70</v>
      </c>
      <c r="B5867" t="s">
        <v>23</v>
      </c>
      <c r="C5867" t="s">
        <v>14</v>
      </c>
      <c r="D5867">
        <v>569</v>
      </c>
      <c r="E5867" t="s">
        <v>68</v>
      </c>
      <c r="F5867" t="s">
        <v>39</v>
      </c>
      <c r="G5867" t="s">
        <v>40</v>
      </c>
    </row>
    <row r="5868" spans="1:7" x14ac:dyDescent="0.3">
      <c r="A5868" t="s">
        <v>70</v>
      </c>
      <c r="B5868" t="s">
        <v>23</v>
      </c>
      <c r="C5868" t="s">
        <v>15</v>
      </c>
      <c r="D5868">
        <v>6</v>
      </c>
      <c r="E5868" t="s">
        <v>68</v>
      </c>
      <c r="F5868" t="s">
        <v>39</v>
      </c>
      <c r="G5868" t="s">
        <v>40</v>
      </c>
    </row>
    <row r="5869" spans="1:7" x14ac:dyDescent="0.3">
      <c r="A5869" t="s">
        <v>70</v>
      </c>
      <c r="B5869" t="s">
        <v>23</v>
      </c>
      <c r="C5869" t="s">
        <v>16</v>
      </c>
      <c r="D5869">
        <v>393</v>
      </c>
      <c r="E5869" t="s">
        <v>68</v>
      </c>
      <c r="F5869" t="s">
        <v>39</v>
      </c>
      <c r="G5869" t="s">
        <v>40</v>
      </c>
    </row>
    <row r="5870" spans="1:7" x14ac:dyDescent="0.3">
      <c r="A5870" t="s">
        <v>70</v>
      </c>
      <c r="B5870" t="s">
        <v>23</v>
      </c>
      <c r="C5870" t="s">
        <v>17</v>
      </c>
      <c r="D5870">
        <v>20229</v>
      </c>
      <c r="E5870" t="s">
        <v>68</v>
      </c>
      <c r="F5870" t="s">
        <v>39</v>
      </c>
      <c r="G5870" t="s">
        <v>40</v>
      </c>
    </row>
    <row r="5871" spans="1:7" x14ac:dyDescent="0.3">
      <c r="A5871" t="s">
        <v>70</v>
      </c>
      <c r="B5871" t="s">
        <v>23</v>
      </c>
      <c r="C5871" t="s">
        <v>18</v>
      </c>
      <c r="D5871">
        <v>0</v>
      </c>
      <c r="E5871" t="s">
        <v>68</v>
      </c>
      <c r="F5871" t="s">
        <v>39</v>
      </c>
      <c r="G5871" t="s">
        <v>40</v>
      </c>
    </row>
    <row r="5872" spans="1:7" x14ac:dyDescent="0.3">
      <c r="A5872" t="s">
        <v>70</v>
      </c>
      <c r="B5872" t="s">
        <v>23</v>
      </c>
      <c r="C5872" t="s">
        <v>19</v>
      </c>
      <c r="D5872">
        <v>2</v>
      </c>
      <c r="E5872" t="s">
        <v>68</v>
      </c>
      <c r="F5872" t="s">
        <v>39</v>
      </c>
      <c r="G5872" t="s">
        <v>40</v>
      </c>
    </row>
    <row r="5873" spans="1:7" x14ac:dyDescent="0.3">
      <c r="A5873" t="s">
        <v>70</v>
      </c>
      <c r="B5873" t="s">
        <v>23</v>
      </c>
      <c r="C5873" t="s">
        <v>20</v>
      </c>
      <c r="D5873">
        <v>155</v>
      </c>
      <c r="E5873" t="s">
        <v>68</v>
      </c>
      <c r="F5873" t="s">
        <v>39</v>
      </c>
      <c r="G5873" t="s">
        <v>40</v>
      </c>
    </row>
    <row r="5874" spans="1:7" x14ac:dyDescent="0.3">
      <c r="A5874" t="s">
        <v>70</v>
      </c>
      <c r="B5874" t="s">
        <v>23</v>
      </c>
      <c r="C5874" t="s">
        <v>21</v>
      </c>
      <c r="D5874">
        <v>2</v>
      </c>
      <c r="E5874" t="s">
        <v>68</v>
      </c>
      <c r="F5874" t="s">
        <v>39</v>
      </c>
      <c r="G5874" t="s">
        <v>40</v>
      </c>
    </row>
    <row r="5875" spans="1:7" x14ac:dyDescent="0.3">
      <c r="A5875" t="s">
        <v>70</v>
      </c>
      <c r="B5875" t="s">
        <v>23</v>
      </c>
      <c r="C5875" t="s">
        <v>22</v>
      </c>
      <c r="D5875">
        <v>91</v>
      </c>
      <c r="E5875" t="s">
        <v>68</v>
      </c>
      <c r="F5875" t="s">
        <v>39</v>
      </c>
      <c r="G5875" t="s">
        <v>40</v>
      </c>
    </row>
    <row r="5876" spans="1:7" x14ac:dyDescent="0.3">
      <c r="A5876" t="s">
        <v>71</v>
      </c>
      <c r="B5876" t="s">
        <v>8</v>
      </c>
      <c r="C5876" t="s">
        <v>9</v>
      </c>
      <c r="D5876">
        <v>0</v>
      </c>
      <c r="E5876" t="s">
        <v>68</v>
      </c>
      <c r="F5876" t="s">
        <v>39</v>
      </c>
      <c r="G5876" t="s">
        <v>40</v>
      </c>
    </row>
    <row r="5877" spans="1:7" x14ac:dyDescent="0.3">
      <c r="A5877" t="s">
        <v>71</v>
      </c>
      <c r="B5877" t="s">
        <v>8</v>
      </c>
      <c r="C5877" t="s">
        <v>13</v>
      </c>
      <c r="D5877">
        <v>0</v>
      </c>
      <c r="E5877" t="s">
        <v>68</v>
      </c>
      <c r="F5877" t="s">
        <v>39</v>
      </c>
      <c r="G5877" t="s">
        <v>40</v>
      </c>
    </row>
    <row r="5878" spans="1:7" x14ac:dyDescent="0.3">
      <c r="A5878" t="s">
        <v>71</v>
      </c>
      <c r="B5878" t="s">
        <v>8</v>
      </c>
      <c r="C5878" t="s">
        <v>14</v>
      </c>
      <c r="D5878">
        <v>0</v>
      </c>
      <c r="E5878" t="s">
        <v>68</v>
      </c>
      <c r="F5878" t="s">
        <v>39</v>
      </c>
      <c r="G5878" t="s">
        <v>40</v>
      </c>
    </row>
    <row r="5879" spans="1:7" x14ac:dyDescent="0.3">
      <c r="A5879" t="s">
        <v>71</v>
      </c>
      <c r="B5879" t="s">
        <v>8</v>
      </c>
      <c r="C5879" t="s">
        <v>15</v>
      </c>
      <c r="D5879">
        <v>0</v>
      </c>
      <c r="E5879" t="s">
        <v>68</v>
      </c>
      <c r="F5879" t="s">
        <v>39</v>
      </c>
      <c r="G5879" t="s">
        <v>40</v>
      </c>
    </row>
    <row r="5880" spans="1:7" x14ac:dyDescent="0.3">
      <c r="A5880" t="s">
        <v>71</v>
      </c>
      <c r="B5880" t="s">
        <v>8</v>
      </c>
      <c r="C5880" t="s">
        <v>16</v>
      </c>
      <c r="D5880">
        <v>2</v>
      </c>
      <c r="E5880" t="s">
        <v>68</v>
      </c>
      <c r="F5880" t="s">
        <v>39</v>
      </c>
      <c r="G5880" t="s">
        <v>40</v>
      </c>
    </row>
    <row r="5881" spans="1:7" x14ac:dyDescent="0.3">
      <c r="A5881" t="s">
        <v>71</v>
      </c>
      <c r="B5881" t="s">
        <v>8</v>
      </c>
      <c r="C5881" t="s">
        <v>17</v>
      </c>
      <c r="D5881">
        <v>0</v>
      </c>
      <c r="E5881" t="s">
        <v>68</v>
      </c>
      <c r="F5881" t="s">
        <v>39</v>
      </c>
      <c r="G5881" t="s">
        <v>40</v>
      </c>
    </row>
    <row r="5882" spans="1:7" x14ac:dyDescent="0.3">
      <c r="A5882" t="s">
        <v>71</v>
      </c>
      <c r="B5882" t="s">
        <v>8</v>
      </c>
      <c r="C5882" t="s">
        <v>18</v>
      </c>
      <c r="D5882">
        <v>0</v>
      </c>
      <c r="E5882" t="s">
        <v>68</v>
      </c>
      <c r="F5882" t="s">
        <v>39</v>
      </c>
      <c r="G5882" t="s">
        <v>40</v>
      </c>
    </row>
    <row r="5883" spans="1:7" x14ac:dyDescent="0.3">
      <c r="A5883" t="s">
        <v>71</v>
      </c>
      <c r="B5883" t="s">
        <v>8</v>
      </c>
      <c r="C5883" t="s">
        <v>19</v>
      </c>
      <c r="D5883">
        <v>0</v>
      </c>
      <c r="E5883" t="s">
        <v>68</v>
      </c>
      <c r="F5883" t="s">
        <v>39</v>
      </c>
      <c r="G5883" t="s">
        <v>40</v>
      </c>
    </row>
    <row r="5884" spans="1:7" x14ac:dyDescent="0.3">
      <c r="A5884" t="s">
        <v>71</v>
      </c>
      <c r="B5884" t="s">
        <v>8</v>
      </c>
      <c r="C5884" t="s">
        <v>20</v>
      </c>
      <c r="D5884">
        <v>0</v>
      </c>
      <c r="E5884" t="s">
        <v>68</v>
      </c>
      <c r="F5884" t="s">
        <v>39</v>
      </c>
      <c r="G5884" t="s">
        <v>40</v>
      </c>
    </row>
    <row r="5885" spans="1:7" x14ac:dyDescent="0.3">
      <c r="A5885" t="s">
        <v>71</v>
      </c>
      <c r="B5885" t="s">
        <v>8</v>
      </c>
      <c r="C5885" t="s">
        <v>21</v>
      </c>
      <c r="D5885">
        <v>0</v>
      </c>
      <c r="E5885" t="s">
        <v>68</v>
      </c>
      <c r="F5885" t="s">
        <v>39</v>
      </c>
      <c r="G5885" t="s">
        <v>40</v>
      </c>
    </row>
    <row r="5886" spans="1:7" x14ac:dyDescent="0.3">
      <c r="A5886" t="s">
        <v>71</v>
      </c>
      <c r="B5886" t="s">
        <v>8</v>
      </c>
      <c r="C5886" t="s">
        <v>22</v>
      </c>
      <c r="D5886">
        <v>72774</v>
      </c>
      <c r="E5886" t="s">
        <v>68</v>
      </c>
      <c r="F5886" t="s">
        <v>39</v>
      </c>
      <c r="G5886" t="s">
        <v>40</v>
      </c>
    </row>
    <row r="5887" spans="1:7" x14ac:dyDescent="0.3">
      <c r="A5887" t="s">
        <v>71</v>
      </c>
      <c r="B5887" t="s">
        <v>23</v>
      </c>
      <c r="C5887" t="s">
        <v>9</v>
      </c>
      <c r="D5887">
        <v>1209</v>
      </c>
      <c r="E5887" t="s">
        <v>68</v>
      </c>
      <c r="F5887" t="s">
        <v>39</v>
      </c>
      <c r="G5887" t="s">
        <v>40</v>
      </c>
    </row>
    <row r="5888" spans="1:7" x14ac:dyDescent="0.3">
      <c r="A5888" t="s">
        <v>71</v>
      </c>
      <c r="B5888" t="s">
        <v>23</v>
      </c>
      <c r="C5888" t="s">
        <v>13</v>
      </c>
      <c r="D5888">
        <v>6927</v>
      </c>
      <c r="E5888" t="s">
        <v>68</v>
      </c>
      <c r="F5888" t="s">
        <v>39</v>
      </c>
      <c r="G5888" t="s">
        <v>40</v>
      </c>
    </row>
    <row r="5889" spans="1:7" x14ac:dyDescent="0.3">
      <c r="A5889" t="s">
        <v>71</v>
      </c>
      <c r="B5889" t="s">
        <v>23</v>
      </c>
      <c r="C5889" t="s">
        <v>14</v>
      </c>
      <c r="D5889">
        <v>1548</v>
      </c>
      <c r="E5889" t="s">
        <v>68</v>
      </c>
      <c r="F5889" t="s">
        <v>39</v>
      </c>
      <c r="G5889" t="s">
        <v>40</v>
      </c>
    </row>
    <row r="5890" spans="1:7" x14ac:dyDescent="0.3">
      <c r="A5890" t="s">
        <v>71</v>
      </c>
      <c r="B5890" t="s">
        <v>23</v>
      </c>
      <c r="C5890" t="s">
        <v>15</v>
      </c>
      <c r="D5890">
        <v>94</v>
      </c>
      <c r="E5890" t="s">
        <v>68</v>
      </c>
      <c r="F5890" t="s">
        <v>39</v>
      </c>
      <c r="G5890" t="s">
        <v>40</v>
      </c>
    </row>
    <row r="5891" spans="1:7" x14ac:dyDescent="0.3">
      <c r="A5891" t="s">
        <v>71</v>
      </c>
      <c r="B5891" t="s">
        <v>23</v>
      </c>
      <c r="C5891" t="s">
        <v>16</v>
      </c>
      <c r="D5891">
        <v>3801</v>
      </c>
      <c r="E5891" t="s">
        <v>68</v>
      </c>
      <c r="F5891" t="s">
        <v>39</v>
      </c>
      <c r="G5891" t="s">
        <v>40</v>
      </c>
    </row>
    <row r="5892" spans="1:7" x14ac:dyDescent="0.3">
      <c r="A5892" t="s">
        <v>71</v>
      </c>
      <c r="B5892" t="s">
        <v>23</v>
      </c>
      <c r="C5892" t="s">
        <v>17</v>
      </c>
      <c r="D5892">
        <v>291</v>
      </c>
      <c r="E5892" t="s">
        <v>68</v>
      </c>
      <c r="F5892" t="s">
        <v>39</v>
      </c>
      <c r="G5892" t="s">
        <v>40</v>
      </c>
    </row>
    <row r="5893" spans="1:7" x14ac:dyDescent="0.3">
      <c r="A5893" t="s">
        <v>71</v>
      </c>
      <c r="B5893" t="s">
        <v>23</v>
      </c>
      <c r="C5893" t="s">
        <v>18</v>
      </c>
      <c r="D5893">
        <v>0</v>
      </c>
      <c r="E5893" t="s">
        <v>68</v>
      </c>
      <c r="F5893" t="s">
        <v>39</v>
      </c>
      <c r="G5893" t="s">
        <v>40</v>
      </c>
    </row>
    <row r="5894" spans="1:7" x14ac:dyDescent="0.3">
      <c r="A5894" t="s">
        <v>71</v>
      </c>
      <c r="B5894" t="s">
        <v>23</v>
      </c>
      <c r="C5894" t="s">
        <v>19</v>
      </c>
      <c r="D5894">
        <v>243</v>
      </c>
      <c r="E5894" t="s">
        <v>68</v>
      </c>
      <c r="F5894" t="s">
        <v>39</v>
      </c>
      <c r="G5894" t="s">
        <v>40</v>
      </c>
    </row>
    <row r="5895" spans="1:7" x14ac:dyDescent="0.3">
      <c r="A5895" t="s">
        <v>71</v>
      </c>
      <c r="B5895" t="s">
        <v>23</v>
      </c>
      <c r="C5895" t="s">
        <v>20</v>
      </c>
      <c r="D5895">
        <v>588</v>
      </c>
      <c r="E5895" t="s">
        <v>68</v>
      </c>
      <c r="F5895" t="s">
        <v>39</v>
      </c>
      <c r="G5895" t="s">
        <v>40</v>
      </c>
    </row>
    <row r="5896" spans="1:7" x14ac:dyDescent="0.3">
      <c r="A5896" t="s">
        <v>71</v>
      </c>
      <c r="B5896" t="s">
        <v>23</v>
      </c>
      <c r="C5896" t="s">
        <v>21</v>
      </c>
      <c r="D5896">
        <v>31</v>
      </c>
      <c r="E5896" t="s">
        <v>68</v>
      </c>
      <c r="F5896" t="s">
        <v>39</v>
      </c>
      <c r="G5896" t="s">
        <v>40</v>
      </c>
    </row>
    <row r="5897" spans="1:7" x14ac:dyDescent="0.3">
      <c r="A5897" t="s">
        <v>71</v>
      </c>
      <c r="B5897" t="s">
        <v>23</v>
      </c>
      <c r="C5897" t="s">
        <v>22</v>
      </c>
      <c r="D5897">
        <v>61169</v>
      </c>
      <c r="E5897" t="s">
        <v>68</v>
      </c>
      <c r="F5897" t="s">
        <v>39</v>
      </c>
      <c r="G5897" t="s">
        <v>40</v>
      </c>
    </row>
    <row r="5898" spans="1:7" x14ac:dyDescent="0.3">
      <c r="A5898" t="s">
        <v>72</v>
      </c>
      <c r="B5898" t="s">
        <v>8</v>
      </c>
      <c r="C5898" t="s">
        <v>9</v>
      </c>
      <c r="D5898">
        <v>0</v>
      </c>
      <c r="E5898" t="s">
        <v>68</v>
      </c>
      <c r="F5898" t="s">
        <v>39</v>
      </c>
      <c r="G5898" t="s">
        <v>40</v>
      </c>
    </row>
    <row r="5899" spans="1:7" x14ac:dyDescent="0.3">
      <c r="A5899" t="s">
        <v>72</v>
      </c>
      <c r="B5899" t="s">
        <v>8</v>
      </c>
      <c r="C5899" t="s">
        <v>13</v>
      </c>
      <c r="D5899">
        <v>0</v>
      </c>
      <c r="E5899" t="s">
        <v>68</v>
      </c>
      <c r="F5899" t="s">
        <v>39</v>
      </c>
      <c r="G5899" t="s">
        <v>40</v>
      </c>
    </row>
    <row r="5900" spans="1:7" x14ac:dyDescent="0.3">
      <c r="A5900" t="s">
        <v>72</v>
      </c>
      <c r="B5900" t="s">
        <v>8</v>
      </c>
      <c r="C5900" t="s">
        <v>14</v>
      </c>
      <c r="D5900">
        <v>0</v>
      </c>
      <c r="E5900" t="s">
        <v>68</v>
      </c>
      <c r="F5900" t="s">
        <v>39</v>
      </c>
      <c r="G5900" t="s">
        <v>40</v>
      </c>
    </row>
    <row r="5901" spans="1:7" x14ac:dyDescent="0.3">
      <c r="A5901" t="s">
        <v>72</v>
      </c>
      <c r="B5901" t="s">
        <v>8</v>
      </c>
      <c r="C5901" t="s">
        <v>15</v>
      </c>
      <c r="D5901">
        <v>0</v>
      </c>
      <c r="E5901" t="s">
        <v>68</v>
      </c>
      <c r="F5901" t="s">
        <v>39</v>
      </c>
      <c r="G5901" t="s">
        <v>40</v>
      </c>
    </row>
    <row r="5902" spans="1:7" x14ac:dyDescent="0.3">
      <c r="A5902" t="s">
        <v>72</v>
      </c>
      <c r="B5902" t="s">
        <v>8</v>
      </c>
      <c r="C5902" t="s">
        <v>16</v>
      </c>
      <c r="D5902">
        <v>2</v>
      </c>
      <c r="E5902" t="s">
        <v>68</v>
      </c>
      <c r="F5902" t="s">
        <v>39</v>
      </c>
      <c r="G5902" t="s">
        <v>40</v>
      </c>
    </row>
    <row r="5903" spans="1:7" x14ac:dyDescent="0.3">
      <c r="A5903" t="s">
        <v>72</v>
      </c>
      <c r="B5903" t="s">
        <v>8</v>
      </c>
      <c r="C5903" t="s">
        <v>17</v>
      </c>
      <c r="D5903">
        <v>0</v>
      </c>
      <c r="E5903" t="s">
        <v>68</v>
      </c>
      <c r="F5903" t="s">
        <v>39</v>
      </c>
      <c r="G5903" t="s">
        <v>40</v>
      </c>
    </row>
    <row r="5904" spans="1:7" x14ac:dyDescent="0.3">
      <c r="A5904" t="s">
        <v>72</v>
      </c>
      <c r="B5904" t="s">
        <v>8</v>
      </c>
      <c r="C5904" t="s">
        <v>18</v>
      </c>
      <c r="D5904">
        <v>0</v>
      </c>
      <c r="E5904" t="s">
        <v>68</v>
      </c>
      <c r="F5904" t="s">
        <v>39</v>
      </c>
      <c r="G5904" t="s">
        <v>40</v>
      </c>
    </row>
    <row r="5905" spans="1:7" x14ac:dyDescent="0.3">
      <c r="A5905" t="s">
        <v>72</v>
      </c>
      <c r="B5905" t="s">
        <v>8</v>
      </c>
      <c r="C5905" t="s">
        <v>19</v>
      </c>
      <c r="D5905">
        <v>0</v>
      </c>
      <c r="E5905" t="s">
        <v>68</v>
      </c>
      <c r="F5905" t="s">
        <v>39</v>
      </c>
      <c r="G5905" t="s">
        <v>40</v>
      </c>
    </row>
    <row r="5906" spans="1:7" x14ac:dyDescent="0.3">
      <c r="A5906" t="s">
        <v>72</v>
      </c>
      <c r="B5906" t="s">
        <v>8</v>
      </c>
      <c r="C5906" t="s">
        <v>20</v>
      </c>
      <c r="D5906">
        <v>0</v>
      </c>
      <c r="E5906" t="s">
        <v>68</v>
      </c>
      <c r="F5906" t="s">
        <v>39</v>
      </c>
      <c r="G5906" t="s">
        <v>40</v>
      </c>
    </row>
    <row r="5907" spans="1:7" x14ac:dyDescent="0.3">
      <c r="A5907" t="s">
        <v>72</v>
      </c>
      <c r="B5907" t="s">
        <v>8</v>
      </c>
      <c r="C5907" t="s">
        <v>21</v>
      </c>
      <c r="D5907">
        <v>0</v>
      </c>
      <c r="E5907" t="s">
        <v>68</v>
      </c>
      <c r="F5907" t="s">
        <v>39</v>
      </c>
      <c r="G5907" t="s">
        <v>40</v>
      </c>
    </row>
    <row r="5908" spans="1:7" x14ac:dyDescent="0.3">
      <c r="A5908" t="s">
        <v>72</v>
      </c>
      <c r="B5908" t="s">
        <v>8</v>
      </c>
      <c r="C5908" t="s">
        <v>22</v>
      </c>
      <c r="D5908">
        <v>72774</v>
      </c>
      <c r="E5908" t="s">
        <v>68</v>
      </c>
      <c r="F5908" t="s">
        <v>39</v>
      </c>
      <c r="G5908" t="s">
        <v>40</v>
      </c>
    </row>
    <row r="5909" spans="1:7" x14ac:dyDescent="0.3">
      <c r="A5909" t="s">
        <v>72</v>
      </c>
      <c r="B5909" t="s">
        <v>23</v>
      </c>
      <c r="C5909" t="s">
        <v>9</v>
      </c>
      <c r="D5909">
        <v>1209</v>
      </c>
      <c r="E5909" t="s">
        <v>68</v>
      </c>
      <c r="F5909" t="s">
        <v>39</v>
      </c>
      <c r="G5909" t="s">
        <v>40</v>
      </c>
    </row>
    <row r="5910" spans="1:7" x14ac:dyDescent="0.3">
      <c r="A5910" t="s">
        <v>72</v>
      </c>
      <c r="B5910" t="s">
        <v>23</v>
      </c>
      <c r="C5910" t="s">
        <v>13</v>
      </c>
      <c r="D5910">
        <v>6927</v>
      </c>
      <c r="E5910" t="s">
        <v>68</v>
      </c>
      <c r="F5910" t="s">
        <v>39</v>
      </c>
      <c r="G5910" t="s">
        <v>40</v>
      </c>
    </row>
    <row r="5911" spans="1:7" x14ac:dyDescent="0.3">
      <c r="A5911" t="s">
        <v>72</v>
      </c>
      <c r="B5911" t="s">
        <v>23</v>
      </c>
      <c r="C5911" t="s">
        <v>14</v>
      </c>
      <c r="D5911">
        <v>1548</v>
      </c>
      <c r="E5911" t="s">
        <v>68</v>
      </c>
      <c r="F5911" t="s">
        <v>39</v>
      </c>
      <c r="G5911" t="s">
        <v>40</v>
      </c>
    </row>
    <row r="5912" spans="1:7" x14ac:dyDescent="0.3">
      <c r="A5912" t="s">
        <v>72</v>
      </c>
      <c r="B5912" t="s">
        <v>23</v>
      </c>
      <c r="C5912" t="s">
        <v>15</v>
      </c>
      <c r="D5912">
        <v>94</v>
      </c>
      <c r="E5912" t="s">
        <v>68</v>
      </c>
      <c r="F5912" t="s">
        <v>39</v>
      </c>
      <c r="G5912" t="s">
        <v>40</v>
      </c>
    </row>
    <row r="5913" spans="1:7" x14ac:dyDescent="0.3">
      <c r="A5913" t="s">
        <v>72</v>
      </c>
      <c r="B5913" t="s">
        <v>23</v>
      </c>
      <c r="C5913" t="s">
        <v>16</v>
      </c>
      <c r="D5913">
        <v>3801</v>
      </c>
      <c r="E5913" t="s">
        <v>68</v>
      </c>
      <c r="F5913" t="s">
        <v>39</v>
      </c>
      <c r="G5913" t="s">
        <v>40</v>
      </c>
    </row>
    <row r="5914" spans="1:7" x14ac:dyDescent="0.3">
      <c r="A5914" t="s">
        <v>72</v>
      </c>
      <c r="B5914" t="s">
        <v>23</v>
      </c>
      <c r="C5914" t="s">
        <v>17</v>
      </c>
      <c r="D5914">
        <v>291</v>
      </c>
      <c r="E5914" t="s">
        <v>68</v>
      </c>
      <c r="F5914" t="s">
        <v>39</v>
      </c>
      <c r="G5914" t="s">
        <v>40</v>
      </c>
    </row>
    <row r="5915" spans="1:7" x14ac:dyDescent="0.3">
      <c r="A5915" t="s">
        <v>72</v>
      </c>
      <c r="B5915" t="s">
        <v>23</v>
      </c>
      <c r="C5915" t="s">
        <v>18</v>
      </c>
      <c r="D5915">
        <v>0</v>
      </c>
      <c r="E5915" t="s">
        <v>68</v>
      </c>
      <c r="F5915" t="s">
        <v>39</v>
      </c>
      <c r="G5915" t="s">
        <v>40</v>
      </c>
    </row>
    <row r="5916" spans="1:7" x14ac:dyDescent="0.3">
      <c r="A5916" t="s">
        <v>72</v>
      </c>
      <c r="B5916" t="s">
        <v>23</v>
      </c>
      <c r="C5916" t="s">
        <v>19</v>
      </c>
      <c r="D5916">
        <v>243</v>
      </c>
      <c r="E5916" t="s">
        <v>68</v>
      </c>
      <c r="F5916" t="s">
        <v>39</v>
      </c>
      <c r="G5916" t="s">
        <v>40</v>
      </c>
    </row>
    <row r="5917" spans="1:7" x14ac:dyDescent="0.3">
      <c r="A5917" t="s">
        <v>72</v>
      </c>
      <c r="B5917" t="s">
        <v>23</v>
      </c>
      <c r="C5917" t="s">
        <v>20</v>
      </c>
      <c r="D5917">
        <v>588</v>
      </c>
      <c r="E5917" t="s">
        <v>68</v>
      </c>
      <c r="F5917" t="s">
        <v>39</v>
      </c>
      <c r="G5917" t="s">
        <v>40</v>
      </c>
    </row>
    <row r="5918" spans="1:7" x14ac:dyDescent="0.3">
      <c r="A5918" t="s">
        <v>72</v>
      </c>
      <c r="B5918" t="s">
        <v>23</v>
      </c>
      <c r="C5918" t="s">
        <v>21</v>
      </c>
      <c r="D5918">
        <v>31</v>
      </c>
      <c r="E5918" t="s">
        <v>68</v>
      </c>
      <c r="F5918" t="s">
        <v>39</v>
      </c>
      <c r="G5918" t="s">
        <v>40</v>
      </c>
    </row>
    <row r="5919" spans="1:7" x14ac:dyDescent="0.3">
      <c r="A5919" t="s">
        <v>72</v>
      </c>
      <c r="B5919" t="s">
        <v>23</v>
      </c>
      <c r="C5919" t="s">
        <v>22</v>
      </c>
      <c r="D5919">
        <v>61169</v>
      </c>
      <c r="E5919" t="s">
        <v>68</v>
      </c>
      <c r="F5919" t="s">
        <v>39</v>
      </c>
      <c r="G5919" t="s">
        <v>40</v>
      </c>
    </row>
    <row r="5920" spans="1:7" x14ac:dyDescent="0.3">
      <c r="A5920" t="s">
        <v>73</v>
      </c>
      <c r="B5920" t="s">
        <v>8</v>
      </c>
      <c r="C5920" t="s">
        <v>9</v>
      </c>
      <c r="D5920">
        <v>0</v>
      </c>
      <c r="E5920" t="s">
        <v>68</v>
      </c>
      <c r="F5920" t="s">
        <v>39</v>
      </c>
      <c r="G5920" t="s">
        <v>40</v>
      </c>
    </row>
    <row r="5921" spans="1:7" x14ac:dyDescent="0.3">
      <c r="A5921" t="s">
        <v>73</v>
      </c>
      <c r="B5921" t="s">
        <v>8</v>
      </c>
      <c r="C5921" t="s">
        <v>13</v>
      </c>
      <c r="D5921">
        <v>0</v>
      </c>
      <c r="E5921" t="s">
        <v>68</v>
      </c>
      <c r="F5921" t="s">
        <v>39</v>
      </c>
      <c r="G5921" t="s">
        <v>40</v>
      </c>
    </row>
    <row r="5922" spans="1:7" x14ac:dyDescent="0.3">
      <c r="A5922" t="s">
        <v>73</v>
      </c>
      <c r="B5922" t="s">
        <v>8</v>
      </c>
      <c r="C5922" t="s">
        <v>14</v>
      </c>
      <c r="D5922">
        <v>0</v>
      </c>
      <c r="E5922" t="s">
        <v>68</v>
      </c>
      <c r="F5922" t="s">
        <v>39</v>
      </c>
      <c r="G5922" t="s">
        <v>40</v>
      </c>
    </row>
    <row r="5923" spans="1:7" x14ac:dyDescent="0.3">
      <c r="A5923" t="s">
        <v>73</v>
      </c>
      <c r="B5923" t="s">
        <v>8</v>
      </c>
      <c r="C5923" t="s">
        <v>15</v>
      </c>
      <c r="D5923">
        <v>0</v>
      </c>
      <c r="E5923" t="s">
        <v>68</v>
      </c>
      <c r="F5923" t="s">
        <v>39</v>
      </c>
      <c r="G5923" t="s">
        <v>40</v>
      </c>
    </row>
    <row r="5924" spans="1:7" x14ac:dyDescent="0.3">
      <c r="A5924" t="s">
        <v>73</v>
      </c>
      <c r="B5924" t="s">
        <v>8</v>
      </c>
      <c r="C5924" t="s">
        <v>16</v>
      </c>
      <c r="D5924">
        <v>11006</v>
      </c>
      <c r="E5924" t="s">
        <v>68</v>
      </c>
      <c r="F5924" t="s">
        <v>39</v>
      </c>
      <c r="G5924" t="s">
        <v>40</v>
      </c>
    </row>
    <row r="5925" spans="1:7" x14ac:dyDescent="0.3">
      <c r="A5925" t="s">
        <v>73</v>
      </c>
      <c r="B5925" t="s">
        <v>8</v>
      </c>
      <c r="C5925" t="s">
        <v>17</v>
      </c>
      <c r="D5925">
        <v>2</v>
      </c>
      <c r="E5925" t="s">
        <v>68</v>
      </c>
      <c r="F5925" t="s">
        <v>39</v>
      </c>
      <c r="G5925" t="s">
        <v>40</v>
      </c>
    </row>
    <row r="5926" spans="1:7" x14ac:dyDescent="0.3">
      <c r="A5926" t="s">
        <v>73</v>
      </c>
      <c r="B5926" t="s">
        <v>8</v>
      </c>
      <c r="C5926" t="s">
        <v>18</v>
      </c>
      <c r="D5926">
        <v>0</v>
      </c>
      <c r="E5926" t="s">
        <v>68</v>
      </c>
      <c r="F5926" t="s">
        <v>39</v>
      </c>
      <c r="G5926" t="s">
        <v>40</v>
      </c>
    </row>
    <row r="5927" spans="1:7" x14ac:dyDescent="0.3">
      <c r="A5927" t="s">
        <v>73</v>
      </c>
      <c r="B5927" t="s">
        <v>8</v>
      </c>
      <c r="C5927" t="s">
        <v>19</v>
      </c>
      <c r="D5927">
        <v>0</v>
      </c>
      <c r="E5927" t="s">
        <v>68</v>
      </c>
      <c r="F5927" t="s">
        <v>39</v>
      </c>
      <c r="G5927" t="s">
        <v>40</v>
      </c>
    </row>
    <row r="5928" spans="1:7" x14ac:dyDescent="0.3">
      <c r="A5928" t="s">
        <v>73</v>
      </c>
      <c r="B5928" t="s">
        <v>8</v>
      </c>
      <c r="C5928" t="s">
        <v>20</v>
      </c>
      <c r="D5928">
        <v>0</v>
      </c>
      <c r="E5928" t="s">
        <v>68</v>
      </c>
      <c r="F5928" t="s">
        <v>39</v>
      </c>
      <c r="G5928" t="s">
        <v>40</v>
      </c>
    </row>
    <row r="5929" spans="1:7" x14ac:dyDescent="0.3">
      <c r="A5929" t="s">
        <v>73</v>
      </c>
      <c r="B5929" t="s">
        <v>8</v>
      </c>
      <c r="C5929" t="s">
        <v>21</v>
      </c>
      <c r="D5929">
        <v>0</v>
      </c>
      <c r="E5929" t="s">
        <v>68</v>
      </c>
      <c r="F5929" t="s">
        <v>39</v>
      </c>
      <c r="G5929" t="s">
        <v>40</v>
      </c>
    </row>
    <row r="5930" spans="1:7" x14ac:dyDescent="0.3">
      <c r="A5930" t="s">
        <v>73</v>
      </c>
      <c r="B5930" t="s">
        <v>8</v>
      </c>
      <c r="C5930" t="s">
        <v>22</v>
      </c>
      <c r="D5930">
        <v>6</v>
      </c>
      <c r="E5930" t="s">
        <v>68</v>
      </c>
      <c r="F5930" t="s">
        <v>39</v>
      </c>
      <c r="G5930" t="s">
        <v>40</v>
      </c>
    </row>
    <row r="5931" spans="1:7" x14ac:dyDescent="0.3">
      <c r="A5931" t="s">
        <v>73</v>
      </c>
      <c r="B5931" t="s">
        <v>23</v>
      </c>
      <c r="C5931" t="s">
        <v>9</v>
      </c>
      <c r="D5931">
        <v>36</v>
      </c>
      <c r="E5931" t="s">
        <v>68</v>
      </c>
      <c r="F5931" t="s">
        <v>39</v>
      </c>
      <c r="G5931" t="s">
        <v>40</v>
      </c>
    </row>
    <row r="5932" spans="1:7" x14ac:dyDescent="0.3">
      <c r="A5932" t="s">
        <v>73</v>
      </c>
      <c r="B5932" t="s">
        <v>23</v>
      </c>
      <c r="C5932" t="s">
        <v>13</v>
      </c>
      <c r="D5932">
        <v>35</v>
      </c>
      <c r="E5932" t="s">
        <v>68</v>
      </c>
      <c r="F5932" t="s">
        <v>39</v>
      </c>
      <c r="G5932" t="s">
        <v>40</v>
      </c>
    </row>
    <row r="5933" spans="1:7" x14ac:dyDescent="0.3">
      <c r="A5933" t="s">
        <v>73</v>
      </c>
      <c r="B5933" t="s">
        <v>23</v>
      </c>
      <c r="C5933" t="s">
        <v>14</v>
      </c>
      <c r="D5933">
        <v>94</v>
      </c>
      <c r="E5933" t="s">
        <v>68</v>
      </c>
      <c r="F5933" t="s">
        <v>39</v>
      </c>
      <c r="G5933" t="s">
        <v>40</v>
      </c>
    </row>
    <row r="5934" spans="1:7" x14ac:dyDescent="0.3">
      <c r="A5934" t="s">
        <v>73</v>
      </c>
      <c r="B5934" t="s">
        <v>23</v>
      </c>
      <c r="C5934" t="s">
        <v>15</v>
      </c>
      <c r="D5934">
        <v>8</v>
      </c>
      <c r="E5934" t="s">
        <v>68</v>
      </c>
      <c r="F5934" t="s">
        <v>39</v>
      </c>
      <c r="G5934" t="s">
        <v>40</v>
      </c>
    </row>
    <row r="5935" spans="1:7" x14ac:dyDescent="0.3">
      <c r="A5935" t="s">
        <v>73</v>
      </c>
      <c r="B5935" t="s">
        <v>23</v>
      </c>
      <c r="C5935" t="s">
        <v>16</v>
      </c>
      <c r="D5935">
        <v>74516</v>
      </c>
      <c r="E5935" t="s">
        <v>68</v>
      </c>
      <c r="F5935" t="s">
        <v>39</v>
      </c>
      <c r="G5935" t="s">
        <v>40</v>
      </c>
    </row>
    <row r="5936" spans="1:7" x14ac:dyDescent="0.3">
      <c r="A5936" t="s">
        <v>73</v>
      </c>
      <c r="B5936" t="s">
        <v>23</v>
      </c>
      <c r="C5936" t="s">
        <v>17</v>
      </c>
      <c r="D5936">
        <v>8</v>
      </c>
      <c r="E5936" t="s">
        <v>68</v>
      </c>
      <c r="F5936" t="s">
        <v>39</v>
      </c>
      <c r="G5936" t="s">
        <v>40</v>
      </c>
    </row>
    <row r="5937" spans="1:7" x14ac:dyDescent="0.3">
      <c r="A5937" t="s">
        <v>73</v>
      </c>
      <c r="B5937" t="s">
        <v>23</v>
      </c>
      <c r="C5937" t="s">
        <v>18</v>
      </c>
      <c r="D5937">
        <v>0</v>
      </c>
      <c r="E5937" t="s">
        <v>68</v>
      </c>
      <c r="F5937" t="s">
        <v>39</v>
      </c>
      <c r="G5937" t="s">
        <v>40</v>
      </c>
    </row>
    <row r="5938" spans="1:7" x14ac:dyDescent="0.3">
      <c r="A5938" t="s">
        <v>73</v>
      </c>
      <c r="B5938" t="s">
        <v>23</v>
      </c>
      <c r="C5938" t="s">
        <v>19</v>
      </c>
      <c r="D5938">
        <v>2</v>
      </c>
      <c r="E5938" t="s">
        <v>68</v>
      </c>
      <c r="F5938" t="s">
        <v>39</v>
      </c>
      <c r="G5938" t="s">
        <v>40</v>
      </c>
    </row>
    <row r="5939" spans="1:7" x14ac:dyDescent="0.3">
      <c r="A5939" t="s">
        <v>73</v>
      </c>
      <c r="B5939" t="s">
        <v>23</v>
      </c>
      <c r="C5939" t="s">
        <v>20</v>
      </c>
      <c r="D5939">
        <v>296</v>
      </c>
      <c r="E5939" t="s">
        <v>68</v>
      </c>
      <c r="F5939" t="s">
        <v>39</v>
      </c>
      <c r="G5939" t="s">
        <v>40</v>
      </c>
    </row>
    <row r="5940" spans="1:7" x14ac:dyDescent="0.3">
      <c r="A5940" t="s">
        <v>73</v>
      </c>
      <c r="B5940" t="s">
        <v>23</v>
      </c>
      <c r="C5940" t="s">
        <v>21</v>
      </c>
      <c r="D5940">
        <v>2</v>
      </c>
      <c r="E5940" t="s">
        <v>68</v>
      </c>
      <c r="F5940" t="s">
        <v>39</v>
      </c>
      <c r="G5940" t="s">
        <v>40</v>
      </c>
    </row>
    <row r="5941" spans="1:7" x14ac:dyDescent="0.3">
      <c r="A5941" t="s">
        <v>73</v>
      </c>
      <c r="B5941" t="s">
        <v>23</v>
      </c>
      <c r="C5941" t="s">
        <v>22</v>
      </c>
      <c r="D5941">
        <v>82</v>
      </c>
      <c r="E5941" t="s">
        <v>68</v>
      </c>
      <c r="F5941" t="s">
        <v>39</v>
      </c>
      <c r="G5941" t="s">
        <v>40</v>
      </c>
    </row>
    <row r="5942" spans="1:7" x14ac:dyDescent="0.3">
      <c r="A5942" t="s">
        <v>74</v>
      </c>
      <c r="B5942" t="s">
        <v>8</v>
      </c>
      <c r="C5942" t="s">
        <v>9</v>
      </c>
      <c r="D5942">
        <v>0</v>
      </c>
      <c r="E5942" t="s">
        <v>68</v>
      </c>
      <c r="F5942" t="s">
        <v>39</v>
      </c>
      <c r="G5942" t="s">
        <v>40</v>
      </c>
    </row>
    <row r="5943" spans="1:7" x14ac:dyDescent="0.3">
      <c r="A5943" t="s">
        <v>74</v>
      </c>
      <c r="B5943" t="s">
        <v>8</v>
      </c>
      <c r="C5943" t="s">
        <v>13</v>
      </c>
      <c r="D5943">
        <v>0</v>
      </c>
      <c r="E5943" t="s">
        <v>68</v>
      </c>
      <c r="F5943" t="s">
        <v>39</v>
      </c>
      <c r="G5943" t="s">
        <v>40</v>
      </c>
    </row>
    <row r="5944" spans="1:7" x14ac:dyDescent="0.3">
      <c r="A5944" t="s">
        <v>74</v>
      </c>
      <c r="B5944" t="s">
        <v>8</v>
      </c>
      <c r="C5944" t="s">
        <v>14</v>
      </c>
      <c r="D5944">
        <v>0</v>
      </c>
      <c r="E5944" t="s">
        <v>68</v>
      </c>
      <c r="F5944" t="s">
        <v>39</v>
      </c>
      <c r="G5944" t="s">
        <v>40</v>
      </c>
    </row>
    <row r="5945" spans="1:7" x14ac:dyDescent="0.3">
      <c r="A5945" t="s">
        <v>74</v>
      </c>
      <c r="B5945" t="s">
        <v>8</v>
      </c>
      <c r="C5945" t="s">
        <v>15</v>
      </c>
      <c r="D5945">
        <v>0</v>
      </c>
      <c r="E5945" t="s">
        <v>68</v>
      </c>
      <c r="F5945" t="s">
        <v>39</v>
      </c>
      <c r="G5945" t="s">
        <v>40</v>
      </c>
    </row>
    <row r="5946" spans="1:7" x14ac:dyDescent="0.3">
      <c r="A5946" t="s">
        <v>74</v>
      </c>
      <c r="B5946" t="s">
        <v>8</v>
      </c>
      <c r="C5946" t="s">
        <v>16</v>
      </c>
      <c r="D5946">
        <v>1</v>
      </c>
      <c r="E5946" t="s">
        <v>68</v>
      </c>
      <c r="F5946" t="s">
        <v>39</v>
      </c>
      <c r="G5946" t="s">
        <v>40</v>
      </c>
    </row>
    <row r="5947" spans="1:7" x14ac:dyDescent="0.3">
      <c r="A5947" t="s">
        <v>74</v>
      </c>
      <c r="B5947" t="s">
        <v>8</v>
      </c>
      <c r="C5947" t="s">
        <v>17</v>
      </c>
      <c r="D5947">
        <v>0</v>
      </c>
      <c r="E5947" t="s">
        <v>68</v>
      </c>
      <c r="F5947" t="s">
        <v>39</v>
      </c>
      <c r="G5947" t="s">
        <v>40</v>
      </c>
    </row>
    <row r="5948" spans="1:7" x14ac:dyDescent="0.3">
      <c r="A5948" t="s">
        <v>74</v>
      </c>
      <c r="B5948" t="s">
        <v>8</v>
      </c>
      <c r="C5948" t="s">
        <v>18</v>
      </c>
      <c r="D5948">
        <v>0</v>
      </c>
      <c r="E5948" t="s">
        <v>68</v>
      </c>
      <c r="F5948" t="s">
        <v>39</v>
      </c>
      <c r="G5948" t="s">
        <v>40</v>
      </c>
    </row>
    <row r="5949" spans="1:7" x14ac:dyDescent="0.3">
      <c r="A5949" t="s">
        <v>74</v>
      </c>
      <c r="B5949" t="s">
        <v>8</v>
      </c>
      <c r="C5949" t="s">
        <v>19</v>
      </c>
      <c r="D5949">
        <v>0</v>
      </c>
      <c r="E5949" t="s">
        <v>68</v>
      </c>
      <c r="F5949" t="s">
        <v>39</v>
      </c>
      <c r="G5949" t="s">
        <v>40</v>
      </c>
    </row>
    <row r="5950" spans="1:7" x14ac:dyDescent="0.3">
      <c r="A5950" t="s">
        <v>74</v>
      </c>
      <c r="B5950" t="s">
        <v>8</v>
      </c>
      <c r="C5950" t="s">
        <v>20</v>
      </c>
      <c r="D5950">
        <v>0</v>
      </c>
      <c r="E5950" t="s">
        <v>68</v>
      </c>
      <c r="F5950" t="s">
        <v>39</v>
      </c>
      <c r="G5950" t="s">
        <v>40</v>
      </c>
    </row>
    <row r="5951" spans="1:7" x14ac:dyDescent="0.3">
      <c r="A5951" t="s">
        <v>74</v>
      </c>
      <c r="B5951" t="s">
        <v>8</v>
      </c>
      <c r="C5951" t="s">
        <v>21</v>
      </c>
      <c r="D5951">
        <v>0</v>
      </c>
      <c r="E5951" t="s">
        <v>68</v>
      </c>
      <c r="F5951" t="s">
        <v>39</v>
      </c>
      <c r="G5951" t="s">
        <v>40</v>
      </c>
    </row>
    <row r="5952" spans="1:7" x14ac:dyDescent="0.3">
      <c r="A5952" t="s">
        <v>74</v>
      </c>
      <c r="B5952" t="s">
        <v>8</v>
      </c>
      <c r="C5952" t="s">
        <v>22</v>
      </c>
      <c r="D5952">
        <v>57680</v>
      </c>
      <c r="E5952" t="s">
        <v>68</v>
      </c>
      <c r="F5952" t="s">
        <v>39</v>
      </c>
      <c r="G5952" t="s">
        <v>40</v>
      </c>
    </row>
    <row r="5953" spans="1:7" x14ac:dyDescent="0.3">
      <c r="A5953" t="s">
        <v>74</v>
      </c>
      <c r="B5953" t="s">
        <v>23</v>
      </c>
      <c r="C5953" t="s">
        <v>9</v>
      </c>
      <c r="D5953">
        <v>958</v>
      </c>
      <c r="E5953" t="s">
        <v>68</v>
      </c>
      <c r="F5953" t="s">
        <v>39</v>
      </c>
      <c r="G5953" t="s">
        <v>40</v>
      </c>
    </row>
    <row r="5954" spans="1:7" x14ac:dyDescent="0.3">
      <c r="A5954" t="s">
        <v>74</v>
      </c>
      <c r="B5954" t="s">
        <v>23</v>
      </c>
      <c r="C5954" t="s">
        <v>13</v>
      </c>
      <c r="D5954">
        <v>5491</v>
      </c>
      <c r="E5954" t="s">
        <v>68</v>
      </c>
      <c r="F5954" t="s">
        <v>39</v>
      </c>
      <c r="G5954" t="s">
        <v>40</v>
      </c>
    </row>
    <row r="5955" spans="1:7" x14ac:dyDescent="0.3">
      <c r="A5955" t="s">
        <v>74</v>
      </c>
      <c r="B5955" t="s">
        <v>23</v>
      </c>
      <c r="C5955" t="s">
        <v>14</v>
      </c>
      <c r="D5955">
        <v>1227</v>
      </c>
      <c r="E5955" t="s">
        <v>68</v>
      </c>
      <c r="F5955" t="s">
        <v>39</v>
      </c>
      <c r="G5955" t="s">
        <v>40</v>
      </c>
    </row>
    <row r="5956" spans="1:7" x14ac:dyDescent="0.3">
      <c r="A5956" t="s">
        <v>74</v>
      </c>
      <c r="B5956" t="s">
        <v>23</v>
      </c>
      <c r="C5956" t="s">
        <v>15</v>
      </c>
      <c r="D5956">
        <v>75</v>
      </c>
      <c r="E5956" t="s">
        <v>68</v>
      </c>
      <c r="F5956" t="s">
        <v>39</v>
      </c>
      <c r="G5956" t="s">
        <v>40</v>
      </c>
    </row>
    <row r="5957" spans="1:7" x14ac:dyDescent="0.3">
      <c r="A5957" t="s">
        <v>74</v>
      </c>
      <c r="B5957" t="s">
        <v>23</v>
      </c>
      <c r="C5957" t="s">
        <v>16</v>
      </c>
      <c r="D5957">
        <v>3013</v>
      </c>
      <c r="E5957" t="s">
        <v>68</v>
      </c>
      <c r="F5957" t="s">
        <v>39</v>
      </c>
      <c r="G5957" t="s">
        <v>40</v>
      </c>
    </row>
    <row r="5958" spans="1:7" x14ac:dyDescent="0.3">
      <c r="A5958" t="s">
        <v>74</v>
      </c>
      <c r="B5958" t="s">
        <v>23</v>
      </c>
      <c r="C5958" t="s">
        <v>17</v>
      </c>
      <c r="D5958">
        <v>231</v>
      </c>
      <c r="E5958" t="s">
        <v>68</v>
      </c>
      <c r="F5958" t="s">
        <v>39</v>
      </c>
      <c r="G5958" t="s">
        <v>40</v>
      </c>
    </row>
    <row r="5959" spans="1:7" x14ac:dyDescent="0.3">
      <c r="A5959" t="s">
        <v>74</v>
      </c>
      <c r="B5959" t="s">
        <v>23</v>
      </c>
      <c r="C5959" t="s">
        <v>18</v>
      </c>
      <c r="D5959">
        <v>0</v>
      </c>
      <c r="E5959" t="s">
        <v>68</v>
      </c>
      <c r="F5959" t="s">
        <v>39</v>
      </c>
      <c r="G5959" t="s">
        <v>40</v>
      </c>
    </row>
    <row r="5960" spans="1:7" x14ac:dyDescent="0.3">
      <c r="A5960" t="s">
        <v>74</v>
      </c>
      <c r="B5960" t="s">
        <v>23</v>
      </c>
      <c r="C5960" t="s">
        <v>19</v>
      </c>
      <c r="D5960">
        <v>192</v>
      </c>
      <c r="E5960" t="s">
        <v>68</v>
      </c>
      <c r="F5960" t="s">
        <v>39</v>
      </c>
      <c r="G5960" t="s">
        <v>40</v>
      </c>
    </row>
    <row r="5961" spans="1:7" x14ac:dyDescent="0.3">
      <c r="A5961" t="s">
        <v>74</v>
      </c>
      <c r="B5961" t="s">
        <v>23</v>
      </c>
      <c r="C5961" t="s">
        <v>20</v>
      </c>
      <c r="D5961">
        <v>466</v>
      </c>
      <c r="E5961" t="s">
        <v>68</v>
      </c>
      <c r="F5961" t="s">
        <v>39</v>
      </c>
      <c r="G5961" t="s">
        <v>40</v>
      </c>
    </row>
    <row r="5962" spans="1:7" x14ac:dyDescent="0.3">
      <c r="A5962" t="s">
        <v>74</v>
      </c>
      <c r="B5962" t="s">
        <v>23</v>
      </c>
      <c r="C5962" t="s">
        <v>21</v>
      </c>
      <c r="D5962">
        <v>24</v>
      </c>
      <c r="E5962" t="s">
        <v>68</v>
      </c>
      <c r="F5962" t="s">
        <v>39</v>
      </c>
      <c r="G5962" t="s">
        <v>40</v>
      </c>
    </row>
    <row r="5963" spans="1:7" x14ac:dyDescent="0.3">
      <c r="A5963" t="s">
        <v>74</v>
      </c>
      <c r="B5963" t="s">
        <v>23</v>
      </c>
      <c r="C5963" t="s">
        <v>22</v>
      </c>
      <c r="D5963">
        <v>48482</v>
      </c>
      <c r="E5963" t="s">
        <v>68</v>
      </c>
      <c r="F5963" t="s">
        <v>39</v>
      </c>
      <c r="G5963" t="s">
        <v>40</v>
      </c>
    </row>
    <row r="5964" spans="1:7" x14ac:dyDescent="0.3">
      <c r="A5964" t="s">
        <v>75</v>
      </c>
      <c r="B5964" t="s">
        <v>8</v>
      </c>
      <c r="C5964" t="s">
        <v>9</v>
      </c>
      <c r="D5964">
        <v>19844</v>
      </c>
      <c r="E5964" t="s">
        <v>68</v>
      </c>
      <c r="F5964" t="s">
        <v>39</v>
      </c>
      <c r="G5964" t="s">
        <v>40</v>
      </c>
    </row>
    <row r="5965" spans="1:7" x14ac:dyDescent="0.3">
      <c r="A5965" t="s">
        <v>75</v>
      </c>
      <c r="B5965" t="s">
        <v>8</v>
      </c>
      <c r="C5965" t="s">
        <v>13</v>
      </c>
      <c r="D5965">
        <v>4</v>
      </c>
      <c r="E5965" t="s">
        <v>68</v>
      </c>
      <c r="F5965" t="s">
        <v>39</v>
      </c>
      <c r="G5965" t="s">
        <v>40</v>
      </c>
    </row>
    <row r="5966" spans="1:7" x14ac:dyDescent="0.3">
      <c r="A5966" t="s">
        <v>75</v>
      </c>
      <c r="B5966" t="s">
        <v>8</v>
      </c>
      <c r="C5966" t="s">
        <v>14</v>
      </c>
      <c r="D5966">
        <v>2</v>
      </c>
      <c r="E5966" t="s">
        <v>68</v>
      </c>
      <c r="F5966" t="s">
        <v>39</v>
      </c>
      <c r="G5966" t="s">
        <v>40</v>
      </c>
    </row>
    <row r="5967" spans="1:7" x14ac:dyDescent="0.3">
      <c r="A5967" t="s">
        <v>75</v>
      </c>
      <c r="B5967" t="s">
        <v>8</v>
      </c>
      <c r="C5967" t="s">
        <v>15</v>
      </c>
      <c r="D5967">
        <v>0</v>
      </c>
      <c r="E5967" t="s">
        <v>68</v>
      </c>
      <c r="F5967" t="s">
        <v>39</v>
      </c>
      <c r="G5967" t="s">
        <v>40</v>
      </c>
    </row>
    <row r="5968" spans="1:7" x14ac:dyDescent="0.3">
      <c r="A5968" t="s">
        <v>75</v>
      </c>
      <c r="B5968" t="s">
        <v>8</v>
      </c>
      <c r="C5968" t="s">
        <v>16</v>
      </c>
      <c r="D5968">
        <v>0</v>
      </c>
      <c r="E5968" t="s">
        <v>68</v>
      </c>
      <c r="F5968" t="s">
        <v>39</v>
      </c>
      <c r="G5968" t="s">
        <v>40</v>
      </c>
    </row>
    <row r="5969" spans="1:7" x14ac:dyDescent="0.3">
      <c r="A5969" t="s">
        <v>75</v>
      </c>
      <c r="B5969" t="s">
        <v>8</v>
      </c>
      <c r="C5969" t="s">
        <v>17</v>
      </c>
      <c r="D5969">
        <v>10</v>
      </c>
      <c r="E5969" t="s">
        <v>68</v>
      </c>
      <c r="F5969" t="s">
        <v>39</v>
      </c>
      <c r="G5969" t="s">
        <v>40</v>
      </c>
    </row>
    <row r="5970" spans="1:7" x14ac:dyDescent="0.3">
      <c r="A5970" t="s">
        <v>75</v>
      </c>
      <c r="B5970" t="s">
        <v>8</v>
      </c>
      <c r="C5970" t="s">
        <v>18</v>
      </c>
      <c r="D5970">
        <v>0</v>
      </c>
      <c r="E5970" t="s">
        <v>68</v>
      </c>
      <c r="F5970" t="s">
        <v>39</v>
      </c>
      <c r="G5970" t="s">
        <v>40</v>
      </c>
    </row>
    <row r="5971" spans="1:7" x14ac:dyDescent="0.3">
      <c r="A5971" t="s">
        <v>75</v>
      </c>
      <c r="B5971" t="s">
        <v>8</v>
      </c>
      <c r="C5971" t="s">
        <v>19</v>
      </c>
      <c r="D5971">
        <v>0</v>
      </c>
      <c r="E5971" t="s">
        <v>68</v>
      </c>
      <c r="F5971" t="s">
        <v>39</v>
      </c>
      <c r="G5971" t="s">
        <v>40</v>
      </c>
    </row>
    <row r="5972" spans="1:7" x14ac:dyDescent="0.3">
      <c r="A5972" t="s">
        <v>75</v>
      </c>
      <c r="B5972" t="s">
        <v>8</v>
      </c>
      <c r="C5972" t="s">
        <v>20</v>
      </c>
      <c r="D5972">
        <v>0</v>
      </c>
      <c r="E5972" t="s">
        <v>68</v>
      </c>
      <c r="F5972" t="s">
        <v>39</v>
      </c>
      <c r="G5972" t="s">
        <v>40</v>
      </c>
    </row>
    <row r="5973" spans="1:7" x14ac:dyDescent="0.3">
      <c r="A5973" t="s">
        <v>75</v>
      </c>
      <c r="B5973" t="s">
        <v>8</v>
      </c>
      <c r="C5973" t="s">
        <v>21</v>
      </c>
      <c r="D5973">
        <v>0</v>
      </c>
      <c r="E5973" t="s">
        <v>68</v>
      </c>
      <c r="F5973" t="s">
        <v>39</v>
      </c>
      <c r="G5973" t="s">
        <v>40</v>
      </c>
    </row>
    <row r="5974" spans="1:7" x14ac:dyDescent="0.3">
      <c r="A5974" t="s">
        <v>75</v>
      </c>
      <c r="B5974" t="s">
        <v>8</v>
      </c>
      <c r="C5974" t="s">
        <v>22</v>
      </c>
      <c r="D5974">
        <v>66</v>
      </c>
      <c r="E5974" t="s">
        <v>68</v>
      </c>
      <c r="F5974" t="s">
        <v>39</v>
      </c>
      <c r="G5974" t="s">
        <v>40</v>
      </c>
    </row>
    <row r="5975" spans="1:7" x14ac:dyDescent="0.3">
      <c r="A5975" t="s">
        <v>75</v>
      </c>
      <c r="B5975" t="s">
        <v>23</v>
      </c>
      <c r="C5975" t="s">
        <v>9</v>
      </c>
      <c r="D5975">
        <v>107617</v>
      </c>
      <c r="E5975" t="s">
        <v>68</v>
      </c>
      <c r="F5975" t="s">
        <v>39</v>
      </c>
      <c r="G5975" t="s">
        <v>40</v>
      </c>
    </row>
    <row r="5976" spans="1:7" x14ac:dyDescent="0.3">
      <c r="A5976" t="s">
        <v>75</v>
      </c>
      <c r="B5976" t="s">
        <v>23</v>
      </c>
      <c r="C5976" t="s">
        <v>13</v>
      </c>
      <c r="D5976">
        <v>609</v>
      </c>
      <c r="E5976" t="s">
        <v>68</v>
      </c>
      <c r="F5976" t="s">
        <v>39</v>
      </c>
      <c r="G5976" t="s">
        <v>40</v>
      </c>
    </row>
    <row r="5977" spans="1:7" x14ac:dyDescent="0.3">
      <c r="A5977" t="s">
        <v>75</v>
      </c>
      <c r="B5977" t="s">
        <v>23</v>
      </c>
      <c r="C5977" t="s">
        <v>14</v>
      </c>
      <c r="D5977">
        <v>3549</v>
      </c>
      <c r="E5977" t="s">
        <v>68</v>
      </c>
      <c r="F5977" t="s">
        <v>39</v>
      </c>
      <c r="G5977" t="s">
        <v>40</v>
      </c>
    </row>
    <row r="5978" spans="1:7" x14ac:dyDescent="0.3">
      <c r="A5978" t="s">
        <v>75</v>
      </c>
      <c r="B5978" t="s">
        <v>23</v>
      </c>
      <c r="C5978" t="s">
        <v>15</v>
      </c>
      <c r="D5978">
        <v>90</v>
      </c>
      <c r="E5978" t="s">
        <v>68</v>
      </c>
      <c r="F5978" t="s">
        <v>39</v>
      </c>
      <c r="G5978" t="s">
        <v>40</v>
      </c>
    </row>
    <row r="5979" spans="1:7" x14ac:dyDescent="0.3">
      <c r="A5979" t="s">
        <v>75</v>
      </c>
      <c r="B5979" t="s">
        <v>23</v>
      </c>
      <c r="C5979" t="s">
        <v>16</v>
      </c>
      <c r="D5979">
        <v>16054</v>
      </c>
      <c r="E5979" t="s">
        <v>68</v>
      </c>
      <c r="F5979" t="s">
        <v>39</v>
      </c>
      <c r="G5979" t="s">
        <v>40</v>
      </c>
    </row>
    <row r="5980" spans="1:7" x14ac:dyDescent="0.3">
      <c r="A5980" t="s">
        <v>75</v>
      </c>
      <c r="B5980" t="s">
        <v>23</v>
      </c>
      <c r="C5980" t="s">
        <v>17</v>
      </c>
      <c r="D5980">
        <v>1239</v>
      </c>
      <c r="E5980" t="s">
        <v>68</v>
      </c>
      <c r="F5980" t="s">
        <v>39</v>
      </c>
      <c r="G5980" t="s">
        <v>40</v>
      </c>
    </row>
    <row r="5981" spans="1:7" x14ac:dyDescent="0.3">
      <c r="A5981" t="s">
        <v>75</v>
      </c>
      <c r="B5981" t="s">
        <v>23</v>
      </c>
      <c r="C5981" t="s">
        <v>18</v>
      </c>
      <c r="D5981">
        <v>0</v>
      </c>
      <c r="E5981" t="s">
        <v>68</v>
      </c>
      <c r="F5981" t="s">
        <v>39</v>
      </c>
      <c r="G5981" t="s">
        <v>40</v>
      </c>
    </row>
    <row r="5982" spans="1:7" x14ac:dyDescent="0.3">
      <c r="A5982" t="s">
        <v>75</v>
      </c>
      <c r="B5982" t="s">
        <v>23</v>
      </c>
      <c r="C5982" t="s">
        <v>19</v>
      </c>
      <c r="D5982">
        <v>76</v>
      </c>
      <c r="E5982" t="s">
        <v>68</v>
      </c>
      <c r="F5982" t="s">
        <v>39</v>
      </c>
      <c r="G5982" t="s">
        <v>40</v>
      </c>
    </row>
    <row r="5983" spans="1:7" x14ac:dyDescent="0.3">
      <c r="A5983" t="s">
        <v>75</v>
      </c>
      <c r="B5983" t="s">
        <v>23</v>
      </c>
      <c r="C5983" t="s">
        <v>20</v>
      </c>
      <c r="D5983">
        <v>803</v>
      </c>
      <c r="E5983" t="s">
        <v>68</v>
      </c>
      <c r="F5983" t="s">
        <v>39</v>
      </c>
      <c r="G5983" t="s">
        <v>40</v>
      </c>
    </row>
    <row r="5984" spans="1:7" x14ac:dyDescent="0.3">
      <c r="A5984" t="s">
        <v>75</v>
      </c>
      <c r="B5984" t="s">
        <v>23</v>
      </c>
      <c r="C5984" t="s">
        <v>21</v>
      </c>
      <c r="D5984">
        <v>163</v>
      </c>
      <c r="E5984" t="s">
        <v>68</v>
      </c>
      <c r="F5984" t="s">
        <v>39</v>
      </c>
      <c r="G5984" t="s">
        <v>40</v>
      </c>
    </row>
    <row r="5985" spans="1:7" x14ac:dyDescent="0.3">
      <c r="A5985" t="s">
        <v>75</v>
      </c>
      <c r="B5985" t="s">
        <v>23</v>
      </c>
      <c r="C5985" t="s">
        <v>22</v>
      </c>
      <c r="D5985">
        <v>473</v>
      </c>
      <c r="E5985" t="s">
        <v>68</v>
      </c>
      <c r="F5985" t="s">
        <v>39</v>
      </c>
      <c r="G5985" t="s">
        <v>40</v>
      </c>
    </row>
    <row r="5986" spans="1:7" x14ac:dyDescent="0.3">
      <c r="A5986" t="s">
        <v>76</v>
      </c>
      <c r="B5986" t="s">
        <v>8</v>
      </c>
      <c r="C5986" t="s">
        <v>9</v>
      </c>
      <c r="D5986">
        <v>19248</v>
      </c>
      <c r="E5986" t="s">
        <v>68</v>
      </c>
      <c r="F5986" t="s">
        <v>39</v>
      </c>
      <c r="G5986" t="s">
        <v>40</v>
      </c>
    </row>
    <row r="5987" spans="1:7" x14ac:dyDescent="0.3">
      <c r="A5987" t="s">
        <v>76</v>
      </c>
      <c r="B5987" t="s">
        <v>8</v>
      </c>
      <c r="C5987" t="s">
        <v>13</v>
      </c>
      <c r="D5987">
        <v>4</v>
      </c>
      <c r="E5987" t="s">
        <v>68</v>
      </c>
      <c r="F5987" t="s">
        <v>39</v>
      </c>
      <c r="G5987" t="s">
        <v>40</v>
      </c>
    </row>
    <row r="5988" spans="1:7" x14ac:dyDescent="0.3">
      <c r="A5988" t="s">
        <v>76</v>
      </c>
      <c r="B5988" t="s">
        <v>8</v>
      </c>
      <c r="C5988" t="s">
        <v>14</v>
      </c>
      <c r="D5988">
        <v>1</v>
      </c>
      <c r="E5988" t="s">
        <v>68</v>
      </c>
      <c r="F5988" t="s">
        <v>39</v>
      </c>
      <c r="G5988" t="s">
        <v>40</v>
      </c>
    </row>
    <row r="5989" spans="1:7" x14ac:dyDescent="0.3">
      <c r="A5989" t="s">
        <v>76</v>
      </c>
      <c r="B5989" t="s">
        <v>8</v>
      </c>
      <c r="C5989" t="s">
        <v>15</v>
      </c>
      <c r="D5989">
        <v>0</v>
      </c>
      <c r="E5989" t="s">
        <v>68</v>
      </c>
      <c r="F5989" t="s">
        <v>39</v>
      </c>
      <c r="G5989" t="s">
        <v>40</v>
      </c>
    </row>
    <row r="5990" spans="1:7" x14ac:dyDescent="0.3">
      <c r="A5990" t="s">
        <v>76</v>
      </c>
      <c r="B5990" t="s">
        <v>8</v>
      </c>
      <c r="C5990" t="s">
        <v>16</v>
      </c>
      <c r="D5990">
        <v>0</v>
      </c>
      <c r="E5990" t="s">
        <v>68</v>
      </c>
      <c r="F5990" t="s">
        <v>39</v>
      </c>
      <c r="G5990" t="s">
        <v>40</v>
      </c>
    </row>
    <row r="5991" spans="1:7" x14ac:dyDescent="0.3">
      <c r="A5991" t="s">
        <v>76</v>
      </c>
      <c r="B5991" t="s">
        <v>8</v>
      </c>
      <c r="C5991" t="s">
        <v>17</v>
      </c>
      <c r="D5991">
        <v>10</v>
      </c>
      <c r="E5991" t="s">
        <v>68</v>
      </c>
      <c r="F5991" t="s">
        <v>39</v>
      </c>
      <c r="G5991" t="s">
        <v>40</v>
      </c>
    </row>
    <row r="5992" spans="1:7" x14ac:dyDescent="0.3">
      <c r="A5992" t="s">
        <v>76</v>
      </c>
      <c r="B5992" t="s">
        <v>8</v>
      </c>
      <c r="C5992" t="s">
        <v>18</v>
      </c>
      <c r="D5992">
        <v>0</v>
      </c>
      <c r="E5992" t="s">
        <v>68</v>
      </c>
      <c r="F5992" t="s">
        <v>39</v>
      </c>
      <c r="G5992" t="s">
        <v>40</v>
      </c>
    </row>
    <row r="5993" spans="1:7" x14ac:dyDescent="0.3">
      <c r="A5993" t="s">
        <v>76</v>
      </c>
      <c r="B5993" t="s">
        <v>8</v>
      </c>
      <c r="C5993" t="s">
        <v>19</v>
      </c>
      <c r="D5993">
        <v>0</v>
      </c>
      <c r="E5993" t="s">
        <v>68</v>
      </c>
      <c r="F5993" t="s">
        <v>39</v>
      </c>
      <c r="G5993" t="s">
        <v>40</v>
      </c>
    </row>
    <row r="5994" spans="1:7" x14ac:dyDescent="0.3">
      <c r="A5994" t="s">
        <v>76</v>
      </c>
      <c r="B5994" t="s">
        <v>8</v>
      </c>
      <c r="C5994" t="s">
        <v>20</v>
      </c>
      <c r="D5994">
        <v>0</v>
      </c>
      <c r="E5994" t="s">
        <v>68</v>
      </c>
      <c r="F5994" t="s">
        <v>39</v>
      </c>
      <c r="G5994" t="s">
        <v>40</v>
      </c>
    </row>
    <row r="5995" spans="1:7" x14ac:dyDescent="0.3">
      <c r="A5995" t="s">
        <v>76</v>
      </c>
      <c r="B5995" t="s">
        <v>8</v>
      </c>
      <c r="C5995" t="s">
        <v>21</v>
      </c>
      <c r="D5995">
        <v>0</v>
      </c>
      <c r="E5995" t="s">
        <v>68</v>
      </c>
      <c r="F5995" t="s">
        <v>39</v>
      </c>
      <c r="G5995" t="s">
        <v>40</v>
      </c>
    </row>
    <row r="5996" spans="1:7" x14ac:dyDescent="0.3">
      <c r="A5996" t="s">
        <v>76</v>
      </c>
      <c r="B5996" t="s">
        <v>8</v>
      </c>
      <c r="C5996" t="s">
        <v>22</v>
      </c>
      <c r="D5996">
        <v>64</v>
      </c>
      <c r="E5996" t="s">
        <v>68</v>
      </c>
      <c r="F5996" t="s">
        <v>39</v>
      </c>
      <c r="G5996" t="s">
        <v>40</v>
      </c>
    </row>
    <row r="5997" spans="1:7" x14ac:dyDescent="0.3">
      <c r="A5997" t="s">
        <v>76</v>
      </c>
      <c r="B5997" t="s">
        <v>23</v>
      </c>
      <c r="C5997" t="s">
        <v>9</v>
      </c>
      <c r="D5997">
        <v>104389</v>
      </c>
      <c r="E5997" t="s">
        <v>68</v>
      </c>
      <c r="F5997" t="s">
        <v>39</v>
      </c>
      <c r="G5997" t="s">
        <v>40</v>
      </c>
    </row>
    <row r="5998" spans="1:7" x14ac:dyDescent="0.3">
      <c r="A5998" t="s">
        <v>76</v>
      </c>
      <c r="B5998" t="s">
        <v>23</v>
      </c>
      <c r="C5998" t="s">
        <v>13</v>
      </c>
      <c r="D5998">
        <v>591</v>
      </c>
      <c r="E5998" t="s">
        <v>68</v>
      </c>
      <c r="F5998" t="s">
        <v>39</v>
      </c>
      <c r="G5998" t="s">
        <v>40</v>
      </c>
    </row>
    <row r="5999" spans="1:7" x14ac:dyDescent="0.3">
      <c r="A5999" t="s">
        <v>76</v>
      </c>
      <c r="B5999" t="s">
        <v>23</v>
      </c>
      <c r="C5999" t="s">
        <v>14</v>
      </c>
      <c r="D5999">
        <v>3442</v>
      </c>
      <c r="E5999" t="s">
        <v>68</v>
      </c>
      <c r="F5999" t="s">
        <v>39</v>
      </c>
      <c r="G5999" t="s">
        <v>40</v>
      </c>
    </row>
    <row r="6000" spans="1:7" x14ac:dyDescent="0.3">
      <c r="A6000" t="s">
        <v>76</v>
      </c>
      <c r="B6000" t="s">
        <v>23</v>
      </c>
      <c r="C6000" t="s">
        <v>15</v>
      </c>
      <c r="D6000">
        <v>87</v>
      </c>
      <c r="E6000" t="s">
        <v>68</v>
      </c>
      <c r="F6000" t="s">
        <v>39</v>
      </c>
      <c r="G6000" t="s">
        <v>40</v>
      </c>
    </row>
    <row r="6001" spans="1:7" x14ac:dyDescent="0.3">
      <c r="A6001" t="s">
        <v>76</v>
      </c>
      <c r="B6001" t="s">
        <v>23</v>
      </c>
      <c r="C6001" t="s">
        <v>16</v>
      </c>
      <c r="D6001">
        <v>15572</v>
      </c>
      <c r="E6001" t="s">
        <v>68</v>
      </c>
      <c r="F6001" t="s">
        <v>39</v>
      </c>
      <c r="G6001" t="s">
        <v>40</v>
      </c>
    </row>
    <row r="6002" spans="1:7" x14ac:dyDescent="0.3">
      <c r="A6002" t="s">
        <v>76</v>
      </c>
      <c r="B6002" t="s">
        <v>23</v>
      </c>
      <c r="C6002" t="s">
        <v>17</v>
      </c>
      <c r="D6002">
        <v>1202</v>
      </c>
      <c r="E6002" t="s">
        <v>68</v>
      </c>
      <c r="F6002" t="s">
        <v>39</v>
      </c>
      <c r="G6002" t="s">
        <v>40</v>
      </c>
    </row>
    <row r="6003" spans="1:7" x14ac:dyDescent="0.3">
      <c r="A6003" t="s">
        <v>76</v>
      </c>
      <c r="B6003" t="s">
        <v>23</v>
      </c>
      <c r="C6003" t="s">
        <v>18</v>
      </c>
      <c r="D6003">
        <v>0</v>
      </c>
      <c r="E6003" t="s">
        <v>68</v>
      </c>
      <c r="F6003" t="s">
        <v>39</v>
      </c>
      <c r="G6003" t="s">
        <v>40</v>
      </c>
    </row>
    <row r="6004" spans="1:7" x14ac:dyDescent="0.3">
      <c r="A6004" t="s">
        <v>76</v>
      </c>
      <c r="B6004" t="s">
        <v>23</v>
      </c>
      <c r="C6004" t="s">
        <v>19</v>
      </c>
      <c r="D6004">
        <v>73</v>
      </c>
      <c r="E6004" t="s">
        <v>68</v>
      </c>
      <c r="F6004" t="s">
        <v>39</v>
      </c>
      <c r="G6004" t="s">
        <v>40</v>
      </c>
    </row>
    <row r="6005" spans="1:7" x14ac:dyDescent="0.3">
      <c r="A6005" t="s">
        <v>76</v>
      </c>
      <c r="B6005" t="s">
        <v>23</v>
      </c>
      <c r="C6005" t="s">
        <v>20</v>
      </c>
      <c r="D6005">
        <v>779</v>
      </c>
      <c r="E6005" t="s">
        <v>68</v>
      </c>
      <c r="F6005" t="s">
        <v>39</v>
      </c>
      <c r="G6005" t="s">
        <v>40</v>
      </c>
    </row>
    <row r="6006" spans="1:7" x14ac:dyDescent="0.3">
      <c r="A6006" t="s">
        <v>76</v>
      </c>
      <c r="B6006" t="s">
        <v>23</v>
      </c>
      <c r="C6006" t="s">
        <v>21</v>
      </c>
      <c r="D6006">
        <v>158</v>
      </c>
      <c r="E6006" t="s">
        <v>68</v>
      </c>
      <c r="F6006" t="s">
        <v>39</v>
      </c>
      <c r="G6006" t="s">
        <v>40</v>
      </c>
    </row>
    <row r="6007" spans="1:7" x14ac:dyDescent="0.3">
      <c r="A6007" t="s">
        <v>76</v>
      </c>
      <c r="B6007" t="s">
        <v>23</v>
      </c>
      <c r="C6007" t="s">
        <v>22</v>
      </c>
      <c r="D6007">
        <v>459</v>
      </c>
      <c r="E6007" t="s">
        <v>68</v>
      </c>
      <c r="F6007" t="s">
        <v>39</v>
      </c>
      <c r="G6007" t="s">
        <v>40</v>
      </c>
    </row>
    <row r="6008" spans="1:7" x14ac:dyDescent="0.3">
      <c r="A6008" t="s">
        <v>77</v>
      </c>
      <c r="B6008" t="s">
        <v>8</v>
      </c>
      <c r="C6008" t="s">
        <v>9</v>
      </c>
      <c r="D6008">
        <v>0</v>
      </c>
      <c r="E6008" t="s">
        <v>68</v>
      </c>
      <c r="F6008" t="s">
        <v>39</v>
      </c>
      <c r="G6008" t="s">
        <v>40</v>
      </c>
    </row>
    <row r="6009" spans="1:7" x14ac:dyDescent="0.3">
      <c r="A6009" t="s">
        <v>77</v>
      </c>
      <c r="B6009" t="s">
        <v>8</v>
      </c>
      <c r="C6009" t="s">
        <v>13</v>
      </c>
      <c r="D6009">
        <v>0</v>
      </c>
      <c r="E6009" t="s">
        <v>68</v>
      </c>
      <c r="F6009" t="s">
        <v>39</v>
      </c>
      <c r="G6009" t="s">
        <v>40</v>
      </c>
    </row>
    <row r="6010" spans="1:7" x14ac:dyDescent="0.3">
      <c r="A6010" t="s">
        <v>77</v>
      </c>
      <c r="B6010" t="s">
        <v>8</v>
      </c>
      <c r="C6010" t="s">
        <v>14</v>
      </c>
      <c r="D6010">
        <v>0</v>
      </c>
      <c r="E6010" t="s">
        <v>68</v>
      </c>
      <c r="F6010" t="s">
        <v>39</v>
      </c>
      <c r="G6010" t="s">
        <v>40</v>
      </c>
    </row>
    <row r="6011" spans="1:7" x14ac:dyDescent="0.3">
      <c r="A6011" t="s">
        <v>77</v>
      </c>
      <c r="B6011" t="s">
        <v>8</v>
      </c>
      <c r="C6011" t="s">
        <v>15</v>
      </c>
      <c r="D6011">
        <v>3</v>
      </c>
      <c r="E6011" t="s">
        <v>68</v>
      </c>
      <c r="F6011" t="s">
        <v>39</v>
      </c>
      <c r="G6011" t="s">
        <v>40</v>
      </c>
    </row>
    <row r="6012" spans="1:7" x14ac:dyDescent="0.3">
      <c r="A6012" t="s">
        <v>77</v>
      </c>
      <c r="B6012" t="s">
        <v>8</v>
      </c>
      <c r="C6012" t="s">
        <v>16</v>
      </c>
      <c r="D6012">
        <v>0</v>
      </c>
      <c r="E6012" t="s">
        <v>68</v>
      </c>
      <c r="F6012" t="s">
        <v>39</v>
      </c>
      <c r="G6012" t="s">
        <v>40</v>
      </c>
    </row>
    <row r="6013" spans="1:7" x14ac:dyDescent="0.3">
      <c r="A6013" t="s">
        <v>77</v>
      </c>
      <c r="B6013" t="s">
        <v>8</v>
      </c>
      <c r="C6013" t="s">
        <v>17</v>
      </c>
      <c r="D6013">
        <v>1</v>
      </c>
      <c r="E6013" t="s">
        <v>68</v>
      </c>
      <c r="F6013" t="s">
        <v>39</v>
      </c>
      <c r="G6013" t="s">
        <v>40</v>
      </c>
    </row>
    <row r="6014" spans="1:7" x14ac:dyDescent="0.3">
      <c r="A6014" t="s">
        <v>77</v>
      </c>
      <c r="B6014" t="s">
        <v>8</v>
      </c>
      <c r="C6014" t="s">
        <v>18</v>
      </c>
      <c r="D6014">
        <v>0</v>
      </c>
      <c r="E6014" t="s">
        <v>68</v>
      </c>
      <c r="F6014" t="s">
        <v>39</v>
      </c>
      <c r="G6014" t="s">
        <v>40</v>
      </c>
    </row>
    <row r="6015" spans="1:7" x14ac:dyDescent="0.3">
      <c r="A6015" t="s">
        <v>77</v>
      </c>
      <c r="B6015" t="s">
        <v>8</v>
      </c>
      <c r="C6015" t="s">
        <v>19</v>
      </c>
      <c r="D6015">
        <v>0</v>
      </c>
      <c r="E6015" t="s">
        <v>68</v>
      </c>
      <c r="F6015" t="s">
        <v>39</v>
      </c>
      <c r="G6015" t="s">
        <v>40</v>
      </c>
    </row>
    <row r="6016" spans="1:7" x14ac:dyDescent="0.3">
      <c r="A6016" t="s">
        <v>77</v>
      </c>
      <c r="B6016" t="s">
        <v>8</v>
      </c>
      <c r="C6016" t="s">
        <v>20</v>
      </c>
      <c r="D6016">
        <v>4008</v>
      </c>
      <c r="E6016" t="s">
        <v>68</v>
      </c>
      <c r="F6016" t="s">
        <v>39</v>
      </c>
      <c r="G6016" t="s">
        <v>40</v>
      </c>
    </row>
    <row r="6017" spans="1:7" x14ac:dyDescent="0.3">
      <c r="A6017" t="s">
        <v>77</v>
      </c>
      <c r="B6017" t="s">
        <v>8</v>
      </c>
      <c r="C6017" t="s">
        <v>21</v>
      </c>
      <c r="D6017">
        <v>0</v>
      </c>
      <c r="E6017" t="s">
        <v>68</v>
      </c>
      <c r="F6017" t="s">
        <v>39</v>
      </c>
      <c r="G6017" t="s">
        <v>40</v>
      </c>
    </row>
    <row r="6018" spans="1:7" x14ac:dyDescent="0.3">
      <c r="A6018" t="s">
        <v>77</v>
      </c>
      <c r="B6018" t="s">
        <v>8</v>
      </c>
      <c r="C6018" t="s">
        <v>22</v>
      </c>
      <c r="D6018">
        <v>9</v>
      </c>
      <c r="E6018" t="s">
        <v>68</v>
      </c>
      <c r="F6018" t="s">
        <v>39</v>
      </c>
      <c r="G6018" t="s">
        <v>40</v>
      </c>
    </row>
    <row r="6019" spans="1:7" x14ac:dyDescent="0.3">
      <c r="A6019" t="s">
        <v>77</v>
      </c>
      <c r="B6019" t="s">
        <v>23</v>
      </c>
      <c r="C6019" t="s">
        <v>9</v>
      </c>
      <c r="D6019">
        <v>215</v>
      </c>
      <c r="E6019" t="s">
        <v>68</v>
      </c>
      <c r="F6019" t="s">
        <v>39</v>
      </c>
      <c r="G6019" t="s">
        <v>40</v>
      </c>
    </row>
    <row r="6020" spans="1:7" x14ac:dyDescent="0.3">
      <c r="A6020" t="s">
        <v>77</v>
      </c>
      <c r="B6020" t="s">
        <v>23</v>
      </c>
      <c r="C6020" t="s">
        <v>13</v>
      </c>
      <c r="D6020">
        <v>181</v>
      </c>
      <c r="E6020" t="s">
        <v>68</v>
      </c>
      <c r="F6020" t="s">
        <v>39</v>
      </c>
      <c r="G6020" t="s">
        <v>40</v>
      </c>
    </row>
    <row r="6021" spans="1:7" x14ac:dyDescent="0.3">
      <c r="A6021" t="s">
        <v>77</v>
      </c>
      <c r="B6021" t="s">
        <v>23</v>
      </c>
      <c r="C6021" t="s">
        <v>14</v>
      </c>
      <c r="D6021">
        <v>672</v>
      </c>
      <c r="E6021" t="s">
        <v>68</v>
      </c>
      <c r="F6021" t="s">
        <v>39</v>
      </c>
      <c r="G6021" t="s">
        <v>40</v>
      </c>
    </row>
    <row r="6022" spans="1:7" x14ac:dyDescent="0.3">
      <c r="A6022" t="s">
        <v>77</v>
      </c>
      <c r="B6022" t="s">
        <v>23</v>
      </c>
      <c r="C6022" t="s">
        <v>15</v>
      </c>
      <c r="D6022">
        <v>37</v>
      </c>
      <c r="E6022" t="s">
        <v>68</v>
      </c>
      <c r="F6022" t="s">
        <v>39</v>
      </c>
      <c r="G6022" t="s">
        <v>40</v>
      </c>
    </row>
    <row r="6023" spans="1:7" x14ac:dyDescent="0.3">
      <c r="A6023" t="s">
        <v>77</v>
      </c>
      <c r="B6023" t="s">
        <v>23</v>
      </c>
      <c r="C6023" t="s">
        <v>16</v>
      </c>
      <c r="D6023">
        <v>1189</v>
      </c>
      <c r="E6023" t="s">
        <v>68</v>
      </c>
      <c r="F6023" t="s">
        <v>39</v>
      </c>
      <c r="G6023" t="s">
        <v>40</v>
      </c>
    </row>
    <row r="6024" spans="1:7" x14ac:dyDescent="0.3">
      <c r="A6024" t="s">
        <v>77</v>
      </c>
      <c r="B6024" t="s">
        <v>23</v>
      </c>
      <c r="C6024" t="s">
        <v>17</v>
      </c>
      <c r="D6024">
        <v>17</v>
      </c>
      <c r="E6024" t="s">
        <v>68</v>
      </c>
      <c r="F6024" t="s">
        <v>39</v>
      </c>
      <c r="G6024" t="s">
        <v>40</v>
      </c>
    </row>
    <row r="6025" spans="1:7" x14ac:dyDescent="0.3">
      <c r="A6025" t="s">
        <v>77</v>
      </c>
      <c r="B6025" t="s">
        <v>23</v>
      </c>
      <c r="C6025" t="s">
        <v>18</v>
      </c>
      <c r="D6025">
        <v>0</v>
      </c>
      <c r="E6025" t="s">
        <v>68</v>
      </c>
      <c r="F6025" t="s">
        <v>39</v>
      </c>
      <c r="G6025" t="s">
        <v>40</v>
      </c>
    </row>
    <row r="6026" spans="1:7" x14ac:dyDescent="0.3">
      <c r="A6026" t="s">
        <v>77</v>
      </c>
      <c r="B6026" t="s">
        <v>23</v>
      </c>
      <c r="C6026" t="s">
        <v>19</v>
      </c>
      <c r="D6026">
        <v>25</v>
      </c>
      <c r="E6026" t="s">
        <v>68</v>
      </c>
      <c r="F6026" t="s">
        <v>39</v>
      </c>
      <c r="G6026" t="s">
        <v>40</v>
      </c>
    </row>
    <row r="6027" spans="1:7" x14ac:dyDescent="0.3">
      <c r="A6027" t="s">
        <v>77</v>
      </c>
      <c r="B6027" t="s">
        <v>23</v>
      </c>
      <c r="C6027" t="s">
        <v>20</v>
      </c>
      <c r="D6027">
        <v>61898</v>
      </c>
      <c r="E6027" t="s">
        <v>68</v>
      </c>
      <c r="F6027" t="s">
        <v>39</v>
      </c>
      <c r="G6027" t="s">
        <v>40</v>
      </c>
    </row>
    <row r="6028" spans="1:7" x14ac:dyDescent="0.3">
      <c r="A6028" t="s">
        <v>77</v>
      </c>
      <c r="B6028" t="s">
        <v>23</v>
      </c>
      <c r="C6028" t="s">
        <v>21</v>
      </c>
      <c r="D6028">
        <v>33</v>
      </c>
      <c r="E6028" t="s">
        <v>68</v>
      </c>
      <c r="F6028" t="s">
        <v>39</v>
      </c>
      <c r="G6028" t="s">
        <v>40</v>
      </c>
    </row>
    <row r="6029" spans="1:7" x14ac:dyDescent="0.3">
      <c r="A6029" t="s">
        <v>77</v>
      </c>
      <c r="B6029" t="s">
        <v>23</v>
      </c>
      <c r="C6029" t="s">
        <v>22</v>
      </c>
      <c r="D6029">
        <v>248</v>
      </c>
      <c r="E6029" t="s">
        <v>68</v>
      </c>
      <c r="F6029" t="s">
        <v>39</v>
      </c>
      <c r="G6029" t="s">
        <v>40</v>
      </c>
    </row>
    <row r="6030" spans="1:7" x14ac:dyDescent="0.3">
      <c r="A6030" t="s">
        <v>78</v>
      </c>
      <c r="B6030" t="s">
        <v>8</v>
      </c>
      <c r="C6030" t="s">
        <v>9</v>
      </c>
      <c r="D6030">
        <v>0</v>
      </c>
      <c r="E6030" t="s">
        <v>68</v>
      </c>
      <c r="F6030" t="s">
        <v>39</v>
      </c>
      <c r="G6030" t="s">
        <v>40</v>
      </c>
    </row>
    <row r="6031" spans="1:7" x14ac:dyDescent="0.3">
      <c r="A6031" t="s">
        <v>78</v>
      </c>
      <c r="B6031" t="s">
        <v>8</v>
      </c>
      <c r="C6031" t="s">
        <v>13</v>
      </c>
      <c r="D6031">
        <v>0</v>
      </c>
      <c r="E6031" t="s">
        <v>68</v>
      </c>
      <c r="F6031" t="s">
        <v>39</v>
      </c>
      <c r="G6031" t="s">
        <v>40</v>
      </c>
    </row>
    <row r="6032" spans="1:7" x14ac:dyDescent="0.3">
      <c r="A6032" t="s">
        <v>78</v>
      </c>
      <c r="B6032" t="s">
        <v>8</v>
      </c>
      <c r="C6032" t="s">
        <v>14</v>
      </c>
      <c r="D6032">
        <v>0</v>
      </c>
      <c r="E6032" t="s">
        <v>68</v>
      </c>
      <c r="F6032" t="s">
        <v>39</v>
      </c>
      <c r="G6032" t="s">
        <v>40</v>
      </c>
    </row>
    <row r="6033" spans="1:7" x14ac:dyDescent="0.3">
      <c r="A6033" t="s">
        <v>78</v>
      </c>
      <c r="B6033" t="s">
        <v>8</v>
      </c>
      <c r="C6033" t="s">
        <v>15</v>
      </c>
      <c r="D6033">
        <v>0</v>
      </c>
      <c r="E6033" t="s">
        <v>68</v>
      </c>
      <c r="F6033" t="s">
        <v>39</v>
      </c>
      <c r="G6033" t="s">
        <v>40</v>
      </c>
    </row>
    <row r="6034" spans="1:7" x14ac:dyDescent="0.3">
      <c r="A6034" t="s">
        <v>78</v>
      </c>
      <c r="B6034" t="s">
        <v>8</v>
      </c>
      <c r="C6034" t="s">
        <v>16</v>
      </c>
      <c r="D6034">
        <v>9005</v>
      </c>
      <c r="E6034" t="s">
        <v>68</v>
      </c>
      <c r="F6034" t="s">
        <v>39</v>
      </c>
      <c r="G6034" t="s">
        <v>40</v>
      </c>
    </row>
    <row r="6035" spans="1:7" x14ac:dyDescent="0.3">
      <c r="A6035" t="s">
        <v>78</v>
      </c>
      <c r="B6035" t="s">
        <v>8</v>
      </c>
      <c r="C6035" t="s">
        <v>17</v>
      </c>
      <c r="D6035">
        <v>1</v>
      </c>
      <c r="E6035" t="s">
        <v>68</v>
      </c>
      <c r="F6035" t="s">
        <v>39</v>
      </c>
      <c r="G6035" t="s">
        <v>40</v>
      </c>
    </row>
    <row r="6036" spans="1:7" x14ac:dyDescent="0.3">
      <c r="A6036" t="s">
        <v>78</v>
      </c>
      <c r="B6036" t="s">
        <v>8</v>
      </c>
      <c r="C6036" t="s">
        <v>18</v>
      </c>
      <c r="D6036">
        <v>0</v>
      </c>
      <c r="E6036" t="s">
        <v>68</v>
      </c>
      <c r="F6036" t="s">
        <v>39</v>
      </c>
      <c r="G6036" t="s">
        <v>40</v>
      </c>
    </row>
    <row r="6037" spans="1:7" x14ac:dyDescent="0.3">
      <c r="A6037" t="s">
        <v>78</v>
      </c>
      <c r="B6037" t="s">
        <v>8</v>
      </c>
      <c r="C6037" t="s">
        <v>19</v>
      </c>
      <c r="D6037">
        <v>0</v>
      </c>
      <c r="E6037" t="s">
        <v>68</v>
      </c>
      <c r="F6037" t="s">
        <v>39</v>
      </c>
      <c r="G6037" t="s">
        <v>40</v>
      </c>
    </row>
    <row r="6038" spans="1:7" x14ac:dyDescent="0.3">
      <c r="A6038" t="s">
        <v>78</v>
      </c>
      <c r="B6038" t="s">
        <v>8</v>
      </c>
      <c r="C6038" t="s">
        <v>20</v>
      </c>
      <c r="D6038">
        <v>0</v>
      </c>
      <c r="E6038" t="s">
        <v>68</v>
      </c>
      <c r="F6038" t="s">
        <v>39</v>
      </c>
      <c r="G6038" t="s">
        <v>40</v>
      </c>
    </row>
    <row r="6039" spans="1:7" x14ac:dyDescent="0.3">
      <c r="A6039" t="s">
        <v>78</v>
      </c>
      <c r="B6039" t="s">
        <v>8</v>
      </c>
      <c r="C6039" t="s">
        <v>21</v>
      </c>
      <c r="D6039">
        <v>0</v>
      </c>
      <c r="E6039" t="s">
        <v>68</v>
      </c>
      <c r="F6039" t="s">
        <v>39</v>
      </c>
      <c r="G6039" t="s">
        <v>40</v>
      </c>
    </row>
    <row r="6040" spans="1:7" x14ac:dyDescent="0.3">
      <c r="A6040" t="s">
        <v>78</v>
      </c>
      <c r="B6040" t="s">
        <v>8</v>
      </c>
      <c r="C6040" t="s">
        <v>22</v>
      </c>
      <c r="D6040">
        <v>5</v>
      </c>
      <c r="E6040" t="s">
        <v>68</v>
      </c>
      <c r="F6040" t="s">
        <v>39</v>
      </c>
      <c r="G6040" t="s">
        <v>40</v>
      </c>
    </row>
    <row r="6041" spans="1:7" x14ac:dyDescent="0.3">
      <c r="A6041" t="s">
        <v>78</v>
      </c>
      <c r="B6041" t="s">
        <v>23</v>
      </c>
      <c r="C6041" t="s">
        <v>9</v>
      </c>
      <c r="D6041">
        <v>29</v>
      </c>
      <c r="E6041" t="s">
        <v>68</v>
      </c>
      <c r="F6041" t="s">
        <v>39</v>
      </c>
      <c r="G6041" t="s">
        <v>40</v>
      </c>
    </row>
    <row r="6042" spans="1:7" x14ac:dyDescent="0.3">
      <c r="A6042" t="s">
        <v>78</v>
      </c>
      <c r="B6042" t="s">
        <v>23</v>
      </c>
      <c r="C6042" t="s">
        <v>13</v>
      </c>
      <c r="D6042">
        <v>29</v>
      </c>
      <c r="E6042" t="s">
        <v>68</v>
      </c>
      <c r="F6042" t="s">
        <v>39</v>
      </c>
      <c r="G6042" t="s">
        <v>40</v>
      </c>
    </row>
    <row r="6043" spans="1:7" x14ac:dyDescent="0.3">
      <c r="A6043" t="s">
        <v>78</v>
      </c>
      <c r="B6043" t="s">
        <v>23</v>
      </c>
      <c r="C6043" t="s">
        <v>14</v>
      </c>
      <c r="D6043">
        <v>77</v>
      </c>
      <c r="E6043" t="s">
        <v>68</v>
      </c>
      <c r="F6043" t="s">
        <v>39</v>
      </c>
      <c r="G6043" t="s">
        <v>40</v>
      </c>
    </row>
    <row r="6044" spans="1:7" x14ac:dyDescent="0.3">
      <c r="A6044" t="s">
        <v>78</v>
      </c>
      <c r="B6044" t="s">
        <v>23</v>
      </c>
      <c r="C6044" t="s">
        <v>15</v>
      </c>
      <c r="D6044">
        <v>6</v>
      </c>
      <c r="E6044" t="s">
        <v>68</v>
      </c>
      <c r="F6044" t="s">
        <v>39</v>
      </c>
      <c r="G6044" t="s">
        <v>40</v>
      </c>
    </row>
    <row r="6045" spans="1:7" x14ac:dyDescent="0.3">
      <c r="A6045" t="s">
        <v>78</v>
      </c>
      <c r="B6045" t="s">
        <v>23</v>
      </c>
      <c r="C6045" t="s">
        <v>16</v>
      </c>
      <c r="D6045">
        <v>60968</v>
      </c>
      <c r="E6045" t="s">
        <v>68</v>
      </c>
      <c r="F6045" t="s">
        <v>39</v>
      </c>
      <c r="G6045" t="s">
        <v>40</v>
      </c>
    </row>
    <row r="6046" spans="1:7" x14ac:dyDescent="0.3">
      <c r="A6046" t="s">
        <v>78</v>
      </c>
      <c r="B6046" t="s">
        <v>23</v>
      </c>
      <c r="C6046" t="s">
        <v>17</v>
      </c>
      <c r="D6046">
        <v>7</v>
      </c>
      <c r="E6046" t="s">
        <v>68</v>
      </c>
      <c r="F6046" t="s">
        <v>39</v>
      </c>
      <c r="G6046" t="s">
        <v>40</v>
      </c>
    </row>
    <row r="6047" spans="1:7" x14ac:dyDescent="0.3">
      <c r="A6047" t="s">
        <v>78</v>
      </c>
      <c r="B6047" t="s">
        <v>23</v>
      </c>
      <c r="C6047" t="s">
        <v>18</v>
      </c>
      <c r="D6047">
        <v>0</v>
      </c>
      <c r="E6047" t="s">
        <v>68</v>
      </c>
      <c r="F6047" t="s">
        <v>39</v>
      </c>
      <c r="G6047" t="s">
        <v>40</v>
      </c>
    </row>
    <row r="6048" spans="1:7" x14ac:dyDescent="0.3">
      <c r="A6048" t="s">
        <v>78</v>
      </c>
      <c r="B6048" t="s">
        <v>23</v>
      </c>
      <c r="C6048" t="s">
        <v>19</v>
      </c>
      <c r="D6048">
        <v>2</v>
      </c>
      <c r="E6048" t="s">
        <v>68</v>
      </c>
      <c r="F6048" t="s">
        <v>39</v>
      </c>
      <c r="G6048" t="s">
        <v>40</v>
      </c>
    </row>
    <row r="6049" spans="1:7" x14ac:dyDescent="0.3">
      <c r="A6049" t="s">
        <v>78</v>
      </c>
      <c r="B6049" t="s">
        <v>23</v>
      </c>
      <c r="C6049" t="s">
        <v>20</v>
      </c>
      <c r="D6049">
        <v>243</v>
      </c>
      <c r="E6049" t="s">
        <v>68</v>
      </c>
      <c r="F6049" t="s">
        <v>39</v>
      </c>
      <c r="G6049" t="s">
        <v>40</v>
      </c>
    </row>
    <row r="6050" spans="1:7" x14ac:dyDescent="0.3">
      <c r="A6050" t="s">
        <v>78</v>
      </c>
      <c r="B6050" t="s">
        <v>23</v>
      </c>
      <c r="C6050" t="s">
        <v>21</v>
      </c>
      <c r="D6050">
        <v>2</v>
      </c>
      <c r="E6050" t="s">
        <v>68</v>
      </c>
      <c r="F6050" t="s">
        <v>39</v>
      </c>
      <c r="G6050" t="s">
        <v>40</v>
      </c>
    </row>
    <row r="6051" spans="1:7" x14ac:dyDescent="0.3">
      <c r="A6051" t="s">
        <v>78</v>
      </c>
      <c r="B6051" t="s">
        <v>23</v>
      </c>
      <c r="C6051" t="s">
        <v>22</v>
      </c>
      <c r="D6051">
        <v>67</v>
      </c>
      <c r="E6051" t="s">
        <v>68</v>
      </c>
      <c r="F6051" t="s">
        <v>39</v>
      </c>
      <c r="G6051" t="s">
        <v>40</v>
      </c>
    </row>
    <row r="6052" spans="1:7" x14ac:dyDescent="0.3">
      <c r="A6052" t="s">
        <v>79</v>
      </c>
      <c r="B6052" t="s">
        <v>8</v>
      </c>
      <c r="C6052" t="s">
        <v>9</v>
      </c>
      <c r="D6052">
        <v>0</v>
      </c>
      <c r="E6052" t="s">
        <v>68</v>
      </c>
      <c r="F6052" t="s">
        <v>39</v>
      </c>
      <c r="G6052" t="s">
        <v>40</v>
      </c>
    </row>
    <row r="6053" spans="1:7" x14ac:dyDescent="0.3">
      <c r="A6053" t="s">
        <v>79</v>
      </c>
      <c r="B6053" t="s">
        <v>8</v>
      </c>
      <c r="C6053" t="s">
        <v>13</v>
      </c>
      <c r="D6053">
        <v>0</v>
      </c>
      <c r="E6053" t="s">
        <v>68</v>
      </c>
      <c r="F6053" t="s">
        <v>39</v>
      </c>
      <c r="G6053" t="s">
        <v>40</v>
      </c>
    </row>
    <row r="6054" spans="1:7" x14ac:dyDescent="0.3">
      <c r="A6054" t="s">
        <v>79</v>
      </c>
      <c r="B6054" t="s">
        <v>8</v>
      </c>
      <c r="C6054" t="s">
        <v>14</v>
      </c>
      <c r="D6054">
        <v>0</v>
      </c>
      <c r="E6054" t="s">
        <v>68</v>
      </c>
      <c r="F6054" t="s">
        <v>39</v>
      </c>
      <c r="G6054" t="s">
        <v>40</v>
      </c>
    </row>
    <row r="6055" spans="1:7" x14ac:dyDescent="0.3">
      <c r="A6055" t="s">
        <v>79</v>
      </c>
      <c r="B6055" t="s">
        <v>8</v>
      </c>
      <c r="C6055" t="s">
        <v>15</v>
      </c>
      <c r="D6055">
        <v>0</v>
      </c>
      <c r="E6055" t="s">
        <v>68</v>
      </c>
      <c r="F6055" t="s">
        <v>39</v>
      </c>
      <c r="G6055" t="s">
        <v>40</v>
      </c>
    </row>
    <row r="6056" spans="1:7" x14ac:dyDescent="0.3">
      <c r="A6056" t="s">
        <v>79</v>
      </c>
      <c r="B6056" t="s">
        <v>8</v>
      </c>
      <c r="C6056" t="s">
        <v>16</v>
      </c>
      <c r="D6056">
        <v>7704</v>
      </c>
      <c r="E6056" t="s">
        <v>68</v>
      </c>
      <c r="F6056" t="s">
        <v>39</v>
      </c>
      <c r="G6056" t="s">
        <v>40</v>
      </c>
    </row>
    <row r="6057" spans="1:7" x14ac:dyDescent="0.3">
      <c r="A6057" t="s">
        <v>79</v>
      </c>
      <c r="B6057" t="s">
        <v>8</v>
      </c>
      <c r="C6057" t="s">
        <v>17</v>
      </c>
      <c r="D6057">
        <v>1</v>
      </c>
      <c r="E6057" t="s">
        <v>68</v>
      </c>
      <c r="F6057" t="s">
        <v>39</v>
      </c>
      <c r="G6057" t="s">
        <v>40</v>
      </c>
    </row>
    <row r="6058" spans="1:7" x14ac:dyDescent="0.3">
      <c r="A6058" t="s">
        <v>79</v>
      </c>
      <c r="B6058" t="s">
        <v>8</v>
      </c>
      <c r="C6058" t="s">
        <v>18</v>
      </c>
      <c r="D6058">
        <v>0</v>
      </c>
      <c r="E6058" t="s">
        <v>68</v>
      </c>
      <c r="F6058" t="s">
        <v>39</v>
      </c>
      <c r="G6058" t="s">
        <v>40</v>
      </c>
    </row>
    <row r="6059" spans="1:7" x14ac:dyDescent="0.3">
      <c r="A6059" t="s">
        <v>79</v>
      </c>
      <c r="B6059" t="s">
        <v>8</v>
      </c>
      <c r="C6059" t="s">
        <v>19</v>
      </c>
      <c r="D6059">
        <v>0</v>
      </c>
      <c r="E6059" t="s">
        <v>68</v>
      </c>
      <c r="F6059" t="s">
        <v>39</v>
      </c>
      <c r="G6059" t="s">
        <v>40</v>
      </c>
    </row>
    <row r="6060" spans="1:7" x14ac:dyDescent="0.3">
      <c r="A6060" t="s">
        <v>79</v>
      </c>
      <c r="B6060" t="s">
        <v>8</v>
      </c>
      <c r="C6060" t="s">
        <v>20</v>
      </c>
      <c r="D6060">
        <v>0</v>
      </c>
      <c r="E6060" t="s">
        <v>68</v>
      </c>
      <c r="F6060" t="s">
        <v>39</v>
      </c>
      <c r="G6060" t="s">
        <v>40</v>
      </c>
    </row>
    <row r="6061" spans="1:7" x14ac:dyDescent="0.3">
      <c r="A6061" t="s">
        <v>79</v>
      </c>
      <c r="B6061" t="s">
        <v>8</v>
      </c>
      <c r="C6061" t="s">
        <v>21</v>
      </c>
      <c r="D6061">
        <v>0</v>
      </c>
      <c r="E6061" t="s">
        <v>68</v>
      </c>
      <c r="F6061" t="s">
        <v>39</v>
      </c>
      <c r="G6061" t="s">
        <v>40</v>
      </c>
    </row>
    <row r="6062" spans="1:7" x14ac:dyDescent="0.3">
      <c r="A6062" t="s">
        <v>79</v>
      </c>
      <c r="B6062" t="s">
        <v>8</v>
      </c>
      <c r="C6062" t="s">
        <v>22</v>
      </c>
      <c r="D6062">
        <v>4</v>
      </c>
      <c r="E6062" t="s">
        <v>68</v>
      </c>
      <c r="F6062" t="s">
        <v>39</v>
      </c>
      <c r="G6062" t="s">
        <v>40</v>
      </c>
    </row>
    <row r="6063" spans="1:7" x14ac:dyDescent="0.3">
      <c r="A6063" t="s">
        <v>79</v>
      </c>
      <c r="B6063" t="s">
        <v>23</v>
      </c>
      <c r="C6063" t="s">
        <v>9</v>
      </c>
      <c r="D6063">
        <v>25</v>
      </c>
      <c r="E6063" t="s">
        <v>68</v>
      </c>
      <c r="F6063" t="s">
        <v>39</v>
      </c>
      <c r="G6063" t="s">
        <v>40</v>
      </c>
    </row>
    <row r="6064" spans="1:7" x14ac:dyDescent="0.3">
      <c r="A6064" t="s">
        <v>79</v>
      </c>
      <c r="B6064" t="s">
        <v>23</v>
      </c>
      <c r="C6064" t="s">
        <v>13</v>
      </c>
      <c r="D6064">
        <v>25</v>
      </c>
      <c r="E6064" t="s">
        <v>68</v>
      </c>
      <c r="F6064" t="s">
        <v>39</v>
      </c>
      <c r="G6064" t="s">
        <v>40</v>
      </c>
    </row>
    <row r="6065" spans="1:7" x14ac:dyDescent="0.3">
      <c r="A6065" t="s">
        <v>79</v>
      </c>
      <c r="B6065" t="s">
        <v>23</v>
      </c>
      <c r="C6065" t="s">
        <v>14</v>
      </c>
      <c r="D6065">
        <v>66</v>
      </c>
      <c r="E6065" t="s">
        <v>68</v>
      </c>
      <c r="F6065" t="s">
        <v>39</v>
      </c>
      <c r="G6065" t="s">
        <v>40</v>
      </c>
    </row>
    <row r="6066" spans="1:7" x14ac:dyDescent="0.3">
      <c r="A6066" t="s">
        <v>79</v>
      </c>
      <c r="B6066" t="s">
        <v>23</v>
      </c>
      <c r="C6066" t="s">
        <v>15</v>
      </c>
      <c r="D6066">
        <v>6</v>
      </c>
      <c r="E6066" t="s">
        <v>68</v>
      </c>
      <c r="F6066" t="s">
        <v>39</v>
      </c>
      <c r="G6066" t="s">
        <v>40</v>
      </c>
    </row>
    <row r="6067" spans="1:7" x14ac:dyDescent="0.3">
      <c r="A6067" t="s">
        <v>79</v>
      </c>
      <c r="B6067" t="s">
        <v>23</v>
      </c>
      <c r="C6067" t="s">
        <v>16</v>
      </c>
      <c r="D6067">
        <v>52161</v>
      </c>
      <c r="E6067" t="s">
        <v>68</v>
      </c>
      <c r="F6067" t="s">
        <v>39</v>
      </c>
      <c r="G6067" t="s">
        <v>40</v>
      </c>
    </row>
    <row r="6068" spans="1:7" x14ac:dyDescent="0.3">
      <c r="A6068" t="s">
        <v>79</v>
      </c>
      <c r="B6068" t="s">
        <v>23</v>
      </c>
      <c r="C6068" t="s">
        <v>17</v>
      </c>
      <c r="D6068">
        <v>6</v>
      </c>
      <c r="E6068" t="s">
        <v>68</v>
      </c>
      <c r="F6068" t="s">
        <v>39</v>
      </c>
      <c r="G6068" t="s">
        <v>40</v>
      </c>
    </row>
    <row r="6069" spans="1:7" x14ac:dyDescent="0.3">
      <c r="A6069" t="s">
        <v>79</v>
      </c>
      <c r="B6069" t="s">
        <v>23</v>
      </c>
      <c r="C6069" t="s">
        <v>18</v>
      </c>
      <c r="D6069">
        <v>0</v>
      </c>
      <c r="E6069" t="s">
        <v>68</v>
      </c>
      <c r="F6069" t="s">
        <v>39</v>
      </c>
      <c r="G6069" t="s">
        <v>40</v>
      </c>
    </row>
    <row r="6070" spans="1:7" x14ac:dyDescent="0.3">
      <c r="A6070" t="s">
        <v>79</v>
      </c>
      <c r="B6070" t="s">
        <v>23</v>
      </c>
      <c r="C6070" t="s">
        <v>19</v>
      </c>
      <c r="D6070">
        <v>1</v>
      </c>
      <c r="E6070" t="s">
        <v>68</v>
      </c>
      <c r="F6070" t="s">
        <v>39</v>
      </c>
      <c r="G6070" t="s">
        <v>40</v>
      </c>
    </row>
    <row r="6071" spans="1:7" x14ac:dyDescent="0.3">
      <c r="A6071" t="s">
        <v>79</v>
      </c>
      <c r="B6071" t="s">
        <v>23</v>
      </c>
      <c r="C6071" t="s">
        <v>20</v>
      </c>
      <c r="D6071">
        <v>208</v>
      </c>
      <c r="E6071" t="s">
        <v>68</v>
      </c>
      <c r="F6071" t="s">
        <v>39</v>
      </c>
      <c r="G6071" t="s">
        <v>40</v>
      </c>
    </row>
    <row r="6072" spans="1:7" x14ac:dyDescent="0.3">
      <c r="A6072" t="s">
        <v>79</v>
      </c>
      <c r="B6072" t="s">
        <v>23</v>
      </c>
      <c r="C6072" t="s">
        <v>21</v>
      </c>
      <c r="D6072">
        <v>2</v>
      </c>
      <c r="E6072" t="s">
        <v>68</v>
      </c>
      <c r="F6072" t="s">
        <v>39</v>
      </c>
      <c r="G6072" t="s">
        <v>40</v>
      </c>
    </row>
    <row r="6073" spans="1:7" x14ac:dyDescent="0.3">
      <c r="A6073" t="s">
        <v>79</v>
      </c>
      <c r="B6073" t="s">
        <v>23</v>
      </c>
      <c r="C6073" t="s">
        <v>22</v>
      </c>
      <c r="D6073">
        <v>57</v>
      </c>
      <c r="E6073" t="s">
        <v>68</v>
      </c>
      <c r="F6073" t="s">
        <v>39</v>
      </c>
      <c r="G6073" t="s">
        <v>40</v>
      </c>
    </row>
    <row r="6074" spans="1:7" x14ac:dyDescent="0.3">
      <c r="A6074" t="s">
        <v>80</v>
      </c>
      <c r="B6074" t="s">
        <v>8</v>
      </c>
      <c r="C6074" t="s">
        <v>9</v>
      </c>
      <c r="D6074">
        <v>0</v>
      </c>
      <c r="E6074" t="s">
        <v>68</v>
      </c>
      <c r="F6074" t="s">
        <v>39</v>
      </c>
      <c r="G6074" t="s">
        <v>40</v>
      </c>
    </row>
    <row r="6075" spans="1:7" x14ac:dyDescent="0.3">
      <c r="A6075" t="s">
        <v>80</v>
      </c>
      <c r="B6075" t="s">
        <v>8</v>
      </c>
      <c r="C6075" t="s">
        <v>13</v>
      </c>
      <c r="D6075">
        <v>0</v>
      </c>
      <c r="E6075" t="s">
        <v>68</v>
      </c>
      <c r="F6075" t="s">
        <v>39</v>
      </c>
      <c r="G6075" t="s">
        <v>40</v>
      </c>
    </row>
    <row r="6076" spans="1:7" x14ac:dyDescent="0.3">
      <c r="A6076" t="s">
        <v>80</v>
      </c>
      <c r="B6076" t="s">
        <v>8</v>
      </c>
      <c r="C6076" t="s">
        <v>14</v>
      </c>
      <c r="D6076">
        <v>0</v>
      </c>
      <c r="E6076" t="s">
        <v>68</v>
      </c>
      <c r="F6076" t="s">
        <v>39</v>
      </c>
      <c r="G6076" t="s">
        <v>40</v>
      </c>
    </row>
    <row r="6077" spans="1:7" x14ac:dyDescent="0.3">
      <c r="A6077" t="s">
        <v>80</v>
      </c>
      <c r="B6077" t="s">
        <v>8</v>
      </c>
      <c r="C6077" t="s">
        <v>15</v>
      </c>
      <c r="D6077">
        <v>0</v>
      </c>
      <c r="E6077" t="s">
        <v>68</v>
      </c>
      <c r="F6077" t="s">
        <v>39</v>
      </c>
      <c r="G6077" t="s">
        <v>40</v>
      </c>
    </row>
    <row r="6078" spans="1:7" x14ac:dyDescent="0.3">
      <c r="A6078" t="s">
        <v>80</v>
      </c>
      <c r="B6078" t="s">
        <v>8</v>
      </c>
      <c r="C6078" t="s">
        <v>16</v>
      </c>
      <c r="D6078">
        <v>0</v>
      </c>
      <c r="E6078" t="s">
        <v>68</v>
      </c>
      <c r="F6078" t="s">
        <v>39</v>
      </c>
      <c r="G6078" t="s">
        <v>40</v>
      </c>
    </row>
    <row r="6079" spans="1:7" x14ac:dyDescent="0.3">
      <c r="A6079" t="s">
        <v>80</v>
      </c>
      <c r="B6079" t="s">
        <v>8</v>
      </c>
      <c r="C6079" t="s">
        <v>17</v>
      </c>
      <c r="D6079">
        <v>0</v>
      </c>
      <c r="E6079" t="s">
        <v>68</v>
      </c>
      <c r="F6079" t="s">
        <v>39</v>
      </c>
      <c r="G6079" t="s">
        <v>40</v>
      </c>
    </row>
    <row r="6080" spans="1:7" x14ac:dyDescent="0.3">
      <c r="A6080" t="s">
        <v>80</v>
      </c>
      <c r="B6080" t="s">
        <v>8</v>
      </c>
      <c r="C6080" t="s">
        <v>18</v>
      </c>
      <c r="D6080">
        <v>0</v>
      </c>
      <c r="E6080" t="s">
        <v>68</v>
      </c>
      <c r="F6080" t="s">
        <v>39</v>
      </c>
      <c r="G6080" t="s">
        <v>40</v>
      </c>
    </row>
    <row r="6081" spans="1:7" x14ac:dyDescent="0.3">
      <c r="A6081" t="s">
        <v>80</v>
      </c>
      <c r="B6081" t="s">
        <v>8</v>
      </c>
      <c r="C6081" t="s">
        <v>19</v>
      </c>
      <c r="D6081">
        <v>0</v>
      </c>
      <c r="E6081" t="s">
        <v>68</v>
      </c>
      <c r="F6081" t="s">
        <v>39</v>
      </c>
      <c r="G6081" t="s">
        <v>40</v>
      </c>
    </row>
    <row r="6082" spans="1:7" x14ac:dyDescent="0.3">
      <c r="A6082" t="s">
        <v>80</v>
      </c>
      <c r="B6082" t="s">
        <v>8</v>
      </c>
      <c r="C6082" t="s">
        <v>20</v>
      </c>
      <c r="D6082">
        <v>0</v>
      </c>
      <c r="E6082" t="s">
        <v>68</v>
      </c>
      <c r="F6082" t="s">
        <v>39</v>
      </c>
      <c r="G6082" t="s">
        <v>40</v>
      </c>
    </row>
    <row r="6083" spans="1:7" x14ac:dyDescent="0.3">
      <c r="A6083" t="s">
        <v>80</v>
      </c>
      <c r="B6083" t="s">
        <v>8</v>
      </c>
      <c r="C6083" t="s">
        <v>21</v>
      </c>
      <c r="D6083">
        <v>0</v>
      </c>
      <c r="E6083" t="s">
        <v>68</v>
      </c>
      <c r="F6083" t="s">
        <v>39</v>
      </c>
      <c r="G6083" t="s">
        <v>40</v>
      </c>
    </row>
    <row r="6084" spans="1:7" x14ac:dyDescent="0.3">
      <c r="A6084" t="s">
        <v>80</v>
      </c>
      <c r="B6084" t="s">
        <v>8</v>
      </c>
      <c r="C6084" t="s">
        <v>22</v>
      </c>
      <c r="D6084">
        <v>36117</v>
      </c>
      <c r="E6084" t="s">
        <v>68</v>
      </c>
      <c r="F6084" t="s">
        <v>39</v>
      </c>
      <c r="G6084" t="s">
        <v>40</v>
      </c>
    </row>
    <row r="6085" spans="1:7" x14ac:dyDescent="0.3">
      <c r="A6085" t="s">
        <v>80</v>
      </c>
      <c r="B6085" t="s">
        <v>23</v>
      </c>
      <c r="C6085" t="s">
        <v>9</v>
      </c>
      <c r="D6085">
        <v>600</v>
      </c>
      <c r="E6085" t="s">
        <v>68</v>
      </c>
      <c r="F6085" t="s">
        <v>39</v>
      </c>
      <c r="G6085" t="s">
        <v>40</v>
      </c>
    </row>
    <row r="6086" spans="1:7" x14ac:dyDescent="0.3">
      <c r="A6086" t="s">
        <v>80</v>
      </c>
      <c r="B6086" t="s">
        <v>23</v>
      </c>
      <c r="C6086" t="s">
        <v>13</v>
      </c>
      <c r="D6086">
        <v>3438</v>
      </c>
      <c r="E6086" t="s">
        <v>68</v>
      </c>
      <c r="F6086" t="s">
        <v>39</v>
      </c>
      <c r="G6086" t="s">
        <v>40</v>
      </c>
    </row>
    <row r="6087" spans="1:7" x14ac:dyDescent="0.3">
      <c r="A6087" t="s">
        <v>80</v>
      </c>
      <c r="B6087" t="s">
        <v>23</v>
      </c>
      <c r="C6087" t="s">
        <v>14</v>
      </c>
      <c r="D6087">
        <v>768</v>
      </c>
      <c r="E6087" t="s">
        <v>68</v>
      </c>
      <c r="F6087" t="s">
        <v>39</v>
      </c>
      <c r="G6087" t="s">
        <v>40</v>
      </c>
    </row>
    <row r="6088" spans="1:7" x14ac:dyDescent="0.3">
      <c r="A6088" t="s">
        <v>80</v>
      </c>
      <c r="B6088" t="s">
        <v>23</v>
      </c>
      <c r="C6088" t="s">
        <v>15</v>
      </c>
      <c r="D6088">
        <v>47</v>
      </c>
      <c r="E6088" t="s">
        <v>68</v>
      </c>
      <c r="F6088" t="s">
        <v>39</v>
      </c>
      <c r="G6088" t="s">
        <v>40</v>
      </c>
    </row>
    <row r="6089" spans="1:7" x14ac:dyDescent="0.3">
      <c r="A6089" t="s">
        <v>80</v>
      </c>
      <c r="B6089" t="s">
        <v>23</v>
      </c>
      <c r="C6089" t="s">
        <v>16</v>
      </c>
      <c r="D6089">
        <v>1887</v>
      </c>
      <c r="E6089" t="s">
        <v>68</v>
      </c>
      <c r="F6089" t="s">
        <v>39</v>
      </c>
      <c r="G6089" t="s">
        <v>40</v>
      </c>
    </row>
    <row r="6090" spans="1:7" x14ac:dyDescent="0.3">
      <c r="A6090" t="s">
        <v>80</v>
      </c>
      <c r="B6090" t="s">
        <v>23</v>
      </c>
      <c r="C6090" t="s">
        <v>17</v>
      </c>
      <c r="D6090">
        <v>145</v>
      </c>
      <c r="E6090" t="s">
        <v>68</v>
      </c>
      <c r="F6090" t="s">
        <v>39</v>
      </c>
      <c r="G6090" t="s">
        <v>40</v>
      </c>
    </row>
    <row r="6091" spans="1:7" x14ac:dyDescent="0.3">
      <c r="A6091" t="s">
        <v>80</v>
      </c>
      <c r="B6091" t="s">
        <v>23</v>
      </c>
      <c r="C6091" t="s">
        <v>18</v>
      </c>
      <c r="D6091">
        <v>0</v>
      </c>
      <c r="E6091" t="s">
        <v>68</v>
      </c>
      <c r="F6091" t="s">
        <v>39</v>
      </c>
      <c r="G6091" t="s">
        <v>40</v>
      </c>
    </row>
    <row r="6092" spans="1:7" x14ac:dyDescent="0.3">
      <c r="A6092" t="s">
        <v>80</v>
      </c>
      <c r="B6092" t="s">
        <v>23</v>
      </c>
      <c r="C6092" t="s">
        <v>19</v>
      </c>
      <c r="D6092">
        <v>120</v>
      </c>
      <c r="E6092" t="s">
        <v>68</v>
      </c>
      <c r="F6092" t="s">
        <v>39</v>
      </c>
      <c r="G6092" t="s">
        <v>40</v>
      </c>
    </row>
    <row r="6093" spans="1:7" x14ac:dyDescent="0.3">
      <c r="A6093" t="s">
        <v>80</v>
      </c>
      <c r="B6093" t="s">
        <v>23</v>
      </c>
      <c r="C6093" t="s">
        <v>20</v>
      </c>
      <c r="D6093">
        <v>292</v>
      </c>
      <c r="E6093" t="s">
        <v>68</v>
      </c>
      <c r="F6093" t="s">
        <v>39</v>
      </c>
      <c r="G6093" t="s">
        <v>40</v>
      </c>
    </row>
    <row r="6094" spans="1:7" x14ac:dyDescent="0.3">
      <c r="A6094" t="s">
        <v>80</v>
      </c>
      <c r="B6094" t="s">
        <v>23</v>
      </c>
      <c r="C6094" t="s">
        <v>21</v>
      </c>
      <c r="D6094">
        <v>15</v>
      </c>
      <c r="E6094" t="s">
        <v>68</v>
      </c>
      <c r="F6094" t="s">
        <v>39</v>
      </c>
      <c r="G6094" t="s">
        <v>40</v>
      </c>
    </row>
    <row r="6095" spans="1:7" x14ac:dyDescent="0.3">
      <c r="A6095" t="s">
        <v>80</v>
      </c>
      <c r="B6095" t="s">
        <v>23</v>
      </c>
      <c r="C6095" t="s">
        <v>22</v>
      </c>
      <c r="D6095">
        <v>30358</v>
      </c>
      <c r="E6095" t="s">
        <v>68</v>
      </c>
      <c r="F6095" t="s">
        <v>39</v>
      </c>
      <c r="G6095" t="s">
        <v>40</v>
      </c>
    </row>
    <row r="6096" spans="1:7" x14ac:dyDescent="0.3">
      <c r="A6096" t="s">
        <v>81</v>
      </c>
      <c r="B6096" t="s">
        <v>8</v>
      </c>
      <c r="C6096" t="s">
        <v>9</v>
      </c>
      <c r="D6096">
        <v>0</v>
      </c>
      <c r="E6096" t="s">
        <v>68</v>
      </c>
      <c r="F6096" t="s">
        <v>39</v>
      </c>
      <c r="G6096" t="s">
        <v>40</v>
      </c>
    </row>
    <row r="6097" spans="1:7" x14ac:dyDescent="0.3">
      <c r="A6097" t="s">
        <v>81</v>
      </c>
      <c r="B6097" t="s">
        <v>8</v>
      </c>
      <c r="C6097" t="s">
        <v>13</v>
      </c>
      <c r="D6097">
        <v>796</v>
      </c>
      <c r="E6097" t="s">
        <v>68</v>
      </c>
      <c r="F6097" t="s">
        <v>39</v>
      </c>
      <c r="G6097" t="s">
        <v>40</v>
      </c>
    </row>
    <row r="6098" spans="1:7" x14ac:dyDescent="0.3">
      <c r="A6098" t="s">
        <v>81</v>
      </c>
      <c r="B6098" t="s">
        <v>8</v>
      </c>
      <c r="C6098" t="s">
        <v>14</v>
      </c>
      <c r="D6098">
        <v>243</v>
      </c>
      <c r="E6098" t="s">
        <v>68</v>
      </c>
      <c r="F6098" t="s">
        <v>39</v>
      </c>
      <c r="G6098" t="s">
        <v>40</v>
      </c>
    </row>
    <row r="6099" spans="1:7" x14ac:dyDescent="0.3">
      <c r="A6099" t="s">
        <v>81</v>
      </c>
      <c r="B6099" t="s">
        <v>8</v>
      </c>
      <c r="C6099" t="s">
        <v>15</v>
      </c>
      <c r="D6099">
        <v>2356</v>
      </c>
      <c r="E6099" t="s">
        <v>68</v>
      </c>
      <c r="F6099" t="s">
        <v>39</v>
      </c>
      <c r="G6099" t="s">
        <v>40</v>
      </c>
    </row>
    <row r="6100" spans="1:7" x14ac:dyDescent="0.3">
      <c r="A6100" t="s">
        <v>81</v>
      </c>
      <c r="B6100" t="s">
        <v>8</v>
      </c>
      <c r="C6100" t="s">
        <v>16</v>
      </c>
      <c r="D6100">
        <v>1938</v>
      </c>
      <c r="E6100" t="s">
        <v>68</v>
      </c>
      <c r="F6100" t="s">
        <v>39</v>
      </c>
      <c r="G6100" t="s">
        <v>40</v>
      </c>
    </row>
    <row r="6101" spans="1:7" x14ac:dyDescent="0.3">
      <c r="A6101" t="s">
        <v>81</v>
      </c>
      <c r="B6101" t="s">
        <v>8</v>
      </c>
      <c r="C6101" t="s">
        <v>17</v>
      </c>
      <c r="D6101">
        <v>0</v>
      </c>
      <c r="E6101" t="s">
        <v>68</v>
      </c>
      <c r="F6101" t="s">
        <v>39</v>
      </c>
      <c r="G6101" t="s">
        <v>40</v>
      </c>
    </row>
    <row r="6102" spans="1:7" x14ac:dyDescent="0.3">
      <c r="A6102" t="s">
        <v>81</v>
      </c>
      <c r="B6102" t="s">
        <v>8</v>
      </c>
      <c r="C6102" t="s">
        <v>18</v>
      </c>
      <c r="D6102">
        <v>0</v>
      </c>
      <c r="E6102" t="s">
        <v>68</v>
      </c>
      <c r="F6102" t="s">
        <v>39</v>
      </c>
      <c r="G6102" t="s">
        <v>40</v>
      </c>
    </row>
    <row r="6103" spans="1:7" x14ac:dyDescent="0.3">
      <c r="A6103" t="s">
        <v>81</v>
      </c>
      <c r="B6103" t="s">
        <v>8</v>
      </c>
      <c r="C6103" t="s">
        <v>19</v>
      </c>
      <c r="D6103">
        <v>112</v>
      </c>
      <c r="E6103" t="s">
        <v>68</v>
      </c>
      <c r="F6103" t="s">
        <v>39</v>
      </c>
      <c r="G6103" t="s">
        <v>40</v>
      </c>
    </row>
    <row r="6104" spans="1:7" x14ac:dyDescent="0.3">
      <c r="A6104" t="s">
        <v>81</v>
      </c>
      <c r="B6104" t="s">
        <v>8</v>
      </c>
      <c r="C6104" t="s">
        <v>20</v>
      </c>
      <c r="D6104">
        <v>0</v>
      </c>
      <c r="E6104" t="s">
        <v>68</v>
      </c>
      <c r="F6104" t="s">
        <v>39</v>
      </c>
      <c r="G6104" t="s">
        <v>40</v>
      </c>
    </row>
    <row r="6105" spans="1:7" x14ac:dyDescent="0.3">
      <c r="A6105" t="s">
        <v>81</v>
      </c>
      <c r="B6105" t="s">
        <v>8</v>
      </c>
      <c r="C6105" t="s">
        <v>21</v>
      </c>
      <c r="D6105">
        <v>228</v>
      </c>
      <c r="E6105" t="s">
        <v>68</v>
      </c>
      <c r="F6105" t="s">
        <v>39</v>
      </c>
      <c r="G6105" t="s">
        <v>40</v>
      </c>
    </row>
    <row r="6106" spans="1:7" x14ac:dyDescent="0.3">
      <c r="A6106" t="s">
        <v>81</v>
      </c>
      <c r="B6106" t="s">
        <v>8</v>
      </c>
      <c r="C6106" t="s">
        <v>22</v>
      </c>
      <c r="D6106">
        <v>5771</v>
      </c>
      <c r="E6106" t="s">
        <v>68</v>
      </c>
      <c r="F6106" t="s">
        <v>39</v>
      </c>
      <c r="G6106" t="s">
        <v>40</v>
      </c>
    </row>
    <row r="6107" spans="1:7" x14ac:dyDescent="0.3">
      <c r="A6107" t="s">
        <v>81</v>
      </c>
      <c r="B6107" t="s">
        <v>23</v>
      </c>
      <c r="C6107" t="s">
        <v>9</v>
      </c>
      <c r="D6107">
        <v>188</v>
      </c>
      <c r="E6107" t="s">
        <v>68</v>
      </c>
      <c r="F6107" t="s">
        <v>39</v>
      </c>
      <c r="G6107" t="s">
        <v>40</v>
      </c>
    </row>
    <row r="6108" spans="1:7" x14ac:dyDescent="0.3">
      <c r="A6108" t="s">
        <v>81</v>
      </c>
      <c r="B6108" t="s">
        <v>23</v>
      </c>
      <c r="C6108" t="s">
        <v>13</v>
      </c>
      <c r="D6108">
        <v>6596</v>
      </c>
      <c r="E6108" t="s">
        <v>68</v>
      </c>
      <c r="F6108" t="s">
        <v>39</v>
      </c>
      <c r="G6108" t="s">
        <v>40</v>
      </c>
    </row>
    <row r="6109" spans="1:7" x14ac:dyDescent="0.3">
      <c r="A6109" t="s">
        <v>81</v>
      </c>
      <c r="B6109" t="s">
        <v>23</v>
      </c>
      <c r="C6109" t="s">
        <v>14</v>
      </c>
      <c r="D6109">
        <v>2270</v>
      </c>
      <c r="E6109" t="s">
        <v>68</v>
      </c>
      <c r="F6109" t="s">
        <v>39</v>
      </c>
      <c r="G6109" t="s">
        <v>40</v>
      </c>
    </row>
    <row r="6110" spans="1:7" x14ac:dyDescent="0.3">
      <c r="A6110" t="s">
        <v>81</v>
      </c>
      <c r="B6110" t="s">
        <v>23</v>
      </c>
      <c r="C6110" t="s">
        <v>15</v>
      </c>
      <c r="D6110">
        <v>3267</v>
      </c>
      <c r="E6110" t="s">
        <v>68</v>
      </c>
      <c r="F6110" t="s">
        <v>39</v>
      </c>
      <c r="G6110" t="s">
        <v>40</v>
      </c>
    </row>
    <row r="6111" spans="1:7" x14ac:dyDescent="0.3">
      <c r="A6111" t="s">
        <v>81</v>
      </c>
      <c r="B6111" t="s">
        <v>23</v>
      </c>
      <c r="C6111" t="s">
        <v>16</v>
      </c>
      <c r="D6111">
        <v>14328</v>
      </c>
      <c r="E6111" t="s">
        <v>68</v>
      </c>
      <c r="F6111" t="s">
        <v>39</v>
      </c>
      <c r="G6111" t="s">
        <v>40</v>
      </c>
    </row>
    <row r="6112" spans="1:7" x14ac:dyDescent="0.3">
      <c r="A6112" t="s">
        <v>81</v>
      </c>
      <c r="B6112" t="s">
        <v>23</v>
      </c>
      <c r="C6112" t="s">
        <v>17</v>
      </c>
      <c r="D6112">
        <v>42</v>
      </c>
      <c r="E6112" t="s">
        <v>68</v>
      </c>
      <c r="F6112" t="s">
        <v>39</v>
      </c>
      <c r="G6112" t="s">
        <v>40</v>
      </c>
    </row>
    <row r="6113" spans="1:7" x14ac:dyDescent="0.3">
      <c r="A6113" t="s">
        <v>81</v>
      </c>
      <c r="B6113" t="s">
        <v>23</v>
      </c>
      <c r="C6113" t="s">
        <v>18</v>
      </c>
      <c r="D6113">
        <v>0</v>
      </c>
      <c r="E6113" t="s">
        <v>68</v>
      </c>
      <c r="F6113" t="s">
        <v>39</v>
      </c>
      <c r="G6113" t="s">
        <v>40</v>
      </c>
    </row>
    <row r="6114" spans="1:7" x14ac:dyDescent="0.3">
      <c r="A6114" t="s">
        <v>81</v>
      </c>
      <c r="B6114" t="s">
        <v>23</v>
      </c>
      <c r="C6114" t="s">
        <v>19</v>
      </c>
      <c r="D6114">
        <v>2790</v>
      </c>
      <c r="E6114" t="s">
        <v>68</v>
      </c>
      <c r="F6114" t="s">
        <v>39</v>
      </c>
      <c r="G6114" t="s">
        <v>40</v>
      </c>
    </row>
    <row r="6115" spans="1:7" x14ac:dyDescent="0.3">
      <c r="A6115" t="s">
        <v>81</v>
      </c>
      <c r="B6115" t="s">
        <v>23</v>
      </c>
      <c r="C6115" t="s">
        <v>20</v>
      </c>
      <c r="D6115">
        <v>162</v>
      </c>
      <c r="E6115" t="s">
        <v>68</v>
      </c>
      <c r="F6115" t="s">
        <v>39</v>
      </c>
      <c r="G6115" t="s">
        <v>40</v>
      </c>
    </row>
    <row r="6116" spans="1:7" x14ac:dyDescent="0.3">
      <c r="A6116" t="s">
        <v>81</v>
      </c>
      <c r="B6116" t="s">
        <v>23</v>
      </c>
      <c r="C6116" t="s">
        <v>21</v>
      </c>
      <c r="D6116">
        <v>267</v>
      </c>
      <c r="E6116" t="s">
        <v>68</v>
      </c>
      <c r="F6116" t="s">
        <v>39</v>
      </c>
      <c r="G6116" t="s">
        <v>40</v>
      </c>
    </row>
    <row r="6117" spans="1:7" x14ac:dyDescent="0.3">
      <c r="A6117" t="s">
        <v>81</v>
      </c>
      <c r="B6117" t="s">
        <v>23</v>
      </c>
      <c r="C6117" t="s">
        <v>22</v>
      </c>
      <c r="D6117">
        <v>5155</v>
      </c>
      <c r="E6117" t="s">
        <v>68</v>
      </c>
      <c r="F6117" t="s">
        <v>39</v>
      </c>
      <c r="G6117" t="s">
        <v>40</v>
      </c>
    </row>
    <row r="6118" spans="1:7" x14ac:dyDescent="0.3">
      <c r="A6118" t="s">
        <v>82</v>
      </c>
      <c r="B6118" t="s">
        <v>8</v>
      </c>
      <c r="C6118" t="s">
        <v>9</v>
      </c>
      <c r="D6118">
        <v>0</v>
      </c>
      <c r="E6118" t="s">
        <v>68</v>
      </c>
      <c r="F6118" t="s">
        <v>39</v>
      </c>
      <c r="G6118" t="s">
        <v>40</v>
      </c>
    </row>
    <row r="6119" spans="1:7" x14ac:dyDescent="0.3">
      <c r="A6119" t="s">
        <v>82</v>
      </c>
      <c r="B6119" t="s">
        <v>8</v>
      </c>
      <c r="C6119" t="s">
        <v>13</v>
      </c>
      <c r="D6119">
        <v>0</v>
      </c>
      <c r="E6119" t="s">
        <v>68</v>
      </c>
      <c r="F6119" t="s">
        <v>39</v>
      </c>
      <c r="G6119" t="s">
        <v>40</v>
      </c>
    </row>
    <row r="6120" spans="1:7" x14ac:dyDescent="0.3">
      <c r="A6120" t="s">
        <v>82</v>
      </c>
      <c r="B6120" t="s">
        <v>8</v>
      </c>
      <c r="C6120" t="s">
        <v>14</v>
      </c>
      <c r="D6120">
        <v>0</v>
      </c>
      <c r="E6120" t="s">
        <v>68</v>
      </c>
      <c r="F6120" t="s">
        <v>39</v>
      </c>
      <c r="G6120" t="s">
        <v>40</v>
      </c>
    </row>
    <row r="6121" spans="1:7" x14ac:dyDescent="0.3">
      <c r="A6121" t="s">
        <v>82</v>
      </c>
      <c r="B6121" t="s">
        <v>8</v>
      </c>
      <c r="C6121" t="s">
        <v>15</v>
      </c>
      <c r="D6121">
        <v>0</v>
      </c>
      <c r="E6121" t="s">
        <v>68</v>
      </c>
      <c r="F6121" t="s">
        <v>39</v>
      </c>
      <c r="G6121" t="s">
        <v>40</v>
      </c>
    </row>
    <row r="6122" spans="1:7" x14ac:dyDescent="0.3">
      <c r="A6122" t="s">
        <v>82</v>
      </c>
      <c r="B6122" t="s">
        <v>8</v>
      </c>
      <c r="C6122" t="s">
        <v>16</v>
      </c>
      <c r="D6122">
        <v>6703</v>
      </c>
      <c r="E6122" t="s">
        <v>68</v>
      </c>
      <c r="F6122" t="s">
        <v>39</v>
      </c>
      <c r="G6122" t="s">
        <v>40</v>
      </c>
    </row>
    <row r="6123" spans="1:7" x14ac:dyDescent="0.3">
      <c r="A6123" t="s">
        <v>82</v>
      </c>
      <c r="B6123" t="s">
        <v>8</v>
      </c>
      <c r="C6123" t="s">
        <v>17</v>
      </c>
      <c r="D6123">
        <v>0</v>
      </c>
      <c r="E6123" t="s">
        <v>68</v>
      </c>
      <c r="F6123" t="s">
        <v>39</v>
      </c>
      <c r="G6123" t="s">
        <v>40</v>
      </c>
    </row>
    <row r="6124" spans="1:7" x14ac:dyDescent="0.3">
      <c r="A6124" t="s">
        <v>82</v>
      </c>
      <c r="B6124" t="s">
        <v>8</v>
      </c>
      <c r="C6124" t="s">
        <v>18</v>
      </c>
      <c r="D6124">
        <v>0</v>
      </c>
      <c r="E6124" t="s">
        <v>68</v>
      </c>
      <c r="F6124" t="s">
        <v>39</v>
      </c>
      <c r="G6124" t="s">
        <v>40</v>
      </c>
    </row>
    <row r="6125" spans="1:7" x14ac:dyDescent="0.3">
      <c r="A6125" t="s">
        <v>82</v>
      </c>
      <c r="B6125" t="s">
        <v>8</v>
      </c>
      <c r="C6125" t="s">
        <v>19</v>
      </c>
      <c r="D6125">
        <v>0</v>
      </c>
      <c r="E6125" t="s">
        <v>68</v>
      </c>
      <c r="F6125" t="s">
        <v>39</v>
      </c>
      <c r="G6125" t="s">
        <v>40</v>
      </c>
    </row>
    <row r="6126" spans="1:7" x14ac:dyDescent="0.3">
      <c r="A6126" t="s">
        <v>82</v>
      </c>
      <c r="B6126" t="s">
        <v>8</v>
      </c>
      <c r="C6126" t="s">
        <v>20</v>
      </c>
      <c r="D6126">
        <v>0</v>
      </c>
      <c r="E6126" t="s">
        <v>68</v>
      </c>
      <c r="F6126" t="s">
        <v>39</v>
      </c>
      <c r="G6126" t="s">
        <v>40</v>
      </c>
    </row>
    <row r="6127" spans="1:7" x14ac:dyDescent="0.3">
      <c r="A6127" t="s">
        <v>82</v>
      </c>
      <c r="B6127" t="s">
        <v>8</v>
      </c>
      <c r="C6127" t="s">
        <v>21</v>
      </c>
      <c r="D6127">
        <v>0</v>
      </c>
      <c r="E6127" t="s">
        <v>68</v>
      </c>
      <c r="F6127" t="s">
        <v>39</v>
      </c>
      <c r="G6127" t="s">
        <v>40</v>
      </c>
    </row>
    <row r="6128" spans="1:7" x14ac:dyDescent="0.3">
      <c r="A6128" t="s">
        <v>82</v>
      </c>
      <c r="B6128" t="s">
        <v>8</v>
      </c>
      <c r="C6128" t="s">
        <v>22</v>
      </c>
      <c r="D6128">
        <v>4</v>
      </c>
      <c r="E6128" t="s">
        <v>68</v>
      </c>
      <c r="F6128" t="s">
        <v>39</v>
      </c>
      <c r="G6128" t="s">
        <v>40</v>
      </c>
    </row>
    <row r="6129" spans="1:7" x14ac:dyDescent="0.3">
      <c r="A6129" t="s">
        <v>82</v>
      </c>
      <c r="B6129" t="s">
        <v>23</v>
      </c>
      <c r="C6129" t="s">
        <v>9</v>
      </c>
      <c r="D6129">
        <v>22</v>
      </c>
      <c r="E6129" t="s">
        <v>68</v>
      </c>
      <c r="F6129" t="s">
        <v>39</v>
      </c>
      <c r="G6129" t="s">
        <v>40</v>
      </c>
    </row>
    <row r="6130" spans="1:7" x14ac:dyDescent="0.3">
      <c r="A6130" t="s">
        <v>82</v>
      </c>
      <c r="B6130" t="s">
        <v>23</v>
      </c>
      <c r="C6130" t="s">
        <v>13</v>
      </c>
      <c r="D6130">
        <v>22</v>
      </c>
      <c r="E6130" t="s">
        <v>68</v>
      </c>
      <c r="F6130" t="s">
        <v>39</v>
      </c>
      <c r="G6130" t="s">
        <v>40</v>
      </c>
    </row>
    <row r="6131" spans="1:7" x14ac:dyDescent="0.3">
      <c r="A6131" t="s">
        <v>82</v>
      </c>
      <c r="B6131" t="s">
        <v>23</v>
      </c>
      <c r="C6131" t="s">
        <v>14</v>
      </c>
      <c r="D6131">
        <v>57</v>
      </c>
      <c r="E6131" t="s">
        <v>68</v>
      </c>
      <c r="F6131" t="s">
        <v>39</v>
      </c>
      <c r="G6131" t="s">
        <v>40</v>
      </c>
    </row>
    <row r="6132" spans="1:7" x14ac:dyDescent="0.3">
      <c r="A6132" t="s">
        <v>82</v>
      </c>
      <c r="B6132" t="s">
        <v>23</v>
      </c>
      <c r="C6132" t="s">
        <v>15</v>
      </c>
      <c r="D6132">
        <v>5</v>
      </c>
      <c r="E6132" t="s">
        <v>68</v>
      </c>
      <c r="F6132" t="s">
        <v>39</v>
      </c>
      <c r="G6132" t="s">
        <v>40</v>
      </c>
    </row>
    <row r="6133" spans="1:7" x14ac:dyDescent="0.3">
      <c r="A6133" t="s">
        <v>82</v>
      </c>
      <c r="B6133" t="s">
        <v>23</v>
      </c>
      <c r="C6133" t="s">
        <v>16</v>
      </c>
      <c r="D6133">
        <v>45387</v>
      </c>
      <c r="E6133" t="s">
        <v>68</v>
      </c>
      <c r="F6133" t="s">
        <v>39</v>
      </c>
      <c r="G6133" t="s">
        <v>40</v>
      </c>
    </row>
    <row r="6134" spans="1:7" x14ac:dyDescent="0.3">
      <c r="A6134" t="s">
        <v>82</v>
      </c>
      <c r="B6134" t="s">
        <v>23</v>
      </c>
      <c r="C6134" t="s">
        <v>17</v>
      </c>
      <c r="D6134">
        <v>5</v>
      </c>
      <c r="E6134" t="s">
        <v>68</v>
      </c>
      <c r="F6134" t="s">
        <v>39</v>
      </c>
      <c r="G6134" t="s">
        <v>40</v>
      </c>
    </row>
    <row r="6135" spans="1:7" x14ac:dyDescent="0.3">
      <c r="A6135" t="s">
        <v>82</v>
      </c>
      <c r="B6135" t="s">
        <v>23</v>
      </c>
      <c r="C6135" t="s">
        <v>18</v>
      </c>
      <c r="D6135">
        <v>0</v>
      </c>
      <c r="E6135" t="s">
        <v>68</v>
      </c>
      <c r="F6135" t="s">
        <v>39</v>
      </c>
      <c r="G6135" t="s">
        <v>40</v>
      </c>
    </row>
    <row r="6136" spans="1:7" x14ac:dyDescent="0.3">
      <c r="A6136" t="s">
        <v>82</v>
      </c>
      <c r="B6136" t="s">
        <v>23</v>
      </c>
      <c r="C6136" t="s">
        <v>19</v>
      </c>
      <c r="D6136">
        <v>1</v>
      </c>
      <c r="E6136" t="s">
        <v>68</v>
      </c>
      <c r="F6136" t="s">
        <v>39</v>
      </c>
      <c r="G6136" t="s">
        <v>40</v>
      </c>
    </row>
    <row r="6137" spans="1:7" x14ac:dyDescent="0.3">
      <c r="A6137" t="s">
        <v>82</v>
      </c>
      <c r="B6137" t="s">
        <v>23</v>
      </c>
      <c r="C6137" t="s">
        <v>20</v>
      </c>
      <c r="D6137">
        <v>181</v>
      </c>
      <c r="E6137" t="s">
        <v>68</v>
      </c>
      <c r="F6137" t="s">
        <v>39</v>
      </c>
      <c r="G6137" t="s">
        <v>40</v>
      </c>
    </row>
    <row r="6138" spans="1:7" x14ac:dyDescent="0.3">
      <c r="A6138" t="s">
        <v>82</v>
      </c>
      <c r="B6138" t="s">
        <v>23</v>
      </c>
      <c r="C6138" t="s">
        <v>21</v>
      </c>
      <c r="D6138">
        <v>1</v>
      </c>
      <c r="E6138" t="s">
        <v>68</v>
      </c>
      <c r="F6138" t="s">
        <v>39</v>
      </c>
      <c r="G6138" t="s">
        <v>40</v>
      </c>
    </row>
    <row r="6139" spans="1:7" x14ac:dyDescent="0.3">
      <c r="A6139" t="s">
        <v>82</v>
      </c>
      <c r="B6139" t="s">
        <v>23</v>
      </c>
      <c r="C6139" t="s">
        <v>22</v>
      </c>
      <c r="D6139">
        <v>50</v>
      </c>
      <c r="E6139" t="s">
        <v>68</v>
      </c>
      <c r="F6139" t="s">
        <v>39</v>
      </c>
      <c r="G6139" t="s">
        <v>40</v>
      </c>
    </row>
    <row r="6140" spans="1:7" x14ac:dyDescent="0.3">
      <c r="A6140" t="s">
        <v>83</v>
      </c>
      <c r="B6140" t="s">
        <v>8</v>
      </c>
      <c r="C6140" t="s">
        <v>9</v>
      </c>
      <c r="D6140">
        <v>0</v>
      </c>
      <c r="E6140" t="s">
        <v>68</v>
      </c>
      <c r="F6140" t="s">
        <v>39</v>
      </c>
      <c r="G6140" t="s">
        <v>40</v>
      </c>
    </row>
    <row r="6141" spans="1:7" x14ac:dyDescent="0.3">
      <c r="A6141" t="s">
        <v>83</v>
      </c>
      <c r="B6141" t="s">
        <v>8</v>
      </c>
      <c r="C6141" t="s">
        <v>13</v>
      </c>
      <c r="D6141">
        <v>0</v>
      </c>
      <c r="E6141" t="s">
        <v>68</v>
      </c>
      <c r="F6141" t="s">
        <v>39</v>
      </c>
      <c r="G6141" t="s">
        <v>40</v>
      </c>
    </row>
    <row r="6142" spans="1:7" x14ac:dyDescent="0.3">
      <c r="A6142" t="s">
        <v>83</v>
      </c>
      <c r="B6142" t="s">
        <v>8</v>
      </c>
      <c r="C6142" t="s">
        <v>14</v>
      </c>
      <c r="D6142">
        <v>0</v>
      </c>
      <c r="E6142" t="s">
        <v>68</v>
      </c>
      <c r="F6142" t="s">
        <v>39</v>
      </c>
      <c r="G6142" t="s">
        <v>40</v>
      </c>
    </row>
    <row r="6143" spans="1:7" x14ac:dyDescent="0.3">
      <c r="A6143" t="s">
        <v>83</v>
      </c>
      <c r="B6143" t="s">
        <v>8</v>
      </c>
      <c r="C6143" t="s">
        <v>15</v>
      </c>
      <c r="D6143">
        <v>0</v>
      </c>
      <c r="E6143" t="s">
        <v>68</v>
      </c>
      <c r="F6143" t="s">
        <v>39</v>
      </c>
      <c r="G6143" t="s">
        <v>40</v>
      </c>
    </row>
    <row r="6144" spans="1:7" x14ac:dyDescent="0.3">
      <c r="A6144" t="s">
        <v>83</v>
      </c>
      <c r="B6144" t="s">
        <v>8</v>
      </c>
      <c r="C6144" t="s">
        <v>16</v>
      </c>
      <c r="D6144">
        <v>0</v>
      </c>
      <c r="E6144" t="s">
        <v>68</v>
      </c>
      <c r="F6144" t="s">
        <v>39</v>
      </c>
      <c r="G6144" t="s">
        <v>40</v>
      </c>
    </row>
    <row r="6145" spans="1:7" x14ac:dyDescent="0.3">
      <c r="A6145" t="s">
        <v>83</v>
      </c>
      <c r="B6145" t="s">
        <v>8</v>
      </c>
      <c r="C6145" t="s">
        <v>17</v>
      </c>
      <c r="D6145">
        <v>0</v>
      </c>
      <c r="E6145" t="s">
        <v>68</v>
      </c>
      <c r="F6145" t="s">
        <v>39</v>
      </c>
      <c r="G6145" t="s">
        <v>40</v>
      </c>
    </row>
    <row r="6146" spans="1:7" x14ac:dyDescent="0.3">
      <c r="A6146" t="s">
        <v>83</v>
      </c>
      <c r="B6146" t="s">
        <v>8</v>
      </c>
      <c r="C6146" t="s">
        <v>18</v>
      </c>
      <c r="D6146">
        <v>0</v>
      </c>
      <c r="E6146" t="s">
        <v>68</v>
      </c>
      <c r="F6146" t="s">
        <v>39</v>
      </c>
      <c r="G6146" t="s">
        <v>40</v>
      </c>
    </row>
    <row r="6147" spans="1:7" x14ac:dyDescent="0.3">
      <c r="A6147" t="s">
        <v>83</v>
      </c>
      <c r="B6147" t="s">
        <v>8</v>
      </c>
      <c r="C6147" t="s">
        <v>19</v>
      </c>
      <c r="D6147">
        <v>0</v>
      </c>
      <c r="E6147" t="s">
        <v>68</v>
      </c>
      <c r="F6147" t="s">
        <v>39</v>
      </c>
      <c r="G6147" t="s">
        <v>40</v>
      </c>
    </row>
    <row r="6148" spans="1:7" x14ac:dyDescent="0.3">
      <c r="A6148" t="s">
        <v>83</v>
      </c>
      <c r="B6148" t="s">
        <v>8</v>
      </c>
      <c r="C6148" t="s">
        <v>20</v>
      </c>
      <c r="D6148">
        <v>0</v>
      </c>
      <c r="E6148" t="s">
        <v>68</v>
      </c>
      <c r="F6148" t="s">
        <v>39</v>
      </c>
      <c r="G6148" t="s">
        <v>40</v>
      </c>
    </row>
    <row r="6149" spans="1:7" x14ac:dyDescent="0.3">
      <c r="A6149" t="s">
        <v>83</v>
      </c>
      <c r="B6149" t="s">
        <v>8</v>
      </c>
      <c r="C6149" t="s">
        <v>21</v>
      </c>
      <c r="D6149">
        <v>0</v>
      </c>
      <c r="E6149" t="s">
        <v>68</v>
      </c>
      <c r="F6149" t="s">
        <v>39</v>
      </c>
      <c r="G6149" t="s">
        <v>40</v>
      </c>
    </row>
    <row r="6150" spans="1:7" x14ac:dyDescent="0.3">
      <c r="A6150" t="s">
        <v>83</v>
      </c>
      <c r="B6150" t="s">
        <v>8</v>
      </c>
      <c r="C6150" t="s">
        <v>22</v>
      </c>
      <c r="D6150">
        <v>29648</v>
      </c>
      <c r="E6150" t="s">
        <v>68</v>
      </c>
      <c r="F6150" t="s">
        <v>39</v>
      </c>
      <c r="G6150" t="s">
        <v>40</v>
      </c>
    </row>
    <row r="6151" spans="1:7" x14ac:dyDescent="0.3">
      <c r="A6151" t="s">
        <v>83</v>
      </c>
      <c r="B6151" t="s">
        <v>23</v>
      </c>
      <c r="C6151" t="s">
        <v>9</v>
      </c>
      <c r="D6151">
        <v>492</v>
      </c>
      <c r="E6151" t="s">
        <v>68</v>
      </c>
      <c r="F6151" t="s">
        <v>39</v>
      </c>
      <c r="G6151" t="s">
        <v>40</v>
      </c>
    </row>
    <row r="6152" spans="1:7" x14ac:dyDescent="0.3">
      <c r="A6152" t="s">
        <v>83</v>
      </c>
      <c r="B6152" t="s">
        <v>23</v>
      </c>
      <c r="C6152" t="s">
        <v>13</v>
      </c>
      <c r="D6152">
        <v>2822</v>
      </c>
      <c r="E6152" t="s">
        <v>68</v>
      </c>
      <c r="F6152" t="s">
        <v>39</v>
      </c>
      <c r="G6152" t="s">
        <v>40</v>
      </c>
    </row>
    <row r="6153" spans="1:7" x14ac:dyDescent="0.3">
      <c r="A6153" t="s">
        <v>83</v>
      </c>
      <c r="B6153" t="s">
        <v>23</v>
      </c>
      <c r="C6153" t="s">
        <v>14</v>
      </c>
      <c r="D6153">
        <v>631</v>
      </c>
      <c r="E6153" t="s">
        <v>68</v>
      </c>
      <c r="F6153" t="s">
        <v>39</v>
      </c>
      <c r="G6153" t="s">
        <v>40</v>
      </c>
    </row>
    <row r="6154" spans="1:7" x14ac:dyDescent="0.3">
      <c r="A6154" t="s">
        <v>83</v>
      </c>
      <c r="B6154" t="s">
        <v>23</v>
      </c>
      <c r="C6154" t="s">
        <v>15</v>
      </c>
      <c r="D6154">
        <v>38</v>
      </c>
      <c r="E6154" t="s">
        <v>68</v>
      </c>
      <c r="F6154" t="s">
        <v>39</v>
      </c>
      <c r="G6154" t="s">
        <v>40</v>
      </c>
    </row>
    <row r="6155" spans="1:7" x14ac:dyDescent="0.3">
      <c r="A6155" t="s">
        <v>83</v>
      </c>
      <c r="B6155" t="s">
        <v>23</v>
      </c>
      <c r="C6155" t="s">
        <v>16</v>
      </c>
      <c r="D6155">
        <v>1549</v>
      </c>
      <c r="E6155" t="s">
        <v>68</v>
      </c>
      <c r="F6155" t="s">
        <v>39</v>
      </c>
      <c r="G6155" t="s">
        <v>40</v>
      </c>
    </row>
    <row r="6156" spans="1:7" x14ac:dyDescent="0.3">
      <c r="A6156" t="s">
        <v>83</v>
      </c>
      <c r="B6156" t="s">
        <v>23</v>
      </c>
      <c r="C6156" t="s">
        <v>17</v>
      </c>
      <c r="D6156">
        <v>119</v>
      </c>
      <c r="E6156" t="s">
        <v>68</v>
      </c>
      <c r="F6156" t="s">
        <v>39</v>
      </c>
      <c r="G6156" t="s">
        <v>40</v>
      </c>
    </row>
    <row r="6157" spans="1:7" x14ac:dyDescent="0.3">
      <c r="A6157" t="s">
        <v>83</v>
      </c>
      <c r="B6157" t="s">
        <v>23</v>
      </c>
      <c r="C6157" t="s">
        <v>18</v>
      </c>
      <c r="D6157">
        <v>0</v>
      </c>
      <c r="E6157" t="s">
        <v>68</v>
      </c>
      <c r="F6157" t="s">
        <v>39</v>
      </c>
      <c r="G6157" t="s">
        <v>40</v>
      </c>
    </row>
    <row r="6158" spans="1:7" x14ac:dyDescent="0.3">
      <c r="A6158" t="s">
        <v>83</v>
      </c>
      <c r="B6158" t="s">
        <v>23</v>
      </c>
      <c r="C6158" t="s">
        <v>19</v>
      </c>
      <c r="D6158">
        <v>99</v>
      </c>
      <c r="E6158" t="s">
        <v>68</v>
      </c>
      <c r="F6158" t="s">
        <v>39</v>
      </c>
      <c r="G6158" t="s">
        <v>40</v>
      </c>
    </row>
    <row r="6159" spans="1:7" x14ac:dyDescent="0.3">
      <c r="A6159" t="s">
        <v>83</v>
      </c>
      <c r="B6159" t="s">
        <v>23</v>
      </c>
      <c r="C6159" t="s">
        <v>20</v>
      </c>
      <c r="D6159">
        <v>240</v>
      </c>
      <c r="E6159" t="s">
        <v>68</v>
      </c>
      <c r="F6159" t="s">
        <v>39</v>
      </c>
      <c r="G6159" t="s">
        <v>40</v>
      </c>
    </row>
    <row r="6160" spans="1:7" x14ac:dyDescent="0.3">
      <c r="A6160" t="s">
        <v>83</v>
      </c>
      <c r="B6160" t="s">
        <v>23</v>
      </c>
      <c r="C6160" t="s">
        <v>21</v>
      </c>
      <c r="D6160">
        <v>13</v>
      </c>
      <c r="E6160" t="s">
        <v>68</v>
      </c>
      <c r="F6160" t="s">
        <v>39</v>
      </c>
      <c r="G6160" t="s">
        <v>40</v>
      </c>
    </row>
    <row r="6161" spans="1:7" x14ac:dyDescent="0.3">
      <c r="A6161" t="s">
        <v>83</v>
      </c>
      <c r="B6161" t="s">
        <v>23</v>
      </c>
      <c r="C6161" t="s">
        <v>22</v>
      </c>
      <c r="D6161">
        <v>24921</v>
      </c>
      <c r="E6161" t="s">
        <v>68</v>
      </c>
      <c r="F6161" t="s">
        <v>39</v>
      </c>
      <c r="G6161" t="s">
        <v>40</v>
      </c>
    </row>
  </sheetData>
  <autoFilter ref="A1:G6161" xr:uid="{C11623D0-FF7A-4EBF-9356-541CC68D88B5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45"/>
  <sheetViews>
    <sheetView zoomScaleNormal="100" workbookViewId="0">
      <selection activeCell="B1" sqref="B1:B1048576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118</v>
      </c>
    </row>
    <row r="2" spans="1:8" x14ac:dyDescent="0.3">
      <c r="A2" t="s">
        <v>7</v>
      </c>
      <c r="B2" t="s">
        <v>8</v>
      </c>
      <c r="C2" t="s">
        <v>9</v>
      </c>
      <c r="D2">
        <v>0</v>
      </c>
      <c r="E2" t="s">
        <v>10</v>
      </c>
      <c r="F2" t="s">
        <v>11</v>
      </c>
      <c r="G2" t="s">
        <v>12</v>
      </c>
      <c r="H2">
        <f>ROUND(D2, 3 - LEN(INT(ABS(D2))))</f>
        <v>0</v>
      </c>
    </row>
    <row r="3" spans="1:8" x14ac:dyDescent="0.3">
      <c r="A3" t="s">
        <v>7</v>
      </c>
      <c r="B3" t="s">
        <v>8</v>
      </c>
      <c r="C3" t="s">
        <v>13</v>
      </c>
      <c r="D3">
        <v>18</v>
      </c>
      <c r="E3" t="s">
        <v>10</v>
      </c>
      <c r="F3" t="s">
        <v>11</v>
      </c>
      <c r="G3" t="s">
        <v>12</v>
      </c>
      <c r="H3">
        <f t="shared" ref="H3:H66" si="0">ROUND(D3, 3 - LEN(INT(ABS(D3))))</f>
        <v>18</v>
      </c>
    </row>
    <row r="4" spans="1:8" x14ac:dyDescent="0.3">
      <c r="A4" t="s">
        <v>7</v>
      </c>
      <c r="B4" t="s">
        <v>8</v>
      </c>
      <c r="C4" t="s">
        <v>14</v>
      </c>
      <c r="D4">
        <v>0</v>
      </c>
      <c r="E4" t="s">
        <v>10</v>
      </c>
      <c r="F4" t="s">
        <v>11</v>
      </c>
      <c r="G4" t="s">
        <v>12</v>
      </c>
      <c r="H4">
        <f t="shared" si="0"/>
        <v>0</v>
      </c>
    </row>
    <row r="5" spans="1:8" x14ac:dyDescent="0.3">
      <c r="A5" t="s">
        <v>7</v>
      </c>
      <c r="B5" t="s">
        <v>8</v>
      </c>
      <c r="C5" t="s">
        <v>15</v>
      </c>
      <c r="D5">
        <v>0</v>
      </c>
      <c r="E5" t="s">
        <v>10</v>
      </c>
      <c r="F5" t="s">
        <v>11</v>
      </c>
      <c r="G5" t="s">
        <v>12</v>
      </c>
      <c r="H5">
        <f t="shared" si="0"/>
        <v>0</v>
      </c>
    </row>
    <row r="6" spans="1:8" x14ac:dyDescent="0.3">
      <c r="A6" t="s">
        <v>7</v>
      </c>
      <c r="B6" t="s">
        <v>8</v>
      </c>
      <c r="C6" t="s">
        <v>16</v>
      </c>
      <c r="D6">
        <v>0</v>
      </c>
      <c r="E6" t="s">
        <v>10</v>
      </c>
      <c r="F6" t="s">
        <v>11</v>
      </c>
      <c r="G6" t="s">
        <v>12</v>
      </c>
      <c r="H6">
        <f t="shared" si="0"/>
        <v>0</v>
      </c>
    </row>
    <row r="7" spans="1:8" x14ac:dyDescent="0.3">
      <c r="A7" t="s">
        <v>7</v>
      </c>
      <c r="B7" t="s">
        <v>8</v>
      </c>
      <c r="C7" t="s">
        <v>17</v>
      </c>
      <c r="D7">
        <v>0</v>
      </c>
      <c r="E7" t="s">
        <v>10</v>
      </c>
      <c r="F7" t="s">
        <v>11</v>
      </c>
      <c r="G7" t="s">
        <v>12</v>
      </c>
      <c r="H7">
        <f t="shared" si="0"/>
        <v>0</v>
      </c>
    </row>
    <row r="8" spans="1:8" x14ac:dyDescent="0.3">
      <c r="A8" t="s">
        <v>7</v>
      </c>
      <c r="B8" t="s">
        <v>8</v>
      </c>
      <c r="C8" t="s">
        <v>18</v>
      </c>
      <c r="D8">
        <v>0</v>
      </c>
      <c r="E8" t="s">
        <v>10</v>
      </c>
      <c r="F8" t="s">
        <v>11</v>
      </c>
      <c r="G8" t="s">
        <v>12</v>
      </c>
      <c r="H8">
        <f t="shared" si="0"/>
        <v>0</v>
      </c>
    </row>
    <row r="9" spans="1:8" x14ac:dyDescent="0.3">
      <c r="A9" t="s">
        <v>7</v>
      </c>
      <c r="B9" t="s">
        <v>8</v>
      </c>
      <c r="C9" t="s">
        <v>19</v>
      </c>
      <c r="D9">
        <v>0</v>
      </c>
      <c r="E9" t="s">
        <v>10</v>
      </c>
      <c r="F9" t="s">
        <v>11</v>
      </c>
      <c r="G9" t="s">
        <v>12</v>
      </c>
      <c r="H9">
        <f t="shared" si="0"/>
        <v>0</v>
      </c>
    </row>
    <row r="10" spans="1:8" x14ac:dyDescent="0.3">
      <c r="A10" t="s">
        <v>7</v>
      </c>
      <c r="B10" t="s">
        <v>8</v>
      </c>
      <c r="C10" t="s">
        <v>20</v>
      </c>
      <c r="D10">
        <v>0</v>
      </c>
      <c r="E10" t="s">
        <v>10</v>
      </c>
      <c r="F10" t="s">
        <v>11</v>
      </c>
      <c r="G10" t="s">
        <v>12</v>
      </c>
      <c r="H10">
        <f t="shared" si="0"/>
        <v>0</v>
      </c>
    </row>
    <row r="11" spans="1:8" x14ac:dyDescent="0.3">
      <c r="A11" t="s">
        <v>7</v>
      </c>
      <c r="B11" t="s">
        <v>8</v>
      </c>
      <c r="C11" t="s">
        <v>21</v>
      </c>
      <c r="D11">
        <v>0</v>
      </c>
      <c r="E11" t="s">
        <v>10</v>
      </c>
      <c r="F11" t="s">
        <v>11</v>
      </c>
      <c r="G11" t="s">
        <v>12</v>
      </c>
      <c r="H11">
        <f t="shared" si="0"/>
        <v>0</v>
      </c>
    </row>
    <row r="12" spans="1:8" x14ac:dyDescent="0.3">
      <c r="A12" t="s">
        <v>7</v>
      </c>
      <c r="B12" t="s">
        <v>8</v>
      </c>
      <c r="C12" t="s">
        <v>22</v>
      </c>
      <c r="D12">
        <v>1605</v>
      </c>
      <c r="E12" t="s">
        <v>10</v>
      </c>
      <c r="F12" t="s">
        <v>11</v>
      </c>
      <c r="G12" t="s">
        <v>12</v>
      </c>
      <c r="H12">
        <f t="shared" si="0"/>
        <v>1610</v>
      </c>
    </row>
    <row r="13" spans="1:8" x14ac:dyDescent="0.3">
      <c r="A13" t="s">
        <v>7</v>
      </c>
      <c r="B13" t="s">
        <v>23</v>
      </c>
      <c r="C13" t="s">
        <v>9</v>
      </c>
      <c r="D13">
        <v>3</v>
      </c>
      <c r="E13" t="s">
        <v>10</v>
      </c>
      <c r="F13" t="s">
        <v>11</v>
      </c>
      <c r="G13" t="s">
        <v>12</v>
      </c>
      <c r="H13">
        <f t="shared" si="0"/>
        <v>3</v>
      </c>
    </row>
    <row r="14" spans="1:8" x14ac:dyDescent="0.3">
      <c r="A14" t="s">
        <v>7</v>
      </c>
      <c r="B14" t="s">
        <v>23</v>
      </c>
      <c r="C14" t="s">
        <v>13</v>
      </c>
      <c r="D14">
        <v>48</v>
      </c>
      <c r="E14" t="s">
        <v>10</v>
      </c>
      <c r="F14" t="s">
        <v>11</v>
      </c>
      <c r="G14" t="s">
        <v>12</v>
      </c>
      <c r="H14">
        <f t="shared" si="0"/>
        <v>48</v>
      </c>
    </row>
    <row r="15" spans="1:8" x14ac:dyDescent="0.3">
      <c r="A15" t="s">
        <v>7</v>
      </c>
      <c r="B15" t="s">
        <v>23</v>
      </c>
      <c r="C15" t="s">
        <v>14</v>
      </c>
      <c r="D15">
        <v>36</v>
      </c>
      <c r="E15" t="s">
        <v>10</v>
      </c>
      <c r="F15" t="s">
        <v>11</v>
      </c>
      <c r="G15" t="s">
        <v>12</v>
      </c>
      <c r="H15">
        <f t="shared" si="0"/>
        <v>36</v>
      </c>
    </row>
    <row r="16" spans="1:8" x14ac:dyDescent="0.3">
      <c r="A16" t="s">
        <v>7</v>
      </c>
      <c r="B16" t="s">
        <v>23</v>
      </c>
      <c r="C16" t="s">
        <v>15</v>
      </c>
      <c r="D16">
        <v>3</v>
      </c>
      <c r="E16" t="s">
        <v>10</v>
      </c>
      <c r="F16" t="s">
        <v>11</v>
      </c>
      <c r="G16" t="s">
        <v>12</v>
      </c>
      <c r="H16">
        <f t="shared" si="0"/>
        <v>3</v>
      </c>
    </row>
    <row r="17" spans="1:8" x14ac:dyDescent="0.3">
      <c r="A17" t="s">
        <v>7</v>
      </c>
      <c r="B17" t="s">
        <v>23</v>
      </c>
      <c r="C17" t="s">
        <v>16</v>
      </c>
      <c r="D17">
        <v>18</v>
      </c>
      <c r="E17" t="s">
        <v>10</v>
      </c>
      <c r="F17" t="s">
        <v>11</v>
      </c>
      <c r="G17" t="s">
        <v>12</v>
      </c>
      <c r="H17">
        <f t="shared" si="0"/>
        <v>18</v>
      </c>
    </row>
    <row r="18" spans="1:8" x14ac:dyDescent="0.3">
      <c r="A18" t="s">
        <v>7</v>
      </c>
      <c r="B18" t="s">
        <v>23</v>
      </c>
      <c r="C18" t="s">
        <v>17</v>
      </c>
      <c r="D18">
        <v>3</v>
      </c>
      <c r="E18" t="s">
        <v>10</v>
      </c>
      <c r="F18" t="s">
        <v>11</v>
      </c>
      <c r="G18" t="s">
        <v>12</v>
      </c>
      <c r="H18">
        <f t="shared" si="0"/>
        <v>3</v>
      </c>
    </row>
    <row r="19" spans="1:8" x14ac:dyDescent="0.3">
      <c r="A19" t="s">
        <v>7</v>
      </c>
      <c r="B19" t="s">
        <v>23</v>
      </c>
      <c r="C19" t="s">
        <v>18</v>
      </c>
      <c r="D19">
        <v>0</v>
      </c>
      <c r="E19" t="s">
        <v>10</v>
      </c>
      <c r="F19" t="s">
        <v>11</v>
      </c>
      <c r="G19" t="s">
        <v>12</v>
      </c>
      <c r="H19">
        <f t="shared" si="0"/>
        <v>0</v>
      </c>
    </row>
    <row r="20" spans="1:8" x14ac:dyDescent="0.3">
      <c r="A20" t="s">
        <v>7</v>
      </c>
      <c r="B20" t="s">
        <v>23</v>
      </c>
      <c r="C20" t="s">
        <v>19</v>
      </c>
      <c r="D20">
        <v>7</v>
      </c>
      <c r="E20" t="s">
        <v>10</v>
      </c>
      <c r="F20" t="s">
        <v>11</v>
      </c>
      <c r="G20" t="s">
        <v>12</v>
      </c>
      <c r="H20">
        <f t="shared" si="0"/>
        <v>7</v>
      </c>
    </row>
    <row r="21" spans="1:8" x14ac:dyDescent="0.3">
      <c r="A21" t="s">
        <v>7</v>
      </c>
      <c r="B21" t="s">
        <v>23</v>
      </c>
      <c r="C21" t="s">
        <v>20</v>
      </c>
      <c r="D21">
        <v>3</v>
      </c>
      <c r="E21" t="s">
        <v>10</v>
      </c>
      <c r="F21" t="s">
        <v>11</v>
      </c>
      <c r="G21" t="s">
        <v>12</v>
      </c>
      <c r="H21">
        <f t="shared" si="0"/>
        <v>3</v>
      </c>
    </row>
    <row r="22" spans="1:8" x14ac:dyDescent="0.3">
      <c r="A22" t="s">
        <v>7</v>
      </c>
      <c r="B22" t="s">
        <v>23</v>
      </c>
      <c r="C22" t="s">
        <v>21</v>
      </c>
      <c r="D22">
        <v>1</v>
      </c>
      <c r="E22" t="s">
        <v>10</v>
      </c>
      <c r="F22" t="s">
        <v>11</v>
      </c>
      <c r="G22" t="s">
        <v>12</v>
      </c>
      <c r="H22">
        <f t="shared" si="0"/>
        <v>1</v>
      </c>
    </row>
    <row r="23" spans="1:8" x14ac:dyDescent="0.3">
      <c r="A23" t="s">
        <v>7</v>
      </c>
      <c r="B23" t="s">
        <v>23</v>
      </c>
      <c r="C23" t="s">
        <v>22</v>
      </c>
      <c r="D23">
        <v>338</v>
      </c>
      <c r="E23" t="s">
        <v>10</v>
      </c>
      <c r="F23" t="s">
        <v>11</v>
      </c>
      <c r="G23" t="s">
        <v>12</v>
      </c>
      <c r="H23">
        <f t="shared" si="0"/>
        <v>338</v>
      </c>
    </row>
    <row r="24" spans="1:8" x14ac:dyDescent="0.3">
      <c r="A24" t="s">
        <v>24</v>
      </c>
      <c r="B24" t="s">
        <v>8</v>
      </c>
      <c r="C24" t="s">
        <v>9</v>
      </c>
      <c r="D24">
        <v>2</v>
      </c>
      <c r="E24" t="s">
        <v>10</v>
      </c>
      <c r="F24" t="s">
        <v>11</v>
      </c>
      <c r="G24" t="s">
        <v>12</v>
      </c>
      <c r="H24">
        <f t="shared" si="0"/>
        <v>2</v>
      </c>
    </row>
    <row r="25" spans="1:8" x14ac:dyDescent="0.3">
      <c r="A25" t="s">
        <v>24</v>
      </c>
      <c r="B25" t="s">
        <v>8</v>
      </c>
      <c r="C25" t="s">
        <v>13</v>
      </c>
      <c r="D25">
        <v>0</v>
      </c>
      <c r="E25" t="s">
        <v>10</v>
      </c>
      <c r="F25" t="s">
        <v>11</v>
      </c>
      <c r="G25" t="s">
        <v>12</v>
      </c>
      <c r="H25">
        <f t="shared" si="0"/>
        <v>0</v>
      </c>
    </row>
    <row r="26" spans="1:8" x14ac:dyDescent="0.3">
      <c r="A26" t="s">
        <v>24</v>
      </c>
      <c r="B26" t="s">
        <v>8</v>
      </c>
      <c r="C26" t="s">
        <v>14</v>
      </c>
      <c r="D26">
        <v>892</v>
      </c>
      <c r="E26" t="s">
        <v>10</v>
      </c>
      <c r="F26" t="s">
        <v>11</v>
      </c>
      <c r="G26" t="s">
        <v>12</v>
      </c>
      <c r="H26">
        <f t="shared" si="0"/>
        <v>892</v>
      </c>
    </row>
    <row r="27" spans="1:8" x14ac:dyDescent="0.3">
      <c r="A27" t="s">
        <v>24</v>
      </c>
      <c r="B27" t="s">
        <v>8</v>
      </c>
      <c r="C27" t="s">
        <v>15</v>
      </c>
      <c r="D27">
        <v>0</v>
      </c>
      <c r="E27" t="s">
        <v>10</v>
      </c>
      <c r="F27" t="s">
        <v>11</v>
      </c>
      <c r="G27" t="s">
        <v>12</v>
      </c>
      <c r="H27">
        <f t="shared" si="0"/>
        <v>0</v>
      </c>
    </row>
    <row r="28" spans="1:8" x14ac:dyDescent="0.3">
      <c r="A28" t="s">
        <v>24</v>
      </c>
      <c r="B28" t="s">
        <v>8</v>
      </c>
      <c r="C28" t="s">
        <v>16</v>
      </c>
      <c r="D28">
        <v>37025</v>
      </c>
      <c r="E28" t="s">
        <v>10</v>
      </c>
      <c r="F28" t="s">
        <v>11</v>
      </c>
      <c r="G28" t="s">
        <v>12</v>
      </c>
      <c r="H28">
        <f t="shared" si="0"/>
        <v>37000</v>
      </c>
    </row>
    <row r="29" spans="1:8" x14ac:dyDescent="0.3">
      <c r="A29" t="s">
        <v>24</v>
      </c>
      <c r="B29" t="s">
        <v>8</v>
      </c>
      <c r="C29" t="s">
        <v>17</v>
      </c>
      <c r="D29">
        <v>11407</v>
      </c>
      <c r="E29" t="s">
        <v>10</v>
      </c>
      <c r="F29" t="s">
        <v>11</v>
      </c>
      <c r="G29" t="s">
        <v>12</v>
      </c>
      <c r="H29">
        <f t="shared" si="0"/>
        <v>11400</v>
      </c>
    </row>
    <row r="30" spans="1:8" x14ac:dyDescent="0.3">
      <c r="A30" t="s">
        <v>24</v>
      </c>
      <c r="B30" t="s">
        <v>8</v>
      </c>
      <c r="C30" t="s">
        <v>18</v>
      </c>
      <c r="D30">
        <v>0</v>
      </c>
      <c r="E30" t="s">
        <v>10</v>
      </c>
      <c r="F30" t="s">
        <v>11</v>
      </c>
      <c r="G30" t="s">
        <v>12</v>
      </c>
      <c r="H30">
        <f t="shared" si="0"/>
        <v>0</v>
      </c>
    </row>
    <row r="31" spans="1:8" x14ac:dyDescent="0.3">
      <c r="A31" t="s">
        <v>24</v>
      </c>
      <c r="B31" t="s">
        <v>8</v>
      </c>
      <c r="C31" t="s">
        <v>19</v>
      </c>
      <c r="D31">
        <v>0</v>
      </c>
      <c r="E31" t="s">
        <v>10</v>
      </c>
      <c r="F31" t="s">
        <v>11</v>
      </c>
      <c r="G31" t="s">
        <v>12</v>
      </c>
      <c r="H31">
        <f t="shared" si="0"/>
        <v>0</v>
      </c>
    </row>
    <row r="32" spans="1:8" x14ac:dyDescent="0.3">
      <c r="A32" t="s">
        <v>24</v>
      </c>
      <c r="B32" t="s">
        <v>8</v>
      </c>
      <c r="C32" t="s">
        <v>20</v>
      </c>
      <c r="D32">
        <v>0</v>
      </c>
      <c r="E32" t="s">
        <v>10</v>
      </c>
      <c r="F32" t="s">
        <v>11</v>
      </c>
      <c r="G32" t="s">
        <v>12</v>
      </c>
      <c r="H32">
        <f t="shared" si="0"/>
        <v>0</v>
      </c>
    </row>
    <row r="33" spans="1:8" x14ac:dyDescent="0.3">
      <c r="A33" t="s">
        <v>24</v>
      </c>
      <c r="B33" t="s">
        <v>8</v>
      </c>
      <c r="C33" t="s">
        <v>21</v>
      </c>
      <c r="D33">
        <v>0</v>
      </c>
      <c r="E33" t="s">
        <v>10</v>
      </c>
      <c r="F33" t="s">
        <v>11</v>
      </c>
      <c r="G33" t="s">
        <v>12</v>
      </c>
      <c r="H33">
        <f t="shared" si="0"/>
        <v>0</v>
      </c>
    </row>
    <row r="34" spans="1:8" x14ac:dyDescent="0.3">
      <c r="A34" t="s">
        <v>24</v>
      </c>
      <c r="B34" t="s">
        <v>8</v>
      </c>
      <c r="C34" t="s">
        <v>22</v>
      </c>
      <c r="D34">
        <v>0</v>
      </c>
      <c r="E34" t="s">
        <v>10</v>
      </c>
      <c r="F34" t="s">
        <v>11</v>
      </c>
      <c r="G34" t="s">
        <v>12</v>
      </c>
      <c r="H34">
        <f t="shared" si="0"/>
        <v>0</v>
      </c>
    </row>
    <row r="35" spans="1:8" x14ac:dyDescent="0.3">
      <c r="A35" t="s">
        <v>24</v>
      </c>
      <c r="B35" t="s">
        <v>23</v>
      </c>
      <c r="C35" t="s">
        <v>9</v>
      </c>
      <c r="D35">
        <v>4</v>
      </c>
      <c r="E35" t="s">
        <v>10</v>
      </c>
      <c r="F35" t="s">
        <v>11</v>
      </c>
      <c r="G35" t="s">
        <v>12</v>
      </c>
      <c r="H35">
        <f t="shared" si="0"/>
        <v>4</v>
      </c>
    </row>
    <row r="36" spans="1:8" x14ac:dyDescent="0.3">
      <c r="A36" t="s">
        <v>24</v>
      </c>
      <c r="B36" t="s">
        <v>23</v>
      </c>
      <c r="C36" t="s">
        <v>13</v>
      </c>
      <c r="D36">
        <v>2</v>
      </c>
      <c r="E36" t="s">
        <v>10</v>
      </c>
      <c r="F36" t="s">
        <v>11</v>
      </c>
      <c r="G36" t="s">
        <v>12</v>
      </c>
      <c r="H36">
        <f t="shared" si="0"/>
        <v>2</v>
      </c>
    </row>
    <row r="37" spans="1:8" x14ac:dyDescent="0.3">
      <c r="A37" t="s">
        <v>24</v>
      </c>
      <c r="B37" t="s">
        <v>23</v>
      </c>
      <c r="C37" t="s">
        <v>14</v>
      </c>
      <c r="D37">
        <v>32</v>
      </c>
      <c r="E37" t="s">
        <v>10</v>
      </c>
      <c r="F37" t="s">
        <v>11</v>
      </c>
      <c r="G37" t="s">
        <v>12</v>
      </c>
      <c r="H37">
        <f t="shared" si="0"/>
        <v>32</v>
      </c>
    </row>
    <row r="38" spans="1:8" x14ac:dyDescent="0.3">
      <c r="A38" t="s">
        <v>24</v>
      </c>
      <c r="B38" t="s">
        <v>23</v>
      </c>
      <c r="C38" t="s">
        <v>15</v>
      </c>
      <c r="D38">
        <v>0</v>
      </c>
      <c r="E38" t="s">
        <v>10</v>
      </c>
      <c r="F38" t="s">
        <v>11</v>
      </c>
      <c r="G38" t="s">
        <v>12</v>
      </c>
      <c r="H38">
        <f t="shared" si="0"/>
        <v>0</v>
      </c>
    </row>
    <row r="39" spans="1:8" x14ac:dyDescent="0.3">
      <c r="A39" t="s">
        <v>24</v>
      </c>
      <c r="B39" t="s">
        <v>23</v>
      </c>
      <c r="C39" t="s">
        <v>16</v>
      </c>
      <c r="D39">
        <v>3103</v>
      </c>
      <c r="E39" t="s">
        <v>10</v>
      </c>
      <c r="F39" t="s">
        <v>11</v>
      </c>
      <c r="G39" t="s">
        <v>12</v>
      </c>
      <c r="H39">
        <f t="shared" si="0"/>
        <v>3100</v>
      </c>
    </row>
    <row r="40" spans="1:8" x14ac:dyDescent="0.3">
      <c r="A40" t="s">
        <v>24</v>
      </c>
      <c r="B40" t="s">
        <v>23</v>
      </c>
      <c r="C40" t="s">
        <v>17</v>
      </c>
      <c r="D40">
        <v>115</v>
      </c>
      <c r="E40" t="s">
        <v>10</v>
      </c>
      <c r="F40" t="s">
        <v>11</v>
      </c>
      <c r="G40" t="s">
        <v>12</v>
      </c>
      <c r="H40">
        <f t="shared" si="0"/>
        <v>115</v>
      </c>
    </row>
    <row r="41" spans="1:8" x14ac:dyDescent="0.3">
      <c r="A41" t="s">
        <v>24</v>
      </c>
      <c r="B41" t="s">
        <v>23</v>
      </c>
      <c r="C41" t="s">
        <v>18</v>
      </c>
      <c r="D41">
        <v>0</v>
      </c>
      <c r="E41" t="s">
        <v>10</v>
      </c>
      <c r="F41" t="s">
        <v>11</v>
      </c>
      <c r="G41" t="s">
        <v>12</v>
      </c>
      <c r="H41">
        <f t="shared" si="0"/>
        <v>0</v>
      </c>
    </row>
    <row r="42" spans="1:8" x14ac:dyDescent="0.3">
      <c r="A42" t="s">
        <v>24</v>
      </c>
      <c r="B42" t="s">
        <v>23</v>
      </c>
      <c r="C42" t="s">
        <v>19</v>
      </c>
      <c r="D42">
        <v>0</v>
      </c>
      <c r="E42" t="s">
        <v>10</v>
      </c>
      <c r="F42" t="s">
        <v>11</v>
      </c>
      <c r="G42" t="s">
        <v>12</v>
      </c>
      <c r="H42">
        <f t="shared" si="0"/>
        <v>0</v>
      </c>
    </row>
    <row r="43" spans="1:8" x14ac:dyDescent="0.3">
      <c r="A43" t="s">
        <v>24</v>
      </c>
      <c r="B43" t="s">
        <v>23</v>
      </c>
      <c r="C43" t="s">
        <v>20</v>
      </c>
      <c r="D43">
        <v>7</v>
      </c>
      <c r="E43" t="s">
        <v>10</v>
      </c>
      <c r="F43" t="s">
        <v>11</v>
      </c>
      <c r="G43" t="s">
        <v>12</v>
      </c>
      <c r="H43">
        <f t="shared" si="0"/>
        <v>7</v>
      </c>
    </row>
    <row r="44" spans="1:8" x14ac:dyDescent="0.3">
      <c r="A44" t="s">
        <v>24</v>
      </c>
      <c r="B44" t="s">
        <v>23</v>
      </c>
      <c r="C44" t="s">
        <v>21</v>
      </c>
      <c r="D44">
        <v>0</v>
      </c>
      <c r="E44" t="s">
        <v>10</v>
      </c>
      <c r="F44" t="s">
        <v>11</v>
      </c>
      <c r="G44" t="s">
        <v>12</v>
      </c>
      <c r="H44">
        <f t="shared" si="0"/>
        <v>0</v>
      </c>
    </row>
    <row r="45" spans="1:8" x14ac:dyDescent="0.3">
      <c r="A45" t="s">
        <v>24</v>
      </c>
      <c r="B45" t="s">
        <v>23</v>
      </c>
      <c r="C45" t="s">
        <v>22</v>
      </c>
      <c r="D45">
        <v>2</v>
      </c>
      <c r="E45" t="s">
        <v>10</v>
      </c>
      <c r="F45" t="s">
        <v>11</v>
      </c>
      <c r="G45" t="s">
        <v>12</v>
      </c>
      <c r="H45">
        <f t="shared" si="0"/>
        <v>2</v>
      </c>
    </row>
    <row r="46" spans="1:8" x14ac:dyDescent="0.3">
      <c r="A46" t="s">
        <v>25</v>
      </c>
      <c r="B46" t="s">
        <v>8</v>
      </c>
      <c r="C46" t="s">
        <v>9</v>
      </c>
      <c r="D46">
        <v>0</v>
      </c>
      <c r="E46" t="s">
        <v>10</v>
      </c>
      <c r="F46" t="s">
        <v>11</v>
      </c>
      <c r="G46" t="s">
        <v>12</v>
      </c>
      <c r="H46">
        <f t="shared" si="0"/>
        <v>0</v>
      </c>
    </row>
    <row r="47" spans="1:8" x14ac:dyDescent="0.3">
      <c r="A47" t="s">
        <v>25</v>
      </c>
      <c r="B47" t="s">
        <v>8</v>
      </c>
      <c r="C47" t="s">
        <v>13</v>
      </c>
      <c r="D47">
        <v>7</v>
      </c>
      <c r="E47" t="s">
        <v>10</v>
      </c>
      <c r="F47" t="s">
        <v>11</v>
      </c>
      <c r="G47" t="s">
        <v>12</v>
      </c>
      <c r="H47">
        <f t="shared" si="0"/>
        <v>7</v>
      </c>
    </row>
    <row r="48" spans="1:8" x14ac:dyDescent="0.3">
      <c r="A48" t="s">
        <v>25</v>
      </c>
      <c r="B48" t="s">
        <v>8</v>
      </c>
      <c r="C48" t="s">
        <v>14</v>
      </c>
      <c r="D48">
        <v>0</v>
      </c>
      <c r="E48" t="s">
        <v>10</v>
      </c>
      <c r="F48" t="s">
        <v>11</v>
      </c>
      <c r="G48" t="s">
        <v>12</v>
      </c>
      <c r="H48">
        <f t="shared" si="0"/>
        <v>0</v>
      </c>
    </row>
    <row r="49" spans="1:8" x14ac:dyDescent="0.3">
      <c r="A49" t="s">
        <v>25</v>
      </c>
      <c r="B49" t="s">
        <v>8</v>
      </c>
      <c r="C49" t="s">
        <v>15</v>
      </c>
      <c r="D49">
        <v>0</v>
      </c>
      <c r="E49" t="s">
        <v>10</v>
      </c>
      <c r="F49" t="s">
        <v>11</v>
      </c>
      <c r="G49" t="s">
        <v>12</v>
      </c>
      <c r="H49">
        <f t="shared" si="0"/>
        <v>0</v>
      </c>
    </row>
    <row r="50" spans="1:8" x14ac:dyDescent="0.3">
      <c r="A50" t="s">
        <v>25</v>
      </c>
      <c r="B50" t="s">
        <v>8</v>
      </c>
      <c r="C50" t="s">
        <v>16</v>
      </c>
      <c r="D50">
        <v>0</v>
      </c>
      <c r="E50" t="s">
        <v>10</v>
      </c>
      <c r="F50" t="s">
        <v>11</v>
      </c>
      <c r="G50" t="s">
        <v>12</v>
      </c>
      <c r="H50">
        <f t="shared" si="0"/>
        <v>0</v>
      </c>
    </row>
    <row r="51" spans="1:8" x14ac:dyDescent="0.3">
      <c r="A51" t="s">
        <v>25</v>
      </c>
      <c r="B51" t="s">
        <v>8</v>
      </c>
      <c r="C51" t="s">
        <v>17</v>
      </c>
      <c r="D51">
        <v>0</v>
      </c>
      <c r="E51" t="s">
        <v>10</v>
      </c>
      <c r="F51" t="s">
        <v>11</v>
      </c>
      <c r="G51" t="s">
        <v>12</v>
      </c>
      <c r="H51">
        <f t="shared" si="0"/>
        <v>0</v>
      </c>
    </row>
    <row r="52" spans="1:8" x14ac:dyDescent="0.3">
      <c r="A52" t="s">
        <v>25</v>
      </c>
      <c r="B52" t="s">
        <v>8</v>
      </c>
      <c r="C52" t="s">
        <v>18</v>
      </c>
      <c r="D52">
        <v>0</v>
      </c>
      <c r="E52" t="s">
        <v>10</v>
      </c>
      <c r="F52" t="s">
        <v>11</v>
      </c>
      <c r="G52" t="s">
        <v>12</v>
      </c>
      <c r="H52">
        <f t="shared" si="0"/>
        <v>0</v>
      </c>
    </row>
    <row r="53" spans="1:8" x14ac:dyDescent="0.3">
      <c r="A53" t="s">
        <v>25</v>
      </c>
      <c r="B53" t="s">
        <v>8</v>
      </c>
      <c r="C53" t="s">
        <v>19</v>
      </c>
      <c r="D53">
        <v>0</v>
      </c>
      <c r="E53" t="s">
        <v>10</v>
      </c>
      <c r="F53" t="s">
        <v>11</v>
      </c>
      <c r="G53" t="s">
        <v>12</v>
      </c>
      <c r="H53">
        <f t="shared" si="0"/>
        <v>0</v>
      </c>
    </row>
    <row r="54" spans="1:8" x14ac:dyDescent="0.3">
      <c r="A54" t="s">
        <v>25</v>
      </c>
      <c r="B54" t="s">
        <v>8</v>
      </c>
      <c r="C54" t="s">
        <v>20</v>
      </c>
      <c r="D54">
        <v>0</v>
      </c>
      <c r="E54" t="s">
        <v>10</v>
      </c>
      <c r="F54" t="s">
        <v>11</v>
      </c>
      <c r="G54" t="s">
        <v>12</v>
      </c>
      <c r="H54">
        <f t="shared" si="0"/>
        <v>0</v>
      </c>
    </row>
    <row r="55" spans="1:8" x14ac:dyDescent="0.3">
      <c r="A55" t="s">
        <v>25</v>
      </c>
      <c r="B55" t="s">
        <v>8</v>
      </c>
      <c r="C55" t="s">
        <v>21</v>
      </c>
      <c r="D55">
        <v>0</v>
      </c>
      <c r="E55" t="s">
        <v>10</v>
      </c>
      <c r="F55" t="s">
        <v>11</v>
      </c>
      <c r="G55" t="s">
        <v>12</v>
      </c>
      <c r="H55">
        <f t="shared" si="0"/>
        <v>0</v>
      </c>
    </row>
    <row r="56" spans="1:8" x14ac:dyDescent="0.3">
      <c r="A56" t="s">
        <v>25</v>
      </c>
      <c r="B56" t="s">
        <v>8</v>
      </c>
      <c r="C56" t="s">
        <v>22</v>
      </c>
      <c r="D56">
        <v>665</v>
      </c>
      <c r="E56" t="s">
        <v>10</v>
      </c>
      <c r="F56" t="s">
        <v>11</v>
      </c>
      <c r="G56" t="s">
        <v>12</v>
      </c>
      <c r="H56">
        <f t="shared" si="0"/>
        <v>665</v>
      </c>
    </row>
    <row r="57" spans="1:8" x14ac:dyDescent="0.3">
      <c r="A57" t="s">
        <v>25</v>
      </c>
      <c r="B57" t="s">
        <v>23</v>
      </c>
      <c r="C57" t="s">
        <v>9</v>
      </c>
      <c r="D57">
        <v>1</v>
      </c>
      <c r="E57" t="s">
        <v>10</v>
      </c>
      <c r="F57" t="s">
        <v>11</v>
      </c>
      <c r="G57" t="s">
        <v>12</v>
      </c>
      <c r="H57">
        <f t="shared" si="0"/>
        <v>1</v>
      </c>
    </row>
    <row r="58" spans="1:8" x14ac:dyDescent="0.3">
      <c r="A58" t="s">
        <v>25</v>
      </c>
      <c r="B58" t="s">
        <v>23</v>
      </c>
      <c r="C58" t="s">
        <v>13</v>
      </c>
      <c r="D58">
        <v>20</v>
      </c>
      <c r="E58" t="s">
        <v>10</v>
      </c>
      <c r="F58" t="s">
        <v>11</v>
      </c>
      <c r="G58" t="s">
        <v>12</v>
      </c>
      <c r="H58">
        <f t="shared" si="0"/>
        <v>20</v>
      </c>
    </row>
    <row r="59" spans="1:8" x14ac:dyDescent="0.3">
      <c r="A59" t="s">
        <v>25</v>
      </c>
      <c r="B59" t="s">
        <v>23</v>
      </c>
      <c r="C59" t="s">
        <v>14</v>
      </c>
      <c r="D59">
        <v>15</v>
      </c>
      <c r="E59" t="s">
        <v>10</v>
      </c>
      <c r="F59" t="s">
        <v>11</v>
      </c>
      <c r="G59" t="s">
        <v>12</v>
      </c>
      <c r="H59">
        <f t="shared" si="0"/>
        <v>15</v>
      </c>
    </row>
    <row r="60" spans="1:8" x14ac:dyDescent="0.3">
      <c r="A60" t="s">
        <v>25</v>
      </c>
      <c r="B60" t="s">
        <v>23</v>
      </c>
      <c r="C60" t="s">
        <v>15</v>
      </c>
      <c r="D60">
        <v>1</v>
      </c>
      <c r="E60" t="s">
        <v>10</v>
      </c>
      <c r="F60" t="s">
        <v>11</v>
      </c>
      <c r="G60" t="s">
        <v>12</v>
      </c>
      <c r="H60">
        <f t="shared" si="0"/>
        <v>1</v>
      </c>
    </row>
    <row r="61" spans="1:8" x14ac:dyDescent="0.3">
      <c r="A61" t="s">
        <v>25</v>
      </c>
      <c r="B61" t="s">
        <v>23</v>
      </c>
      <c r="C61" t="s">
        <v>16</v>
      </c>
      <c r="D61">
        <v>8</v>
      </c>
      <c r="E61" t="s">
        <v>10</v>
      </c>
      <c r="F61" t="s">
        <v>11</v>
      </c>
      <c r="G61" t="s">
        <v>12</v>
      </c>
      <c r="H61">
        <f t="shared" si="0"/>
        <v>8</v>
      </c>
    </row>
    <row r="62" spans="1:8" x14ac:dyDescent="0.3">
      <c r="A62" t="s">
        <v>25</v>
      </c>
      <c r="B62" t="s">
        <v>23</v>
      </c>
      <c r="C62" t="s">
        <v>17</v>
      </c>
      <c r="D62">
        <v>1</v>
      </c>
      <c r="E62" t="s">
        <v>10</v>
      </c>
      <c r="F62" t="s">
        <v>11</v>
      </c>
      <c r="G62" t="s">
        <v>12</v>
      </c>
      <c r="H62">
        <f t="shared" si="0"/>
        <v>1</v>
      </c>
    </row>
    <row r="63" spans="1:8" x14ac:dyDescent="0.3">
      <c r="A63" t="s">
        <v>25</v>
      </c>
      <c r="B63" t="s">
        <v>23</v>
      </c>
      <c r="C63" t="s">
        <v>18</v>
      </c>
      <c r="D63">
        <v>0</v>
      </c>
      <c r="E63" t="s">
        <v>10</v>
      </c>
      <c r="F63" t="s">
        <v>11</v>
      </c>
      <c r="G63" t="s">
        <v>12</v>
      </c>
      <c r="H63">
        <f t="shared" si="0"/>
        <v>0</v>
      </c>
    </row>
    <row r="64" spans="1:8" x14ac:dyDescent="0.3">
      <c r="A64" t="s">
        <v>25</v>
      </c>
      <c r="B64" t="s">
        <v>23</v>
      </c>
      <c r="C64" t="s">
        <v>19</v>
      </c>
      <c r="D64">
        <v>3</v>
      </c>
      <c r="E64" t="s">
        <v>10</v>
      </c>
      <c r="F64" t="s">
        <v>11</v>
      </c>
      <c r="G64" t="s">
        <v>12</v>
      </c>
      <c r="H64">
        <f t="shared" si="0"/>
        <v>3</v>
      </c>
    </row>
    <row r="65" spans="1:8" x14ac:dyDescent="0.3">
      <c r="A65" t="s">
        <v>25</v>
      </c>
      <c r="B65" t="s">
        <v>23</v>
      </c>
      <c r="C65" t="s">
        <v>20</v>
      </c>
      <c r="D65">
        <v>1</v>
      </c>
      <c r="E65" t="s">
        <v>10</v>
      </c>
      <c r="F65" t="s">
        <v>11</v>
      </c>
      <c r="G65" t="s">
        <v>12</v>
      </c>
      <c r="H65">
        <f t="shared" si="0"/>
        <v>1</v>
      </c>
    </row>
    <row r="66" spans="1:8" x14ac:dyDescent="0.3">
      <c r="A66" t="s">
        <v>25</v>
      </c>
      <c r="B66" t="s">
        <v>23</v>
      </c>
      <c r="C66" t="s">
        <v>21</v>
      </c>
      <c r="D66">
        <v>0</v>
      </c>
      <c r="E66" t="s">
        <v>10</v>
      </c>
      <c r="F66" t="s">
        <v>11</v>
      </c>
      <c r="G66" t="s">
        <v>12</v>
      </c>
      <c r="H66">
        <f t="shared" si="0"/>
        <v>0</v>
      </c>
    </row>
    <row r="67" spans="1:8" x14ac:dyDescent="0.3">
      <c r="A67" t="s">
        <v>25</v>
      </c>
      <c r="B67" t="s">
        <v>23</v>
      </c>
      <c r="C67" t="s">
        <v>22</v>
      </c>
      <c r="D67">
        <v>140</v>
      </c>
      <c r="E67" t="s">
        <v>10</v>
      </c>
      <c r="F67" t="s">
        <v>11</v>
      </c>
      <c r="G67" t="s">
        <v>12</v>
      </c>
      <c r="H67">
        <f t="shared" ref="H67:H130" si="1">ROUND(D67, 3 - LEN(INT(ABS(D67))))</f>
        <v>140</v>
      </c>
    </row>
    <row r="68" spans="1:8" x14ac:dyDescent="0.3">
      <c r="A68" t="s">
        <v>26</v>
      </c>
      <c r="B68" t="s">
        <v>8</v>
      </c>
      <c r="C68" t="s">
        <v>9</v>
      </c>
      <c r="D68">
        <v>0</v>
      </c>
      <c r="E68" t="s">
        <v>10</v>
      </c>
      <c r="F68" t="s">
        <v>11</v>
      </c>
      <c r="G68" t="s">
        <v>12</v>
      </c>
      <c r="H68">
        <f t="shared" si="1"/>
        <v>0</v>
      </c>
    </row>
    <row r="69" spans="1:8" x14ac:dyDescent="0.3">
      <c r="A69" t="s">
        <v>26</v>
      </c>
      <c r="B69" t="s">
        <v>8</v>
      </c>
      <c r="C69" t="s">
        <v>13</v>
      </c>
      <c r="D69">
        <v>17</v>
      </c>
      <c r="E69" t="s">
        <v>10</v>
      </c>
      <c r="F69" t="s">
        <v>11</v>
      </c>
      <c r="G69" t="s">
        <v>12</v>
      </c>
      <c r="H69">
        <f t="shared" si="1"/>
        <v>17</v>
      </c>
    </row>
    <row r="70" spans="1:8" x14ac:dyDescent="0.3">
      <c r="A70" t="s">
        <v>26</v>
      </c>
      <c r="B70" t="s">
        <v>8</v>
      </c>
      <c r="C70" t="s">
        <v>14</v>
      </c>
      <c r="D70">
        <v>0</v>
      </c>
      <c r="E70" t="s">
        <v>10</v>
      </c>
      <c r="F70" t="s">
        <v>11</v>
      </c>
      <c r="G70" t="s">
        <v>12</v>
      </c>
      <c r="H70">
        <f t="shared" si="1"/>
        <v>0</v>
      </c>
    </row>
    <row r="71" spans="1:8" x14ac:dyDescent="0.3">
      <c r="A71" t="s">
        <v>26</v>
      </c>
      <c r="B71" t="s">
        <v>8</v>
      </c>
      <c r="C71" t="s">
        <v>15</v>
      </c>
      <c r="D71">
        <v>0</v>
      </c>
      <c r="E71" t="s">
        <v>10</v>
      </c>
      <c r="F71" t="s">
        <v>11</v>
      </c>
      <c r="G71" t="s">
        <v>12</v>
      </c>
      <c r="H71">
        <f t="shared" si="1"/>
        <v>0</v>
      </c>
    </row>
    <row r="72" spans="1:8" x14ac:dyDescent="0.3">
      <c r="A72" t="s">
        <v>26</v>
      </c>
      <c r="B72" t="s">
        <v>8</v>
      </c>
      <c r="C72" t="s">
        <v>16</v>
      </c>
      <c r="D72">
        <v>0</v>
      </c>
      <c r="E72" t="s">
        <v>10</v>
      </c>
      <c r="F72" t="s">
        <v>11</v>
      </c>
      <c r="G72" t="s">
        <v>12</v>
      </c>
      <c r="H72">
        <f t="shared" si="1"/>
        <v>0</v>
      </c>
    </row>
    <row r="73" spans="1:8" x14ac:dyDescent="0.3">
      <c r="A73" t="s">
        <v>26</v>
      </c>
      <c r="B73" t="s">
        <v>8</v>
      </c>
      <c r="C73" t="s">
        <v>17</v>
      </c>
      <c r="D73">
        <v>0</v>
      </c>
      <c r="E73" t="s">
        <v>10</v>
      </c>
      <c r="F73" t="s">
        <v>11</v>
      </c>
      <c r="G73" t="s">
        <v>12</v>
      </c>
      <c r="H73">
        <f t="shared" si="1"/>
        <v>0</v>
      </c>
    </row>
    <row r="74" spans="1:8" x14ac:dyDescent="0.3">
      <c r="A74" t="s">
        <v>26</v>
      </c>
      <c r="B74" t="s">
        <v>8</v>
      </c>
      <c r="C74" t="s">
        <v>18</v>
      </c>
      <c r="D74">
        <v>0</v>
      </c>
      <c r="E74" t="s">
        <v>10</v>
      </c>
      <c r="F74" t="s">
        <v>11</v>
      </c>
      <c r="G74" t="s">
        <v>12</v>
      </c>
      <c r="H74">
        <f t="shared" si="1"/>
        <v>0</v>
      </c>
    </row>
    <row r="75" spans="1:8" x14ac:dyDescent="0.3">
      <c r="A75" t="s">
        <v>26</v>
      </c>
      <c r="B75" t="s">
        <v>8</v>
      </c>
      <c r="C75" t="s">
        <v>19</v>
      </c>
      <c r="D75">
        <v>0</v>
      </c>
      <c r="E75" t="s">
        <v>10</v>
      </c>
      <c r="F75" t="s">
        <v>11</v>
      </c>
      <c r="G75" t="s">
        <v>12</v>
      </c>
      <c r="H75">
        <f t="shared" si="1"/>
        <v>0</v>
      </c>
    </row>
    <row r="76" spans="1:8" x14ac:dyDescent="0.3">
      <c r="A76" t="s">
        <v>26</v>
      </c>
      <c r="B76" t="s">
        <v>8</v>
      </c>
      <c r="C76" t="s">
        <v>20</v>
      </c>
      <c r="D76">
        <v>0</v>
      </c>
      <c r="E76" t="s">
        <v>10</v>
      </c>
      <c r="F76" t="s">
        <v>11</v>
      </c>
      <c r="G76" t="s">
        <v>12</v>
      </c>
      <c r="H76">
        <f t="shared" si="1"/>
        <v>0</v>
      </c>
    </row>
    <row r="77" spans="1:8" x14ac:dyDescent="0.3">
      <c r="A77" t="s">
        <v>26</v>
      </c>
      <c r="B77" t="s">
        <v>8</v>
      </c>
      <c r="C77" t="s">
        <v>21</v>
      </c>
      <c r="D77">
        <v>0</v>
      </c>
      <c r="E77" t="s">
        <v>10</v>
      </c>
      <c r="F77" t="s">
        <v>11</v>
      </c>
      <c r="G77" t="s">
        <v>12</v>
      </c>
      <c r="H77">
        <f t="shared" si="1"/>
        <v>0</v>
      </c>
    </row>
    <row r="78" spans="1:8" x14ac:dyDescent="0.3">
      <c r="A78" t="s">
        <v>26</v>
      </c>
      <c r="B78" t="s">
        <v>8</v>
      </c>
      <c r="C78" t="s">
        <v>22</v>
      </c>
      <c r="D78">
        <v>1549</v>
      </c>
      <c r="E78" t="s">
        <v>10</v>
      </c>
      <c r="F78" t="s">
        <v>11</v>
      </c>
      <c r="G78" t="s">
        <v>12</v>
      </c>
      <c r="H78">
        <f t="shared" si="1"/>
        <v>1550</v>
      </c>
    </row>
    <row r="79" spans="1:8" x14ac:dyDescent="0.3">
      <c r="A79" t="s">
        <v>26</v>
      </c>
      <c r="B79" t="s">
        <v>23</v>
      </c>
      <c r="C79" t="s">
        <v>9</v>
      </c>
      <c r="D79">
        <v>3</v>
      </c>
      <c r="E79" t="s">
        <v>10</v>
      </c>
      <c r="F79" t="s">
        <v>11</v>
      </c>
      <c r="G79" t="s">
        <v>12</v>
      </c>
      <c r="H79">
        <f t="shared" si="1"/>
        <v>3</v>
      </c>
    </row>
    <row r="80" spans="1:8" x14ac:dyDescent="0.3">
      <c r="A80" t="s">
        <v>26</v>
      </c>
      <c r="B80" t="s">
        <v>23</v>
      </c>
      <c r="C80" t="s">
        <v>13</v>
      </c>
      <c r="D80">
        <v>47</v>
      </c>
      <c r="E80" t="s">
        <v>10</v>
      </c>
      <c r="F80" t="s">
        <v>11</v>
      </c>
      <c r="G80" t="s">
        <v>12</v>
      </c>
      <c r="H80">
        <f t="shared" si="1"/>
        <v>47</v>
      </c>
    </row>
    <row r="81" spans="1:8" x14ac:dyDescent="0.3">
      <c r="A81" t="s">
        <v>26</v>
      </c>
      <c r="B81" t="s">
        <v>23</v>
      </c>
      <c r="C81" t="s">
        <v>14</v>
      </c>
      <c r="D81">
        <v>34</v>
      </c>
      <c r="E81" t="s">
        <v>10</v>
      </c>
      <c r="F81" t="s">
        <v>11</v>
      </c>
      <c r="G81" t="s">
        <v>12</v>
      </c>
      <c r="H81">
        <f t="shared" si="1"/>
        <v>34</v>
      </c>
    </row>
    <row r="82" spans="1:8" x14ac:dyDescent="0.3">
      <c r="A82" t="s">
        <v>26</v>
      </c>
      <c r="B82" t="s">
        <v>23</v>
      </c>
      <c r="C82" t="s">
        <v>15</v>
      </c>
      <c r="D82">
        <v>3</v>
      </c>
      <c r="E82" t="s">
        <v>10</v>
      </c>
      <c r="F82" t="s">
        <v>11</v>
      </c>
      <c r="G82" t="s">
        <v>12</v>
      </c>
      <c r="H82">
        <f t="shared" si="1"/>
        <v>3</v>
      </c>
    </row>
    <row r="83" spans="1:8" x14ac:dyDescent="0.3">
      <c r="A83" t="s">
        <v>26</v>
      </c>
      <c r="B83" t="s">
        <v>23</v>
      </c>
      <c r="C83" t="s">
        <v>16</v>
      </c>
      <c r="D83">
        <v>18</v>
      </c>
      <c r="E83" t="s">
        <v>10</v>
      </c>
      <c r="F83" t="s">
        <v>11</v>
      </c>
      <c r="G83" t="s">
        <v>12</v>
      </c>
      <c r="H83">
        <f t="shared" si="1"/>
        <v>18</v>
      </c>
    </row>
    <row r="84" spans="1:8" x14ac:dyDescent="0.3">
      <c r="A84" t="s">
        <v>26</v>
      </c>
      <c r="B84" t="s">
        <v>23</v>
      </c>
      <c r="C84" t="s">
        <v>17</v>
      </c>
      <c r="D84">
        <v>3</v>
      </c>
      <c r="E84" t="s">
        <v>10</v>
      </c>
      <c r="F84" t="s">
        <v>11</v>
      </c>
      <c r="G84" t="s">
        <v>12</v>
      </c>
      <c r="H84">
        <f t="shared" si="1"/>
        <v>3</v>
      </c>
    </row>
    <row r="85" spans="1:8" x14ac:dyDescent="0.3">
      <c r="A85" t="s">
        <v>26</v>
      </c>
      <c r="B85" t="s">
        <v>23</v>
      </c>
      <c r="C85" t="s">
        <v>18</v>
      </c>
      <c r="D85">
        <v>0</v>
      </c>
      <c r="E85" t="s">
        <v>10</v>
      </c>
      <c r="F85" t="s">
        <v>11</v>
      </c>
      <c r="G85" t="s">
        <v>12</v>
      </c>
      <c r="H85">
        <f t="shared" si="1"/>
        <v>0</v>
      </c>
    </row>
    <row r="86" spans="1:8" x14ac:dyDescent="0.3">
      <c r="A86" t="s">
        <v>26</v>
      </c>
      <c r="B86" t="s">
        <v>23</v>
      </c>
      <c r="C86" t="s">
        <v>19</v>
      </c>
      <c r="D86">
        <v>7</v>
      </c>
      <c r="E86" t="s">
        <v>10</v>
      </c>
      <c r="F86" t="s">
        <v>11</v>
      </c>
      <c r="G86" t="s">
        <v>12</v>
      </c>
      <c r="H86">
        <f t="shared" si="1"/>
        <v>7</v>
      </c>
    </row>
    <row r="87" spans="1:8" x14ac:dyDescent="0.3">
      <c r="A87" t="s">
        <v>26</v>
      </c>
      <c r="B87" t="s">
        <v>23</v>
      </c>
      <c r="C87" t="s">
        <v>20</v>
      </c>
      <c r="D87">
        <v>3</v>
      </c>
      <c r="E87" t="s">
        <v>10</v>
      </c>
      <c r="F87" t="s">
        <v>11</v>
      </c>
      <c r="G87" t="s">
        <v>12</v>
      </c>
      <c r="H87">
        <f t="shared" si="1"/>
        <v>3</v>
      </c>
    </row>
    <row r="88" spans="1:8" x14ac:dyDescent="0.3">
      <c r="A88" t="s">
        <v>26</v>
      </c>
      <c r="B88" t="s">
        <v>23</v>
      </c>
      <c r="C88" t="s">
        <v>21</v>
      </c>
      <c r="D88">
        <v>1</v>
      </c>
      <c r="E88" t="s">
        <v>10</v>
      </c>
      <c r="F88" t="s">
        <v>11</v>
      </c>
      <c r="G88" t="s">
        <v>12</v>
      </c>
      <c r="H88">
        <f t="shared" si="1"/>
        <v>1</v>
      </c>
    </row>
    <row r="89" spans="1:8" x14ac:dyDescent="0.3">
      <c r="A89" t="s">
        <v>26</v>
      </c>
      <c r="B89" t="s">
        <v>23</v>
      </c>
      <c r="C89" t="s">
        <v>22</v>
      </c>
      <c r="D89">
        <v>326</v>
      </c>
      <c r="E89" t="s">
        <v>10</v>
      </c>
      <c r="F89" t="s">
        <v>11</v>
      </c>
      <c r="G89" t="s">
        <v>12</v>
      </c>
      <c r="H89">
        <f t="shared" si="1"/>
        <v>326</v>
      </c>
    </row>
    <row r="90" spans="1:8" x14ac:dyDescent="0.3">
      <c r="A90" t="s">
        <v>27</v>
      </c>
      <c r="B90" t="s">
        <v>8</v>
      </c>
      <c r="C90" t="s">
        <v>9</v>
      </c>
      <c r="D90">
        <v>3</v>
      </c>
      <c r="E90" t="s">
        <v>10</v>
      </c>
      <c r="F90" t="s">
        <v>11</v>
      </c>
      <c r="G90" t="s">
        <v>12</v>
      </c>
      <c r="H90">
        <f t="shared" si="1"/>
        <v>3</v>
      </c>
    </row>
    <row r="91" spans="1:8" x14ac:dyDescent="0.3">
      <c r="A91" t="s">
        <v>27</v>
      </c>
      <c r="B91" t="s">
        <v>8</v>
      </c>
      <c r="C91" t="s">
        <v>13</v>
      </c>
      <c r="D91">
        <v>0</v>
      </c>
      <c r="E91" t="s">
        <v>10</v>
      </c>
      <c r="F91" t="s">
        <v>11</v>
      </c>
      <c r="G91" t="s">
        <v>12</v>
      </c>
      <c r="H91">
        <f t="shared" si="1"/>
        <v>0</v>
      </c>
    </row>
    <row r="92" spans="1:8" x14ac:dyDescent="0.3">
      <c r="A92" t="s">
        <v>27</v>
      </c>
      <c r="B92" t="s">
        <v>8</v>
      </c>
      <c r="C92" t="s">
        <v>14</v>
      </c>
      <c r="D92">
        <v>71166</v>
      </c>
      <c r="E92" t="s">
        <v>10</v>
      </c>
      <c r="F92" t="s">
        <v>11</v>
      </c>
      <c r="G92" t="s">
        <v>12</v>
      </c>
      <c r="H92">
        <f t="shared" si="1"/>
        <v>71200</v>
      </c>
    </row>
    <row r="93" spans="1:8" x14ac:dyDescent="0.3">
      <c r="A93" t="s">
        <v>27</v>
      </c>
      <c r="B93" t="s">
        <v>8</v>
      </c>
      <c r="C93" t="s">
        <v>15</v>
      </c>
      <c r="D93">
        <v>0</v>
      </c>
      <c r="E93" t="s">
        <v>10</v>
      </c>
      <c r="F93" t="s">
        <v>11</v>
      </c>
      <c r="G93" t="s">
        <v>12</v>
      </c>
      <c r="H93">
        <f t="shared" si="1"/>
        <v>0</v>
      </c>
    </row>
    <row r="94" spans="1:8" x14ac:dyDescent="0.3">
      <c r="A94" t="s">
        <v>27</v>
      </c>
      <c r="B94" t="s">
        <v>8</v>
      </c>
      <c r="C94" t="s">
        <v>16</v>
      </c>
      <c r="D94">
        <v>47403</v>
      </c>
      <c r="E94" t="s">
        <v>10</v>
      </c>
      <c r="F94" t="s">
        <v>11</v>
      </c>
      <c r="G94" t="s">
        <v>12</v>
      </c>
      <c r="H94">
        <f t="shared" si="1"/>
        <v>47400</v>
      </c>
    </row>
    <row r="95" spans="1:8" x14ac:dyDescent="0.3">
      <c r="A95" t="s">
        <v>27</v>
      </c>
      <c r="B95" t="s">
        <v>8</v>
      </c>
      <c r="C95" t="s">
        <v>17</v>
      </c>
      <c r="D95">
        <v>40074</v>
      </c>
      <c r="E95" t="s">
        <v>10</v>
      </c>
      <c r="F95" t="s">
        <v>11</v>
      </c>
      <c r="G95" t="s">
        <v>12</v>
      </c>
      <c r="H95">
        <f t="shared" si="1"/>
        <v>40100</v>
      </c>
    </row>
    <row r="96" spans="1:8" x14ac:dyDescent="0.3">
      <c r="A96" t="s">
        <v>27</v>
      </c>
      <c r="B96" t="s">
        <v>8</v>
      </c>
      <c r="C96" t="s">
        <v>18</v>
      </c>
      <c r="D96">
        <v>0</v>
      </c>
      <c r="E96" t="s">
        <v>10</v>
      </c>
      <c r="F96" t="s">
        <v>11</v>
      </c>
      <c r="G96" t="s">
        <v>12</v>
      </c>
      <c r="H96">
        <f t="shared" si="1"/>
        <v>0</v>
      </c>
    </row>
    <row r="97" spans="1:8" x14ac:dyDescent="0.3">
      <c r="A97" t="s">
        <v>27</v>
      </c>
      <c r="B97" t="s">
        <v>8</v>
      </c>
      <c r="C97" t="s">
        <v>19</v>
      </c>
      <c r="D97">
        <v>0</v>
      </c>
      <c r="E97" t="s">
        <v>10</v>
      </c>
      <c r="F97" t="s">
        <v>11</v>
      </c>
      <c r="G97" t="s">
        <v>12</v>
      </c>
      <c r="H97">
        <f t="shared" si="1"/>
        <v>0</v>
      </c>
    </row>
    <row r="98" spans="1:8" x14ac:dyDescent="0.3">
      <c r="A98" t="s">
        <v>27</v>
      </c>
      <c r="B98" t="s">
        <v>8</v>
      </c>
      <c r="C98" t="s">
        <v>20</v>
      </c>
      <c r="D98">
        <v>0</v>
      </c>
      <c r="E98" t="s">
        <v>10</v>
      </c>
      <c r="F98" t="s">
        <v>11</v>
      </c>
      <c r="G98" t="s">
        <v>12</v>
      </c>
      <c r="H98">
        <f t="shared" si="1"/>
        <v>0</v>
      </c>
    </row>
    <row r="99" spans="1:8" x14ac:dyDescent="0.3">
      <c r="A99" t="s">
        <v>27</v>
      </c>
      <c r="B99" t="s">
        <v>8</v>
      </c>
      <c r="C99" t="s">
        <v>21</v>
      </c>
      <c r="D99">
        <v>1</v>
      </c>
      <c r="E99" t="s">
        <v>10</v>
      </c>
      <c r="F99" t="s">
        <v>11</v>
      </c>
      <c r="G99" t="s">
        <v>12</v>
      </c>
      <c r="H99">
        <f t="shared" si="1"/>
        <v>1</v>
      </c>
    </row>
    <row r="100" spans="1:8" x14ac:dyDescent="0.3">
      <c r="A100" t="s">
        <v>27</v>
      </c>
      <c r="B100" t="s">
        <v>8</v>
      </c>
      <c r="C100" t="s">
        <v>22</v>
      </c>
      <c r="D100">
        <v>2</v>
      </c>
      <c r="E100" t="s">
        <v>10</v>
      </c>
      <c r="F100" t="s">
        <v>11</v>
      </c>
      <c r="G100" t="s">
        <v>12</v>
      </c>
      <c r="H100">
        <f t="shared" si="1"/>
        <v>2</v>
      </c>
    </row>
    <row r="101" spans="1:8" x14ac:dyDescent="0.3">
      <c r="A101" t="s">
        <v>27</v>
      </c>
      <c r="B101" t="s">
        <v>23</v>
      </c>
      <c r="C101" t="s">
        <v>9</v>
      </c>
      <c r="D101">
        <v>13</v>
      </c>
      <c r="E101" t="s">
        <v>10</v>
      </c>
      <c r="F101" t="s">
        <v>11</v>
      </c>
      <c r="G101" t="s">
        <v>12</v>
      </c>
      <c r="H101">
        <f t="shared" si="1"/>
        <v>13</v>
      </c>
    </row>
    <row r="102" spans="1:8" x14ac:dyDescent="0.3">
      <c r="A102" t="s">
        <v>27</v>
      </c>
      <c r="B102" t="s">
        <v>23</v>
      </c>
      <c r="C102" t="s">
        <v>13</v>
      </c>
      <c r="D102">
        <v>4</v>
      </c>
      <c r="E102" t="s">
        <v>10</v>
      </c>
      <c r="F102" t="s">
        <v>11</v>
      </c>
      <c r="G102" t="s">
        <v>12</v>
      </c>
      <c r="H102">
        <f t="shared" si="1"/>
        <v>4</v>
      </c>
    </row>
    <row r="103" spans="1:8" x14ac:dyDescent="0.3">
      <c r="A103" t="s">
        <v>27</v>
      </c>
      <c r="B103" t="s">
        <v>23</v>
      </c>
      <c r="C103" t="s">
        <v>14</v>
      </c>
      <c r="D103">
        <v>1684</v>
      </c>
      <c r="E103" t="s">
        <v>10</v>
      </c>
      <c r="F103" t="s">
        <v>11</v>
      </c>
      <c r="G103" t="s">
        <v>12</v>
      </c>
      <c r="H103">
        <f t="shared" si="1"/>
        <v>1680</v>
      </c>
    </row>
    <row r="104" spans="1:8" x14ac:dyDescent="0.3">
      <c r="A104" t="s">
        <v>27</v>
      </c>
      <c r="B104" t="s">
        <v>23</v>
      </c>
      <c r="C104" t="s">
        <v>15</v>
      </c>
      <c r="D104">
        <v>3</v>
      </c>
      <c r="E104" t="s">
        <v>10</v>
      </c>
      <c r="F104" t="s">
        <v>11</v>
      </c>
      <c r="G104" t="s">
        <v>12</v>
      </c>
      <c r="H104">
        <f t="shared" si="1"/>
        <v>3</v>
      </c>
    </row>
    <row r="105" spans="1:8" x14ac:dyDescent="0.3">
      <c r="A105" t="s">
        <v>27</v>
      </c>
      <c r="B105" t="s">
        <v>23</v>
      </c>
      <c r="C105" t="s">
        <v>16</v>
      </c>
      <c r="D105">
        <v>4076</v>
      </c>
      <c r="E105" t="s">
        <v>10</v>
      </c>
      <c r="F105" t="s">
        <v>11</v>
      </c>
      <c r="G105" t="s">
        <v>12</v>
      </c>
      <c r="H105">
        <f t="shared" si="1"/>
        <v>4080</v>
      </c>
    </row>
    <row r="106" spans="1:8" x14ac:dyDescent="0.3">
      <c r="A106" t="s">
        <v>27</v>
      </c>
      <c r="B106" t="s">
        <v>23</v>
      </c>
      <c r="C106" t="s">
        <v>17</v>
      </c>
      <c r="D106">
        <v>404</v>
      </c>
      <c r="E106" t="s">
        <v>10</v>
      </c>
      <c r="F106" t="s">
        <v>11</v>
      </c>
      <c r="G106" t="s">
        <v>12</v>
      </c>
      <c r="H106">
        <f t="shared" si="1"/>
        <v>404</v>
      </c>
    </row>
    <row r="107" spans="1:8" x14ac:dyDescent="0.3">
      <c r="A107" t="s">
        <v>27</v>
      </c>
      <c r="B107" t="s">
        <v>23</v>
      </c>
      <c r="C107" t="s">
        <v>18</v>
      </c>
      <c r="D107">
        <v>0</v>
      </c>
      <c r="E107" t="s">
        <v>10</v>
      </c>
      <c r="F107" t="s">
        <v>11</v>
      </c>
      <c r="G107" t="s">
        <v>12</v>
      </c>
      <c r="H107">
        <f t="shared" si="1"/>
        <v>0</v>
      </c>
    </row>
    <row r="108" spans="1:8" x14ac:dyDescent="0.3">
      <c r="A108" t="s">
        <v>27</v>
      </c>
      <c r="B108" t="s">
        <v>23</v>
      </c>
      <c r="C108" t="s">
        <v>19</v>
      </c>
      <c r="D108">
        <v>3</v>
      </c>
      <c r="E108" t="s">
        <v>10</v>
      </c>
      <c r="F108" t="s">
        <v>11</v>
      </c>
      <c r="G108" t="s">
        <v>12</v>
      </c>
      <c r="H108">
        <f t="shared" si="1"/>
        <v>3</v>
      </c>
    </row>
    <row r="109" spans="1:8" x14ac:dyDescent="0.3">
      <c r="A109" t="s">
        <v>27</v>
      </c>
      <c r="B109" t="s">
        <v>23</v>
      </c>
      <c r="C109" t="s">
        <v>20</v>
      </c>
      <c r="D109">
        <v>11</v>
      </c>
      <c r="E109" t="s">
        <v>10</v>
      </c>
      <c r="F109" t="s">
        <v>11</v>
      </c>
      <c r="G109" t="s">
        <v>12</v>
      </c>
      <c r="H109">
        <f t="shared" si="1"/>
        <v>11</v>
      </c>
    </row>
    <row r="110" spans="1:8" x14ac:dyDescent="0.3">
      <c r="A110" t="s">
        <v>27</v>
      </c>
      <c r="B110" t="s">
        <v>23</v>
      </c>
      <c r="C110" t="s">
        <v>21</v>
      </c>
      <c r="D110">
        <v>8</v>
      </c>
      <c r="E110" t="s">
        <v>10</v>
      </c>
      <c r="F110" t="s">
        <v>11</v>
      </c>
      <c r="G110" t="s">
        <v>12</v>
      </c>
      <c r="H110">
        <f t="shared" si="1"/>
        <v>8</v>
      </c>
    </row>
    <row r="111" spans="1:8" x14ac:dyDescent="0.3">
      <c r="A111" t="s">
        <v>27</v>
      </c>
      <c r="B111" t="s">
        <v>23</v>
      </c>
      <c r="C111" t="s">
        <v>22</v>
      </c>
      <c r="D111">
        <v>5</v>
      </c>
      <c r="E111" t="s">
        <v>10</v>
      </c>
      <c r="F111" t="s">
        <v>11</v>
      </c>
      <c r="G111" t="s">
        <v>12</v>
      </c>
      <c r="H111">
        <f t="shared" si="1"/>
        <v>5</v>
      </c>
    </row>
    <row r="112" spans="1:8" x14ac:dyDescent="0.3">
      <c r="A112" t="s">
        <v>28</v>
      </c>
      <c r="B112" t="s">
        <v>8</v>
      </c>
      <c r="C112" t="s">
        <v>9</v>
      </c>
      <c r="D112">
        <v>1</v>
      </c>
      <c r="E112" t="s">
        <v>10</v>
      </c>
      <c r="F112" t="s">
        <v>11</v>
      </c>
      <c r="G112" t="s">
        <v>12</v>
      </c>
      <c r="H112">
        <f t="shared" si="1"/>
        <v>1</v>
      </c>
    </row>
    <row r="113" spans="1:8" x14ac:dyDescent="0.3">
      <c r="A113" t="s">
        <v>28</v>
      </c>
      <c r="B113" t="s">
        <v>8</v>
      </c>
      <c r="C113" t="s">
        <v>13</v>
      </c>
      <c r="D113">
        <v>0</v>
      </c>
      <c r="E113" t="s">
        <v>10</v>
      </c>
      <c r="F113" t="s">
        <v>11</v>
      </c>
      <c r="G113" t="s">
        <v>12</v>
      </c>
      <c r="H113">
        <f t="shared" si="1"/>
        <v>0</v>
      </c>
    </row>
    <row r="114" spans="1:8" x14ac:dyDescent="0.3">
      <c r="A114" t="s">
        <v>28</v>
      </c>
      <c r="B114" t="s">
        <v>8</v>
      </c>
      <c r="C114" t="s">
        <v>14</v>
      </c>
      <c r="D114">
        <v>35737</v>
      </c>
      <c r="E114" t="s">
        <v>10</v>
      </c>
      <c r="F114" t="s">
        <v>11</v>
      </c>
      <c r="G114" t="s">
        <v>12</v>
      </c>
      <c r="H114">
        <f t="shared" si="1"/>
        <v>35700</v>
      </c>
    </row>
    <row r="115" spans="1:8" x14ac:dyDescent="0.3">
      <c r="A115" t="s">
        <v>28</v>
      </c>
      <c r="B115" t="s">
        <v>8</v>
      </c>
      <c r="C115" t="s">
        <v>15</v>
      </c>
      <c r="D115">
        <v>0</v>
      </c>
      <c r="E115" t="s">
        <v>10</v>
      </c>
      <c r="F115" t="s">
        <v>11</v>
      </c>
      <c r="G115" t="s">
        <v>12</v>
      </c>
      <c r="H115">
        <f t="shared" si="1"/>
        <v>0</v>
      </c>
    </row>
    <row r="116" spans="1:8" x14ac:dyDescent="0.3">
      <c r="A116" t="s">
        <v>28</v>
      </c>
      <c r="B116" t="s">
        <v>8</v>
      </c>
      <c r="C116" t="s">
        <v>16</v>
      </c>
      <c r="D116">
        <v>19051</v>
      </c>
      <c r="E116" t="s">
        <v>10</v>
      </c>
      <c r="F116" t="s">
        <v>11</v>
      </c>
      <c r="G116" t="s">
        <v>12</v>
      </c>
      <c r="H116">
        <f t="shared" si="1"/>
        <v>19100</v>
      </c>
    </row>
    <row r="117" spans="1:8" x14ac:dyDescent="0.3">
      <c r="A117" t="s">
        <v>28</v>
      </c>
      <c r="B117" t="s">
        <v>8</v>
      </c>
      <c r="C117" t="s">
        <v>17</v>
      </c>
      <c r="D117">
        <v>11</v>
      </c>
      <c r="E117" t="s">
        <v>10</v>
      </c>
      <c r="F117" t="s">
        <v>11</v>
      </c>
      <c r="G117" t="s">
        <v>12</v>
      </c>
      <c r="H117">
        <f t="shared" si="1"/>
        <v>11</v>
      </c>
    </row>
    <row r="118" spans="1:8" x14ac:dyDescent="0.3">
      <c r="A118" t="s">
        <v>28</v>
      </c>
      <c r="B118" t="s">
        <v>8</v>
      </c>
      <c r="C118" t="s">
        <v>18</v>
      </c>
      <c r="D118">
        <v>0</v>
      </c>
      <c r="E118" t="s">
        <v>10</v>
      </c>
      <c r="F118" t="s">
        <v>11</v>
      </c>
      <c r="G118" t="s">
        <v>12</v>
      </c>
      <c r="H118">
        <f t="shared" si="1"/>
        <v>0</v>
      </c>
    </row>
    <row r="119" spans="1:8" x14ac:dyDescent="0.3">
      <c r="A119" t="s">
        <v>28</v>
      </c>
      <c r="B119" t="s">
        <v>8</v>
      </c>
      <c r="C119" t="s">
        <v>19</v>
      </c>
      <c r="D119">
        <v>0</v>
      </c>
      <c r="E119" t="s">
        <v>10</v>
      </c>
      <c r="F119" t="s">
        <v>11</v>
      </c>
      <c r="G119" t="s">
        <v>12</v>
      </c>
      <c r="H119">
        <f t="shared" si="1"/>
        <v>0</v>
      </c>
    </row>
    <row r="120" spans="1:8" x14ac:dyDescent="0.3">
      <c r="A120" t="s">
        <v>28</v>
      </c>
      <c r="B120" t="s">
        <v>8</v>
      </c>
      <c r="C120" t="s">
        <v>20</v>
      </c>
      <c r="D120">
        <v>0</v>
      </c>
      <c r="E120" t="s">
        <v>10</v>
      </c>
      <c r="F120" t="s">
        <v>11</v>
      </c>
      <c r="G120" t="s">
        <v>12</v>
      </c>
      <c r="H120">
        <f t="shared" si="1"/>
        <v>0</v>
      </c>
    </row>
    <row r="121" spans="1:8" x14ac:dyDescent="0.3">
      <c r="A121" t="s">
        <v>28</v>
      </c>
      <c r="B121" t="s">
        <v>8</v>
      </c>
      <c r="C121" t="s">
        <v>21</v>
      </c>
      <c r="D121">
        <v>0</v>
      </c>
      <c r="E121" t="s">
        <v>10</v>
      </c>
      <c r="F121" t="s">
        <v>11</v>
      </c>
      <c r="G121" t="s">
        <v>12</v>
      </c>
      <c r="H121">
        <f t="shared" si="1"/>
        <v>0</v>
      </c>
    </row>
    <row r="122" spans="1:8" x14ac:dyDescent="0.3">
      <c r="A122" t="s">
        <v>28</v>
      </c>
      <c r="B122" t="s">
        <v>8</v>
      </c>
      <c r="C122" t="s">
        <v>22</v>
      </c>
      <c r="D122">
        <v>0</v>
      </c>
      <c r="E122" t="s">
        <v>10</v>
      </c>
      <c r="F122" t="s">
        <v>11</v>
      </c>
      <c r="G122" t="s">
        <v>12</v>
      </c>
      <c r="H122">
        <f t="shared" si="1"/>
        <v>0</v>
      </c>
    </row>
    <row r="123" spans="1:8" x14ac:dyDescent="0.3">
      <c r="A123" t="s">
        <v>28</v>
      </c>
      <c r="B123" t="s">
        <v>23</v>
      </c>
      <c r="C123" t="s">
        <v>9</v>
      </c>
      <c r="D123">
        <v>1</v>
      </c>
      <c r="E123" t="s">
        <v>10</v>
      </c>
      <c r="F123" t="s">
        <v>11</v>
      </c>
      <c r="G123" t="s">
        <v>12</v>
      </c>
      <c r="H123">
        <f t="shared" si="1"/>
        <v>1</v>
      </c>
    </row>
    <row r="124" spans="1:8" x14ac:dyDescent="0.3">
      <c r="A124" t="s">
        <v>28</v>
      </c>
      <c r="B124" t="s">
        <v>23</v>
      </c>
      <c r="C124" t="s">
        <v>13</v>
      </c>
      <c r="D124">
        <v>1</v>
      </c>
      <c r="E124" t="s">
        <v>10</v>
      </c>
      <c r="F124" t="s">
        <v>11</v>
      </c>
      <c r="G124" t="s">
        <v>12</v>
      </c>
      <c r="H124">
        <f t="shared" si="1"/>
        <v>1</v>
      </c>
    </row>
    <row r="125" spans="1:8" x14ac:dyDescent="0.3">
      <c r="A125" t="s">
        <v>28</v>
      </c>
      <c r="B125" t="s">
        <v>23</v>
      </c>
      <c r="C125" t="s">
        <v>14</v>
      </c>
      <c r="D125">
        <v>831</v>
      </c>
      <c r="E125" t="s">
        <v>10</v>
      </c>
      <c r="F125" t="s">
        <v>11</v>
      </c>
      <c r="G125" t="s">
        <v>12</v>
      </c>
      <c r="H125">
        <f t="shared" si="1"/>
        <v>831</v>
      </c>
    </row>
    <row r="126" spans="1:8" x14ac:dyDescent="0.3">
      <c r="A126" t="s">
        <v>28</v>
      </c>
      <c r="B126" t="s">
        <v>23</v>
      </c>
      <c r="C126" t="s">
        <v>15</v>
      </c>
      <c r="D126">
        <v>1</v>
      </c>
      <c r="E126" t="s">
        <v>10</v>
      </c>
      <c r="F126" t="s">
        <v>11</v>
      </c>
      <c r="G126" t="s">
        <v>12</v>
      </c>
      <c r="H126">
        <f t="shared" si="1"/>
        <v>1</v>
      </c>
    </row>
    <row r="127" spans="1:8" x14ac:dyDescent="0.3">
      <c r="A127" t="s">
        <v>28</v>
      </c>
      <c r="B127" t="s">
        <v>23</v>
      </c>
      <c r="C127" t="s">
        <v>16</v>
      </c>
      <c r="D127">
        <v>1647</v>
      </c>
      <c r="E127" t="s">
        <v>10</v>
      </c>
      <c r="F127" t="s">
        <v>11</v>
      </c>
      <c r="G127" t="s">
        <v>12</v>
      </c>
      <c r="H127">
        <f t="shared" si="1"/>
        <v>1650</v>
      </c>
    </row>
    <row r="128" spans="1:8" x14ac:dyDescent="0.3">
      <c r="A128" t="s">
        <v>28</v>
      </c>
      <c r="B128" t="s">
        <v>23</v>
      </c>
      <c r="C128" t="s">
        <v>17</v>
      </c>
      <c r="D128">
        <v>0</v>
      </c>
      <c r="E128" t="s">
        <v>10</v>
      </c>
      <c r="F128" t="s">
        <v>11</v>
      </c>
      <c r="G128" t="s">
        <v>12</v>
      </c>
      <c r="H128">
        <f t="shared" si="1"/>
        <v>0</v>
      </c>
    </row>
    <row r="129" spans="1:8" x14ac:dyDescent="0.3">
      <c r="A129" t="s">
        <v>28</v>
      </c>
      <c r="B129" t="s">
        <v>23</v>
      </c>
      <c r="C129" t="s">
        <v>18</v>
      </c>
      <c r="D129">
        <v>0</v>
      </c>
      <c r="E129" t="s">
        <v>10</v>
      </c>
      <c r="F129" t="s">
        <v>11</v>
      </c>
      <c r="G129" t="s">
        <v>12</v>
      </c>
      <c r="H129">
        <f t="shared" si="1"/>
        <v>0</v>
      </c>
    </row>
    <row r="130" spans="1:8" x14ac:dyDescent="0.3">
      <c r="A130" t="s">
        <v>28</v>
      </c>
      <c r="B130" t="s">
        <v>23</v>
      </c>
      <c r="C130" t="s">
        <v>19</v>
      </c>
      <c r="D130">
        <v>1</v>
      </c>
      <c r="E130" t="s">
        <v>10</v>
      </c>
      <c r="F130" t="s">
        <v>11</v>
      </c>
      <c r="G130" t="s">
        <v>12</v>
      </c>
      <c r="H130">
        <f t="shared" si="1"/>
        <v>1</v>
      </c>
    </row>
    <row r="131" spans="1:8" x14ac:dyDescent="0.3">
      <c r="A131" t="s">
        <v>28</v>
      </c>
      <c r="B131" t="s">
        <v>23</v>
      </c>
      <c r="C131" t="s">
        <v>20</v>
      </c>
      <c r="D131">
        <v>4</v>
      </c>
      <c r="E131" t="s">
        <v>10</v>
      </c>
      <c r="F131" t="s">
        <v>11</v>
      </c>
      <c r="G131" t="s">
        <v>12</v>
      </c>
      <c r="H131">
        <f t="shared" ref="H131:H194" si="2">ROUND(D131, 3 - LEN(INT(ABS(D131))))</f>
        <v>4</v>
      </c>
    </row>
    <row r="132" spans="1:8" x14ac:dyDescent="0.3">
      <c r="A132" t="s">
        <v>28</v>
      </c>
      <c r="B132" t="s">
        <v>23</v>
      </c>
      <c r="C132" t="s">
        <v>21</v>
      </c>
      <c r="D132">
        <v>4</v>
      </c>
      <c r="E132" t="s">
        <v>10</v>
      </c>
      <c r="F132" t="s">
        <v>11</v>
      </c>
      <c r="G132" t="s">
        <v>12</v>
      </c>
      <c r="H132">
        <f t="shared" si="2"/>
        <v>4</v>
      </c>
    </row>
    <row r="133" spans="1:8" x14ac:dyDescent="0.3">
      <c r="A133" t="s">
        <v>28</v>
      </c>
      <c r="B133" t="s">
        <v>23</v>
      </c>
      <c r="C133" t="s">
        <v>22</v>
      </c>
      <c r="D133">
        <v>2</v>
      </c>
      <c r="E133" t="s">
        <v>10</v>
      </c>
      <c r="F133" t="s">
        <v>11</v>
      </c>
      <c r="G133" t="s">
        <v>12</v>
      </c>
      <c r="H133">
        <f t="shared" si="2"/>
        <v>2</v>
      </c>
    </row>
    <row r="134" spans="1:8" x14ac:dyDescent="0.3">
      <c r="A134" t="s">
        <v>29</v>
      </c>
      <c r="B134" t="s">
        <v>8</v>
      </c>
      <c r="C134" t="s">
        <v>9</v>
      </c>
      <c r="D134">
        <v>0</v>
      </c>
      <c r="E134" t="s">
        <v>10</v>
      </c>
      <c r="F134" t="s">
        <v>11</v>
      </c>
      <c r="G134" t="s">
        <v>12</v>
      </c>
      <c r="H134">
        <f t="shared" si="2"/>
        <v>0</v>
      </c>
    </row>
    <row r="135" spans="1:8" x14ac:dyDescent="0.3">
      <c r="A135" t="s">
        <v>29</v>
      </c>
      <c r="B135" t="s">
        <v>8</v>
      </c>
      <c r="C135" t="s">
        <v>13</v>
      </c>
      <c r="D135">
        <v>0</v>
      </c>
      <c r="E135" t="s">
        <v>10</v>
      </c>
      <c r="F135" t="s">
        <v>11</v>
      </c>
      <c r="G135" t="s">
        <v>12</v>
      </c>
      <c r="H135">
        <f t="shared" si="2"/>
        <v>0</v>
      </c>
    </row>
    <row r="136" spans="1:8" x14ac:dyDescent="0.3">
      <c r="A136" t="s">
        <v>29</v>
      </c>
      <c r="B136" t="s">
        <v>8</v>
      </c>
      <c r="C136" t="s">
        <v>14</v>
      </c>
      <c r="D136">
        <v>29425</v>
      </c>
      <c r="E136" t="s">
        <v>10</v>
      </c>
      <c r="F136" t="s">
        <v>11</v>
      </c>
      <c r="G136" t="s">
        <v>12</v>
      </c>
      <c r="H136">
        <f t="shared" si="2"/>
        <v>29400</v>
      </c>
    </row>
    <row r="137" spans="1:8" x14ac:dyDescent="0.3">
      <c r="A137" t="s">
        <v>29</v>
      </c>
      <c r="B137" t="s">
        <v>8</v>
      </c>
      <c r="C137" t="s">
        <v>15</v>
      </c>
      <c r="D137">
        <v>0</v>
      </c>
      <c r="E137" t="s">
        <v>10</v>
      </c>
      <c r="F137" t="s">
        <v>11</v>
      </c>
      <c r="G137" t="s">
        <v>12</v>
      </c>
      <c r="H137">
        <f t="shared" si="2"/>
        <v>0</v>
      </c>
    </row>
    <row r="138" spans="1:8" x14ac:dyDescent="0.3">
      <c r="A138" t="s">
        <v>29</v>
      </c>
      <c r="B138" t="s">
        <v>8</v>
      </c>
      <c r="C138" t="s">
        <v>16</v>
      </c>
      <c r="D138">
        <v>8</v>
      </c>
      <c r="E138" t="s">
        <v>10</v>
      </c>
      <c r="F138" t="s">
        <v>11</v>
      </c>
      <c r="G138" t="s">
        <v>12</v>
      </c>
      <c r="H138">
        <f t="shared" si="2"/>
        <v>8</v>
      </c>
    </row>
    <row r="139" spans="1:8" x14ac:dyDescent="0.3">
      <c r="A139" t="s">
        <v>29</v>
      </c>
      <c r="B139" t="s">
        <v>8</v>
      </c>
      <c r="C139" t="s">
        <v>17</v>
      </c>
      <c r="D139">
        <v>0</v>
      </c>
      <c r="E139" t="s">
        <v>10</v>
      </c>
      <c r="F139" t="s">
        <v>11</v>
      </c>
      <c r="G139" t="s">
        <v>12</v>
      </c>
      <c r="H139">
        <f t="shared" si="2"/>
        <v>0</v>
      </c>
    </row>
    <row r="140" spans="1:8" x14ac:dyDescent="0.3">
      <c r="A140" t="s">
        <v>29</v>
      </c>
      <c r="B140" t="s">
        <v>8</v>
      </c>
      <c r="C140" t="s">
        <v>18</v>
      </c>
      <c r="D140">
        <v>0</v>
      </c>
      <c r="E140" t="s">
        <v>10</v>
      </c>
      <c r="F140" t="s">
        <v>11</v>
      </c>
      <c r="G140" t="s">
        <v>12</v>
      </c>
      <c r="H140">
        <f t="shared" si="2"/>
        <v>0</v>
      </c>
    </row>
    <row r="141" spans="1:8" x14ac:dyDescent="0.3">
      <c r="A141" t="s">
        <v>29</v>
      </c>
      <c r="B141" t="s">
        <v>8</v>
      </c>
      <c r="C141" t="s">
        <v>19</v>
      </c>
      <c r="D141">
        <v>0</v>
      </c>
      <c r="E141" t="s">
        <v>10</v>
      </c>
      <c r="F141" t="s">
        <v>11</v>
      </c>
      <c r="G141" t="s">
        <v>12</v>
      </c>
      <c r="H141">
        <f t="shared" si="2"/>
        <v>0</v>
      </c>
    </row>
    <row r="142" spans="1:8" x14ac:dyDescent="0.3">
      <c r="A142" t="s">
        <v>29</v>
      </c>
      <c r="B142" t="s">
        <v>8</v>
      </c>
      <c r="C142" t="s">
        <v>20</v>
      </c>
      <c r="D142">
        <v>0</v>
      </c>
      <c r="E142" t="s">
        <v>10</v>
      </c>
      <c r="F142" t="s">
        <v>11</v>
      </c>
      <c r="G142" t="s">
        <v>12</v>
      </c>
      <c r="H142">
        <f t="shared" si="2"/>
        <v>0</v>
      </c>
    </row>
    <row r="143" spans="1:8" x14ac:dyDescent="0.3">
      <c r="A143" t="s">
        <v>29</v>
      </c>
      <c r="B143" t="s">
        <v>8</v>
      </c>
      <c r="C143" t="s">
        <v>21</v>
      </c>
      <c r="D143">
        <v>0</v>
      </c>
      <c r="E143" t="s">
        <v>10</v>
      </c>
      <c r="F143" t="s">
        <v>11</v>
      </c>
      <c r="G143" t="s">
        <v>12</v>
      </c>
      <c r="H143">
        <f t="shared" si="2"/>
        <v>0</v>
      </c>
    </row>
    <row r="144" spans="1:8" x14ac:dyDescent="0.3">
      <c r="A144" t="s">
        <v>29</v>
      </c>
      <c r="B144" t="s">
        <v>8</v>
      </c>
      <c r="C144" t="s">
        <v>22</v>
      </c>
      <c r="D144">
        <v>0</v>
      </c>
      <c r="E144" t="s">
        <v>10</v>
      </c>
      <c r="F144" t="s">
        <v>11</v>
      </c>
      <c r="G144" t="s">
        <v>12</v>
      </c>
      <c r="H144">
        <f t="shared" si="2"/>
        <v>0</v>
      </c>
    </row>
    <row r="145" spans="1:8" x14ac:dyDescent="0.3">
      <c r="A145" t="s">
        <v>29</v>
      </c>
      <c r="B145" t="s">
        <v>23</v>
      </c>
      <c r="C145" t="s">
        <v>9</v>
      </c>
      <c r="D145">
        <v>0</v>
      </c>
      <c r="E145" t="s">
        <v>10</v>
      </c>
      <c r="F145" t="s">
        <v>11</v>
      </c>
      <c r="G145" t="s">
        <v>12</v>
      </c>
      <c r="H145">
        <f t="shared" si="2"/>
        <v>0</v>
      </c>
    </row>
    <row r="146" spans="1:8" x14ac:dyDescent="0.3">
      <c r="A146" t="s">
        <v>29</v>
      </c>
      <c r="B146" t="s">
        <v>23</v>
      </c>
      <c r="C146" t="s">
        <v>13</v>
      </c>
      <c r="D146">
        <v>0</v>
      </c>
      <c r="E146" t="s">
        <v>10</v>
      </c>
      <c r="F146" t="s">
        <v>11</v>
      </c>
      <c r="G146" t="s">
        <v>12</v>
      </c>
      <c r="H146">
        <f t="shared" si="2"/>
        <v>0</v>
      </c>
    </row>
    <row r="147" spans="1:8" x14ac:dyDescent="0.3">
      <c r="A147" t="s">
        <v>29</v>
      </c>
      <c r="B147" t="s">
        <v>23</v>
      </c>
      <c r="C147" t="s">
        <v>14</v>
      </c>
      <c r="D147">
        <v>683</v>
      </c>
      <c r="E147" t="s">
        <v>10</v>
      </c>
      <c r="F147" t="s">
        <v>11</v>
      </c>
      <c r="G147" t="s">
        <v>12</v>
      </c>
      <c r="H147">
        <f t="shared" si="2"/>
        <v>683</v>
      </c>
    </row>
    <row r="148" spans="1:8" x14ac:dyDescent="0.3">
      <c r="A148" t="s">
        <v>29</v>
      </c>
      <c r="B148" t="s">
        <v>23</v>
      </c>
      <c r="C148" t="s">
        <v>15</v>
      </c>
      <c r="D148">
        <v>0</v>
      </c>
      <c r="E148" t="s">
        <v>10</v>
      </c>
      <c r="F148" t="s">
        <v>11</v>
      </c>
      <c r="G148" t="s">
        <v>12</v>
      </c>
      <c r="H148">
        <f t="shared" si="2"/>
        <v>0</v>
      </c>
    </row>
    <row r="149" spans="1:8" x14ac:dyDescent="0.3">
      <c r="A149" t="s">
        <v>29</v>
      </c>
      <c r="B149" t="s">
        <v>23</v>
      </c>
      <c r="C149" t="s">
        <v>16</v>
      </c>
      <c r="D149">
        <v>43</v>
      </c>
      <c r="E149" t="s">
        <v>10</v>
      </c>
      <c r="F149" t="s">
        <v>11</v>
      </c>
      <c r="G149" t="s">
        <v>12</v>
      </c>
      <c r="H149">
        <f t="shared" si="2"/>
        <v>43</v>
      </c>
    </row>
    <row r="150" spans="1:8" x14ac:dyDescent="0.3">
      <c r="A150" t="s">
        <v>29</v>
      </c>
      <c r="B150" t="s">
        <v>23</v>
      </c>
      <c r="C150" t="s">
        <v>17</v>
      </c>
      <c r="D150">
        <v>0</v>
      </c>
      <c r="E150" t="s">
        <v>10</v>
      </c>
      <c r="F150" t="s">
        <v>11</v>
      </c>
      <c r="G150" t="s">
        <v>12</v>
      </c>
      <c r="H150">
        <f t="shared" si="2"/>
        <v>0</v>
      </c>
    </row>
    <row r="151" spans="1:8" x14ac:dyDescent="0.3">
      <c r="A151" t="s">
        <v>29</v>
      </c>
      <c r="B151" t="s">
        <v>23</v>
      </c>
      <c r="C151" t="s">
        <v>18</v>
      </c>
      <c r="D151">
        <v>0</v>
      </c>
      <c r="E151" t="s">
        <v>10</v>
      </c>
      <c r="F151" t="s">
        <v>11</v>
      </c>
      <c r="G151" t="s">
        <v>12</v>
      </c>
      <c r="H151">
        <f t="shared" si="2"/>
        <v>0</v>
      </c>
    </row>
    <row r="152" spans="1:8" x14ac:dyDescent="0.3">
      <c r="A152" t="s">
        <v>29</v>
      </c>
      <c r="B152" t="s">
        <v>23</v>
      </c>
      <c r="C152" t="s">
        <v>19</v>
      </c>
      <c r="D152">
        <v>0</v>
      </c>
      <c r="E152" t="s">
        <v>10</v>
      </c>
      <c r="F152" t="s">
        <v>11</v>
      </c>
      <c r="G152" t="s">
        <v>12</v>
      </c>
      <c r="H152">
        <f t="shared" si="2"/>
        <v>0</v>
      </c>
    </row>
    <row r="153" spans="1:8" x14ac:dyDescent="0.3">
      <c r="A153" t="s">
        <v>29</v>
      </c>
      <c r="B153" t="s">
        <v>23</v>
      </c>
      <c r="C153" t="s">
        <v>20</v>
      </c>
      <c r="D153">
        <v>0</v>
      </c>
      <c r="E153" t="s">
        <v>10</v>
      </c>
      <c r="F153" t="s">
        <v>11</v>
      </c>
      <c r="G153" t="s">
        <v>12</v>
      </c>
      <c r="H153">
        <f t="shared" si="2"/>
        <v>0</v>
      </c>
    </row>
    <row r="154" spans="1:8" x14ac:dyDescent="0.3">
      <c r="A154" t="s">
        <v>29</v>
      </c>
      <c r="B154" t="s">
        <v>23</v>
      </c>
      <c r="C154" t="s">
        <v>21</v>
      </c>
      <c r="D154">
        <v>3</v>
      </c>
      <c r="E154" t="s">
        <v>10</v>
      </c>
      <c r="F154" t="s">
        <v>11</v>
      </c>
      <c r="G154" t="s">
        <v>12</v>
      </c>
      <c r="H154">
        <f t="shared" si="2"/>
        <v>3</v>
      </c>
    </row>
    <row r="155" spans="1:8" x14ac:dyDescent="0.3">
      <c r="A155" t="s">
        <v>29</v>
      </c>
      <c r="B155" t="s">
        <v>23</v>
      </c>
      <c r="C155" t="s">
        <v>22</v>
      </c>
      <c r="D155">
        <v>0</v>
      </c>
      <c r="E155" t="s">
        <v>10</v>
      </c>
      <c r="F155" t="s">
        <v>11</v>
      </c>
      <c r="G155" t="s">
        <v>12</v>
      </c>
      <c r="H155">
        <f t="shared" si="2"/>
        <v>0</v>
      </c>
    </row>
    <row r="156" spans="1:8" x14ac:dyDescent="0.3">
      <c r="A156" t="s">
        <v>30</v>
      </c>
      <c r="B156" t="s">
        <v>8</v>
      </c>
      <c r="C156" t="s">
        <v>9</v>
      </c>
      <c r="D156">
        <v>0</v>
      </c>
      <c r="E156" t="s">
        <v>10</v>
      </c>
      <c r="F156" t="s">
        <v>11</v>
      </c>
      <c r="G156" t="s">
        <v>12</v>
      </c>
      <c r="H156">
        <f t="shared" si="2"/>
        <v>0</v>
      </c>
    </row>
    <row r="157" spans="1:8" x14ac:dyDescent="0.3">
      <c r="A157" t="s">
        <v>30</v>
      </c>
      <c r="B157" t="s">
        <v>8</v>
      </c>
      <c r="C157" t="s">
        <v>13</v>
      </c>
      <c r="D157">
        <v>0</v>
      </c>
      <c r="E157" t="s">
        <v>10</v>
      </c>
      <c r="F157" t="s">
        <v>11</v>
      </c>
      <c r="G157" t="s">
        <v>12</v>
      </c>
      <c r="H157">
        <f t="shared" si="2"/>
        <v>0</v>
      </c>
    </row>
    <row r="158" spans="1:8" x14ac:dyDescent="0.3">
      <c r="A158" t="s">
        <v>30</v>
      </c>
      <c r="B158" t="s">
        <v>8</v>
      </c>
      <c r="C158" t="s">
        <v>14</v>
      </c>
      <c r="D158">
        <v>0</v>
      </c>
      <c r="E158" t="s">
        <v>10</v>
      </c>
      <c r="F158" t="s">
        <v>11</v>
      </c>
      <c r="G158" t="s">
        <v>12</v>
      </c>
      <c r="H158">
        <f t="shared" si="2"/>
        <v>0</v>
      </c>
    </row>
    <row r="159" spans="1:8" x14ac:dyDescent="0.3">
      <c r="A159" t="s">
        <v>30</v>
      </c>
      <c r="B159" t="s">
        <v>8</v>
      </c>
      <c r="C159" t="s">
        <v>15</v>
      </c>
      <c r="D159">
        <v>0</v>
      </c>
      <c r="E159" t="s">
        <v>10</v>
      </c>
      <c r="F159" t="s">
        <v>11</v>
      </c>
      <c r="G159" t="s">
        <v>12</v>
      </c>
      <c r="H159">
        <f t="shared" si="2"/>
        <v>0</v>
      </c>
    </row>
    <row r="160" spans="1:8" x14ac:dyDescent="0.3">
      <c r="A160" t="s">
        <v>30</v>
      </c>
      <c r="B160" t="s">
        <v>8</v>
      </c>
      <c r="C160" t="s">
        <v>16</v>
      </c>
      <c r="D160">
        <v>0</v>
      </c>
      <c r="E160" t="s">
        <v>10</v>
      </c>
      <c r="F160" t="s">
        <v>11</v>
      </c>
      <c r="G160" t="s">
        <v>12</v>
      </c>
      <c r="H160">
        <f t="shared" si="2"/>
        <v>0</v>
      </c>
    </row>
    <row r="161" spans="1:8" x14ac:dyDescent="0.3">
      <c r="A161" t="s">
        <v>30</v>
      </c>
      <c r="B161" t="s">
        <v>8</v>
      </c>
      <c r="C161" t="s">
        <v>17</v>
      </c>
      <c r="D161">
        <v>5114</v>
      </c>
      <c r="E161" t="s">
        <v>10</v>
      </c>
      <c r="F161" t="s">
        <v>11</v>
      </c>
      <c r="G161" t="s">
        <v>12</v>
      </c>
      <c r="H161">
        <f t="shared" si="2"/>
        <v>5110</v>
      </c>
    </row>
    <row r="162" spans="1:8" x14ac:dyDescent="0.3">
      <c r="A162" t="s">
        <v>30</v>
      </c>
      <c r="B162" t="s">
        <v>8</v>
      </c>
      <c r="C162" t="s">
        <v>18</v>
      </c>
      <c r="D162">
        <v>0</v>
      </c>
      <c r="E162" t="s">
        <v>10</v>
      </c>
      <c r="F162" t="s">
        <v>11</v>
      </c>
      <c r="G162" t="s">
        <v>12</v>
      </c>
      <c r="H162">
        <f t="shared" si="2"/>
        <v>0</v>
      </c>
    </row>
    <row r="163" spans="1:8" x14ac:dyDescent="0.3">
      <c r="A163" t="s">
        <v>30</v>
      </c>
      <c r="B163" t="s">
        <v>8</v>
      </c>
      <c r="C163" t="s">
        <v>19</v>
      </c>
      <c r="D163">
        <v>0</v>
      </c>
      <c r="E163" t="s">
        <v>10</v>
      </c>
      <c r="F163" t="s">
        <v>11</v>
      </c>
      <c r="G163" t="s">
        <v>12</v>
      </c>
      <c r="H163">
        <f t="shared" si="2"/>
        <v>0</v>
      </c>
    </row>
    <row r="164" spans="1:8" x14ac:dyDescent="0.3">
      <c r="A164" t="s">
        <v>30</v>
      </c>
      <c r="B164" t="s">
        <v>8</v>
      </c>
      <c r="C164" t="s">
        <v>20</v>
      </c>
      <c r="D164">
        <v>0</v>
      </c>
      <c r="E164" t="s">
        <v>10</v>
      </c>
      <c r="F164" t="s">
        <v>11</v>
      </c>
      <c r="G164" t="s">
        <v>12</v>
      </c>
      <c r="H164">
        <f t="shared" si="2"/>
        <v>0</v>
      </c>
    </row>
    <row r="165" spans="1:8" x14ac:dyDescent="0.3">
      <c r="A165" t="s">
        <v>30</v>
      </c>
      <c r="B165" t="s">
        <v>8</v>
      </c>
      <c r="C165" t="s">
        <v>21</v>
      </c>
      <c r="D165">
        <v>0</v>
      </c>
      <c r="E165" t="s">
        <v>10</v>
      </c>
      <c r="F165" t="s">
        <v>11</v>
      </c>
      <c r="G165" t="s">
        <v>12</v>
      </c>
      <c r="H165">
        <f t="shared" si="2"/>
        <v>0</v>
      </c>
    </row>
    <row r="166" spans="1:8" x14ac:dyDescent="0.3">
      <c r="A166" t="s">
        <v>30</v>
      </c>
      <c r="B166" t="s">
        <v>8</v>
      </c>
      <c r="C166" t="s">
        <v>22</v>
      </c>
      <c r="D166">
        <v>0</v>
      </c>
      <c r="E166" t="s">
        <v>10</v>
      </c>
      <c r="F166" t="s">
        <v>11</v>
      </c>
      <c r="G166" t="s">
        <v>12</v>
      </c>
      <c r="H166">
        <f t="shared" si="2"/>
        <v>0</v>
      </c>
    </row>
    <row r="167" spans="1:8" x14ac:dyDescent="0.3">
      <c r="A167" t="s">
        <v>30</v>
      </c>
      <c r="B167" t="s">
        <v>23</v>
      </c>
      <c r="C167" t="s">
        <v>9</v>
      </c>
      <c r="D167">
        <v>1</v>
      </c>
      <c r="E167" t="s">
        <v>10</v>
      </c>
      <c r="F167" t="s">
        <v>11</v>
      </c>
      <c r="G167" t="s">
        <v>12</v>
      </c>
      <c r="H167">
        <f t="shared" si="2"/>
        <v>1</v>
      </c>
    </row>
    <row r="168" spans="1:8" x14ac:dyDescent="0.3">
      <c r="A168" t="s">
        <v>30</v>
      </c>
      <c r="B168" t="s">
        <v>23</v>
      </c>
      <c r="C168" t="s">
        <v>13</v>
      </c>
      <c r="D168">
        <v>0</v>
      </c>
      <c r="E168" t="s">
        <v>10</v>
      </c>
      <c r="F168" t="s">
        <v>11</v>
      </c>
      <c r="G168" t="s">
        <v>12</v>
      </c>
      <c r="H168">
        <f t="shared" si="2"/>
        <v>0</v>
      </c>
    </row>
    <row r="169" spans="1:8" x14ac:dyDescent="0.3">
      <c r="A169" t="s">
        <v>30</v>
      </c>
      <c r="B169" t="s">
        <v>23</v>
      </c>
      <c r="C169" t="s">
        <v>14</v>
      </c>
      <c r="D169">
        <v>3</v>
      </c>
      <c r="E169" t="s">
        <v>10</v>
      </c>
      <c r="F169" t="s">
        <v>11</v>
      </c>
      <c r="G169" t="s">
        <v>12</v>
      </c>
      <c r="H169">
        <f t="shared" si="2"/>
        <v>3</v>
      </c>
    </row>
    <row r="170" spans="1:8" x14ac:dyDescent="0.3">
      <c r="A170" t="s">
        <v>30</v>
      </c>
      <c r="B170" t="s">
        <v>23</v>
      </c>
      <c r="C170" t="s">
        <v>15</v>
      </c>
      <c r="D170">
        <v>0</v>
      </c>
      <c r="E170" t="s">
        <v>10</v>
      </c>
      <c r="F170" t="s">
        <v>11</v>
      </c>
      <c r="G170" t="s">
        <v>12</v>
      </c>
      <c r="H170">
        <f t="shared" si="2"/>
        <v>0</v>
      </c>
    </row>
    <row r="171" spans="1:8" x14ac:dyDescent="0.3">
      <c r="A171" t="s">
        <v>30</v>
      </c>
      <c r="B171" t="s">
        <v>23</v>
      </c>
      <c r="C171" t="s">
        <v>16</v>
      </c>
      <c r="D171">
        <v>0</v>
      </c>
      <c r="E171" t="s">
        <v>10</v>
      </c>
      <c r="F171" t="s">
        <v>11</v>
      </c>
      <c r="G171" t="s">
        <v>12</v>
      </c>
      <c r="H171">
        <f t="shared" si="2"/>
        <v>0</v>
      </c>
    </row>
    <row r="172" spans="1:8" x14ac:dyDescent="0.3">
      <c r="A172" t="s">
        <v>30</v>
      </c>
      <c r="B172" t="s">
        <v>23</v>
      </c>
      <c r="C172" t="s">
        <v>17</v>
      </c>
      <c r="D172">
        <v>51</v>
      </c>
      <c r="E172" t="s">
        <v>10</v>
      </c>
      <c r="F172" t="s">
        <v>11</v>
      </c>
      <c r="G172" t="s">
        <v>12</v>
      </c>
      <c r="H172">
        <f t="shared" si="2"/>
        <v>51</v>
      </c>
    </row>
    <row r="173" spans="1:8" x14ac:dyDescent="0.3">
      <c r="A173" t="s">
        <v>30</v>
      </c>
      <c r="B173" t="s">
        <v>23</v>
      </c>
      <c r="C173" t="s">
        <v>18</v>
      </c>
      <c r="D173">
        <v>0</v>
      </c>
      <c r="E173" t="s">
        <v>10</v>
      </c>
      <c r="F173" t="s">
        <v>11</v>
      </c>
      <c r="G173" t="s">
        <v>12</v>
      </c>
      <c r="H173">
        <f t="shared" si="2"/>
        <v>0</v>
      </c>
    </row>
    <row r="174" spans="1:8" x14ac:dyDescent="0.3">
      <c r="A174" t="s">
        <v>30</v>
      </c>
      <c r="B174" t="s">
        <v>23</v>
      </c>
      <c r="C174" t="s">
        <v>19</v>
      </c>
      <c r="D174">
        <v>0</v>
      </c>
      <c r="E174" t="s">
        <v>10</v>
      </c>
      <c r="F174" t="s">
        <v>11</v>
      </c>
      <c r="G174" t="s">
        <v>12</v>
      </c>
      <c r="H174">
        <f t="shared" si="2"/>
        <v>0</v>
      </c>
    </row>
    <row r="175" spans="1:8" x14ac:dyDescent="0.3">
      <c r="A175" t="s">
        <v>30</v>
      </c>
      <c r="B175" t="s">
        <v>23</v>
      </c>
      <c r="C175" t="s">
        <v>20</v>
      </c>
      <c r="D175">
        <v>0</v>
      </c>
      <c r="E175" t="s">
        <v>10</v>
      </c>
      <c r="F175" t="s">
        <v>11</v>
      </c>
      <c r="G175" t="s">
        <v>12</v>
      </c>
      <c r="H175">
        <f t="shared" si="2"/>
        <v>0</v>
      </c>
    </row>
    <row r="176" spans="1:8" x14ac:dyDescent="0.3">
      <c r="A176" t="s">
        <v>30</v>
      </c>
      <c r="B176" t="s">
        <v>23</v>
      </c>
      <c r="C176" t="s">
        <v>21</v>
      </c>
      <c r="D176">
        <v>0</v>
      </c>
      <c r="E176" t="s">
        <v>10</v>
      </c>
      <c r="F176" t="s">
        <v>11</v>
      </c>
      <c r="G176" t="s">
        <v>12</v>
      </c>
      <c r="H176">
        <f t="shared" si="2"/>
        <v>0</v>
      </c>
    </row>
    <row r="177" spans="1:8" x14ac:dyDescent="0.3">
      <c r="A177" t="s">
        <v>30</v>
      </c>
      <c r="B177" t="s">
        <v>23</v>
      </c>
      <c r="C177" t="s">
        <v>22</v>
      </c>
      <c r="D177">
        <v>0</v>
      </c>
      <c r="E177" t="s">
        <v>10</v>
      </c>
      <c r="F177" t="s">
        <v>11</v>
      </c>
      <c r="G177" t="s">
        <v>12</v>
      </c>
      <c r="H177">
        <f t="shared" si="2"/>
        <v>0</v>
      </c>
    </row>
    <row r="178" spans="1:8" x14ac:dyDescent="0.3">
      <c r="A178" t="s">
        <v>31</v>
      </c>
      <c r="B178" t="s">
        <v>8</v>
      </c>
      <c r="C178" t="s">
        <v>9</v>
      </c>
      <c r="D178">
        <v>0</v>
      </c>
      <c r="E178" t="s">
        <v>10</v>
      </c>
      <c r="F178" t="s">
        <v>11</v>
      </c>
      <c r="G178" t="s">
        <v>12</v>
      </c>
      <c r="H178">
        <f t="shared" si="2"/>
        <v>0</v>
      </c>
    </row>
    <row r="179" spans="1:8" x14ac:dyDescent="0.3">
      <c r="A179" t="s">
        <v>31</v>
      </c>
      <c r="B179" t="s">
        <v>8</v>
      </c>
      <c r="C179" t="s">
        <v>13</v>
      </c>
      <c r="D179">
        <v>0</v>
      </c>
      <c r="E179" t="s">
        <v>10</v>
      </c>
      <c r="F179" t="s">
        <v>11</v>
      </c>
      <c r="G179" t="s">
        <v>12</v>
      </c>
      <c r="H179">
        <f t="shared" si="2"/>
        <v>0</v>
      </c>
    </row>
    <row r="180" spans="1:8" x14ac:dyDescent="0.3">
      <c r="A180" t="s">
        <v>31</v>
      </c>
      <c r="B180" t="s">
        <v>8</v>
      </c>
      <c r="C180" t="s">
        <v>14</v>
      </c>
      <c r="D180">
        <v>0</v>
      </c>
      <c r="E180" t="s">
        <v>10</v>
      </c>
      <c r="F180" t="s">
        <v>11</v>
      </c>
      <c r="G180" t="s">
        <v>12</v>
      </c>
      <c r="H180">
        <f t="shared" si="2"/>
        <v>0</v>
      </c>
    </row>
    <row r="181" spans="1:8" x14ac:dyDescent="0.3">
      <c r="A181" t="s">
        <v>31</v>
      </c>
      <c r="B181" t="s">
        <v>8</v>
      </c>
      <c r="C181" t="s">
        <v>15</v>
      </c>
      <c r="D181">
        <v>0</v>
      </c>
      <c r="E181" t="s">
        <v>10</v>
      </c>
      <c r="F181" t="s">
        <v>11</v>
      </c>
      <c r="G181" t="s">
        <v>12</v>
      </c>
      <c r="H181">
        <f t="shared" si="2"/>
        <v>0</v>
      </c>
    </row>
    <row r="182" spans="1:8" x14ac:dyDescent="0.3">
      <c r="A182" t="s">
        <v>31</v>
      </c>
      <c r="B182" t="s">
        <v>8</v>
      </c>
      <c r="C182" t="s">
        <v>16</v>
      </c>
      <c r="D182">
        <v>0</v>
      </c>
      <c r="E182" t="s">
        <v>10</v>
      </c>
      <c r="F182" t="s">
        <v>11</v>
      </c>
      <c r="G182" t="s">
        <v>12</v>
      </c>
      <c r="H182">
        <f t="shared" si="2"/>
        <v>0</v>
      </c>
    </row>
    <row r="183" spans="1:8" x14ac:dyDescent="0.3">
      <c r="A183" t="s">
        <v>31</v>
      </c>
      <c r="B183" t="s">
        <v>8</v>
      </c>
      <c r="C183" t="s">
        <v>17</v>
      </c>
      <c r="D183">
        <v>11387</v>
      </c>
      <c r="E183" t="s">
        <v>10</v>
      </c>
      <c r="F183" t="s">
        <v>11</v>
      </c>
      <c r="G183" t="s">
        <v>12</v>
      </c>
      <c r="H183">
        <f t="shared" si="2"/>
        <v>11400</v>
      </c>
    </row>
    <row r="184" spans="1:8" x14ac:dyDescent="0.3">
      <c r="A184" t="s">
        <v>31</v>
      </c>
      <c r="B184" t="s">
        <v>8</v>
      </c>
      <c r="C184" t="s">
        <v>18</v>
      </c>
      <c r="D184">
        <v>0</v>
      </c>
      <c r="E184" t="s">
        <v>10</v>
      </c>
      <c r="F184" t="s">
        <v>11</v>
      </c>
      <c r="G184" t="s">
        <v>12</v>
      </c>
      <c r="H184">
        <f t="shared" si="2"/>
        <v>0</v>
      </c>
    </row>
    <row r="185" spans="1:8" x14ac:dyDescent="0.3">
      <c r="A185" t="s">
        <v>31</v>
      </c>
      <c r="B185" t="s">
        <v>8</v>
      </c>
      <c r="C185" t="s">
        <v>19</v>
      </c>
      <c r="D185">
        <v>0</v>
      </c>
      <c r="E185" t="s">
        <v>10</v>
      </c>
      <c r="F185" t="s">
        <v>11</v>
      </c>
      <c r="G185" t="s">
        <v>12</v>
      </c>
      <c r="H185">
        <f t="shared" si="2"/>
        <v>0</v>
      </c>
    </row>
    <row r="186" spans="1:8" x14ac:dyDescent="0.3">
      <c r="A186" t="s">
        <v>31</v>
      </c>
      <c r="B186" t="s">
        <v>8</v>
      </c>
      <c r="C186" t="s">
        <v>20</v>
      </c>
      <c r="D186">
        <v>0</v>
      </c>
      <c r="E186" t="s">
        <v>10</v>
      </c>
      <c r="F186" t="s">
        <v>11</v>
      </c>
      <c r="G186" t="s">
        <v>12</v>
      </c>
      <c r="H186">
        <f t="shared" si="2"/>
        <v>0</v>
      </c>
    </row>
    <row r="187" spans="1:8" x14ac:dyDescent="0.3">
      <c r="A187" t="s">
        <v>31</v>
      </c>
      <c r="B187" t="s">
        <v>8</v>
      </c>
      <c r="C187" t="s">
        <v>21</v>
      </c>
      <c r="D187">
        <v>0</v>
      </c>
      <c r="E187" t="s">
        <v>10</v>
      </c>
      <c r="F187" t="s">
        <v>11</v>
      </c>
      <c r="G187" t="s">
        <v>12</v>
      </c>
      <c r="H187">
        <f t="shared" si="2"/>
        <v>0</v>
      </c>
    </row>
    <row r="188" spans="1:8" x14ac:dyDescent="0.3">
      <c r="A188" t="s">
        <v>31</v>
      </c>
      <c r="B188" t="s">
        <v>8</v>
      </c>
      <c r="C188" t="s">
        <v>22</v>
      </c>
      <c r="D188">
        <v>0</v>
      </c>
      <c r="E188" t="s">
        <v>10</v>
      </c>
      <c r="F188" t="s">
        <v>11</v>
      </c>
      <c r="G188" t="s">
        <v>12</v>
      </c>
      <c r="H188">
        <f t="shared" si="2"/>
        <v>0</v>
      </c>
    </row>
    <row r="189" spans="1:8" x14ac:dyDescent="0.3">
      <c r="A189" t="s">
        <v>31</v>
      </c>
      <c r="B189" t="s">
        <v>23</v>
      </c>
      <c r="C189" t="s">
        <v>9</v>
      </c>
      <c r="D189">
        <v>3</v>
      </c>
      <c r="E189" t="s">
        <v>10</v>
      </c>
      <c r="F189" t="s">
        <v>11</v>
      </c>
      <c r="G189" t="s">
        <v>12</v>
      </c>
      <c r="H189">
        <f t="shared" si="2"/>
        <v>3</v>
      </c>
    </row>
    <row r="190" spans="1:8" x14ac:dyDescent="0.3">
      <c r="A190" t="s">
        <v>31</v>
      </c>
      <c r="B190" t="s">
        <v>23</v>
      </c>
      <c r="C190" t="s">
        <v>13</v>
      </c>
      <c r="D190">
        <v>0</v>
      </c>
      <c r="E190" t="s">
        <v>10</v>
      </c>
      <c r="F190" t="s">
        <v>11</v>
      </c>
      <c r="G190" t="s">
        <v>12</v>
      </c>
      <c r="H190">
        <f t="shared" si="2"/>
        <v>0</v>
      </c>
    </row>
    <row r="191" spans="1:8" x14ac:dyDescent="0.3">
      <c r="A191" t="s">
        <v>31</v>
      </c>
      <c r="B191" t="s">
        <v>23</v>
      </c>
      <c r="C191" t="s">
        <v>14</v>
      </c>
      <c r="D191">
        <v>8</v>
      </c>
      <c r="E191" t="s">
        <v>10</v>
      </c>
      <c r="F191" t="s">
        <v>11</v>
      </c>
      <c r="G191" t="s">
        <v>12</v>
      </c>
      <c r="H191">
        <f t="shared" si="2"/>
        <v>8</v>
      </c>
    </row>
    <row r="192" spans="1:8" x14ac:dyDescent="0.3">
      <c r="A192" t="s">
        <v>31</v>
      </c>
      <c r="B192" t="s">
        <v>23</v>
      </c>
      <c r="C192" t="s">
        <v>15</v>
      </c>
      <c r="D192">
        <v>0</v>
      </c>
      <c r="E192" t="s">
        <v>10</v>
      </c>
      <c r="F192" t="s">
        <v>11</v>
      </c>
      <c r="G192" t="s">
        <v>12</v>
      </c>
      <c r="H192">
        <f t="shared" si="2"/>
        <v>0</v>
      </c>
    </row>
    <row r="193" spans="1:8" x14ac:dyDescent="0.3">
      <c r="A193" t="s">
        <v>31</v>
      </c>
      <c r="B193" t="s">
        <v>23</v>
      </c>
      <c r="C193" t="s">
        <v>16</v>
      </c>
      <c r="D193">
        <v>1</v>
      </c>
      <c r="E193" t="s">
        <v>10</v>
      </c>
      <c r="F193" t="s">
        <v>11</v>
      </c>
      <c r="G193" t="s">
        <v>12</v>
      </c>
      <c r="H193">
        <f t="shared" si="2"/>
        <v>1</v>
      </c>
    </row>
    <row r="194" spans="1:8" x14ac:dyDescent="0.3">
      <c r="A194" t="s">
        <v>31</v>
      </c>
      <c r="B194" t="s">
        <v>23</v>
      </c>
      <c r="C194" t="s">
        <v>17</v>
      </c>
      <c r="D194">
        <v>115</v>
      </c>
      <c r="E194" t="s">
        <v>10</v>
      </c>
      <c r="F194" t="s">
        <v>11</v>
      </c>
      <c r="G194" t="s">
        <v>12</v>
      </c>
      <c r="H194">
        <f t="shared" si="2"/>
        <v>115</v>
      </c>
    </row>
    <row r="195" spans="1:8" x14ac:dyDescent="0.3">
      <c r="A195" t="s">
        <v>31</v>
      </c>
      <c r="B195" t="s">
        <v>23</v>
      </c>
      <c r="C195" t="s">
        <v>18</v>
      </c>
      <c r="D195">
        <v>0</v>
      </c>
      <c r="E195" t="s">
        <v>10</v>
      </c>
      <c r="F195" t="s">
        <v>11</v>
      </c>
      <c r="G195" t="s">
        <v>12</v>
      </c>
      <c r="H195">
        <f t="shared" ref="H195:H258" si="3">ROUND(D195, 3 - LEN(INT(ABS(D195))))</f>
        <v>0</v>
      </c>
    </row>
    <row r="196" spans="1:8" x14ac:dyDescent="0.3">
      <c r="A196" t="s">
        <v>31</v>
      </c>
      <c r="B196" t="s">
        <v>23</v>
      </c>
      <c r="C196" t="s">
        <v>19</v>
      </c>
      <c r="D196">
        <v>0</v>
      </c>
      <c r="E196" t="s">
        <v>10</v>
      </c>
      <c r="F196" t="s">
        <v>11</v>
      </c>
      <c r="G196" t="s">
        <v>12</v>
      </c>
      <c r="H196">
        <f t="shared" si="3"/>
        <v>0</v>
      </c>
    </row>
    <row r="197" spans="1:8" x14ac:dyDescent="0.3">
      <c r="A197" t="s">
        <v>31</v>
      </c>
      <c r="B197" t="s">
        <v>23</v>
      </c>
      <c r="C197" t="s">
        <v>20</v>
      </c>
      <c r="D197">
        <v>0</v>
      </c>
      <c r="E197" t="s">
        <v>10</v>
      </c>
      <c r="F197" t="s">
        <v>11</v>
      </c>
      <c r="G197" t="s">
        <v>12</v>
      </c>
      <c r="H197">
        <f t="shared" si="3"/>
        <v>0</v>
      </c>
    </row>
    <row r="198" spans="1:8" x14ac:dyDescent="0.3">
      <c r="A198" t="s">
        <v>31</v>
      </c>
      <c r="B198" t="s">
        <v>23</v>
      </c>
      <c r="C198" t="s">
        <v>21</v>
      </c>
      <c r="D198">
        <v>0</v>
      </c>
      <c r="E198" t="s">
        <v>10</v>
      </c>
      <c r="F198" t="s">
        <v>11</v>
      </c>
      <c r="G198" t="s">
        <v>12</v>
      </c>
      <c r="H198">
        <f t="shared" si="3"/>
        <v>0</v>
      </c>
    </row>
    <row r="199" spans="1:8" x14ac:dyDescent="0.3">
      <c r="A199" t="s">
        <v>31</v>
      </c>
      <c r="B199" t="s">
        <v>23</v>
      </c>
      <c r="C199" t="s">
        <v>22</v>
      </c>
      <c r="D199">
        <v>0</v>
      </c>
      <c r="E199" t="s">
        <v>10</v>
      </c>
      <c r="F199" t="s">
        <v>11</v>
      </c>
      <c r="G199" t="s">
        <v>12</v>
      </c>
      <c r="H199">
        <f t="shared" si="3"/>
        <v>0</v>
      </c>
    </row>
    <row r="200" spans="1:8" x14ac:dyDescent="0.3">
      <c r="A200" t="s">
        <v>32</v>
      </c>
      <c r="B200" t="s">
        <v>8</v>
      </c>
      <c r="C200" t="s">
        <v>9</v>
      </c>
      <c r="D200">
        <v>0</v>
      </c>
      <c r="E200" t="s">
        <v>10</v>
      </c>
      <c r="F200" t="s">
        <v>11</v>
      </c>
      <c r="G200" t="s">
        <v>12</v>
      </c>
      <c r="H200">
        <f t="shared" si="3"/>
        <v>0</v>
      </c>
    </row>
    <row r="201" spans="1:8" x14ac:dyDescent="0.3">
      <c r="A201" t="s">
        <v>32</v>
      </c>
      <c r="B201" t="s">
        <v>8</v>
      </c>
      <c r="C201" t="s">
        <v>13</v>
      </c>
      <c r="D201">
        <v>3</v>
      </c>
      <c r="E201" t="s">
        <v>10</v>
      </c>
      <c r="F201" t="s">
        <v>11</v>
      </c>
      <c r="G201" t="s">
        <v>12</v>
      </c>
      <c r="H201">
        <f t="shared" si="3"/>
        <v>3</v>
      </c>
    </row>
    <row r="202" spans="1:8" x14ac:dyDescent="0.3">
      <c r="A202" t="s">
        <v>32</v>
      </c>
      <c r="B202" t="s">
        <v>8</v>
      </c>
      <c r="C202" t="s">
        <v>14</v>
      </c>
      <c r="D202">
        <v>0</v>
      </c>
      <c r="E202" t="s">
        <v>10</v>
      </c>
      <c r="F202" t="s">
        <v>11</v>
      </c>
      <c r="G202" t="s">
        <v>12</v>
      </c>
      <c r="H202">
        <f t="shared" si="3"/>
        <v>0</v>
      </c>
    </row>
    <row r="203" spans="1:8" x14ac:dyDescent="0.3">
      <c r="A203" t="s">
        <v>32</v>
      </c>
      <c r="B203" t="s">
        <v>8</v>
      </c>
      <c r="C203" t="s">
        <v>15</v>
      </c>
      <c r="D203">
        <v>0</v>
      </c>
      <c r="E203" t="s">
        <v>10</v>
      </c>
      <c r="F203" t="s">
        <v>11</v>
      </c>
      <c r="G203" t="s">
        <v>12</v>
      </c>
      <c r="H203">
        <f t="shared" si="3"/>
        <v>0</v>
      </c>
    </row>
    <row r="204" spans="1:8" x14ac:dyDescent="0.3">
      <c r="A204" t="s">
        <v>32</v>
      </c>
      <c r="B204" t="s">
        <v>8</v>
      </c>
      <c r="C204" t="s">
        <v>16</v>
      </c>
      <c r="D204">
        <v>0</v>
      </c>
      <c r="E204" t="s">
        <v>10</v>
      </c>
      <c r="F204" t="s">
        <v>11</v>
      </c>
      <c r="G204" t="s">
        <v>12</v>
      </c>
      <c r="H204">
        <f t="shared" si="3"/>
        <v>0</v>
      </c>
    </row>
    <row r="205" spans="1:8" x14ac:dyDescent="0.3">
      <c r="A205" t="s">
        <v>32</v>
      </c>
      <c r="B205" t="s">
        <v>8</v>
      </c>
      <c r="C205" t="s">
        <v>17</v>
      </c>
      <c r="D205">
        <v>0</v>
      </c>
      <c r="E205" t="s">
        <v>10</v>
      </c>
      <c r="F205" t="s">
        <v>11</v>
      </c>
      <c r="G205" t="s">
        <v>12</v>
      </c>
      <c r="H205">
        <f t="shared" si="3"/>
        <v>0</v>
      </c>
    </row>
    <row r="206" spans="1:8" x14ac:dyDescent="0.3">
      <c r="A206" t="s">
        <v>32</v>
      </c>
      <c r="B206" t="s">
        <v>8</v>
      </c>
      <c r="C206" t="s">
        <v>18</v>
      </c>
      <c r="D206">
        <v>0</v>
      </c>
      <c r="E206" t="s">
        <v>10</v>
      </c>
      <c r="F206" t="s">
        <v>11</v>
      </c>
      <c r="G206" t="s">
        <v>12</v>
      </c>
      <c r="H206">
        <f t="shared" si="3"/>
        <v>0</v>
      </c>
    </row>
    <row r="207" spans="1:8" x14ac:dyDescent="0.3">
      <c r="A207" t="s">
        <v>32</v>
      </c>
      <c r="B207" t="s">
        <v>8</v>
      </c>
      <c r="C207" t="s">
        <v>19</v>
      </c>
      <c r="D207">
        <v>0</v>
      </c>
      <c r="E207" t="s">
        <v>10</v>
      </c>
      <c r="F207" t="s">
        <v>11</v>
      </c>
      <c r="G207" t="s">
        <v>12</v>
      </c>
      <c r="H207">
        <f t="shared" si="3"/>
        <v>0</v>
      </c>
    </row>
    <row r="208" spans="1:8" x14ac:dyDescent="0.3">
      <c r="A208" t="s">
        <v>32</v>
      </c>
      <c r="B208" t="s">
        <v>8</v>
      </c>
      <c r="C208" t="s">
        <v>20</v>
      </c>
      <c r="D208">
        <v>0</v>
      </c>
      <c r="E208" t="s">
        <v>10</v>
      </c>
      <c r="F208" t="s">
        <v>11</v>
      </c>
      <c r="G208" t="s">
        <v>12</v>
      </c>
      <c r="H208">
        <f t="shared" si="3"/>
        <v>0</v>
      </c>
    </row>
    <row r="209" spans="1:8" x14ac:dyDescent="0.3">
      <c r="A209" t="s">
        <v>32</v>
      </c>
      <c r="B209" t="s">
        <v>8</v>
      </c>
      <c r="C209" t="s">
        <v>21</v>
      </c>
      <c r="D209">
        <v>0</v>
      </c>
      <c r="E209" t="s">
        <v>10</v>
      </c>
      <c r="F209" t="s">
        <v>11</v>
      </c>
      <c r="G209" t="s">
        <v>12</v>
      </c>
      <c r="H209">
        <f t="shared" si="3"/>
        <v>0</v>
      </c>
    </row>
    <row r="210" spans="1:8" x14ac:dyDescent="0.3">
      <c r="A210" t="s">
        <v>32</v>
      </c>
      <c r="B210" t="s">
        <v>8</v>
      </c>
      <c r="C210" t="s">
        <v>22</v>
      </c>
      <c r="D210">
        <v>302</v>
      </c>
      <c r="E210" t="s">
        <v>10</v>
      </c>
      <c r="F210" t="s">
        <v>11</v>
      </c>
      <c r="G210" t="s">
        <v>12</v>
      </c>
      <c r="H210">
        <f t="shared" si="3"/>
        <v>302</v>
      </c>
    </row>
    <row r="211" spans="1:8" x14ac:dyDescent="0.3">
      <c r="A211" t="s">
        <v>32</v>
      </c>
      <c r="B211" t="s">
        <v>23</v>
      </c>
      <c r="C211" t="s">
        <v>9</v>
      </c>
      <c r="D211">
        <v>0</v>
      </c>
      <c r="E211" t="s">
        <v>10</v>
      </c>
      <c r="F211" t="s">
        <v>11</v>
      </c>
      <c r="G211" t="s">
        <v>12</v>
      </c>
      <c r="H211">
        <f t="shared" si="3"/>
        <v>0</v>
      </c>
    </row>
    <row r="212" spans="1:8" x14ac:dyDescent="0.3">
      <c r="A212" t="s">
        <v>32</v>
      </c>
      <c r="B212" t="s">
        <v>23</v>
      </c>
      <c r="C212" t="s">
        <v>13</v>
      </c>
      <c r="D212">
        <v>9</v>
      </c>
      <c r="E212" t="s">
        <v>10</v>
      </c>
      <c r="F212" t="s">
        <v>11</v>
      </c>
      <c r="G212" t="s">
        <v>12</v>
      </c>
      <c r="H212">
        <f t="shared" si="3"/>
        <v>9</v>
      </c>
    </row>
    <row r="213" spans="1:8" x14ac:dyDescent="0.3">
      <c r="A213" t="s">
        <v>32</v>
      </c>
      <c r="B213" t="s">
        <v>23</v>
      </c>
      <c r="C213" t="s">
        <v>14</v>
      </c>
      <c r="D213">
        <v>7</v>
      </c>
      <c r="E213" t="s">
        <v>10</v>
      </c>
      <c r="F213" t="s">
        <v>11</v>
      </c>
      <c r="G213" t="s">
        <v>12</v>
      </c>
      <c r="H213">
        <f t="shared" si="3"/>
        <v>7</v>
      </c>
    </row>
    <row r="214" spans="1:8" x14ac:dyDescent="0.3">
      <c r="A214" t="s">
        <v>32</v>
      </c>
      <c r="B214" t="s">
        <v>23</v>
      </c>
      <c r="C214" t="s">
        <v>15</v>
      </c>
      <c r="D214">
        <v>0</v>
      </c>
      <c r="E214" t="s">
        <v>10</v>
      </c>
      <c r="F214" t="s">
        <v>11</v>
      </c>
      <c r="G214" t="s">
        <v>12</v>
      </c>
      <c r="H214">
        <f t="shared" si="3"/>
        <v>0</v>
      </c>
    </row>
    <row r="215" spans="1:8" x14ac:dyDescent="0.3">
      <c r="A215" t="s">
        <v>32</v>
      </c>
      <c r="B215" t="s">
        <v>23</v>
      </c>
      <c r="C215" t="s">
        <v>16</v>
      </c>
      <c r="D215">
        <v>3</v>
      </c>
      <c r="E215" t="s">
        <v>10</v>
      </c>
      <c r="F215" t="s">
        <v>11</v>
      </c>
      <c r="G215" t="s">
        <v>12</v>
      </c>
      <c r="H215">
        <f t="shared" si="3"/>
        <v>3</v>
      </c>
    </row>
    <row r="216" spans="1:8" x14ac:dyDescent="0.3">
      <c r="A216" t="s">
        <v>32</v>
      </c>
      <c r="B216" t="s">
        <v>23</v>
      </c>
      <c r="C216" t="s">
        <v>17</v>
      </c>
      <c r="D216">
        <v>0</v>
      </c>
      <c r="E216" t="s">
        <v>10</v>
      </c>
      <c r="F216" t="s">
        <v>11</v>
      </c>
      <c r="G216" t="s">
        <v>12</v>
      </c>
      <c r="H216">
        <f t="shared" si="3"/>
        <v>0</v>
      </c>
    </row>
    <row r="217" spans="1:8" x14ac:dyDescent="0.3">
      <c r="A217" t="s">
        <v>32</v>
      </c>
      <c r="B217" t="s">
        <v>23</v>
      </c>
      <c r="C217" t="s">
        <v>18</v>
      </c>
      <c r="D217">
        <v>0</v>
      </c>
      <c r="E217" t="s">
        <v>10</v>
      </c>
      <c r="F217" t="s">
        <v>11</v>
      </c>
      <c r="G217" t="s">
        <v>12</v>
      </c>
      <c r="H217">
        <f t="shared" si="3"/>
        <v>0</v>
      </c>
    </row>
    <row r="218" spans="1:8" x14ac:dyDescent="0.3">
      <c r="A218" t="s">
        <v>32</v>
      </c>
      <c r="B218" t="s">
        <v>23</v>
      </c>
      <c r="C218" t="s">
        <v>19</v>
      </c>
      <c r="D218">
        <v>1</v>
      </c>
      <c r="E218" t="s">
        <v>10</v>
      </c>
      <c r="F218" t="s">
        <v>11</v>
      </c>
      <c r="G218" t="s">
        <v>12</v>
      </c>
      <c r="H218">
        <f t="shared" si="3"/>
        <v>1</v>
      </c>
    </row>
    <row r="219" spans="1:8" x14ac:dyDescent="0.3">
      <c r="A219" t="s">
        <v>32</v>
      </c>
      <c r="B219" t="s">
        <v>23</v>
      </c>
      <c r="C219" t="s">
        <v>20</v>
      </c>
      <c r="D219">
        <v>0</v>
      </c>
      <c r="E219" t="s">
        <v>10</v>
      </c>
      <c r="F219" t="s">
        <v>11</v>
      </c>
      <c r="G219" t="s">
        <v>12</v>
      </c>
      <c r="H219">
        <f t="shared" si="3"/>
        <v>0</v>
      </c>
    </row>
    <row r="220" spans="1:8" x14ac:dyDescent="0.3">
      <c r="A220" t="s">
        <v>32</v>
      </c>
      <c r="B220" t="s">
        <v>23</v>
      </c>
      <c r="C220" t="s">
        <v>21</v>
      </c>
      <c r="D220">
        <v>0</v>
      </c>
      <c r="E220" t="s">
        <v>10</v>
      </c>
      <c r="F220" t="s">
        <v>11</v>
      </c>
      <c r="G220" t="s">
        <v>12</v>
      </c>
      <c r="H220">
        <f t="shared" si="3"/>
        <v>0</v>
      </c>
    </row>
    <row r="221" spans="1:8" x14ac:dyDescent="0.3">
      <c r="A221" t="s">
        <v>32</v>
      </c>
      <c r="B221" t="s">
        <v>23</v>
      </c>
      <c r="C221" t="s">
        <v>22</v>
      </c>
      <c r="D221">
        <v>64</v>
      </c>
      <c r="E221" t="s">
        <v>10</v>
      </c>
      <c r="F221" t="s">
        <v>11</v>
      </c>
      <c r="G221" t="s">
        <v>12</v>
      </c>
      <c r="H221">
        <f t="shared" si="3"/>
        <v>64</v>
      </c>
    </row>
    <row r="222" spans="1:8" x14ac:dyDescent="0.3">
      <c r="A222" t="s">
        <v>33</v>
      </c>
      <c r="B222" t="s">
        <v>8</v>
      </c>
      <c r="C222" t="s">
        <v>9</v>
      </c>
      <c r="D222">
        <v>2</v>
      </c>
      <c r="E222" t="s">
        <v>10</v>
      </c>
      <c r="F222" t="s">
        <v>11</v>
      </c>
      <c r="G222" t="s">
        <v>12</v>
      </c>
      <c r="H222">
        <f t="shared" si="3"/>
        <v>2</v>
      </c>
    </row>
    <row r="223" spans="1:8" x14ac:dyDescent="0.3">
      <c r="A223" t="s">
        <v>33</v>
      </c>
      <c r="B223" t="s">
        <v>8</v>
      </c>
      <c r="C223" t="s">
        <v>13</v>
      </c>
      <c r="D223">
        <v>0</v>
      </c>
      <c r="E223" t="s">
        <v>10</v>
      </c>
      <c r="F223" t="s">
        <v>11</v>
      </c>
      <c r="G223" t="s">
        <v>12</v>
      </c>
      <c r="H223">
        <f t="shared" si="3"/>
        <v>0</v>
      </c>
    </row>
    <row r="224" spans="1:8" x14ac:dyDescent="0.3">
      <c r="A224" t="s">
        <v>33</v>
      </c>
      <c r="B224" t="s">
        <v>8</v>
      </c>
      <c r="C224" t="s">
        <v>14</v>
      </c>
      <c r="D224">
        <v>753</v>
      </c>
      <c r="E224" t="s">
        <v>10</v>
      </c>
      <c r="F224" t="s">
        <v>11</v>
      </c>
      <c r="G224" t="s">
        <v>12</v>
      </c>
      <c r="H224">
        <f t="shared" si="3"/>
        <v>753</v>
      </c>
    </row>
    <row r="225" spans="1:8" x14ac:dyDescent="0.3">
      <c r="A225" t="s">
        <v>33</v>
      </c>
      <c r="B225" t="s">
        <v>8</v>
      </c>
      <c r="C225" t="s">
        <v>15</v>
      </c>
      <c r="D225">
        <v>0</v>
      </c>
      <c r="E225" t="s">
        <v>10</v>
      </c>
      <c r="F225" t="s">
        <v>11</v>
      </c>
      <c r="G225" t="s">
        <v>12</v>
      </c>
      <c r="H225">
        <f t="shared" si="3"/>
        <v>0</v>
      </c>
    </row>
    <row r="226" spans="1:8" x14ac:dyDescent="0.3">
      <c r="A226" t="s">
        <v>33</v>
      </c>
      <c r="B226" t="s">
        <v>8</v>
      </c>
      <c r="C226" t="s">
        <v>16</v>
      </c>
      <c r="D226">
        <v>31273</v>
      </c>
      <c r="E226" t="s">
        <v>10</v>
      </c>
      <c r="F226" t="s">
        <v>11</v>
      </c>
      <c r="G226" t="s">
        <v>12</v>
      </c>
      <c r="H226">
        <f t="shared" si="3"/>
        <v>31300</v>
      </c>
    </row>
    <row r="227" spans="1:8" x14ac:dyDescent="0.3">
      <c r="A227" t="s">
        <v>33</v>
      </c>
      <c r="B227" t="s">
        <v>8</v>
      </c>
      <c r="C227" t="s">
        <v>17</v>
      </c>
      <c r="D227">
        <v>6923</v>
      </c>
      <c r="E227" t="s">
        <v>10</v>
      </c>
      <c r="F227" t="s">
        <v>11</v>
      </c>
      <c r="G227" t="s">
        <v>12</v>
      </c>
      <c r="H227">
        <f t="shared" si="3"/>
        <v>6920</v>
      </c>
    </row>
    <row r="228" spans="1:8" x14ac:dyDescent="0.3">
      <c r="A228" t="s">
        <v>33</v>
      </c>
      <c r="B228" t="s">
        <v>8</v>
      </c>
      <c r="C228" t="s">
        <v>18</v>
      </c>
      <c r="D228">
        <v>0</v>
      </c>
      <c r="E228" t="s">
        <v>10</v>
      </c>
      <c r="F228" t="s">
        <v>11</v>
      </c>
      <c r="G228" t="s">
        <v>12</v>
      </c>
      <c r="H228">
        <f t="shared" si="3"/>
        <v>0</v>
      </c>
    </row>
    <row r="229" spans="1:8" x14ac:dyDescent="0.3">
      <c r="A229" t="s">
        <v>33</v>
      </c>
      <c r="B229" t="s">
        <v>8</v>
      </c>
      <c r="C229" t="s">
        <v>19</v>
      </c>
      <c r="D229">
        <v>0</v>
      </c>
      <c r="E229" t="s">
        <v>10</v>
      </c>
      <c r="F229" t="s">
        <v>11</v>
      </c>
      <c r="G229" t="s">
        <v>12</v>
      </c>
      <c r="H229">
        <f t="shared" si="3"/>
        <v>0</v>
      </c>
    </row>
    <row r="230" spans="1:8" x14ac:dyDescent="0.3">
      <c r="A230" t="s">
        <v>33</v>
      </c>
      <c r="B230" t="s">
        <v>8</v>
      </c>
      <c r="C230" t="s">
        <v>20</v>
      </c>
      <c r="D230">
        <v>0</v>
      </c>
      <c r="E230" t="s">
        <v>10</v>
      </c>
      <c r="F230" t="s">
        <v>11</v>
      </c>
      <c r="G230" t="s">
        <v>12</v>
      </c>
      <c r="H230">
        <f t="shared" si="3"/>
        <v>0</v>
      </c>
    </row>
    <row r="231" spans="1:8" x14ac:dyDescent="0.3">
      <c r="A231" t="s">
        <v>33</v>
      </c>
      <c r="B231" t="s">
        <v>8</v>
      </c>
      <c r="C231" t="s">
        <v>21</v>
      </c>
      <c r="D231">
        <v>0</v>
      </c>
      <c r="E231" t="s">
        <v>10</v>
      </c>
      <c r="F231" t="s">
        <v>11</v>
      </c>
      <c r="G231" t="s">
        <v>12</v>
      </c>
      <c r="H231">
        <f t="shared" si="3"/>
        <v>0</v>
      </c>
    </row>
    <row r="232" spans="1:8" x14ac:dyDescent="0.3">
      <c r="A232" t="s">
        <v>33</v>
      </c>
      <c r="B232" t="s">
        <v>8</v>
      </c>
      <c r="C232" t="s">
        <v>22</v>
      </c>
      <c r="D232">
        <v>0</v>
      </c>
      <c r="E232" t="s">
        <v>10</v>
      </c>
      <c r="F232" t="s">
        <v>11</v>
      </c>
      <c r="G232" t="s">
        <v>12</v>
      </c>
      <c r="H232">
        <f t="shared" si="3"/>
        <v>0</v>
      </c>
    </row>
    <row r="233" spans="1:8" x14ac:dyDescent="0.3">
      <c r="A233" t="s">
        <v>33</v>
      </c>
      <c r="B233" t="s">
        <v>23</v>
      </c>
      <c r="C233" t="s">
        <v>9</v>
      </c>
      <c r="D233">
        <v>3</v>
      </c>
      <c r="E233" t="s">
        <v>10</v>
      </c>
      <c r="F233" t="s">
        <v>11</v>
      </c>
      <c r="G233" t="s">
        <v>12</v>
      </c>
      <c r="H233">
        <f t="shared" si="3"/>
        <v>3</v>
      </c>
    </row>
    <row r="234" spans="1:8" x14ac:dyDescent="0.3">
      <c r="A234" t="s">
        <v>33</v>
      </c>
      <c r="B234" t="s">
        <v>23</v>
      </c>
      <c r="C234" t="s">
        <v>13</v>
      </c>
      <c r="D234">
        <v>2</v>
      </c>
      <c r="E234" t="s">
        <v>10</v>
      </c>
      <c r="F234" t="s">
        <v>11</v>
      </c>
      <c r="G234" t="s">
        <v>12</v>
      </c>
      <c r="H234">
        <f t="shared" si="3"/>
        <v>2</v>
      </c>
    </row>
    <row r="235" spans="1:8" x14ac:dyDescent="0.3">
      <c r="A235" t="s">
        <v>33</v>
      </c>
      <c r="B235" t="s">
        <v>23</v>
      </c>
      <c r="C235" t="s">
        <v>14</v>
      </c>
      <c r="D235">
        <v>25</v>
      </c>
      <c r="E235" t="s">
        <v>10</v>
      </c>
      <c r="F235" t="s">
        <v>11</v>
      </c>
      <c r="G235" t="s">
        <v>12</v>
      </c>
      <c r="H235">
        <f t="shared" si="3"/>
        <v>25</v>
      </c>
    </row>
    <row r="236" spans="1:8" x14ac:dyDescent="0.3">
      <c r="A236" t="s">
        <v>33</v>
      </c>
      <c r="B236" t="s">
        <v>23</v>
      </c>
      <c r="C236" t="s">
        <v>15</v>
      </c>
      <c r="D236">
        <v>0</v>
      </c>
      <c r="E236" t="s">
        <v>10</v>
      </c>
      <c r="F236" t="s">
        <v>11</v>
      </c>
      <c r="G236" t="s">
        <v>12</v>
      </c>
      <c r="H236">
        <f t="shared" si="3"/>
        <v>0</v>
      </c>
    </row>
    <row r="237" spans="1:8" x14ac:dyDescent="0.3">
      <c r="A237" t="s">
        <v>33</v>
      </c>
      <c r="B237" t="s">
        <v>23</v>
      </c>
      <c r="C237" t="s">
        <v>16</v>
      </c>
      <c r="D237">
        <v>2621</v>
      </c>
      <c r="E237" t="s">
        <v>10</v>
      </c>
      <c r="F237" t="s">
        <v>11</v>
      </c>
      <c r="G237" t="s">
        <v>12</v>
      </c>
      <c r="H237">
        <f t="shared" si="3"/>
        <v>2620</v>
      </c>
    </row>
    <row r="238" spans="1:8" x14ac:dyDescent="0.3">
      <c r="A238" t="s">
        <v>33</v>
      </c>
      <c r="B238" t="s">
        <v>23</v>
      </c>
      <c r="C238" t="s">
        <v>17</v>
      </c>
      <c r="D238">
        <v>70</v>
      </c>
      <c r="E238" t="s">
        <v>10</v>
      </c>
      <c r="F238" t="s">
        <v>11</v>
      </c>
      <c r="G238" t="s">
        <v>12</v>
      </c>
      <c r="H238">
        <f t="shared" si="3"/>
        <v>70</v>
      </c>
    </row>
    <row r="239" spans="1:8" x14ac:dyDescent="0.3">
      <c r="A239" t="s">
        <v>33</v>
      </c>
      <c r="B239" t="s">
        <v>23</v>
      </c>
      <c r="C239" t="s">
        <v>18</v>
      </c>
      <c r="D239">
        <v>0</v>
      </c>
      <c r="E239" t="s">
        <v>10</v>
      </c>
      <c r="F239" t="s">
        <v>11</v>
      </c>
      <c r="G239" t="s">
        <v>12</v>
      </c>
      <c r="H239">
        <f t="shared" si="3"/>
        <v>0</v>
      </c>
    </row>
    <row r="240" spans="1:8" x14ac:dyDescent="0.3">
      <c r="A240" t="s">
        <v>33</v>
      </c>
      <c r="B240" t="s">
        <v>23</v>
      </c>
      <c r="C240" t="s">
        <v>19</v>
      </c>
      <c r="D240">
        <v>0</v>
      </c>
      <c r="E240" t="s">
        <v>10</v>
      </c>
      <c r="F240" t="s">
        <v>11</v>
      </c>
      <c r="G240" t="s">
        <v>12</v>
      </c>
      <c r="H240">
        <f t="shared" si="3"/>
        <v>0</v>
      </c>
    </row>
    <row r="241" spans="1:8" x14ac:dyDescent="0.3">
      <c r="A241" t="s">
        <v>33</v>
      </c>
      <c r="B241" t="s">
        <v>23</v>
      </c>
      <c r="C241" t="s">
        <v>20</v>
      </c>
      <c r="D241">
        <v>6</v>
      </c>
      <c r="E241" t="s">
        <v>10</v>
      </c>
      <c r="F241" t="s">
        <v>11</v>
      </c>
      <c r="G241" t="s">
        <v>12</v>
      </c>
      <c r="H241">
        <f t="shared" si="3"/>
        <v>6</v>
      </c>
    </row>
    <row r="242" spans="1:8" x14ac:dyDescent="0.3">
      <c r="A242" t="s">
        <v>33</v>
      </c>
      <c r="B242" t="s">
        <v>23</v>
      </c>
      <c r="C242" t="s">
        <v>21</v>
      </c>
      <c r="D242">
        <v>0</v>
      </c>
      <c r="E242" t="s">
        <v>10</v>
      </c>
      <c r="F242" t="s">
        <v>11</v>
      </c>
      <c r="G242" t="s">
        <v>12</v>
      </c>
      <c r="H242">
        <f t="shared" si="3"/>
        <v>0</v>
      </c>
    </row>
    <row r="243" spans="1:8" x14ac:dyDescent="0.3">
      <c r="A243" t="s">
        <v>33</v>
      </c>
      <c r="B243" t="s">
        <v>23</v>
      </c>
      <c r="C243" t="s">
        <v>22</v>
      </c>
      <c r="D243">
        <v>2</v>
      </c>
      <c r="E243" t="s">
        <v>10</v>
      </c>
      <c r="F243" t="s">
        <v>11</v>
      </c>
      <c r="G243" t="s">
        <v>12</v>
      </c>
      <c r="H243">
        <f t="shared" si="3"/>
        <v>2</v>
      </c>
    </row>
    <row r="244" spans="1:8" x14ac:dyDescent="0.3">
      <c r="A244" t="s">
        <v>34</v>
      </c>
      <c r="B244" t="s">
        <v>8</v>
      </c>
      <c r="C244" t="s">
        <v>9</v>
      </c>
      <c r="D244">
        <v>0</v>
      </c>
      <c r="E244" t="s">
        <v>10</v>
      </c>
      <c r="F244" t="s">
        <v>11</v>
      </c>
      <c r="G244" t="s">
        <v>12</v>
      </c>
      <c r="H244">
        <f t="shared" si="3"/>
        <v>0</v>
      </c>
    </row>
    <row r="245" spans="1:8" x14ac:dyDescent="0.3">
      <c r="A245" t="s">
        <v>34</v>
      </c>
      <c r="B245" t="s">
        <v>8</v>
      </c>
      <c r="C245" t="s">
        <v>13</v>
      </c>
      <c r="D245">
        <v>8</v>
      </c>
      <c r="E245" t="s">
        <v>10</v>
      </c>
      <c r="F245" t="s">
        <v>11</v>
      </c>
      <c r="G245" t="s">
        <v>12</v>
      </c>
      <c r="H245">
        <f t="shared" si="3"/>
        <v>8</v>
      </c>
    </row>
    <row r="246" spans="1:8" x14ac:dyDescent="0.3">
      <c r="A246" t="s">
        <v>34</v>
      </c>
      <c r="B246" t="s">
        <v>8</v>
      </c>
      <c r="C246" t="s">
        <v>14</v>
      </c>
      <c r="D246">
        <v>0</v>
      </c>
      <c r="E246" t="s">
        <v>10</v>
      </c>
      <c r="F246" t="s">
        <v>11</v>
      </c>
      <c r="G246" t="s">
        <v>12</v>
      </c>
      <c r="H246">
        <f t="shared" si="3"/>
        <v>0</v>
      </c>
    </row>
    <row r="247" spans="1:8" x14ac:dyDescent="0.3">
      <c r="A247" t="s">
        <v>34</v>
      </c>
      <c r="B247" t="s">
        <v>8</v>
      </c>
      <c r="C247" t="s">
        <v>15</v>
      </c>
      <c r="D247">
        <v>0</v>
      </c>
      <c r="E247" t="s">
        <v>10</v>
      </c>
      <c r="F247" t="s">
        <v>11</v>
      </c>
      <c r="G247" t="s">
        <v>12</v>
      </c>
      <c r="H247">
        <f t="shared" si="3"/>
        <v>0</v>
      </c>
    </row>
    <row r="248" spans="1:8" x14ac:dyDescent="0.3">
      <c r="A248" t="s">
        <v>34</v>
      </c>
      <c r="B248" t="s">
        <v>8</v>
      </c>
      <c r="C248" t="s">
        <v>16</v>
      </c>
      <c r="D248">
        <v>0</v>
      </c>
      <c r="E248" t="s">
        <v>10</v>
      </c>
      <c r="F248" t="s">
        <v>11</v>
      </c>
      <c r="G248" t="s">
        <v>12</v>
      </c>
      <c r="H248">
        <f t="shared" si="3"/>
        <v>0</v>
      </c>
    </row>
    <row r="249" spans="1:8" x14ac:dyDescent="0.3">
      <c r="A249" t="s">
        <v>34</v>
      </c>
      <c r="B249" t="s">
        <v>8</v>
      </c>
      <c r="C249" t="s">
        <v>17</v>
      </c>
      <c r="D249">
        <v>0</v>
      </c>
      <c r="E249" t="s">
        <v>10</v>
      </c>
      <c r="F249" t="s">
        <v>11</v>
      </c>
      <c r="G249" t="s">
        <v>12</v>
      </c>
      <c r="H249">
        <f t="shared" si="3"/>
        <v>0</v>
      </c>
    </row>
    <row r="250" spans="1:8" x14ac:dyDescent="0.3">
      <c r="A250" t="s">
        <v>34</v>
      </c>
      <c r="B250" t="s">
        <v>8</v>
      </c>
      <c r="C250" t="s">
        <v>18</v>
      </c>
      <c r="D250">
        <v>0</v>
      </c>
      <c r="E250" t="s">
        <v>10</v>
      </c>
      <c r="F250" t="s">
        <v>11</v>
      </c>
      <c r="G250" t="s">
        <v>12</v>
      </c>
      <c r="H250">
        <f t="shared" si="3"/>
        <v>0</v>
      </c>
    </row>
    <row r="251" spans="1:8" x14ac:dyDescent="0.3">
      <c r="A251" t="s">
        <v>34</v>
      </c>
      <c r="B251" t="s">
        <v>8</v>
      </c>
      <c r="C251" t="s">
        <v>19</v>
      </c>
      <c r="D251">
        <v>0</v>
      </c>
      <c r="E251" t="s">
        <v>10</v>
      </c>
      <c r="F251" t="s">
        <v>11</v>
      </c>
      <c r="G251" t="s">
        <v>12</v>
      </c>
      <c r="H251">
        <f t="shared" si="3"/>
        <v>0</v>
      </c>
    </row>
    <row r="252" spans="1:8" x14ac:dyDescent="0.3">
      <c r="A252" t="s">
        <v>34</v>
      </c>
      <c r="B252" t="s">
        <v>8</v>
      </c>
      <c r="C252" t="s">
        <v>20</v>
      </c>
      <c r="D252">
        <v>0</v>
      </c>
      <c r="E252" t="s">
        <v>10</v>
      </c>
      <c r="F252" t="s">
        <v>11</v>
      </c>
      <c r="G252" t="s">
        <v>12</v>
      </c>
      <c r="H252">
        <f t="shared" si="3"/>
        <v>0</v>
      </c>
    </row>
    <row r="253" spans="1:8" x14ac:dyDescent="0.3">
      <c r="A253" t="s">
        <v>34</v>
      </c>
      <c r="B253" t="s">
        <v>8</v>
      </c>
      <c r="C253" t="s">
        <v>21</v>
      </c>
      <c r="D253">
        <v>0</v>
      </c>
      <c r="E253" t="s">
        <v>10</v>
      </c>
      <c r="F253" t="s">
        <v>11</v>
      </c>
      <c r="G253" t="s">
        <v>12</v>
      </c>
      <c r="H253">
        <f t="shared" si="3"/>
        <v>0</v>
      </c>
    </row>
    <row r="254" spans="1:8" x14ac:dyDescent="0.3">
      <c r="A254" t="s">
        <v>34</v>
      </c>
      <c r="B254" t="s">
        <v>8</v>
      </c>
      <c r="C254" t="s">
        <v>22</v>
      </c>
      <c r="D254">
        <v>756</v>
      </c>
      <c r="E254" t="s">
        <v>10</v>
      </c>
      <c r="F254" t="s">
        <v>11</v>
      </c>
      <c r="G254" t="s">
        <v>12</v>
      </c>
      <c r="H254">
        <f t="shared" si="3"/>
        <v>756</v>
      </c>
    </row>
    <row r="255" spans="1:8" x14ac:dyDescent="0.3">
      <c r="A255" t="s">
        <v>34</v>
      </c>
      <c r="B255" t="s">
        <v>23</v>
      </c>
      <c r="C255" t="s">
        <v>9</v>
      </c>
      <c r="D255">
        <v>2</v>
      </c>
      <c r="E255" t="s">
        <v>10</v>
      </c>
      <c r="F255" t="s">
        <v>11</v>
      </c>
      <c r="G255" t="s">
        <v>12</v>
      </c>
      <c r="H255">
        <f t="shared" si="3"/>
        <v>2</v>
      </c>
    </row>
    <row r="256" spans="1:8" x14ac:dyDescent="0.3">
      <c r="A256" t="s">
        <v>34</v>
      </c>
      <c r="B256" t="s">
        <v>23</v>
      </c>
      <c r="C256" t="s">
        <v>13</v>
      </c>
      <c r="D256">
        <v>23</v>
      </c>
      <c r="E256" t="s">
        <v>10</v>
      </c>
      <c r="F256" t="s">
        <v>11</v>
      </c>
      <c r="G256" t="s">
        <v>12</v>
      </c>
      <c r="H256">
        <f t="shared" si="3"/>
        <v>23</v>
      </c>
    </row>
    <row r="257" spans="1:8" x14ac:dyDescent="0.3">
      <c r="A257" t="s">
        <v>34</v>
      </c>
      <c r="B257" t="s">
        <v>23</v>
      </c>
      <c r="C257" t="s">
        <v>14</v>
      </c>
      <c r="D257">
        <v>17</v>
      </c>
      <c r="E257" t="s">
        <v>10</v>
      </c>
      <c r="F257" t="s">
        <v>11</v>
      </c>
      <c r="G257" t="s">
        <v>12</v>
      </c>
      <c r="H257">
        <f t="shared" si="3"/>
        <v>17</v>
      </c>
    </row>
    <row r="258" spans="1:8" x14ac:dyDescent="0.3">
      <c r="A258" t="s">
        <v>34</v>
      </c>
      <c r="B258" t="s">
        <v>23</v>
      </c>
      <c r="C258" t="s">
        <v>15</v>
      </c>
      <c r="D258">
        <v>1</v>
      </c>
      <c r="E258" t="s">
        <v>10</v>
      </c>
      <c r="F258" t="s">
        <v>11</v>
      </c>
      <c r="G258" t="s">
        <v>12</v>
      </c>
      <c r="H258">
        <f t="shared" si="3"/>
        <v>1</v>
      </c>
    </row>
    <row r="259" spans="1:8" x14ac:dyDescent="0.3">
      <c r="A259" t="s">
        <v>34</v>
      </c>
      <c r="B259" t="s">
        <v>23</v>
      </c>
      <c r="C259" t="s">
        <v>16</v>
      </c>
      <c r="D259">
        <v>9</v>
      </c>
      <c r="E259" t="s">
        <v>10</v>
      </c>
      <c r="F259" t="s">
        <v>11</v>
      </c>
      <c r="G259" t="s">
        <v>12</v>
      </c>
      <c r="H259">
        <f t="shared" ref="H259:H322" si="4">ROUND(D259, 3 - LEN(INT(ABS(D259))))</f>
        <v>9</v>
      </c>
    </row>
    <row r="260" spans="1:8" x14ac:dyDescent="0.3">
      <c r="A260" t="s">
        <v>34</v>
      </c>
      <c r="B260" t="s">
        <v>23</v>
      </c>
      <c r="C260" t="s">
        <v>17</v>
      </c>
      <c r="D260">
        <v>1</v>
      </c>
      <c r="E260" t="s">
        <v>10</v>
      </c>
      <c r="F260" t="s">
        <v>11</v>
      </c>
      <c r="G260" t="s">
        <v>12</v>
      </c>
      <c r="H260">
        <f t="shared" si="4"/>
        <v>1</v>
      </c>
    </row>
    <row r="261" spans="1:8" x14ac:dyDescent="0.3">
      <c r="A261" t="s">
        <v>34</v>
      </c>
      <c r="B261" t="s">
        <v>23</v>
      </c>
      <c r="C261" t="s">
        <v>18</v>
      </c>
      <c r="D261">
        <v>0</v>
      </c>
      <c r="E261" t="s">
        <v>10</v>
      </c>
      <c r="F261" t="s">
        <v>11</v>
      </c>
      <c r="G261" t="s">
        <v>12</v>
      </c>
      <c r="H261">
        <f t="shared" si="4"/>
        <v>0</v>
      </c>
    </row>
    <row r="262" spans="1:8" x14ac:dyDescent="0.3">
      <c r="A262" t="s">
        <v>34</v>
      </c>
      <c r="B262" t="s">
        <v>23</v>
      </c>
      <c r="C262" t="s">
        <v>19</v>
      </c>
      <c r="D262">
        <v>3</v>
      </c>
      <c r="E262" t="s">
        <v>10</v>
      </c>
      <c r="F262" t="s">
        <v>11</v>
      </c>
      <c r="G262" t="s">
        <v>12</v>
      </c>
      <c r="H262">
        <f t="shared" si="4"/>
        <v>3</v>
      </c>
    </row>
    <row r="263" spans="1:8" x14ac:dyDescent="0.3">
      <c r="A263" t="s">
        <v>34</v>
      </c>
      <c r="B263" t="s">
        <v>23</v>
      </c>
      <c r="C263" t="s">
        <v>20</v>
      </c>
      <c r="D263">
        <v>2</v>
      </c>
      <c r="E263" t="s">
        <v>10</v>
      </c>
      <c r="F263" t="s">
        <v>11</v>
      </c>
      <c r="G263" t="s">
        <v>12</v>
      </c>
      <c r="H263">
        <f t="shared" si="4"/>
        <v>2</v>
      </c>
    </row>
    <row r="264" spans="1:8" x14ac:dyDescent="0.3">
      <c r="A264" t="s">
        <v>34</v>
      </c>
      <c r="B264" t="s">
        <v>23</v>
      </c>
      <c r="C264" t="s">
        <v>21</v>
      </c>
      <c r="D264">
        <v>0</v>
      </c>
      <c r="E264" t="s">
        <v>10</v>
      </c>
      <c r="F264" t="s">
        <v>11</v>
      </c>
      <c r="G264" t="s">
        <v>12</v>
      </c>
      <c r="H264">
        <f t="shared" si="4"/>
        <v>0</v>
      </c>
    </row>
    <row r="265" spans="1:8" x14ac:dyDescent="0.3">
      <c r="A265" t="s">
        <v>34</v>
      </c>
      <c r="B265" t="s">
        <v>23</v>
      </c>
      <c r="C265" t="s">
        <v>22</v>
      </c>
      <c r="D265">
        <v>159</v>
      </c>
      <c r="E265" t="s">
        <v>10</v>
      </c>
      <c r="F265" t="s">
        <v>11</v>
      </c>
      <c r="G265" t="s">
        <v>12</v>
      </c>
      <c r="H265">
        <f t="shared" si="4"/>
        <v>159</v>
      </c>
    </row>
    <row r="266" spans="1:8" x14ac:dyDescent="0.3">
      <c r="A266" t="s">
        <v>35</v>
      </c>
      <c r="B266" t="s">
        <v>8</v>
      </c>
      <c r="C266" t="s">
        <v>9</v>
      </c>
      <c r="D266">
        <v>0</v>
      </c>
      <c r="E266" t="s">
        <v>10</v>
      </c>
      <c r="F266" t="s">
        <v>11</v>
      </c>
      <c r="G266" t="s">
        <v>12</v>
      </c>
      <c r="H266">
        <f t="shared" si="4"/>
        <v>0</v>
      </c>
    </row>
    <row r="267" spans="1:8" x14ac:dyDescent="0.3">
      <c r="A267" t="s">
        <v>35</v>
      </c>
      <c r="B267" t="s">
        <v>8</v>
      </c>
      <c r="C267" t="s">
        <v>13</v>
      </c>
      <c r="D267">
        <v>3</v>
      </c>
      <c r="E267" t="s">
        <v>10</v>
      </c>
      <c r="F267" t="s">
        <v>11</v>
      </c>
      <c r="G267" t="s">
        <v>12</v>
      </c>
      <c r="H267">
        <f t="shared" si="4"/>
        <v>3</v>
      </c>
    </row>
    <row r="268" spans="1:8" x14ac:dyDescent="0.3">
      <c r="A268" t="s">
        <v>35</v>
      </c>
      <c r="B268" t="s">
        <v>8</v>
      </c>
      <c r="C268" t="s">
        <v>14</v>
      </c>
      <c r="D268">
        <v>0</v>
      </c>
      <c r="E268" t="s">
        <v>10</v>
      </c>
      <c r="F268" t="s">
        <v>11</v>
      </c>
      <c r="G268" t="s">
        <v>12</v>
      </c>
      <c r="H268">
        <f t="shared" si="4"/>
        <v>0</v>
      </c>
    </row>
    <row r="269" spans="1:8" x14ac:dyDescent="0.3">
      <c r="A269" t="s">
        <v>35</v>
      </c>
      <c r="B269" t="s">
        <v>8</v>
      </c>
      <c r="C269" t="s">
        <v>15</v>
      </c>
      <c r="D269">
        <v>0</v>
      </c>
      <c r="E269" t="s">
        <v>10</v>
      </c>
      <c r="F269" t="s">
        <v>11</v>
      </c>
      <c r="G269" t="s">
        <v>12</v>
      </c>
      <c r="H269">
        <f t="shared" si="4"/>
        <v>0</v>
      </c>
    </row>
    <row r="270" spans="1:8" x14ac:dyDescent="0.3">
      <c r="A270" t="s">
        <v>35</v>
      </c>
      <c r="B270" t="s">
        <v>8</v>
      </c>
      <c r="C270" t="s">
        <v>16</v>
      </c>
      <c r="D270">
        <v>0</v>
      </c>
      <c r="E270" t="s">
        <v>10</v>
      </c>
      <c r="F270" t="s">
        <v>11</v>
      </c>
      <c r="G270" t="s">
        <v>12</v>
      </c>
      <c r="H270">
        <f t="shared" si="4"/>
        <v>0</v>
      </c>
    </row>
    <row r="271" spans="1:8" x14ac:dyDescent="0.3">
      <c r="A271" t="s">
        <v>35</v>
      </c>
      <c r="B271" t="s">
        <v>8</v>
      </c>
      <c r="C271" t="s">
        <v>17</v>
      </c>
      <c r="D271">
        <v>0</v>
      </c>
      <c r="E271" t="s">
        <v>10</v>
      </c>
      <c r="F271" t="s">
        <v>11</v>
      </c>
      <c r="G271" t="s">
        <v>12</v>
      </c>
      <c r="H271">
        <f t="shared" si="4"/>
        <v>0</v>
      </c>
    </row>
    <row r="272" spans="1:8" x14ac:dyDescent="0.3">
      <c r="A272" t="s">
        <v>35</v>
      </c>
      <c r="B272" t="s">
        <v>8</v>
      </c>
      <c r="C272" t="s">
        <v>18</v>
      </c>
      <c r="D272">
        <v>0</v>
      </c>
      <c r="E272" t="s">
        <v>10</v>
      </c>
      <c r="F272" t="s">
        <v>11</v>
      </c>
      <c r="G272" t="s">
        <v>12</v>
      </c>
      <c r="H272">
        <f t="shared" si="4"/>
        <v>0</v>
      </c>
    </row>
    <row r="273" spans="1:8" x14ac:dyDescent="0.3">
      <c r="A273" t="s">
        <v>35</v>
      </c>
      <c r="B273" t="s">
        <v>8</v>
      </c>
      <c r="C273" t="s">
        <v>19</v>
      </c>
      <c r="D273">
        <v>0</v>
      </c>
      <c r="E273" t="s">
        <v>10</v>
      </c>
      <c r="F273" t="s">
        <v>11</v>
      </c>
      <c r="G273" t="s">
        <v>12</v>
      </c>
      <c r="H273">
        <f t="shared" si="4"/>
        <v>0</v>
      </c>
    </row>
    <row r="274" spans="1:8" x14ac:dyDescent="0.3">
      <c r="A274" t="s">
        <v>35</v>
      </c>
      <c r="B274" t="s">
        <v>8</v>
      </c>
      <c r="C274" t="s">
        <v>20</v>
      </c>
      <c r="D274">
        <v>0</v>
      </c>
      <c r="E274" t="s">
        <v>10</v>
      </c>
      <c r="F274" t="s">
        <v>11</v>
      </c>
      <c r="G274" t="s">
        <v>12</v>
      </c>
      <c r="H274">
        <f t="shared" si="4"/>
        <v>0</v>
      </c>
    </row>
    <row r="275" spans="1:8" x14ac:dyDescent="0.3">
      <c r="A275" t="s">
        <v>35</v>
      </c>
      <c r="B275" t="s">
        <v>8</v>
      </c>
      <c r="C275" t="s">
        <v>21</v>
      </c>
      <c r="D275">
        <v>0</v>
      </c>
      <c r="E275" t="s">
        <v>10</v>
      </c>
      <c r="F275" t="s">
        <v>11</v>
      </c>
      <c r="G275" t="s">
        <v>12</v>
      </c>
      <c r="H275">
        <f t="shared" si="4"/>
        <v>0</v>
      </c>
    </row>
    <row r="276" spans="1:8" x14ac:dyDescent="0.3">
      <c r="A276" t="s">
        <v>35</v>
      </c>
      <c r="B276" t="s">
        <v>8</v>
      </c>
      <c r="C276" t="s">
        <v>22</v>
      </c>
      <c r="D276">
        <v>316</v>
      </c>
      <c r="E276" t="s">
        <v>10</v>
      </c>
      <c r="F276" t="s">
        <v>11</v>
      </c>
      <c r="G276" t="s">
        <v>12</v>
      </c>
      <c r="H276">
        <f t="shared" si="4"/>
        <v>316</v>
      </c>
    </row>
    <row r="277" spans="1:8" x14ac:dyDescent="0.3">
      <c r="A277" t="s">
        <v>35</v>
      </c>
      <c r="B277" t="s">
        <v>23</v>
      </c>
      <c r="C277" t="s">
        <v>9</v>
      </c>
      <c r="D277">
        <v>0</v>
      </c>
      <c r="E277" t="s">
        <v>10</v>
      </c>
      <c r="F277" t="s">
        <v>11</v>
      </c>
      <c r="G277" t="s">
        <v>12</v>
      </c>
      <c r="H277">
        <f t="shared" si="4"/>
        <v>0</v>
      </c>
    </row>
    <row r="278" spans="1:8" x14ac:dyDescent="0.3">
      <c r="A278" t="s">
        <v>35</v>
      </c>
      <c r="B278" t="s">
        <v>23</v>
      </c>
      <c r="C278" t="s">
        <v>13</v>
      </c>
      <c r="D278">
        <v>10</v>
      </c>
      <c r="E278" t="s">
        <v>10</v>
      </c>
      <c r="F278" t="s">
        <v>11</v>
      </c>
      <c r="G278" t="s">
        <v>12</v>
      </c>
      <c r="H278">
        <f t="shared" si="4"/>
        <v>10</v>
      </c>
    </row>
    <row r="279" spans="1:8" x14ac:dyDescent="0.3">
      <c r="A279" t="s">
        <v>35</v>
      </c>
      <c r="B279" t="s">
        <v>23</v>
      </c>
      <c r="C279" t="s">
        <v>14</v>
      </c>
      <c r="D279">
        <v>7</v>
      </c>
      <c r="E279" t="s">
        <v>10</v>
      </c>
      <c r="F279" t="s">
        <v>11</v>
      </c>
      <c r="G279" t="s">
        <v>12</v>
      </c>
      <c r="H279">
        <f t="shared" si="4"/>
        <v>7</v>
      </c>
    </row>
    <row r="280" spans="1:8" x14ac:dyDescent="0.3">
      <c r="A280" t="s">
        <v>35</v>
      </c>
      <c r="B280" t="s">
        <v>23</v>
      </c>
      <c r="C280" t="s">
        <v>15</v>
      </c>
      <c r="D280">
        <v>0</v>
      </c>
      <c r="E280" t="s">
        <v>10</v>
      </c>
      <c r="F280" t="s">
        <v>11</v>
      </c>
      <c r="G280" t="s">
        <v>12</v>
      </c>
      <c r="H280">
        <f t="shared" si="4"/>
        <v>0</v>
      </c>
    </row>
    <row r="281" spans="1:8" x14ac:dyDescent="0.3">
      <c r="A281" t="s">
        <v>35</v>
      </c>
      <c r="B281" t="s">
        <v>23</v>
      </c>
      <c r="C281" t="s">
        <v>16</v>
      </c>
      <c r="D281">
        <v>4</v>
      </c>
      <c r="E281" t="s">
        <v>10</v>
      </c>
      <c r="F281" t="s">
        <v>11</v>
      </c>
      <c r="G281" t="s">
        <v>12</v>
      </c>
      <c r="H281">
        <f t="shared" si="4"/>
        <v>4</v>
      </c>
    </row>
    <row r="282" spans="1:8" x14ac:dyDescent="0.3">
      <c r="A282" t="s">
        <v>35</v>
      </c>
      <c r="B282" t="s">
        <v>23</v>
      </c>
      <c r="C282" t="s">
        <v>17</v>
      </c>
      <c r="D282">
        <v>0</v>
      </c>
      <c r="E282" t="s">
        <v>10</v>
      </c>
      <c r="F282" t="s">
        <v>11</v>
      </c>
      <c r="G282" t="s">
        <v>12</v>
      </c>
      <c r="H282">
        <f t="shared" si="4"/>
        <v>0</v>
      </c>
    </row>
    <row r="283" spans="1:8" x14ac:dyDescent="0.3">
      <c r="A283" t="s">
        <v>35</v>
      </c>
      <c r="B283" t="s">
        <v>23</v>
      </c>
      <c r="C283" t="s">
        <v>18</v>
      </c>
      <c r="D283">
        <v>0</v>
      </c>
      <c r="E283" t="s">
        <v>10</v>
      </c>
      <c r="F283" t="s">
        <v>11</v>
      </c>
      <c r="G283" t="s">
        <v>12</v>
      </c>
      <c r="H283">
        <f t="shared" si="4"/>
        <v>0</v>
      </c>
    </row>
    <row r="284" spans="1:8" x14ac:dyDescent="0.3">
      <c r="A284" t="s">
        <v>35</v>
      </c>
      <c r="B284" t="s">
        <v>23</v>
      </c>
      <c r="C284" t="s">
        <v>19</v>
      </c>
      <c r="D284">
        <v>1</v>
      </c>
      <c r="E284" t="s">
        <v>10</v>
      </c>
      <c r="F284" t="s">
        <v>11</v>
      </c>
      <c r="G284" t="s">
        <v>12</v>
      </c>
      <c r="H284">
        <f t="shared" si="4"/>
        <v>1</v>
      </c>
    </row>
    <row r="285" spans="1:8" x14ac:dyDescent="0.3">
      <c r="A285" t="s">
        <v>35</v>
      </c>
      <c r="B285" t="s">
        <v>23</v>
      </c>
      <c r="C285" t="s">
        <v>20</v>
      </c>
      <c r="D285">
        <v>0</v>
      </c>
      <c r="E285" t="s">
        <v>10</v>
      </c>
      <c r="F285" t="s">
        <v>11</v>
      </c>
      <c r="G285" t="s">
        <v>12</v>
      </c>
      <c r="H285">
        <f t="shared" si="4"/>
        <v>0</v>
      </c>
    </row>
    <row r="286" spans="1:8" x14ac:dyDescent="0.3">
      <c r="A286" t="s">
        <v>35</v>
      </c>
      <c r="B286" t="s">
        <v>23</v>
      </c>
      <c r="C286" t="s">
        <v>21</v>
      </c>
      <c r="D286">
        <v>0</v>
      </c>
      <c r="E286" t="s">
        <v>10</v>
      </c>
      <c r="F286" t="s">
        <v>11</v>
      </c>
      <c r="G286" t="s">
        <v>12</v>
      </c>
      <c r="H286">
        <f t="shared" si="4"/>
        <v>0</v>
      </c>
    </row>
    <row r="287" spans="1:8" x14ac:dyDescent="0.3">
      <c r="A287" t="s">
        <v>35</v>
      </c>
      <c r="B287" t="s">
        <v>23</v>
      </c>
      <c r="C287" t="s">
        <v>22</v>
      </c>
      <c r="D287">
        <v>67</v>
      </c>
      <c r="E287" t="s">
        <v>10</v>
      </c>
      <c r="F287" t="s">
        <v>11</v>
      </c>
      <c r="G287" t="s">
        <v>12</v>
      </c>
      <c r="H287">
        <f t="shared" si="4"/>
        <v>67</v>
      </c>
    </row>
    <row r="288" spans="1:8" x14ac:dyDescent="0.3">
      <c r="A288" t="s">
        <v>7</v>
      </c>
      <c r="B288" t="s">
        <v>8</v>
      </c>
      <c r="C288" t="s">
        <v>9</v>
      </c>
      <c r="D288">
        <v>0</v>
      </c>
      <c r="E288" t="s">
        <v>10</v>
      </c>
      <c r="F288" t="s">
        <v>36</v>
      </c>
      <c r="G288" t="s">
        <v>37</v>
      </c>
      <c r="H288">
        <f t="shared" si="4"/>
        <v>0</v>
      </c>
    </row>
    <row r="289" spans="1:8" x14ac:dyDescent="0.3">
      <c r="A289" t="s">
        <v>7</v>
      </c>
      <c r="B289" t="s">
        <v>8</v>
      </c>
      <c r="C289" t="s">
        <v>13</v>
      </c>
      <c r="D289">
        <v>0</v>
      </c>
      <c r="E289" t="s">
        <v>10</v>
      </c>
      <c r="F289" t="s">
        <v>36</v>
      </c>
      <c r="G289" t="s">
        <v>37</v>
      </c>
      <c r="H289">
        <f t="shared" si="4"/>
        <v>0</v>
      </c>
    </row>
    <row r="290" spans="1:8" x14ac:dyDescent="0.3">
      <c r="A290" t="s">
        <v>7</v>
      </c>
      <c r="B290" t="s">
        <v>8</v>
      </c>
      <c r="C290" t="s">
        <v>14</v>
      </c>
      <c r="D290">
        <v>0</v>
      </c>
      <c r="E290" t="s">
        <v>10</v>
      </c>
      <c r="F290" t="s">
        <v>36</v>
      </c>
      <c r="G290" t="s">
        <v>37</v>
      </c>
      <c r="H290">
        <f t="shared" si="4"/>
        <v>0</v>
      </c>
    </row>
    <row r="291" spans="1:8" x14ac:dyDescent="0.3">
      <c r="A291" t="s">
        <v>7</v>
      </c>
      <c r="B291" t="s">
        <v>8</v>
      </c>
      <c r="C291" t="s">
        <v>15</v>
      </c>
      <c r="D291">
        <v>0</v>
      </c>
      <c r="E291" t="s">
        <v>10</v>
      </c>
      <c r="F291" t="s">
        <v>36</v>
      </c>
      <c r="G291" t="s">
        <v>37</v>
      </c>
      <c r="H291">
        <f t="shared" si="4"/>
        <v>0</v>
      </c>
    </row>
    <row r="292" spans="1:8" x14ac:dyDescent="0.3">
      <c r="A292" t="s">
        <v>7</v>
      </c>
      <c r="B292" t="s">
        <v>8</v>
      </c>
      <c r="C292" t="s">
        <v>16</v>
      </c>
      <c r="D292">
        <v>0</v>
      </c>
      <c r="E292" t="s">
        <v>10</v>
      </c>
      <c r="F292" t="s">
        <v>36</v>
      </c>
      <c r="G292" t="s">
        <v>37</v>
      </c>
      <c r="H292">
        <f t="shared" si="4"/>
        <v>0</v>
      </c>
    </row>
    <row r="293" spans="1:8" x14ac:dyDescent="0.3">
      <c r="A293" t="s">
        <v>7</v>
      </c>
      <c r="B293" t="s">
        <v>8</v>
      </c>
      <c r="C293" t="s">
        <v>17</v>
      </c>
      <c r="D293">
        <v>0</v>
      </c>
      <c r="E293" t="s">
        <v>10</v>
      </c>
      <c r="F293" t="s">
        <v>36</v>
      </c>
      <c r="G293" t="s">
        <v>37</v>
      </c>
      <c r="H293">
        <f t="shared" si="4"/>
        <v>0</v>
      </c>
    </row>
    <row r="294" spans="1:8" x14ac:dyDescent="0.3">
      <c r="A294" t="s">
        <v>7</v>
      </c>
      <c r="B294" t="s">
        <v>8</v>
      </c>
      <c r="C294" t="s">
        <v>18</v>
      </c>
      <c r="D294">
        <v>0</v>
      </c>
      <c r="E294" t="s">
        <v>10</v>
      </c>
      <c r="F294" t="s">
        <v>36</v>
      </c>
      <c r="G294" t="s">
        <v>37</v>
      </c>
      <c r="H294">
        <f t="shared" si="4"/>
        <v>0</v>
      </c>
    </row>
    <row r="295" spans="1:8" x14ac:dyDescent="0.3">
      <c r="A295" t="s">
        <v>7</v>
      </c>
      <c r="B295" t="s">
        <v>8</v>
      </c>
      <c r="C295" t="s">
        <v>19</v>
      </c>
      <c r="D295">
        <v>0</v>
      </c>
      <c r="E295" t="s">
        <v>10</v>
      </c>
      <c r="F295" t="s">
        <v>36</v>
      </c>
      <c r="G295" t="s">
        <v>37</v>
      </c>
      <c r="H295">
        <f t="shared" si="4"/>
        <v>0</v>
      </c>
    </row>
    <row r="296" spans="1:8" x14ac:dyDescent="0.3">
      <c r="A296" t="s">
        <v>7</v>
      </c>
      <c r="B296" t="s">
        <v>8</v>
      </c>
      <c r="C296" t="s">
        <v>20</v>
      </c>
      <c r="D296">
        <v>0</v>
      </c>
      <c r="E296" t="s">
        <v>10</v>
      </c>
      <c r="F296" t="s">
        <v>36</v>
      </c>
      <c r="G296" t="s">
        <v>37</v>
      </c>
      <c r="H296">
        <f t="shared" si="4"/>
        <v>0</v>
      </c>
    </row>
    <row r="297" spans="1:8" x14ac:dyDescent="0.3">
      <c r="A297" t="s">
        <v>7</v>
      </c>
      <c r="B297" t="s">
        <v>8</v>
      </c>
      <c r="C297" t="s">
        <v>21</v>
      </c>
      <c r="D297">
        <v>0</v>
      </c>
      <c r="E297" t="s">
        <v>10</v>
      </c>
      <c r="F297" t="s">
        <v>36</v>
      </c>
      <c r="G297" t="s">
        <v>37</v>
      </c>
      <c r="H297">
        <f t="shared" si="4"/>
        <v>0</v>
      </c>
    </row>
    <row r="298" spans="1:8" x14ac:dyDescent="0.3">
      <c r="A298" t="s">
        <v>7</v>
      </c>
      <c r="B298" t="s">
        <v>8</v>
      </c>
      <c r="C298" t="s">
        <v>22</v>
      </c>
      <c r="D298">
        <v>0</v>
      </c>
      <c r="E298" t="s">
        <v>10</v>
      </c>
      <c r="F298" t="s">
        <v>36</v>
      </c>
      <c r="G298" t="s">
        <v>37</v>
      </c>
      <c r="H298">
        <f t="shared" si="4"/>
        <v>0</v>
      </c>
    </row>
    <row r="299" spans="1:8" x14ac:dyDescent="0.3">
      <c r="A299" t="s">
        <v>7</v>
      </c>
      <c r="B299" t="s">
        <v>23</v>
      </c>
      <c r="C299" t="s">
        <v>9</v>
      </c>
      <c r="D299">
        <v>784</v>
      </c>
      <c r="E299" t="s">
        <v>10</v>
      </c>
      <c r="F299" t="s">
        <v>36</v>
      </c>
      <c r="G299" t="s">
        <v>37</v>
      </c>
      <c r="H299">
        <f t="shared" si="4"/>
        <v>784</v>
      </c>
    </row>
    <row r="300" spans="1:8" x14ac:dyDescent="0.3">
      <c r="A300" t="s">
        <v>7</v>
      </c>
      <c r="B300" t="s">
        <v>23</v>
      </c>
      <c r="C300" t="s">
        <v>13</v>
      </c>
      <c r="D300">
        <v>8492</v>
      </c>
      <c r="E300" t="s">
        <v>10</v>
      </c>
      <c r="F300" t="s">
        <v>36</v>
      </c>
      <c r="G300" t="s">
        <v>37</v>
      </c>
      <c r="H300">
        <f t="shared" si="4"/>
        <v>8490</v>
      </c>
    </row>
    <row r="301" spans="1:8" x14ac:dyDescent="0.3">
      <c r="A301" t="s">
        <v>7</v>
      </c>
      <c r="B301" t="s">
        <v>23</v>
      </c>
      <c r="C301" t="s">
        <v>14</v>
      </c>
      <c r="D301">
        <v>593</v>
      </c>
      <c r="E301" t="s">
        <v>10</v>
      </c>
      <c r="F301" t="s">
        <v>36</v>
      </c>
      <c r="G301" t="s">
        <v>37</v>
      </c>
      <c r="H301">
        <f t="shared" si="4"/>
        <v>593</v>
      </c>
    </row>
    <row r="302" spans="1:8" x14ac:dyDescent="0.3">
      <c r="A302" t="s">
        <v>7</v>
      </c>
      <c r="B302" t="s">
        <v>23</v>
      </c>
      <c r="C302" t="s">
        <v>15</v>
      </c>
      <c r="D302">
        <v>4141</v>
      </c>
      <c r="E302" t="s">
        <v>10</v>
      </c>
      <c r="F302" t="s">
        <v>36</v>
      </c>
      <c r="G302" t="s">
        <v>37</v>
      </c>
      <c r="H302">
        <f t="shared" si="4"/>
        <v>4140</v>
      </c>
    </row>
    <row r="303" spans="1:8" x14ac:dyDescent="0.3">
      <c r="A303" t="s">
        <v>7</v>
      </c>
      <c r="B303" t="s">
        <v>23</v>
      </c>
      <c r="C303" t="s">
        <v>16</v>
      </c>
      <c r="D303">
        <v>2806</v>
      </c>
      <c r="E303" t="s">
        <v>10</v>
      </c>
      <c r="F303" t="s">
        <v>36</v>
      </c>
      <c r="G303" t="s">
        <v>37</v>
      </c>
      <c r="H303">
        <f t="shared" si="4"/>
        <v>2810</v>
      </c>
    </row>
    <row r="304" spans="1:8" x14ac:dyDescent="0.3">
      <c r="A304" t="s">
        <v>7</v>
      </c>
      <c r="B304" t="s">
        <v>23</v>
      </c>
      <c r="C304" t="s">
        <v>17</v>
      </c>
      <c r="D304">
        <v>28</v>
      </c>
      <c r="E304" t="s">
        <v>10</v>
      </c>
      <c r="F304" t="s">
        <v>36</v>
      </c>
      <c r="G304" t="s">
        <v>37</v>
      </c>
      <c r="H304">
        <f t="shared" si="4"/>
        <v>28</v>
      </c>
    </row>
    <row r="305" spans="1:8" x14ac:dyDescent="0.3">
      <c r="A305" t="s">
        <v>7</v>
      </c>
      <c r="B305" t="s">
        <v>23</v>
      </c>
      <c r="C305" t="s">
        <v>18</v>
      </c>
      <c r="D305">
        <v>0</v>
      </c>
      <c r="E305" t="s">
        <v>10</v>
      </c>
      <c r="F305" t="s">
        <v>36</v>
      </c>
      <c r="G305" t="s">
        <v>37</v>
      </c>
      <c r="H305">
        <f t="shared" si="4"/>
        <v>0</v>
      </c>
    </row>
    <row r="306" spans="1:8" x14ac:dyDescent="0.3">
      <c r="A306" t="s">
        <v>7</v>
      </c>
      <c r="B306" t="s">
        <v>23</v>
      </c>
      <c r="C306" t="s">
        <v>19</v>
      </c>
      <c r="D306">
        <v>1349</v>
      </c>
      <c r="E306" t="s">
        <v>10</v>
      </c>
      <c r="F306" t="s">
        <v>36</v>
      </c>
      <c r="G306" t="s">
        <v>37</v>
      </c>
      <c r="H306">
        <f t="shared" si="4"/>
        <v>1350</v>
      </c>
    </row>
    <row r="307" spans="1:8" x14ac:dyDescent="0.3">
      <c r="A307" t="s">
        <v>7</v>
      </c>
      <c r="B307" t="s">
        <v>23</v>
      </c>
      <c r="C307" t="s">
        <v>20</v>
      </c>
      <c r="D307">
        <v>2548</v>
      </c>
      <c r="E307" t="s">
        <v>10</v>
      </c>
      <c r="F307" t="s">
        <v>36</v>
      </c>
      <c r="G307" t="s">
        <v>37</v>
      </c>
      <c r="H307">
        <f t="shared" si="4"/>
        <v>2550</v>
      </c>
    </row>
    <row r="308" spans="1:8" x14ac:dyDescent="0.3">
      <c r="A308" t="s">
        <v>7</v>
      </c>
      <c r="B308" t="s">
        <v>23</v>
      </c>
      <c r="C308" t="s">
        <v>21</v>
      </c>
      <c r="D308">
        <v>195</v>
      </c>
      <c r="E308" t="s">
        <v>10</v>
      </c>
      <c r="F308" t="s">
        <v>36</v>
      </c>
      <c r="G308" t="s">
        <v>37</v>
      </c>
      <c r="H308">
        <f t="shared" si="4"/>
        <v>195</v>
      </c>
    </row>
    <row r="309" spans="1:8" x14ac:dyDescent="0.3">
      <c r="A309" t="s">
        <v>7</v>
      </c>
      <c r="B309" t="s">
        <v>23</v>
      </c>
      <c r="C309" t="s">
        <v>22</v>
      </c>
      <c r="D309">
        <v>255837</v>
      </c>
      <c r="E309" t="s">
        <v>10</v>
      </c>
      <c r="F309" t="s">
        <v>36</v>
      </c>
      <c r="G309" t="s">
        <v>37</v>
      </c>
      <c r="H309">
        <f t="shared" si="4"/>
        <v>256000</v>
      </c>
    </row>
    <row r="310" spans="1:8" x14ac:dyDescent="0.3">
      <c r="A310" t="s">
        <v>24</v>
      </c>
      <c r="B310" t="s">
        <v>8</v>
      </c>
      <c r="C310" t="s">
        <v>9</v>
      </c>
      <c r="D310">
        <v>0</v>
      </c>
      <c r="E310" t="s">
        <v>10</v>
      </c>
      <c r="F310" t="s">
        <v>36</v>
      </c>
      <c r="G310" t="s">
        <v>37</v>
      </c>
      <c r="H310">
        <f t="shared" si="4"/>
        <v>0</v>
      </c>
    </row>
    <row r="311" spans="1:8" x14ac:dyDescent="0.3">
      <c r="A311" t="s">
        <v>24</v>
      </c>
      <c r="B311" t="s">
        <v>8</v>
      </c>
      <c r="C311" t="s">
        <v>13</v>
      </c>
      <c r="D311">
        <v>0</v>
      </c>
      <c r="E311" t="s">
        <v>10</v>
      </c>
      <c r="F311" t="s">
        <v>36</v>
      </c>
      <c r="G311" t="s">
        <v>37</v>
      </c>
      <c r="H311">
        <f t="shared" si="4"/>
        <v>0</v>
      </c>
    </row>
    <row r="312" spans="1:8" x14ac:dyDescent="0.3">
      <c r="A312" t="s">
        <v>24</v>
      </c>
      <c r="B312" t="s">
        <v>8</v>
      </c>
      <c r="C312" t="s">
        <v>14</v>
      </c>
      <c r="D312">
        <v>0</v>
      </c>
      <c r="E312" t="s">
        <v>10</v>
      </c>
      <c r="F312" t="s">
        <v>36</v>
      </c>
      <c r="G312" t="s">
        <v>37</v>
      </c>
      <c r="H312">
        <f t="shared" si="4"/>
        <v>0</v>
      </c>
    </row>
    <row r="313" spans="1:8" x14ac:dyDescent="0.3">
      <c r="A313" t="s">
        <v>24</v>
      </c>
      <c r="B313" t="s">
        <v>8</v>
      </c>
      <c r="C313" t="s">
        <v>15</v>
      </c>
      <c r="D313">
        <v>0</v>
      </c>
      <c r="E313" t="s">
        <v>10</v>
      </c>
      <c r="F313" t="s">
        <v>36</v>
      </c>
      <c r="G313" t="s">
        <v>37</v>
      </c>
      <c r="H313">
        <f t="shared" si="4"/>
        <v>0</v>
      </c>
    </row>
    <row r="314" spans="1:8" x14ac:dyDescent="0.3">
      <c r="A314" t="s">
        <v>24</v>
      </c>
      <c r="B314" t="s">
        <v>8</v>
      </c>
      <c r="C314" t="s">
        <v>16</v>
      </c>
      <c r="D314">
        <v>0</v>
      </c>
      <c r="E314" t="s">
        <v>10</v>
      </c>
      <c r="F314" t="s">
        <v>36</v>
      </c>
      <c r="G314" t="s">
        <v>37</v>
      </c>
      <c r="H314">
        <f t="shared" si="4"/>
        <v>0</v>
      </c>
    </row>
    <row r="315" spans="1:8" x14ac:dyDescent="0.3">
      <c r="A315" t="s">
        <v>24</v>
      </c>
      <c r="B315" t="s">
        <v>8</v>
      </c>
      <c r="C315" t="s">
        <v>17</v>
      </c>
      <c r="D315">
        <v>0</v>
      </c>
      <c r="E315" t="s">
        <v>10</v>
      </c>
      <c r="F315" t="s">
        <v>36</v>
      </c>
      <c r="G315" t="s">
        <v>37</v>
      </c>
      <c r="H315">
        <f t="shared" si="4"/>
        <v>0</v>
      </c>
    </row>
    <row r="316" spans="1:8" x14ac:dyDescent="0.3">
      <c r="A316" t="s">
        <v>24</v>
      </c>
      <c r="B316" t="s">
        <v>8</v>
      </c>
      <c r="C316" t="s">
        <v>18</v>
      </c>
      <c r="D316">
        <v>0</v>
      </c>
      <c r="E316" t="s">
        <v>10</v>
      </c>
      <c r="F316" t="s">
        <v>36</v>
      </c>
      <c r="G316" t="s">
        <v>37</v>
      </c>
      <c r="H316">
        <f t="shared" si="4"/>
        <v>0</v>
      </c>
    </row>
    <row r="317" spans="1:8" x14ac:dyDescent="0.3">
      <c r="A317" t="s">
        <v>24</v>
      </c>
      <c r="B317" t="s">
        <v>8</v>
      </c>
      <c r="C317" t="s">
        <v>19</v>
      </c>
      <c r="D317">
        <v>0</v>
      </c>
      <c r="E317" t="s">
        <v>10</v>
      </c>
      <c r="F317" t="s">
        <v>36</v>
      </c>
      <c r="G317" t="s">
        <v>37</v>
      </c>
      <c r="H317">
        <f t="shared" si="4"/>
        <v>0</v>
      </c>
    </row>
    <row r="318" spans="1:8" x14ac:dyDescent="0.3">
      <c r="A318" t="s">
        <v>24</v>
      </c>
      <c r="B318" t="s">
        <v>8</v>
      </c>
      <c r="C318" t="s">
        <v>20</v>
      </c>
      <c r="D318">
        <v>0</v>
      </c>
      <c r="E318" t="s">
        <v>10</v>
      </c>
      <c r="F318" t="s">
        <v>36</v>
      </c>
      <c r="G318" t="s">
        <v>37</v>
      </c>
      <c r="H318">
        <f t="shared" si="4"/>
        <v>0</v>
      </c>
    </row>
    <row r="319" spans="1:8" x14ac:dyDescent="0.3">
      <c r="A319" t="s">
        <v>24</v>
      </c>
      <c r="B319" t="s">
        <v>8</v>
      </c>
      <c r="C319" t="s">
        <v>21</v>
      </c>
      <c r="D319">
        <v>0</v>
      </c>
      <c r="E319" t="s">
        <v>10</v>
      </c>
      <c r="F319" t="s">
        <v>36</v>
      </c>
      <c r="G319" t="s">
        <v>37</v>
      </c>
      <c r="H319">
        <f t="shared" si="4"/>
        <v>0</v>
      </c>
    </row>
    <row r="320" spans="1:8" x14ac:dyDescent="0.3">
      <c r="A320" t="s">
        <v>24</v>
      </c>
      <c r="B320" t="s">
        <v>8</v>
      </c>
      <c r="C320" t="s">
        <v>22</v>
      </c>
      <c r="D320">
        <v>0</v>
      </c>
      <c r="E320" t="s">
        <v>10</v>
      </c>
      <c r="F320" t="s">
        <v>36</v>
      </c>
      <c r="G320" t="s">
        <v>37</v>
      </c>
      <c r="H320">
        <f t="shared" si="4"/>
        <v>0</v>
      </c>
    </row>
    <row r="321" spans="1:8" x14ac:dyDescent="0.3">
      <c r="A321" t="s">
        <v>24</v>
      </c>
      <c r="B321" t="s">
        <v>23</v>
      </c>
      <c r="C321" t="s">
        <v>9</v>
      </c>
      <c r="D321">
        <v>1000</v>
      </c>
      <c r="E321" t="s">
        <v>10</v>
      </c>
      <c r="F321" t="s">
        <v>36</v>
      </c>
      <c r="G321" t="s">
        <v>37</v>
      </c>
      <c r="H321">
        <f t="shared" si="4"/>
        <v>1000</v>
      </c>
    </row>
    <row r="322" spans="1:8" x14ac:dyDescent="0.3">
      <c r="A322" t="s">
        <v>24</v>
      </c>
      <c r="B322" t="s">
        <v>23</v>
      </c>
      <c r="C322" t="s">
        <v>13</v>
      </c>
      <c r="D322">
        <v>156</v>
      </c>
      <c r="E322" t="s">
        <v>10</v>
      </c>
      <c r="F322" t="s">
        <v>36</v>
      </c>
      <c r="G322" t="s">
        <v>37</v>
      </c>
      <c r="H322">
        <f t="shared" si="4"/>
        <v>156</v>
      </c>
    </row>
    <row r="323" spans="1:8" x14ac:dyDescent="0.3">
      <c r="A323" t="s">
        <v>24</v>
      </c>
      <c r="B323" t="s">
        <v>23</v>
      </c>
      <c r="C323" t="s">
        <v>14</v>
      </c>
      <c r="D323">
        <v>39338</v>
      </c>
      <c r="E323" t="s">
        <v>10</v>
      </c>
      <c r="F323" t="s">
        <v>36</v>
      </c>
      <c r="G323" t="s">
        <v>37</v>
      </c>
      <c r="H323">
        <f t="shared" ref="H323:H386" si="5">ROUND(D323, 3 - LEN(INT(ABS(D323))))</f>
        <v>39300</v>
      </c>
    </row>
    <row r="324" spans="1:8" x14ac:dyDescent="0.3">
      <c r="A324" t="s">
        <v>24</v>
      </c>
      <c r="B324" t="s">
        <v>23</v>
      </c>
      <c r="C324" t="s">
        <v>15</v>
      </c>
      <c r="D324">
        <v>463</v>
      </c>
      <c r="E324" t="s">
        <v>10</v>
      </c>
      <c r="F324" t="s">
        <v>36</v>
      </c>
      <c r="G324" t="s">
        <v>37</v>
      </c>
      <c r="H324">
        <f t="shared" si="5"/>
        <v>463</v>
      </c>
    </row>
    <row r="325" spans="1:8" x14ac:dyDescent="0.3">
      <c r="A325" t="s">
        <v>24</v>
      </c>
      <c r="B325" t="s">
        <v>23</v>
      </c>
      <c r="C325" t="s">
        <v>16</v>
      </c>
      <c r="D325">
        <v>2729221</v>
      </c>
      <c r="E325" t="s">
        <v>10</v>
      </c>
      <c r="F325" t="s">
        <v>36</v>
      </c>
      <c r="G325" t="s">
        <v>37</v>
      </c>
      <c r="H325">
        <f t="shared" si="5"/>
        <v>2730000</v>
      </c>
    </row>
    <row r="326" spans="1:8" x14ac:dyDescent="0.3">
      <c r="A326" t="s">
        <v>24</v>
      </c>
      <c r="B326" t="s">
        <v>23</v>
      </c>
      <c r="C326" t="s">
        <v>17</v>
      </c>
      <c r="D326">
        <v>119132</v>
      </c>
      <c r="E326" t="s">
        <v>10</v>
      </c>
      <c r="F326" t="s">
        <v>36</v>
      </c>
      <c r="G326" t="s">
        <v>37</v>
      </c>
      <c r="H326">
        <f t="shared" si="5"/>
        <v>119000</v>
      </c>
    </row>
    <row r="327" spans="1:8" x14ac:dyDescent="0.3">
      <c r="A327" t="s">
        <v>24</v>
      </c>
      <c r="B327" t="s">
        <v>23</v>
      </c>
      <c r="C327" t="s">
        <v>18</v>
      </c>
      <c r="D327">
        <v>0</v>
      </c>
      <c r="E327" t="s">
        <v>10</v>
      </c>
      <c r="F327" t="s">
        <v>36</v>
      </c>
      <c r="G327" t="s">
        <v>37</v>
      </c>
      <c r="H327">
        <f t="shared" si="5"/>
        <v>0</v>
      </c>
    </row>
    <row r="328" spans="1:8" x14ac:dyDescent="0.3">
      <c r="A328" t="s">
        <v>24</v>
      </c>
      <c r="B328" t="s">
        <v>23</v>
      </c>
      <c r="C328" t="s">
        <v>19</v>
      </c>
      <c r="D328">
        <v>64</v>
      </c>
      <c r="E328" t="s">
        <v>10</v>
      </c>
      <c r="F328" t="s">
        <v>36</v>
      </c>
      <c r="G328" t="s">
        <v>37</v>
      </c>
      <c r="H328">
        <f t="shared" si="5"/>
        <v>64</v>
      </c>
    </row>
    <row r="329" spans="1:8" x14ac:dyDescent="0.3">
      <c r="A329" t="s">
        <v>24</v>
      </c>
      <c r="B329" t="s">
        <v>23</v>
      </c>
      <c r="C329" t="s">
        <v>20</v>
      </c>
      <c r="D329">
        <v>2547</v>
      </c>
      <c r="E329" t="s">
        <v>10</v>
      </c>
      <c r="F329" t="s">
        <v>36</v>
      </c>
      <c r="G329" t="s">
        <v>37</v>
      </c>
      <c r="H329">
        <f t="shared" si="5"/>
        <v>2550</v>
      </c>
    </row>
    <row r="330" spans="1:8" x14ac:dyDescent="0.3">
      <c r="A330" t="s">
        <v>24</v>
      </c>
      <c r="B330" t="s">
        <v>23</v>
      </c>
      <c r="C330" t="s">
        <v>21</v>
      </c>
      <c r="D330">
        <v>675</v>
      </c>
      <c r="E330" t="s">
        <v>10</v>
      </c>
      <c r="F330" t="s">
        <v>36</v>
      </c>
      <c r="G330" t="s">
        <v>37</v>
      </c>
      <c r="H330">
        <f t="shared" si="5"/>
        <v>675</v>
      </c>
    </row>
    <row r="331" spans="1:8" x14ac:dyDescent="0.3">
      <c r="A331" t="s">
        <v>24</v>
      </c>
      <c r="B331" t="s">
        <v>23</v>
      </c>
      <c r="C331" t="s">
        <v>22</v>
      </c>
      <c r="D331">
        <v>592</v>
      </c>
      <c r="E331" t="s">
        <v>10</v>
      </c>
      <c r="F331" t="s">
        <v>36</v>
      </c>
      <c r="G331" t="s">
        <v>37</v>
      </c>
      <c r="H331">
        <f t="shared" si="5"/>
        <v>592</v>
      </c>
    </row>
    <row r="332" spans="1:8" x14ac:dyDescent="0.3">
      <c r="A332" t="s">
        <v>25</v>
      </c>
      <c r="B332" t="s">
        <v>8</v>
      </c>
      <c r="C332" t="s">
        <v>9</v>
      </c>
      <c r="D332">
        <v>0</v>
      </c>
      <c r="E332" t="s">
        <v>10</v>
      </c>
      <c r="F332" t="s">
        <v>36</v>
      </c>
      <c r="G332" t="s">
        <v>37</v>
      </c>
      <c r="H332">
        <f t="shared" si="5"/>
        <v>0</v>
      </c>
    </row>
    <row r="333" spans="1:8" x14ac:dyDescent="0.3">
      <c r="A333" t="s">
        <v>25</v>
      </c>
      <c r="B333" t="s">
        <v>8</v>
      </c>
      <c r="C333" t="s">
        <v>13</v>
      </c>
      <c r="D333">
        <v>0</v>
      </c>
      <c r="E333" t="s">
        <v>10</v>
      </c>
      <c r="F333" t="s">
        <v>36</v>
      </c>
      <c r="G333" t="s">
        <v>37</v>
      </c>
      <c r="H333">
        <f t="shared" si="5"/>
        <v>0</v>
      </c>
    </row>
    <row r="334" spans="1:8" x14ac:dyDescent="0.3">
      <c r="A334" t="s">
        <v>25</v>
      </c>
      <c r="B334" t="s">
        <v>8</v>
      </c>
      <c r="C334" t="s">
        <v>14</v>
      </c>
      <c r="D334">
        <v>0</v>
      </c>
      <c r="E334" t="s">
        <v>10</v>
      </c>
      <c r="F334" t="s">
        <v>36</v>
      </c>
      <c r="G334" t="s">
        <v>37</v>
      </c>
      <c r="H334">
        <f t="shared" si="5"/>
        <v>0</v>
      </c>
    </row>
    <row r="335" spans="1:8" x14ac:dyDescent="0.3">
      <c r="A335" t="s">
        <v>25</v>
      </c>
      <c r="B335" t="s">
        <v>8</v>
      </c>
      <c r="C335" t="s">
        <v>15</v>
      </c>
      <c r="D335">
        <v>0</v>
      </c>
      <c r="E335" t="s">
        <v>10</v>
      </c>
      <c r="F335" t="s">
        <v>36</v>
      </c>
      <c r="G335" t="s">
        <v>37</v>
      </c>
      <c r="H335">
        <f t="shared" si="5"/>
        <v>0</v>
      </c>
    </row>
    <row r="336" spans="1:8" x14ac:dyDescent="0.3">
      <c r="A336" t="s">
        <v>25</v>
      </c>
      <c r="B336" t="s">
        <v>8</v>
      </c>
      <c r="C336" t="s">
        <v>16</v>
      </c>
      <c r="D336">
        <v>0</v>
      </c>
      <c r="E336" t="s">
        <v>10</v>
      </c>
      <c r="F336" t="s">
        <v>36</v>
      </c>
      <c r="G336" t="s">
        <v>37</v>
      </c>
      <c r="H336">
        <f t="shared" si="5"/>
        <v>0</v>
      </c>
    </row>
    <row r="337" spans="1:8" x14ac:dyDescent="0.3">
      <c r="A337" t="s">
        <v>25</v>
      </c>
      <c r="B337" t="s">
        <v>8</v>
      </c>
      <c r="C337" t="s">
        <v>17</v>
      </c>
      <c r="D337">
        <v>0</v>
      </c>
      <c r="E337" t="s">
        <v>10</v>
      </c>
      <c r="F337" t="s">
        <v>36</v>
      </c>
      <c r="G337" t="s">
        <v>37</v>
      </c>
      <c r="H337">
        <f t="shared" si="5"/>
        <v>0</v>
      </c>
    </row>
    <row r="338" spans="1:8" x14ac:dyDescent="0.3">
      <c r="A338" t="s">
        <v>25</v>
      </c>
      <c r="B338" t="s">
        <v>8</v>
      </c>
      <c r="C338" t="s">
        <v>18</v>
      </c>
      <c r="D338">
        <v>0</v>
      </c>
      <c r="E338" t="s">
        <v>10</v>
      </c>
      <c r="F338" t="s">
        <v>36</v>
      </c>
      <c r="G338" t="s">
        <v>37</v>
      </c>
      <c r="H338">
        <f t="shared" si="5"/>
        <v>0</v>
      </c>
    </row>
    <row r="339" spans="1:8" x14ac:dyDescent="0.3">
      <c r="A339" t="s">
        <v>25</v>
      </c>
      <c r="B339" t="s">
        <v>8</v>
      </c>
      <c r="C339" t="s">
        <v>19</v>
      </c>
      <c r="D339">
        <v>0</v>
      </c>
      <c r="E339" t="s">
        <v>10</v>
      </c>
      <c r="F339" t="s">
        <v>36</v>
      </c>
      <c r="G339" t="s">
        <v>37</v>
      </c>
      <c r="H339">
        <f t="shared" si="5"/>
        <v>0</v>
      </c>
    </row>
    <row r="340" spans="1:8" x14ac:dyDescent="0.3">
      <c r="A340" t="s">
        <v>25</v>
      </c>
      <c r="B340" t="s">
        <v>8</v>
      </c>
      <c r="C340" t="s">
        <v>20</v>
      </c>
      <c r="D340">
        <v>0</v>
      </c>
      <c r="E340" t="s">
        <v>10</v>
      </c>
      <c r="F340" t="s">
        <v>36</v>
      </c>
      <c r="G340" t="s">
        <v>37</v>
      </c>
      <c r="H340">
        <f t="shared" si="5"/>
        <v>0</v>
      </c>
    </row>
    <row r="341" spans="1:8" x14ac:dyDescent="0.3">
      <c r="A341" t="s">
        <v>25</v>
      </c>
      <c r="B341" t="s">
        <v>8</v>
      </c>
      <c r="C341" t="s">
        <v>21</v>
      </c>
      <c r="D341">
        <v>0</v>
      </c>
      <c r="E341" t="s">
        <v>10</v>
      </c>
      <c r="F341" t="s">
        <v>36</v>
      </c>
      <c r="G341" t="s">
        <v>37</v>
      </c>
      <c r="H341">
        <f t="shared" si="5"/>
        <v>0</v>
      </c>
    </row>
    <row r="342" spans="1:8" x14ac:dyDescent="0.3">
      <c r="A342" t="s">
        <v>25</v>
      </c>
      <c r="B342" t="s">
        <v>8</v>
      </c>
      <c r="C342" t="s">
        <v>22</v>
      </c>
      <c r="D342">
        <v>0</v>
      </c>
      <c r="E342" t="s">
        <v>10</v>
      </c>
      <c r="F342" t="s">
        <v>36</v>
      </c>
      <c r="G342" t="s">
        <v>37</v>
      </c>
      <c r="H342">
        <f t="shared" si="5"/>
        <v>0</v>
      </c>
    </row>
    <row r="343" spans="1:8" x14ac:dyDescent="0.3">
      <c r="A343" t="s">
        <v>25</v>
      </c>
      <c r="B343" t="s">
        <v>23</v>
      </c>
      <c r="C343" t="s">
        <v>9</v>
      </c>
      <c r="D343">
        <v>325</v>
      </c>
      <c r="E343" t="s">
        <v>10</v>
      </c>
      <c r="F343" t="s">
        <v>36</v>
      </c>
      <c r="G343" t="s">
        <v>37</v>
      </c>
      <c r="H343">
        <f t="shared" si="5"/>
        <v>325</v>
      </c>
    </row>
    <row r="344" spans="1:8" x14ac:dyDescent="0.3">
      <c r="A344" t="s">
        <v>25</v>
      </c>
      <c r="B344" t="s">
        <v>23</v>
      </c>
      <c r="C344" t="s">
        <v>13</v>
      </c>
      <c r="D344">
        <v>3518</v>
      </c>
      <c r="E344" t="s">
        <v>10</v>
      </c>
      <c r="F344" t="s">
        <v>36</v>
      </c>
      <c r="G344" t="s">
        <v>37</v>
      </c>
      <c r="H344">
        <f t="shared" si="5"/>
        <v>3520</v>
      </c>
    </row>
    <row r="345" spans="1:8" x14ac:dyDescent="0.3">
      <c r="A345" t="s">
        <v>25</v>
      </c>
      <c r="B345" t="s">
        <v>23</v>
      </c>
      <c r="C345" t="s">
        <v>14</v>
      </c>
      <c r="D345">
        <v>246</v>
      </c>
      <c r="E345" t="s">
        <v>10</v>
      </c>
      <c r="F345" t="s">
        <v>36</v>
      </c>
      <c r="G345" t="s">
        <v>37</v>
      </c>
      <c r="H345">
        <f t="shared" si="5"/>
        <v>246</v>
      </c>
    </row>
    <row r="346" spans="1:8" x14ac:dyDescent="0.3">
      <c r="A346" t="s">
        <v>25</v>
      </c>
      <c r="B346" t="s">
        <v>23</v>
      </c>
      <c r="C346" t="s">
        <v>15</v>
      </c>
      <c r="D346">
        <v>1716</v>
      </c>
      <c r="E346" t="s">
        <v>10</v>
      </c>
      <c r="F346" t="s">
        <v>36</v>
      </c>
      <c r="G346" t="s">
        <v>37</v>
      </c>
      <c r="H346">
        <f t="shared" si="5"/>
        <v>1720</v>
      </c>
    </row>
    <row r="347" spans="1:8" x14ac:dyDescent="0.3">
      <c r="A347" t="s">
        <v>25</v>
      </c>
      <c r="B347" t="s">
        <v>23</v>
      </c>
      <c r="C347" t="s">
        <v>16</v>
      </c>
      <c r="D347">
        <v>1162</v>
      </c>
      <c r="E347" t="s">
        <v>10</v>
      </c>
      <c r="F347" t="s">
        <v>36</v>
      </c>
      <c r="G347" t="s">
        <v>37</v>
      </c>
      <c r="H347">
        <f t="shared" si="5"/>
        <v>1160</v>
      </c>
    </row>
    <row r="348" spans="1:8" x14ac:dyDescent="0.3">
      <c r="A348" t="s">
        <v>25</v>
      </c>
      <c r="B348" t="s">
        <v>23</v>
      </c>
      <c r="C348" t="s">
        <v>17</v>
      </c>
      <c r="D348">
        <v>12</v>
      </c>
      <c r="E348" t="s">
        <v>10</v>
      </c>
      <c r="F348" t="s">
        <v>36</v>
      </c>
      <c r="G348" t="s">
        <v>37</v>
      </c>
      <c r="H348">
        <f t="shared" si="5"/>
        <v>12</v>
      </c>
    </row>
    <row r="349" spans="1:8" x14ac:dyDescent="0.3">
      <c r="A349" t="s">
        <v>25</v>
      </c>
      <c r="B349" t="s">
        <v>23</v>
      </c>
      <c r="C349" t="s">
        <v>18</v>
      </c>
      <c r="D349">
        <v>0</v>
      </c>
      <c r="E349" t="s">
        <v>10</v>
      </c>
      <c r="F349" t="s">
        <v>36</v>
      </c>
      <c r="G349" t="s">
        <v>37</v>
      </c>
      <c r="H349">
        <f t="shared" si="5"/>
        <v>0</v>
      </c>
    </row>
    <row r="350" spans="1:8" x14ac:dyDescent="0.3">
      <c r="A350" t="s">
        <v>25</v>
      </c>
      <c r="B350" t="s">
        <v>23</v>
      </c>
      <c r="C350" t="s">
        <v>19</v>
      </c>
      <c r="D350">
        <v>559</v>
      </c>
      <c r="E350" t="s">
        <v>10</v>
      </c>
      <c r="F350" t="s">
        <v>36</v>
      </c>
      <c r="G350" t="s">
        <v>37</v>
      </c>
      <c r="H350">
        <f t="shared" si="5"/>
        <v>559</v>
      </c>
    </row>
    <row r="351" spans="1:8" x14ac:dyDescent="0.3">
      <c r="A351" t="s">
        <v>25</v>
      </c>
      <c r="B351" t="s">
        <v>23</v>
      </c>
      <c r="C351" t="s">
        <v>20</v>
      </c>
      <c r="D351">
        <v>1056</v>
      </c>
      <c r="E351" t="s">
        <v>10</v>
      </c>
      <c r="F351" t="s">
        <v>36</v>
      </c>
      <c r="G351" t="s">
        <v>37</v>
      </c>
      <c r="H351">
        <f t="shared" si="5"/>
        <v>1060</v>
      </c>
    </row>
    <row r="352" spans="1:8" x14ac:dyDescent="0.3">
      <c r="A352" t="s">
        <v>25</v>
      </c>
      <c r="B352" t="s">
        <v>23</v>
      </c>
      <c r="C352" t="s">
        <v>21</v>
      </c>
      <c r="D352">
        <v>81</v>
      </c>
      <c r="E352" t="s">
        <v>10</v>
      </c>
      <c r="F352" t="s">
        <v>36</v>
      </c>
      <c r="G352" t="s">
        <v>37</v>
      </c>
      <c r="H352">
        <f t="shared" si="5"/>
        <v>81</v>
      </c>
    </row>
    <row r="353" spans="1:8" x14ac:dyDescent="0.3">
      <c r="A353" t="s">
        <v>25</v>
      </c>
      <c r="B353" t="s">
        <v>23</v>
      </c>
      <c r="C353" t="s">
        <v>22</v>
      </c>
      <c r="D353">
        <v>105983</v>
      </c>
      <c r="E353" t="s">
        <v>10</v>
      </c>
      <c r="F353" t="s">
        <v>36</v>
      </c>
      <c r="G353" t="s">
        <v>37</v>
      </c>
      <c r="H353">
        <f t="shared" si="5"/>
        <v>106000</v>
      </c>
    </row>
    <row r="354" spans="1:8" x14ac:dyDescent="0.3">
      <c r="A354" t="s">
        <v>26</v>
      </c>
      <c r="B354" t="s">
        <v>8</v>
      </c>
      <c r="C354" t="s">
        <v>9</v>
      </c>
      <c r="D354">
        <v>0</v>
      </c>
      <c r="E354" t="s">
        <v>10</v>
      </c>
      <c r="F354" t="s">
        <v>36</v>
      </c>
      <c r="G354" t="s">
        <v>37</v>
      </c>
      <c r="H354">
        <f t="shared" si="5"/>
        <v>0</v>
      </c>
    </row>
    <row r="355" spans="1:8" x14ac:dyDescent="0.3">
      <c r="A355" t="s">
        <v>26</v>
      </c>
      <c r="B355" t="s">
        <v>8</v>
      </c>
      <c r="C355" t="s">
        <v>13</v>
      </c>
      <c r="D355">
        <v>0</v>
      </c>
      <c r="E355" t="s">
        <v>10</v>
      </c>
      <c r="F355" t="s">
        <v>36</v>
      </c>
      <c r="G355" t="s">
        <v>37</v>
      </c>
      <c r="H355">
        <f t="shared" si="5"/>
        <v>0</v>
      </c>
    </row>
    <row r="356" spans="1:8" x14ac:dyDescent="0.3">
      <c r="A356" t="s">
        <v>26</v>
      </c>
      <c r="B356" t="s">
        <v>8</v>
      </c>
      <c r="C356" t="s">
        <v>14</v>
      </c>
      <c r="D356">
        <v>0</v>
      </c>
      <c r="E356" t="s">
        <v>10</v>
      </c>
      <c r="F356" t="s">
        <v>36</v>
      </c>
      <c r="G356" t="s">
        <v>37</v>
      </c>
      <c r="H356">
        <f t="shared" si="5"/>
        <v>0</v>
      </c>
    </row>
    <row r="357" spans="1:8" x14ac:dyDescent="0.3">
      <c r="A357" t="s">
        <v>26</v>
      </c>
      <c r="B357" t="s">
        <v>8</v>
      </c>
      <c r="C357" t="s">
        <v>15</v>
      </c>
      <c r="D357">
        <v>0</v>
      </c>
      <c r="E357" t="s">
        <v>10</v>
      </c>
      <c r="F357" t="s">
        <v>36</v>
      </c>
      <c r="G357" t="s">
        <v>37</v>
      </c>
      <c r="H357">
        <f t="shared" si="5"/>
        <v>0</v>
      </c>
    </row>
    <row r="358" spans="1:8" x14ac:dyDescent="0.3">
      <c r="A358" t="s">
        <v>26</v>
      </c>
      <c r="B358" t="s">
        <v>8</v>
      </c>
      <c r="C358" t="s">
        <v>16</v>
      </c>
      <c r="D358">
        <v>0</v>
      </c>
      <c r="E358" t="s">
        <v>10</v>
      </c>
      <c r="F358" t="s">
        <v>36</v>
      </c>
      <c r="G358" t="s">
        <v>37</v>
      </c>
      <c r="H358">
        <f t="shared" si="5"/>
        <v>0</v>
      </c>
    </row>
    <row r="359" spans="1:8" x14ac:dyDescent="0.3">
      <c r="A359" t="s">
        <v>26</v>
      </c>
      <c r="B359" t="s">
        <v>8</v>
      </c>
      <c r="C359" t="s">
        <v>17</v>
      </c>
      <c r="D359">
        <v>0</v>
      </c>
      <c r="E359" t="s">
        <v>10</v>
      </c>
      <c r="F359" t="s">
        <v>36</v>
      </c>
      <c r="G359" t="s">
        <v>37</v>
      </c>
      <c r="H359">
        <f t="shared" si="5"/>
        <v>0</v>
      </c>
    </row>
    <row r="360" spans="1:8" x14ac:dyDescent="0.3">
      <c r="A360" t="s">
        <v>26</v>
      </c>
      <c r="B360" t="s">
        <v>8</v>
      </c>
      <c r="C360" t="s">
        <v>18</v>
      </c>
      <c r="D360">
        <v>0</v>
      </c>
      <c r="E360" t="s">
        <v>10</v>
      </c>
      <c r="F360" t="s">
        <v>36</v>
      </c>
      <c r="G360" t="s">
        <v>37</v>
      </c>
      <c r="H360">
        <f t="shared" si="5"/>
        <v>0</v>
      </c>
    </row>
    <row r="361" spans="1:8" x14ac:dyDescent="0.3">
      <c r="A361" t="s">
        <v>26</v>
      </c>
      <c r="B361" t="s">
        <v>8</v>
      </c>
      <c r="C361" t="s">
        <v>19</v>
      </c>
      <c r="D361">
        <v>0</v>
      </c>
      <c r="E361" t="s">
        <v>10</v>
      </c>
      <c r="F361" t="s">
        <v>36</v>
      </c>
      <c r="G361" t="s">
        <v>37</v>
      </c>
      <c r="H361">
        <f t="shared" si="5"/>
        <v>0</v>
      </c>
    </row>
    <row r="362" spans="1:8" x14ac:dyDescent="0.3">
      <c r="A362" t="s">
        <v>26</v>
      </c>
      <c r="B362" t="s">
        <v>8</v>
      </c>
      <c r="C362" t="s">
        <v>20</v>
      </c>
      <c r="D362">
        <v>0</v>
      </c>
      <c r="E362" t="s">
        <v>10</v>
      </c>
      <c r="F362" t="s">
        <v>36</v>
      </c>
      <c r="G362" t="s">
        <v>37</v>
      </c>
      <c r="H362">
        <f t="shared" si="5"/>
        <v>0</v>
      </c>
    </row>
    <row r="363" spans="1:8" x14ac:dyDescent="0.3">
      <c r="A363" t="s">
        <v>26</v>
      </c>
      <c r="B363" t="s">
        <v>8</v>
      </c>
      <c r="C363" t="s">
        <v>21</v>
      </c>
      <c r="D363">
        <v>0</v>
      </c>
      <c r="E363" t="s">
        <v>10</v>
      </c>
      <c r="F363" t="s">
        <v>36</v>
      </c>
      <c r="G363" t="s">
        <v>37</v>
      </c>
      <c r="H363">
        <f t="shared" si="5"/>
        <v>0</v>
      </c>
    </row>
    <row r="364" spans="1:8" x14ac:dyDescent="0.3">
      <c r="A364" t="s">
        <v>26</v>
      </c>
      <c r="B364" t="s">
        <v>8</v>
      </c>
      <c r="C364" t="s">
        <v>22</v>
      </c>
      <c r="D364">
        <v>0</v>
      </c>
      <c r="E364" t="s">
        <v>10</v>
      </c>
      <c r="F364" t="s">
        <v>36</v>
      </c>
      <c r="G364" t="s">
        <v>37</v>
      </c>
      <c r="H364">
        <f t="shared" si="5"/>
        <v>0</v>
      </c>
    </row>
    <row r="365" spans="1:8" x14ac:dyDescent="0.3">
      <c r="A365" t="s">
        <v>26</v>
      </c>
      <c r="B365" t="s">
        <v>23</v>
      </c>
      <c r="C365" t="s">
        <v>9</v>
      </c>
      <c r="D365">
        <v>757</v>
      </c>
      <c r="E365" t="s">
        <v>10</v>
      </c>
      <c r="F365" t="s">
        <v>36</v>
      </c>
      <c r="G365" t="s">
        <v>37</v>
      </c>
      <c r="H365">
        <f t="shared" si="5"/>
        <v>757</v>
      </c>
    </row>
    <row r="366" spans="1:8" x14ac:dyDescent="0.3">
      <c r="A366" t="s">
        <v>26</v>
      </c>
      <c r="B366" t="s">
        <v>23</v>
      </c>
      <c r="C366" t="s">
        <v>13</v>
      </c>
      <c r="D366">
        <v>8197</v>
      </c>
      <c r="E366" t="s">
        <v>10</v>
      </c>
      <c r="F366" t="s">
        <v>36</v>
      </c>
      <c r="G366" t="s">
        <v>37</v>
      </c>
      <c r="H366">
        <f t="shared" si="5"/>
        <v>8200</v>
      </c>
    </row>
    <row r="367" spans="1:8" x14ac:dyDescent="0.3">
      <c r="A367" t="s">
        <v>26</v>
      </c>
      <c r="B367" t="s">
        <v>23</v>
      </c>
      <c r="C367" t="s">
        <v>14</v>
      </c>
      <c r="D367">
        <v>573</v>
      </c>
      <c r="E367" t="s">
        <v>10</v>
      </c>
      <c r="F367" t="s">
        <v>36</v>
      </c>
      <c r="G367" t="s">
        <v>37</v>
      </c>
      <c r="H367">
        <f t="shared" si="5"/>
        <v>573</v>
      </c>
    </row>
    <row r="368" spans="1:8" x14ac:dyDescent="0.3">
      <c r="A368" t="s">
        <v>26</v>
      </c>
      <c r="B368" t="s">
        <v>23</v>
      </c>
      <c r="C368" t="s">
        <v>15</v>
      </c>
      <c r="D368">
        <v>3998</v>
      </c>
      <c r="E368" t="s">
        <v>10</v>
      </c>
      <c r="F368" t="s">
        <v>36</v>
      </c>
      <c r="G368" t="s">
        <v>37</v>
      </c>
      <c r="H368">
        <f t="shared" si="5"/>
        <v>4000</v>
      </c>
    </row>
    <row r="369" spans="1:8" x14ac:dyDescent="0.3">
      <c r="A369" t="s">
        <v>26</v>
      </c>
      <c r="B369" t="s">
        <v>23</v>
      </c>
      <c r="C369" t="s">
        <v>16</v>
      </c>
      <c r="D369">
        <v>2708</v>
      </c>
      <c r="E369" t="s">
        <v>10</v>
      </c>
      <c r="F369" t="s">
        <v>36</v>
      </c>
      <c r="G369" t="s">
        <v>37</v>
      </c>
      <c r="H369">
        <f t="shared" si="5"/>
        <v>2710</v>
      </c>
    </row>
    <row r="370" spans="1:8" x14ac:dyDescent="0.3">
      <c r="A370" t="s">
        <v>26</v>
      </c>
      <c r="B370" t="s">
        <v>23</v>
      </c>
      <c r="C370" t="s">
        <v>17</v>
      </c>
      <c r="D370">
        <v>27</v>
      </c>
      <c r="E370" t="s">
        <v>10</v>
      </c>
      <c r="F370" t="s">
        <v>36</v>
      </c>
      <c r="G370" t="s">
        <v>37</v>
      </c>
      <c r="H370">
        <f t="shared" si="5"/>
        <v>27</v>
      </c>
    </row>
    <row r="371" spans="1:8" x14ac:dyDescent="0.3">
      <c r="A371" t="s">
        <v>26</v>
      </c>
      <c r="B371" t="s">
        <v>23</v>
      </c>
      <c r="C371" t="s">
        <v>18</v>
      </c>
      <c r="D371">
        <v>0</v>
      </c>
      <c r="E371" t="s">
        <v>10</v>
      </c>
      <c r="F371" t="s">
        <v>36</v>
      </c>
      <c r="G371" t="s">
        <v>37</v>
      </c>
      <c r="H371">
        <f t="shared" si="5"/>
        <v>0</v>
      </c>
    </row>
    <row r="372" spans="1:8" x14ac:dyDescent="0.3">
      <c r="A372" t="s">
        <v>26</v>
      </c>
      <c r="B372" t="s">
        <v>23</v>
      </c>
      <c r="C372" t="s">
        <v>19</v>
      </c>
      <c r="D372">
        <v>1303</v>
      </c>
      <c r="E372" t="s">
        <v>10</v>
      </c>
      <c r="F372" t="s">
        <v>36</v>
      </c>
      <c r="G372" t="s">
        <v>37</v>
      </c>
      <c r="H372">
        <f t="shared" si="5"/>
        <v>1300</v>
      </c>
    </row>
    <row r="373" spans="1:8" x14ac:dyDescent="0.3">
      <c r="A373" t="s">
        <v>26</v>
      </c>
      <c r="B373" t="s">
        <v>23</v>
      </c>
      <c r="C373" t="s">
        <v>20</v>
      </c>
      <c r="D373">
        <v>2460</v>
      </c>
      <c r="E373" t="s">
        <v>10</v>
      </c>
      <c r="F373" t="s">
        <v>36</v>
      </c>
      <c r="G373" t="s">
        <v>37</v>
      </c>
      <c r="H373">
        <f t="shared" si="5"/>
        <v>2460</v>
      </c>
    </row>
    <row r="374" spans="1:8" x14ac:dyDescent="0.3">
      <c r="A374" t="s">
        <v>26</v>
      </c>
      <c r="B374" t="s">
        <v>23</v>
      </c>
      <c r="C374" t="s">
        <v>21</v>
      </c>
      <c r="D374">
        <v>188</v>
      </c>
      <c r="E374" t="s">
        <v>10</v>
      </c>
      <c r="F374" t="s">
        <v>36</v>
      </c>
      <c r="G374" t="s">
        <v>37</v>
      </c>
      <c r="H374">
        <f t="shared" si="5"/>
        <v>188</v>
      </c>
    </row>
    <row r="375" spans="1:8" x14ac:dyDescent="0.3">
      <c r="A375" t="s">
        <v>26</v>
      </c>
      <c r="B375" t="s">
        <v>23</v>
      </c>
      <c r="C375" t="s">
        <v>22</v>
      </c>
      <c r="D375">
        <v>246960</v>
      </c>
      <c r="E375" t="s">
        <v>10</v>
      </c>
      <c r="F375" t="s">
        <v>36</v>
      </c>
      <c r="G375" t="s">
        <v>37</v>
      </c>
      <c r="H375">
        <f t="shared" si="5"/>
        <v>247000</v>
      </c>
    </row>
    <row r="376" spans="1:8" x14ac:dyDescent="0.3">
      <c r="A376" t="s">
        <v>27</v>
      </c>
      <c r="B376" t="s">
        <v>8</v>
      </c>
      <c r="C376" t="s">
        <v>9</v>
      </c>
      <c r="D376">
        <v>0</v>
      </c>
      <c r="E376" t="s">
        <v>10</v>
      </c>
      <c r="F376" t="s">
        <v>36</v>
      </c>
      <c r="G376" t="s">
        <v>37</v>
      </c>
      <c r="H376">
        <f t="shared" si="5"/>
        <v>0</v>
      </c>
    </row>
    <row r="377" spans="1:8" x14ac:dyDescent="0.3">
      <c r="A377" t="s">
        <v>27</v>
      </c>
      <c r="B377" t="s">
        <v>8</v>
      </c>
      <c r="C377" t="s">
        <v>13</v>
      </c>
      <c r="D377">
        <v>0</v>
      </c>
      <c r="E377" t="s">
        <v>10</v>
      </c>
      <c r="F377" t="s">
        <v>36</v>
      </c>
      <c r="G377" t="s">
        <v>37</v>
      </c>
      <c r="H377">
        <f t="shared" si="5"/>
        <v>0</v>
      </c>
    </row>
    <row r="378" spans="1:8" x14ac:dyDescent="0.3">
      <c r="A378" t="s">
        <v>27</v>
      </c>
      <c r="B378" t="s">
        <v>8</v>
      </c>
      <c r="C378" t="s">
        <v>14</v>
      </c>
      <c r="D378">
        <v>0</v>
      </c>
      <c r="E378" t="s">
        <v>10</v>
      </c>
      <c r="F378" t="s">
        <v>36</v>
      </c>
      <c r="G378" t="s">
        <v>37</v>
      </c>
      <c r="H378">
        <f t="shared" si="5"/>
        <v>0</v>
      </c>
    </row>
    <row r="379" spans="1:8" x14ac:dyDescent="0.3">
      <c r="A379" t="s">
        <v>27</v>
      </c>
      <c r="B379" t="s">
        <v>8</v>
      </c>
      <c r="C379" t="s">
        <v>15</v>
      </c>
      <c r="D379">
        <v>0</v>
      </c>
      <c r="E379" t="s">
        <v>10</v>
      </c>
      <c r="F379" t="s">
        <v>36</v>
      </c>
      <c r="G379" t="s">
        <v>37</v>
      </c>
      <c r="H379">
        <f t="shared" si="5"/>
        <v>0</v>
      </c>
    </row>
    <row r="380" spans="1:8" x14ac:dyDescent="0.3">
      <c r="A380" t="s">
        <v>27</v>
      </c>
      <c r="B380" t="s">
        <v>8</v>
      </c>
      <c r="C380" t="s">
        <v>16</v>
      </c>
      <c r="D380">
        <v>0</v>
      </c>
      <c r="E380" t="s">
        <v>10</v>
      </c>
      <c r="F380" t="s">
        <v>36</v>
      </c>
      <c r="G380" t="s">
        <v>37</v>
      </c>
      <c r="H380">
        <f t="shared" si="5"/>
        <v>0</v>
      </c>
    </row>
    <row r="381" spans="1:8" x14ac:dyDescent="0.3">
      <c r="A381" t="s">
        <v>27</v>
      </c>
      <c r="B381" t="s">
        <v>8</v>
      </c>
      <c r="C381" t="s">
        <v>17</v>
      </c>
      <c r="D381">
        <v>0</v>
      </c>
      <c r="E381" t="s">
        <v>10</v>
      </c>
      <c r="F381" t="s">
        <v>36</v>
      </c>
      <c r="G381" t="s">
        <v>37</v>
      </c>
      <c r="H381">
        <f t="shared" si="5"/>
        <v>0</v>
      </c>
    </row>
    <row r="382" spans="1:8" x14ac:dyDescent="0.3">
      <c r="A382" t="s">
        <v>27</v>
      </c>
      <c r="B382" t="s">
        <v>8</v>
      </c>
      <c r="C382" t="s">
        <v>18</v>
      </c>
      <c r="D382">
        <v>0</v>
      </c>
      <c r="E382" t="s">
        <v>10</v>
      </c>
      <c r="F382" t="s">
        <v>36</v>
      </c>
      <c r="G382" t="s">
        <v>37</v>
      </c>
      <c r="H382">
        <f t="shared" si="5"/>
        <v>0</v>
      </c>
    </row>
    <row r="383" spans="1:8" x14ac:dyDescent="0.3">
      <c r="A383" t="s">
        <v>27</v>
      </c>
      <c r="B383" t="s">
        <v>8</v>
      </c>
      <c r="C383" t="s">
        <v>19</v>
      </c>
      <c r="D383">
        <v>0</v>
      </c>
      <c r="E383" t="s">
        <v>10</v>
      </c>
      <c r="F383" t="s">
        <v>36</v>
      </c>
      <c r="G383" t="s">
        <v>37</v>
      </c>
      <c r="H383">
        <f t="shared" si="5"/>
        <v>0</v>
      </c>
    </row>
    <row r="384" spans="1:8" x14ac:dyDescent="0.3">
      <c r="A384" t="s">
        <v>27</v>
      </c>
      <c r="B384" t="s">
        <v>8</v>
      </c>
      <c r="C384" t="s">
        <v>20</v>
      </c>
      <c r="D384">
        <v>0</v>
      </c>
      <c r="E384" t="s">
        <v>10</v>
      </c>
      <c r="F384" t="s">
        <v>36</v>
      </c>
      <c r="G384" t="s">
        <v>37</v>
      </c>
      <c r="H384">
        <f t="shared" si="5"/>
        <v>0</v>
      </c>
    </row>
    <row r="385" spans="1:8" x14ac:dyDescent="0.3">
      <c r="A385" t="s">
        <v>27</v>
      </c>
      <c r="B385" t="s">
        <v>8</v>
      </c>
      <c r="C385" t="s">
        <v>21</v>
      </c>
      <c r="D385">
        <v>0</v>
      </c>
      <c r="E385" t="s">
        <v>10</v>
      </c>
      <c r="F385" t="s">
        <v>36</v>
      </c>
      <c r="G385" t="s">
        <v>37</v>
      </c>
      <c r="H385">
        <f t="shared" si="5"/>
        <v>0</v>
      </c>
    </row>
    <row r="386" spans="1:8" x14ac:dyDescent="0.3">
      <c r="A386" t="s">
        <v>27</v>
      </c>
      <c r="B386" t="s">
        <v>8</v>
      </c>
      <c r="C386" t="s">
        <v>22</v>
      </c>
      <c r="D386">
        <v>0</v>
      </c>
      <c r="E386" t="s">
        <v>10</v>
      </c>
      <c r="F386" t="s">
        <v>36</v>
      </c>
      <c r="G386" t="s">
        <v>37</v>
      </c>
      <c r="H386">
        <f t="shared" si="5"/>
        <v>0</v>
      </c>
    </row>
    <row r="387" spans="1:8" x14ac:dyDescent="0.3">
      <c r="A387" t="s">
        <v>27</v>
      </c>
      <c r="B387" t="s">
        <v>23</v>
      </c>
      <c r="C387" t="s">
        <v>9</v>
      </c>
      <c r="D387">
        <v>1746</v>
      </c>
      <c r="E387" t="s">
        <v>10</v>
      </c>
      <c r="F387" t="s">
        <v>36</v>
      </c>
      <c r="G387" t="s">
        <v>37</v>
      </c>
      <c r="H387">
        <f t="shared" ref="H387:H450" si="6">ROUND(D387, 3 - LEN(INT(ABS(D387))))</f>
        <v>1750</v>
      </c>
    </row>
    <row r="388" spans="1:8" x14ac:dyDescent="0.3">
      <c r="A388" t="s">
        <v>27</v>
      </c>
      <c r="B388" t="s">
        <v>23</v>
      </c>
      <c r="C388" t="s">
        <v>13</v>
      </c>
      <c r="D388">
        <v>318</v>
      </c>
      <c r="E388" t="s">
        <v>10</v>
      </c>
      <c r="F388" t="s">
        <v>36</v>
      </c>
      <c r="G388" t="s">
        <v>37</v>
      </c>
      <c r="H388">
        <f t="shared" si="6"/>
        <v>318</v>
      </c>
    </row>
    <row r="389" spans="1:8" x14ac:dyDescent="0.3">
      <c r="A389" t="s">
        <v>27</v>
      </c>
      <c r="B389" t="s">
        <v>23</v>
      </c>
      <c r="C389" t="s">
        <v>14</v>
      </c>
      <c r="D389">
        <v>2349078</v>
      </c>
      <c r="E389" t="s">
        <v>10</v>
      </c>
      <c r="F389" t="s">
        <v>36</v>
      </c>
      <c r="G389" t="s">
        <v>37</v>
      </c>
      <c r="H389">
        <f t="shared" si="6"/>
        <v>2350000</v>
      </c>
    </row>
    <row r="390" spans="1:8" x14ac:dyDescent="0.3">
      <c r="A390" t="s">
        <v>27</v>
      </c>
      <c r="B390" t="s">
        <v>23</v>
      </c>
      <c r="C390" t="s">
        <v>15</v>
      </c>
      <c r="D390">
        <v>7097</v>
      </c>
      <c r="E390" t="s">
        <v>10</v>
      </c>
      <c r="F390" t="s">
        <v>36</v>
      </c>
      <c r="G390" t="s">
        <v>37</v>
      </c>
      <c r="H390">
        <f t="shared" si="6"/>
        <v>7100</v>
      </c>
    </row>
    <row r="391" spans="1:8" x14ac:dyDescent="0.3">
      <c r="A391" t="s">
        <v>27</v>
      </c>
      <c r="B391" t="s">
        <v>23</v>
      </c>
      <c r="C391" t="s">
        <v>16</v>
      </c>
      <c r="D391">
        <v>3534499</v>
      </c>
      <c r="E391" t="s">
        <v>10</v>
      </c>
      <c r="F391" t="s">
        <v>36</v>
      </c>
      <c r="G391" t="s">
        <v>37</v>
      </c>
      <c r="H391">
        <f t="shared" si="6"/>
        <v>3530000</v>
      </c>
    </row>
    <row r="392" spans="1:8" x14ac:dyDescent="0.3">
      <c r="A392" t="s">
        <v>27</v>
      </c>
      <c r="B392" t="s">
        <v>23</v>
      </c>
      <c r="C392" t="s">
        <v>17</v>
      </c>
      <c r="D392">
        <v>418502</v>
      </c>
      <c r="E392" t="s">
        <v>10</v>
      </c>
      <c r="F392" t="s">
        <v>36</v>
      </c>
      <c r="G392" t="s">
        <v>37</v>
      </c>
      <c r="H392">
        <f t="shared" si="6"/>
        <v>419000</v>
      </c>
    </row>
    <row r="393" spans="1:8" x14ac:dyDescent="0.3">
      <c r="A393" t="s">
        <v>27</v>
      </c>
      <c r="B393" t="s">
        <v>23</v>
      </c>
      <c r="C393" t="s">
        <v>18</v>
      </c>
      <c r="D393">
        <v>0</v>
      </c>
      <c r="E393" t="s">
        <v>10</v>
      </c>
      <c r="F393" t="s">
        <v>36</v>
      </c>
      <c r="G393" t="s">
        <v>37</v>
      </c>
      <c r="H393">
        <f t="shared" si="6"/>
        <v>0</v>
      </c>
    </row>
    <row r="394" spans="1:8" x14ac:dyDescent="0.3">
      <c r="A394" t="s">
        <v>27</v>
      </c>
      <c r="B394" t="s">
        <v>23</v>
      </c>
      <c r="C394" t="s">
        <v>19</v>
      </c>
      <c r="D394">
        <v>335</v>
      </c>
      <c r="E394" t="s">
        <v>10</v>
      </c>
      <c r="F394" t="s">
        <v>36</v>
      </c>
      <c r="G394" t="s">
        <v>37</v>
      </c>
      <c r="H394">
        <f t="shared" si="6"/>
        <v>335</v>
      </c>
    </row>
    <row r="395" spans="1:8" x14ac:dyDescent="0.3">
      <c r="A395" t="s">
        <v>27</v>
      </c>
      <c r="B395" t="s">
        <v>23</v>
      </c>
      <c r="C395" t="s">
        <v>20</v>
      </c>
      <c r="D395">
        <v>5364</v>
      </c>
      <c r="E395" t="s">
        <v>10</v>
      </c>
      <c r="F395" t="s">
        <v>36</v>
      </c>
      <c r="G395" t="s">
        <v>37</v>
      </c>
      <c r="H395">
        <f t="shared" si="6"/>
        <v>5360</v>
      </c>
    </row>
    <row r="396" spans="1:8" x14ac:dyDescent="0.3">
      <c r="A396" t="s">
        <v>27</v>
      </c>
      <c r="B396" t="s">
        <v>23</v>
      </c>
      <c r="C396" t="s">
        <v>21</v>
      </c>
      <c r="D396">
        <v>1082</v>
      </c>
      <c r="E396" t="s">
        <v>10</v>
      </c>
      <c r="F396" t="s">
        <v>36</v>
      </c>
      <c r="G396" t="s">
        <v>37</v>
      </c>
      <c r="H396">
        <f t="shared" si="6"/>
        <v>1080</v>
      </c>
    </row>
    <row r="397" spans="1:8" x14ac:dyDescent="0.3">
      <c r="A397" t="s">
        <v>27</v>
      </c>
      <c r="B397" t="s">
        <v>23</v>
      </c>
      <c r="C397" t="s">
        <v>22</v>
      </c>
      <c r="D397">
        <v>1331</v>
      </c>
      <c r="E397" t="s">
        <v>10</v>
      </c>
      <c r="F397" t="s">
        <v>36</v>
      </c>
      <c r="G397" t="s">
        <v>37</v>
      </c>
      <c r="H397">
        <f t="shared" si="6"/>
        <v>1330</v>
      </c>
    </row>
    <row r="398" spans="1:8" x14ac:dyDescent="0.3">
      <c r="A398" t="s">
        <v>28</v>
      </c>
      <c r="B398" t="s">
        <v>8</v>
      </c>
      <c r="C398" t="s">
        <v>9</v>
      </c>
      <c r="D398">
        <v>0</v>
      </c>
      <c r="E398" t="s">
        <v>10</v>
      </c>
      <c r="F398" t="s">
        <v>36</v>
      </c>
      <c r="G398" t="s">
        <v>37</v>
      </c>
      <c r="H398">
        <f t="shared" si="6"/>
        <v>0</v>
      </c>
    </row>
    <row r="399" spans="1:8" x14ac:dyDescent="0.3">
      <c r="A399" t="s">
        <v>28</v>
      </c>
      <c r="B399" t="s">
        <v>8</v>
      </c>
      <c r="C399" t="s">
        <v>13</v>
      </c>
      <c r="D399">
        <v>0</v>
      </c>
      <c r="E399" t="s">
        <v>10</v>
      </c>
      <c r="F399" t="s">
        <v>36</v>
      </c>
      <c r="G399" t="s">
        <v>37</v>
      </c>
      <c r="H399">
        <f t="shared" si="6"/>
        <v>0</v>
      </c>
    </row>
    <row r="400" spans="1:8" x14ac:dyDescent="0.3">
      <c r="A400" t="s">
        <v>28</v>
      </c>
      <c r="B400" t="s">
        <v>8</v>
      </c>
      <c r="C400" t="s">
        <v>14</v>
      </c>
      <c r="D400">
        <v>0</v>
      </c>
      <c r="E400" t="s">
        <v>10</v>
      </c>
      <c r="F400" t="s">
        <v>36</v>
      </c>
      <c r="G400" t="s">
        <v>37</v>
      </c>
      <c r="H400">
        <f t="shared" si="6"/>
        <v>0</v>
      </c>
    </row>
    <row r="401" spans="1:8" x14ac:dyDescent="0.3">
      <c r="A401" t="s">
        <v>28</v>
      </c>
      <c r="B401" t="s">
        <v>8</v>
      </c>
      <c r="C401" t="s">
        <v>15</v>
      </c>
      <c r="D401">
        <v>0</v>
      </c>
      <c r="E401" t="s">
        <v>10</v>
      </c>
      <c r="F401" t="s">
        <v>36</v>
      </c>
      <c r="G401" t="s">
        <v>37</v>
      </c>
      <c r="H401">
        <f t="shared" si="6"/>
        <v>0</v>
      </c>
    </row>
    <row r="402" spans="1:8" x14ac:dyDescent="0.3">
      <c r="A402" t="s">
        <v>28</v>
      </c>
      <c r="B402" t="s">
        <v>8</v>
      </c>
      <c r="C402" t="s">
        <v>16</v>
      </c>
      <c r="D402">
        <v>0</v>
      </c>
      <c r="E402" t="s">
        <v>10</v>
      </c>
      <c r="F402" t="s">
        <v>36</v>
      </c>
      <c r="G402" t="s">
        <v>37</v>
      </c>
      <c r="H402">
        <f t="shared" si="6"/>
        <v>0</v>
      </c>
    </row>
    <row r="403" spans="1:8" x14ac:dyDescent="0.3">
      <c r="A403" t="s">
        <v>28</v>
      </c>
      <c r="B403" t="s">
        <v>8</v>
      </c>
      <c r="C403" t="s">
        <v>17</v>
      </c>
      <c r="D403">
        <v>0</v>
      </c>
      <c r="E403" t="s">
        <v>10</v>
      </c>
      <c r="F403" t="s">
        <v>36</v>
      </c>
      <c r="G403" t="s">
        <v>37</v>
      </c>
      <c r="H403">
        <f t="shared" si="6"/>
        <v>0</v>
      </c>
    </row>
    <row r="404" spans="1:8" x14ac:dyDescent="0.3">
      <c r="A404" t="s">
        <v>28</v>
      </c>
      <c r="B404" t="s">
        <v>8</v>
      </c>
      <c r="C404" t="s">
        <v>18</v>
      </c>
      <c r="D404">
        <v>0</v>
      </c>
      <c r="E404" t="s">
        <v>10</v>
      </c>
      <c r="F404" t="s">
        <v>36</v>
      </c>
      <c r="G404" t="s">
        <v>37</v>
      </c>
      <c r="H404">
        <f t="shared" si="6"/>
        <v>0</v>
      </c>
    </row>
    <row r="405" spans="1:8" x14ac:dyDescent="0.3">
      <c r="A405" t="s">
        <v>28</v>
      </c>
      <c r="B405" t="s">
        <v>8</v>
      </c>
      <c r="C405" t="s">
        <v>19</v>
      </c>
      <c r="D405">
        <v>0</v>
      </c>
      <c r="E405" t="s">
        <v>10</v>
      </c>
      <c r="F405" t="s">
        <v>36</v>
      </c>
      <c r="G405" t="s">
        <v>37</v>
      </c>
      <c r="H405">
        <f t="shared" si="6"/>
        <v>0</v>
      </c>
    </row>
    <row r="406" spans="1:8" x14ac:dyDescent="0.3">
      <c r="A406" t="s">
        <v>28</v>
      </c>
      <c r="B406" t="s">
        <v>8</v>
      </c>
      <c r="C406" t="s">
        <v>20</v>
      </c>
      <c r="D406">
        <v>0</v>
      </c>
      <c r="E406" t="s">
        <v>10</v>
      </c>
      <c r="F406" t="s">
        <v>36</v>
      </c>
      <c r="G406" t="s">
        <v>37</v>
      </c>
      <c r="H406">
        <f t="shared" si="6"/>
        <v>0</v>
      </c>
    </row>
    <row r="407" spans="1:8" x14ac:dyDescent="0.3">
      <c r="A407" t="s">
        <v>28</v>
      </c>
      <c r="B407" t="s">
        <v>8</v>
      </c>
      <c r="C407" t="s">
        <v>21</v>
      </c>
      <c r="D407">
        <v>0</v>
      </c>
      <c r="E407" t="s">
        <v>10</v>
      </c>
      <c r="F407" t="s">
        <v>36</v>
      </c>
      <c r="G407" t="s">
        <v>37</v>
      </c>
      <c r="H407">
        <f t="shared" si="6"/>
        <v>0</v>
      </c>
    </row>
    <row r="408" spans="1:8" x14ac:dyDescent="0.3">
      <c r="A408" t="s">
        <v>28</v>
      </c>
      <c r="B408" t="s">
        <v>8</v>
      </c>
      <c r="C408" t="s">
        <v>22</v>
      </c>
      <c r="D408">
        <v>0</v>
      </c>
      <c r="E408" t="s">
        <v>10</v>
      </c>
      <c r="F408" t="s">
        <v>36</v>
      </c>
      <c r="G408" t="s">
        <v>37</v>
      </c>
      <c r="H408">
        <f t="shared" si="6"/>
        <v>0</v>
      </c>
    </row>
    <row r="409" spans="1:8" x14ac:dyDescent="0.3">
      <c r="A409" t="s">
        <v>28</v>
      </c>
      <c r="B409" t="s">
        <v>23</v>
      </c>
      <c r="C409" t="s">
        <v>9</v>
      </c>
      <c r="D409">
        <v>646</v>
      </c>
      <c r="E409" t="s">
        <v>10</v>
      </c>
      <c r="F409" t="s">
        <v>36</v>
      </c>
      <c r="G409" t="s">
        <v>37</v>
      </c>
      <c r="H409">
        <f t="shared" si="6"/>
        <v>646</v>
      </c>
    </row>
    <row r="410" spans="1:8" x14ac:dyDescent="0.3">
      <c r="A410" t="s">
        <v>28</v>
      </c>
      <c r="B410" t="s">
        <v>23</v>
      </c>
      <c r="C410" t="s">
        <v>13</v>
      </c>
      <c r="D410">
        <v>111</v>
      </c>
      <c r="E410" t="s">
        <v>10</v>
      </c>
      <c r="F410" t="s">
        <v>36</v>
      </c>
      <c r="G410" t="s">
        <v>37</v>
      </c>
      <c r="H410">
        <f t="shared" si="6"/>
        <v>111</v>
      </c>
    </row>
    <row r="411" spans="1:8" x14ac:dyDescent="0.3">
      <c r="A411" t="s">
        <v>28</v>
      </c>
      <c r="B411" t="s">
        <v>23</v>
      </c>
      <c r="C411" t="s">
        <v>14</v>
      </c>
      <c r="D411">
        <v>1178155</v>
      </c>
      <c r="E411" t="s">
        <v>10</v>
      </c>
      <c r="F411" t="s">
        <v>36</v>
      </c>
      <c r="G411" t="s">
        <v>37</v>
      </c>
      <c r="H411">
        <f t="shared" si="6"/>
        <v>1180000</v>
      </c>
    </row>
    <row r="412" spans="1:8" x14ac:dyDescent="0.3">
      <c r="A412" t="s">
        <v>28</v>
      </c>
      <c r="B412" t="s">
        <v>23</v>
      </c>
      <c r="C412" t="s">
        <v>15</v>
      </c>
      <c r="D412">
        <v>3440</v>
      </c>
      <c r="E412" t="s">
        <v>10</v>
      </c>
      <c r="F412" t="s">
        <v>36</v>
      </c>
      <c r="G412" t="s">
        <v>37</v>
      </c>
      <c r="H412">
        <f t="shared" si="6"/>
        <v>3440</v>
      </c>
    </row>
    <row r="413" spans="1:8" x14ac:dyDescent="0.3">
      <c r="A413" t="s">
        <v>28</v>
      </c>
      <c r="B413" t="s">
        <v>23</v>
      </c>
      <c r="C413" t="s">
        <v>16</v>
      </c>
      <c r="D413">
        <v>1424335</v>
      </c>
      <c r="E413" t="s">
        <v>10</v>
      </c>
      <c r="F413" t="s">
        <v>36</v>
      </c>
      <c r="G413" t="s">
        <v>37</v>
      </c>
      <c r="H413">
        <f t="shared" si="6"/>
        <v>1420000</v>
      </c>
    </row>
    <row r="414" spans="1:8" x14ac:dyDescent="0.3">
      <c r="A414" t="s">
        <v>28</v>
      </c>
      <c r="B414" t="s">
        <v>23</v>
      </c>
      <c r="C414" t="s">
        <v>17</v>
      </c>
      <c r="D414">
        <v>153</v>
      </c>
      <c r="E414" t="s">
        <v>10</v>
      </c>
      <c r="F414" t="s">
        <v>36</v>
      </c>
      <c r="G414" t="s">
        <v>37</v>
      </c>
      <c r="H414">
        <f t="shared" si="6"/>
        <v>153</v>
      </c>
    </row>
    <row r="415" spans="1:8" x14ac:dyDescent="0.3">
      <c r="A415" t="s">
        <v>28</v>
      </c>
      <c r="B415" t="s">
        <v>23</v>
      </c>
      <c r="C415" t="s">
        <v>18</v>
      </c>
      <c r="D415">
        <v>0</v>
      </c>
      <c r="E415" t="s">
        <v>10</v>
      </c>
      <c r="F415" t="s">
        <v>36</v>
      </c>
      <c r="G415" t="s">
        <v>37</v>
      </c>
      <c r="H415">
        <f t="shared" si="6"/>
        <v>0</v>
      </c>
    </row>
    <row r="416" spans="1:8" x14ac:dyDescent="0.3">
      <c r="A416" t="s">
        <v>28</v>
      </c>
      <c r="B416" t="s">
        <v>23</v>
      </c>
      <c r="C416" t="s">
        <v>19</v>
      </c>
      <c r="D416">
        <v>152</v>
      </c>
      <c r="E416" t="s">
        <v>10</v>
      </c>
      <c r="F416" t="s">
        <v>36</v>
      </c>
      <c r="G416" t="s">
        <v>37</v>
      </c>
      <c r="H416">
        <f t="shared" si="6"/>
        <v>152</v>
      </c>
    </row>
    <row r="417" spans="1:8" x14ac:dyDescent="0.3">
      <c r="A417" t="s">
        <v>28</v>
      </c>
      <c r="B417" t="s">
        <v>23</v>
      </c>
      <c r="C417" t="s">
        <v>20</v>
      </c>
      <c r="D417">
        <v>1934</v>
      </c>
      <c r="E417" t="s">
        <v>10</v>
      </c>
      <c r="F417" t="s">
        <v>36</v>
      </c>
      <c r="G417" t="s">
        <v>37</v>
      </c>
      <c r="H417">
        <f t="shared" si="6"/>
        <v>1930</v>
      </c>
    </row>
    <row r="418" spans="1:8" x14ac:dyDescent="0.3">
      <c r="A418" t="s">
        <v>28</v>
      </c>
      <c r="B418" t="s">
        <v>23</v>
      </c>
      <c r="C418" t="s">
        <v>21</v>
      </c>
      <c r="D418">
        <v>450</v>
      </c>
      <c r="E418" t="s">
        <v>10</v>
      </c>
      <c r="F418" t="s">
        <v>36</v>
      </c>
      <c r="G418" t="s">
        <v>37</v>
      </c>
      <c r="H418">
        <f t="shared" si="6"/>
        <v>450</v>
      </c>
    </row>
    <row r="419" spans="1:8" x14ac:dyDescent="0.3">
      <c r="A419" t="s">
        <v>28</v>
      </c>
      <c r="B419" t="s">
        <v>23</v>
      </c>
      <c r="C419" t="s">
        <v>22</v>
      </c>
      <c r="D419">
        <v>570</v>
      </c>
      <c r="E419" t="s">
        <v>10</v>
      </c>
      <c r="F419" t="s">
        <v>36</v>
      </c>
      <c r="G419" t="s">
        <v>37</v>
      </c>
      <c r="H419">
        <f t="shared" si="6"/>
        <v>570</v>
      </c>
    </row>
    <row r="420" spans="1:8" x14ac:dyDescent="0.3">
      <c r="A420" t="s">
        <v>29</v>
      </c>
      <c r="B420" t="s">
        <v>8</v>
      </c>
      <c r="C420" t="s">
        <v>9</v>
      </c>
      <c r="D420">
        <v>0</v>
      </c>
      <c r="E420" t="s">
        <v>10</v>
      </c>
      <c r="F420" t="s">
        <v>36</v>
      </c>
      <c r="G420" t="s">
        <v>37</v>
      </c>
      <c r="H420">
        <f t="shared" si="6"/>
        <v>0</v>
      </c>
    </row>
    <row r="421" spans="1:8" x14ac:dyDescent="0.3">
      <c r="A421" t="s">
        <v>29</v>
      </c>
      <c r="B421" t="s">
        <v>8</v>
      </c>
      <c r="C421" t="s">
        <v>13</v>
      </c>
      <c r="D421">
        <v>0</v>
      </c>
      <c r="E421" t="s">
        <v>10</v>
      </c>
      <c r="F421" t="s">
        <v>36</v>
      </c>
      <c r="G421" t="s">
        <v>37</v>
      </c>
      <c r="H421">
        <f t="shared" si="6"/>
        <v>0</v>
      </c>
    </row>
    <row r="422" spans="1:8" x14ac:dyDescent="0.3">
      <c r="A422" t="s">
        <v>29</v>
      </c>
      <c r="B422" t="s">
        <v>8</v>
      </c>
      <c r="C422" t="s">
        <v>14</v>
      </c>
      <c r="D422">
        <v>0</v>
      </c>
      <c r="E422" t="s">
        <v>10</v>
      </c>
      <c r="F422" t="s">
        <v>36</v>
      </c>
      <c r="G422" t="s">
        <v>37</v>
      </c>
      <c r="H422">
        <f t="shared" si="6"/>
        <v>0</v>
      </c>
    </row>
    <row r="423" spans="1:8" x14ac:dyDescent="0.3">
      <c r="A423" t="s">
        <v>29</v>
      </c>
      <c r="B423" t="s">
        <v>8</v>
      </c>
      <c r="C423" t="s">
        <v>15</v>
      </c>
      <c r="D423">
        <v>0</v>
      </c>
      <c r="E423" t="s">
        <v>10</v>
      </c>
      <c r="F423" t="s">
        <v>36</v>
      </c>
      <c r="G423" t="s">
        <v>37</v>
      </c>
      <c r="H423">
        <f t="shared" si="6"/>
        <v>0</v>
      </c>
    </row>
    <row r="424" spans="1:8" x14ac:dyDescent="0.3">
      <c r="A424" t="s">
        <v>29</v>
      </c>
      <c r="B424" t="s">
        <v>8</v>
      </c>
      <c r="C424" t="s">
        <v>16</v>
      </c>
      <c r="D424">
        <v>0</v>
      </c>
      <c r="E424" t="s">
        <v>10</v>
      </c>
      <c r="F424" t="s">
        <v>36</v>
      </c>
      <c r="G424" t="s">
        <v>37</v>
      </c>
      <c r="H424">
        <f t="shared" si="6"/>
        <v>0</v>
      </c>
    </row>
    <row r="425" spans="1:8" x14ac:dyDescent="0.3">
      <c r="A425" t="s">
        <v>29</v>
      </c>
      <c r="B425" t="s">
        <v>8</v>
      </c>
      <c r="C425" t="s">
        <v>17</v>
      </c>
      <c r="D425">
        <v>0</v>
      </c>
      <c r="E425" t="s">
        <v>10</v>
      </c>
      <c r="F425" t="s">
        <v>36</v>
      </c>
      <c r="G425" t="s">
        <v>37</v>
      </c>
      <c r="H425">
        <f t="shared" si="6"/>
        <v>0</v>
      </c>
    </row>
    <row r="426" spans="1:8" x14ac:dyDescent="0.3">
      <c r="A426" t="s">
        <v>29</v>
      </c>
      <c r="B426" t="s">
        <v>8</v>
      </c>
      <c r="C426" t="s">
        <v>18</v>
      </c>
      <c r="D426">
        <v>0</v>
      </c>
      <c r="E426" t="s">
        <v>10</v>
      </c>
      <c r="F426" t="s">
        <v>36</v>
      </c>
      <c r="G426" t="s">
        <v>37</v>
      </c>
      <c r="H426">
        <f t="shared" si="6"/>
        <v>0</v>
      </c>
    </row>
    <row r="427" spans="1:8" x14ac:dyDescent="0.3">
      <c r="A427" t="s">
        <v>29</v>
      </c>
      <c r="B427" t="s">
        <v>8</v>
      </c>
      <c r="C427" t="s">
        <v>19</v>
      </c>
      <c r="D427">
        <v>0</v>
      </c>
      <c r="E427" t="s">
        <v>10</v>
      </c>
      <c r="F427" t="s">
        <v>36</v>
      </c>
      <c r="G427" t="s">
        <v>37</v>
      </c>
      <c r="H427">
        <f t="shared" si="6"/>
        <v>0</v>
      </c>
    </row>
    <row r="428" spans="1:8" x14ac:dyDescent="0.3">
      <c r="A428" t="s">
        <v>29</v>
      </c>
      <c r="B428" t="s">
        <v>8</v>
      </c>
      <c r="C428" t="s">
        <v>20</v>
      </c>
      <c r="D428">
        <v>0</v>
      </c>
      <c r="E428" t="s">
        <v>10</v>
      </c>
      <c r="F428" t="s">
        <v>36</v>
      </c>
      <c r="G428" t="s">
        <v>37</v>
      </c>
      <c r="H428">
        <f t="shared" si="6"/>
        <v>0</v>
      </c>
    </row>
    <row r="429" spans="1:8" x14ac:dyDescent="0.3">
      <c r="A429" t="s">
        <v>29</v>
      </c>
      <c r="B429" t="s">
        <v>8</v>
      </c>
      <c r="C429" t="s">
        <v>21</v>
      </c>
      <c r="D429">
        <v>0</v>
      </c>
      <c r="E429" t="s">
        <v>10</v>
      </c>
      <c r="F429" t="s">
        <v>36</v>
      </c>
      <c r="G429" t="s">
        <v>37</v>
      </c>
      <c r="H429">
        <f t="shared" si="6"/>
        <v>0</v>
      </c>
    </row>
    <row r="430" spans="1:8" x14ac:dyDescent="0.3">
      <c r="A430" t="s">
        <v>29</v>
      </c>
      <c r="B430" t="s">
        <v>8</v>
      </c>
      <c r="C430" t="s">
        <v>22</v>
      </c>
      <c r="D430">
        <v>0</v>
      </c>
      <c r="E430" t="s">
        <v>10</v>
      </c>
      <c r="F430" t="s">
        <v>36</v>
      </c>
      <c r="G430" t="s">
        <v>37</v>
      </c>
      <c r="H430">
        <f t="shared" si="6"/>
        <v>0</v>
      </c>
    </row>
    <row r="431" spans="1:8" x14ac:dyDescent="0.3">
      <c r="A431" t="s">
        <v>29</v>
      </c>
      <c r="B431" t="s">
        <v>23</v>
      </c>
      <c r="C431" t="s">
        <v>9</v>
      </c>
      <c r="D431">
        <v>137</v>
      </c>
      <c r="E431" t="s">
        <v>10</v>
      </c>
      <c r="F431" t="s">
        <v>36</v>
      </c>
      <c r="G431" t="s">
        <v>37</v>
      </c>
      <c r="H431">
        <f t="shared" si="6"/>
        <v>137</v>
      </c>
    </row>
    <row r="432" spans="1:8" x14ac:dyDescent="0.3">
      <c r="A432" t="s">
        <v>29</v>
      </c>
      <c r="B432" t="s">
        <v>23</v>
      </c>
      <c r="C432" t="s">
        <v>13</v>
      </c>
      <c r="D432">
        <v>33</v>
      </c>
      <c r="E432" t="s">
        <v>10</v>
      </c>
      <c r="F432" t="s">
        <v>36</v>
      </c>
      <c r="G432" t="s">
        <v>37</v>
      </c>
      <c r="H432">
        <f t="shared" si="6"/>
        <v>33</v>
      </c>
    </row>
    <row r="433" spans="1:8" x14ac:dyDescent="0.3">
      <c r="A433" t="s">
        <v>29</v>
      </c>
      <c r="B433" t="s">
        <v>23</v>
      </c>
      <c r="C433" t="s">
        <v>14</v>
      </c>
      <c r="D433">
        <v>965835</v>
      </c>
      <c r="E433" t="s">
        <v>10</v>
      </c>
      <c r="F433" t="s">
        <v>36</v>
      </c>
      <c r="G433" t="s">
        <v>37</v>
      </c>
      <c r="H433">
        <f t="shared" si="6"/>
        <v>966000</v>
      </c>
    </row>
    <row r="434" spans="1:8" x14ac:dyDescent="0.3">
      <c r="A434" t="s">
        <v>29</v>
      </c>
      <c r="B434" t="s">
        <v>23</v>
      </c>
      <c r="C434" t="s">
        <v>15</v>
      </c>
      <c r="D434">
        <v>2690</v>
      </c>
      <c r="E434" t="s">
        <v>10</v>
      </c>
      <c r="F434" t="s">
        <v>36</v>
      </c>
      <c r="G434" t="s">
        <v>37</v>
      </c>
      <c r="H434">
        <f t="shared" si="6"/>
        <v>2690</v>
      </c>
    </row>
    <row r="435" spans="1:8" x14ac:dyDescent="0.3">
      <c r="A435" t="s">
        <v>29</v>
      </c>
      <c r="B435" t="s">
        <v>23</v>
      </c>
      <c r="C435" t="s">
        <v>16</v>
      </c>
      <c r="D435">
        <v>17328</v>
      </c>
      <c r="E435" t="s">
        <v>10</v>
      </c>
      <c r="F435" t="s">
        <v>36</v>
      </c>
      <c r="G435" t="s">
        <v>37</v>
      </c>
      <c r="H435">
        <f t="shared" si="6"/>
        <v>17300</v>
      </c>
    </row>
    <row r="436" spans="1:8" x14ac:dyDescent="0.3">
      <c r="A436" t="s">
        <v>29</v>
      </c>
      <c r="B436" t="s">
        <v>23</v>
      </c>
      <c r="C436" t="s">
        <v>17</v>
      </c>
      <c r="D436">
        <v>25</v>
      </c>
      <c r="E436" t="s">
        <v>10</v>
      </c>
      <c r="F436" t="s">
        <v>36</v>
      </c>
      <c r="G436" t="s">
        <v>37</v>
      </c>
      <c r="H436">
        <f t="shared" si="6"/>
        <v>25</v>
      </c>
    </row>
    <row r="437" spans="1:8" x14ac:dyDescent="0.3">
      <c r="A437" t="s">
        <v>29</v>
      </c>
      <c r="B437" t="s">
        <v>23</v>
      </c>
      <c r="C437" t="s">
        <v>18</v>
      </c>
      <c r="D437">
        <v>0</v>
      </c>
      <c r="E437" t="s">
        <v>10</v>
      </c>
      <c r="F437" t="s">
        <v>36</v>
      </c>
      <c r="G437" t="s">
        <v>37</v>
      </c>
      <c r="H437">
        <f t="shared" si="6"/>
        <v>0</v>
      </c>
    </row>
    <row r="438" spans="1:8" x14ac:dyDescent="0.3">
      <c r="A438" t="s">
        <v>29</v>
      </c>
      <c r="B438" t="s">
        <v>23</v>
      </c>
      <c r="C438" t="s">
        <v>19</v>
      </c>
      <c r="D438">
        <v>102</v>
      </c>
      <c r="E438" t="s">
        <v>10</v>
      </c>
      <c r="F438" t="s">
        <v>36</v>
      </c>
      <c r="G438" t="s">
        <v>37</v>
      </c>
      <c r="H438">
        <f t="shared" si="6"/>
        <v>102</v>
      </c>
    </row>
    <row r="439" spans="1:8" x14ac:dyDescent="0.3">
      <c r="A439" t="s">
        <v>29</v>
      </c>
      <c r="B439" t="s">
        <v>23</v>
      </c>
      <c r="C439" t="s">
        <v>20</v>
      </c>
      <c r="D439">
        <v>634</v>
      </c>
      <c r="E439" t="s">
        <v>10</v>
      </c>
      <c r="F439" t="s">
        <v>36</v>
      </c>
      <c r="G439" t="s">
        <v>37</v>
      </c>
      <c r="H439">
        <f t="shared" si="6"/>
        <v>634</v>
      </c>
    </row>
    <row r="440" spans="1:8" x14ac:dyDescent="0.3">
      <c r="A440" t="s">
        <v>29</v>
      </c>
      <c r="B440" t="s">
        <v>23</v>
      </c>
      <c r="C440" t="s">
        <v>21</v>
      </c>
      <c r="D440">
        <v>87</v>
      </c>
      <c r="E440" t="s">
        <v>10</v>
      </c>
      <c r="F440" t="s">
        <v>36</v>
      </c>
      <c r="G440" t="s">
        <v>37</v>
      </c>
      <c r="H440">
        <f t="shared" si="6"/>
        <v>87</v>
      </c>
    </row>
    <row r="441" spans="1:8" x14ac:dyDescent="0.3">
      <c r="A441" t="s">
        <v>29</v>
      </c>
      <c r="B441" t="s">
        <v>23</v>
      </c>
      <c r="C441" t="s">
        <v>22</v>
      </c>
      <c r="D441">
        <v>228</v>
      </c>
      <c r="E441" t="s">
        <v>10</v>
      </c>
      <c r="F441" t="s">
        <v>36</v>
      </c>
      <c r="G441" t="s">
        <v>37</v>
      </c>
      <c r="H441">
        <f t="shared" si="6"/>
        <v>228</v>
      </c>
    </row>
    <row r="442" spans="1:8" x14ac:dyDescent="0.3">
      <c r="A442" t="s">
        <v>30</v>
      </c>
      <c r="B442" t="s">
        <v>8</v>
      </c>
      <c r="C442" t="s">
        <v>9</v>
      </c>
      <c r="D442">
        <v>0</v>
      </c>
      <c r="E442" t="s">
        <v>10</v>
      </c>
      <c r="F442" t="s">
        <v>36</v>
      </c>
      <c r="G442" t="s">
        <v>37</v>
      </c>
      <c r="H442">
        <f t="shared" si="6"/>
        <v>0</v>
      </c>
    </row>
    <row r="443" spans="1:8" x14ac:dyDescent="0.3">
      <c r="A443" t="s">
        <v>30</v>
      </c>
      <c r="B443" t="s">
        <v>8</v>
      </c>
      <c r="C443" t="s">
        <v>13</v>
      </c>
      <c r="D443">
        <v>0</v>
      </c>
      <c r="E443" t="s">
        <v>10</v>
      </c>
      <c r="F443" t="s">
        <v>36</v>
      </c>
      <c r="G443" t="s">
        <v>37</v>
      </c>
      <c r="H443">
        <f t="shared" si="6"/>
        <v>0</v>
      </c>
    </row>
    <row r="444" spans="1:8" x14ac:dyDescent="0.3">
      <c r="A444" t="s">
        <v>30</v>
      </c>
      <c r="B444" t="s">
        <v>8</v>
      </c>
      <c r="C444" t="s">
        <v>14</v>
      </c>
      <c r="D444">
        <v>0</v>
      </c>
      <c r="E444" t="s">
        <v>10</v>
      </c>
      <c r="F444" t="s">
        <v>36</v>
      </c>
      <c r="G444" t="s">
        <v>37</v>
      </c>
      <c r="H444">
        <f t="shared" si="6"/>
        <v>0</v>
      </c>
    </row>
    <row r="445" spans="1:8" x14ac:dyDescent="0.3">
      <c r="A445" t="s">
        <v>30</v>
      </c>
      <c r="B445" t="s">
        <v>8</v>
      </c>
      <c r="C445" t="s">
        <v>15</v>
      </c>
      <c r="D445">
        <v>0</v>
      </c>
      <c r="E445" t="s">
        <v>10</v>
      </c>
      <c r="F445" t="s">
        <v>36</v>
      </c>
      <c r="G445" t="s">
        <v>37</v>
      </c>
      <c r="H445">
        <f t="shared" si="6"/>
        <v>0</v>
      </c>
    </row>
    <row r="446" spans="1:8" x14ac:dyDescent="0.3">
      <c r="A446" t="s">
        <v>30</v>
      </c>
      <c r="B446" t="s">
        <v>8</v>
      </c>
      <c r="C446" t="s">
        <v>16</v>
      </c>
      <c r="D446">
        <v>0</v>
      </c>
      <c r="E446" t="s">
        <v>10</v>
      </c>
      <c r="F446" t="s">
        <v>36</v>
      </c>
      <c r="G446" t="s">
        <v>37</v>
      </c>
      <c r="H446">
        <f t="shared" si="6"/>
        <v>0</v>
      </c>
    </row>
    <row r="447" spans="1:8" x14ac:dyDescent="0.3">
      <c r="A447" t="s">
        <v>30</v>
      </c>
      <c r="B447" t="s">
        <v>8</v>
      </c>
      <c r="C447" t="s">
        <v>17</v>
      </c>
      <c r="D447">
        <v>0</v>
      </c>
      <c r="E447" t="s">
        <v>10</v>
      </c>
      <c r="F447" t="s">
        <v>36</v>
      </c>
      <c r="G447" t="s">
        <v>37</v>
      </c>
      <c r="H447">
        <f t="shared" si="6"/>
        <v>0</v>
      </c>
    </row>
    <row r="448" spans="1:8" x14ac:dyDescent="0.3">
      <c r="A448" t="s">
        <v>30</v>
      </c>
      <c r="B448" t="s">
        <v>8</v>
      </c>
      <c r="C448" t="s">
        <v>18</v>
      </c>
      <c r="D448">
        <v>0</v>
      </c>
      <c r="E448" t="s">
        <v>10</v>
      </c>
      <c r="F448" t="s">
        <v>36</v>
      </c>
      <c r="G448" t="s">
        <v>37</v>
      </c>
      <c r="H448">
        <f t="shared" si="6"/>
        <v>0</v>
      </c>
    </row>
    <row r="449" spans="1:8" x14ac:dyDescent="0.3">
      <c r="A449" t="s">
        <v>30</v>
      </c>
      <c r="B449" t="s">
        <v>8</v>
      </c>
      <c r="C449" t="s">
        <v>19</v>
      </c>
      <c r="D449">
        <v>0</v>
      </c>
      <c r="E449" t="s">
        <v>10</v>
      </c>
      <c r="F449" t="s">
        <v>36</v>
      </c>
      <c r="G449" t="s">
        <v>37</v>
      </c>
      <c r="H449">
        <f t="shared" si="6"/>
        <v>0</v>
      </c>
    </row>
    <row r="450" spans="1:8" x14ac:dyDescent="0.3">
      <c r="A450" t="s">
        <v>30</v>
      </c>
      <c r="B450" t="s">
        <v>8</v>
      </c>
      <c r="C450" t="s">
        <v>20</v>
      </c>
      <c r="D450">
        <v>0</v>
      </c>
      <c r="E450" t="s">
        <v>10</v>
      </c>
      <c r="F450" t="s">
        <v>36</v>
      </c>
      <c r="G450" t="s">
        <v>37</v>
      </c>
      <c r="H450">
        <f t="shared" si="6"/>
        <v>0</v>
      </c>
    </row>
    <row r="451" spans="1:8" x14ac:dyDescent="0.3">
      <c r="A451" t="s">
        <v>30</v>
      </c>
      <c r="B451" t="s">
        <v>8</v>
      </c>
      <c r="C451" t="s">
        <v>21</v>
      </c>
      <c r="D451">
        <v>0</v>
      </c>
      <c r="E451" t="s">
        <v>10</v>
      </c>
      <c r="F451" t="s">
        <v>36</v>
      </c>
      <c r="G451" t="s">
        <v>37</v>
      </c>
      <c r="H451">
        <f t="shared" ref="H451:H514" si="7">ROUND(D451, 3 - LEN(INT(ABS(D451))))</f>
        <v>0</v>
      </c>
    </row>
    <row r="452" spans="1:8" x14ac:dyDescent="0.3">
      <c r="A452" t="s">
        <v>30</v>
      </c>
      <c r="B452" t="s">
        <v>8</v>
      </c>
      <c r="C452" t="s">
        <v>22</v>
      </c>
      <c r="D452">
        <v>0</v>
      </c>
      <c r="E452" t="s">
        <v>10</v>
      </c>
      <c r="F452" t="s">
        <v>36</v>
      </c>
      <c r="G452" t="s">
        <v>37</v>
      </c>
      <c r="H452">
        <f t="shared" si="7"/>
        <v>0</v>
      </c>
    </row>
    <row r="453" spans="1:8" x14ac:dyDescent="0.3">
      <c r="A453" t="s">
        <v>30</v>
      </c>
      <c r="B453" t="s">
        <v>23</v>
      </c>
      <c r="C453" t="s">
        <v>9</v>
      </c>
      <c r="D453">
        <v>28</v>
      </c>
      <c r="E453" t="s">
        <v>10</v>
      </c>
      <c r="F453" t="s">
        <v>36</v>
      </c>
      <c r="G453" t="s">
        <v>37</v>
      </c>
      <c r="H453">
        <f t="shared" si="7"/>
        <v>28</v>
      </c>
    </row>
    <row r="454" spans="1:8" x14ac:dyDescent="0.3">
      <c r="A454" t="s">
        <v>30</v>
      </c>
      <c r="B454" t="s">
        <v>23</v>
      </c>
      <c r="C454" t="s">
        <v>13</v>
      </c>
      <c r="D454">
        <v>8</v>
      </c>
      <c r="E454" t="s">
        <v>10</v>
      </c>
      <c r="F454" t="s">
        <v>36</v>
      </c>
      <c r="G454" t="s">
        <v>37</v>
      </c>
      <c r="H454">
        <f t="shared" si="7"/>
        <v>8</v>
      </c>
    </row>
    <row r="455" spans="1:8" x14ac:dyDescent="0.3">
      <c r="A455" t="s">
        <v>30</v>
      </c>
      <c r="B455" t="s">
        <v>23</v>
      </c>
      <c r="C455" t="s">
        <v>14</v>
      </c>
      <c r="D455">
        <v>50</v>
      </c>
      <c r="E455" t="s">
        <v>10</v>
      </c>
      <c r="F455" t="s">
        <v>36</v>
      </c>
      <c r="G455" t="s">
        <v>37</v>
      </c>
      <c r="H455">
        <f t="shared" si="7"/>
        <v>50</v>
      </c>
    </row>
    <row r="456" spans="1:8" x14ac:dyDescent="0.3">
      <c r="A456" t="s">
        <v>30</v>
      </c>
      <c r="B456" t="s">
        <v>23</v>
      </c>
      <c r="C456" t="s">
        <v>15</v>
      </c>
      <c r="D456">
        <v>20</v>
      </c>
      <c r="E456" t="s">
        <v>10</v>
      </c>
      <c r="F456" t="s">
        <v>36</v>
      </c>
      <c r="G456" t="s">
        <v>37</v>
      </c>
      <c r="H456">
        <f t="shared" si="7"/>
        <v>20</v>
      </c>
    </row>
    <row r="457" spans="1:8" x14ac:dyDescent="0.3">
      <c r="A457" t="s">
        <v>30</v>
      </c>
      <c r="B457" t="s">
        <v>23</v>
      </c>
      <c r="C457" t="s">
        <v>16</v>
      </c>
      <c r="D457">
        <v>83</v>
      </c>
      <c r="E457" t="s">
        <v>10</v>
      </c>
      <c r="F457" t="s">
        <v>36</v>
      </c>
      <c r="G457" t="s">
        <v>37</v>
      </c>
      <c r="H457">
        <f t="shared" si="7"/>
        <v>83</v>
      </c>
    </row>
    <row r="458" spans="1:8" x14ac:dyDescent="0.3">
      <c r="A458" t="s">
        <v>30</v>
      </c>
      <c r="B458" t="s">
        <v>23</v>
      </c>
      <c r="C458" t="s">
        <v>17</v>
      </c>
      <c r="D458">
        <v>53399</v>
      </c>
      <c r="E458" t="s">
        <v>10</v>
      </c>
      <c r="F458" t="s">
        <v>36</v>
      </c>
      <c r="G458" t="s">
        <v>37</v>
      </c>
      <c r="H458">
        <f t="shared" si="7"/>
        <v>53400</v>
      </c>
    </row>
    <row r="459" spans="1:8" x14ac:dyDescent="0.3">
      <c r="A459" t="s">
        <v>30</v>
      </c>
      <c r="B459" t="s">
        <v>23</v>
      </c>
      <c r="C459" t="s">
        <v>18</v>
      </c>
      <c r="D459">
        <v>0</v>
      </c>
      <c r="E459" t="s">
        <v>10</v>
      </c>
      <c r="F459" t="s">
        <v>36</v>
      </c>
      <c r="G459" t="s">
        <v>37</v>
      </c>
      <c r="H459">
        <f t="shared" si="7"/>
        <v>0</v>
      </c>
    </row>
    <row r="460" spans="1:8" x14ac:dyDescent="0.3">
      <c r="A460" t="s">
        <v>30</v>
      </c>
      <c r="B460" t="s">
        <v>23</v>
      </c>
      <c r="C460" t="s">
        <v>19</v>
      </c>
      <c r="D460">
        <v>2</v>
      </c>
      <c r="E460" t="s">
        <v>10</v>
      </c>
      <c r="F460" t="s">
        <v>36</v>
      </c>
      <c r="G460" t="s">
        <v>37</v>
      </c>
      <c r="H460">
        <f t="shared" si="7"/>
        <v>2</v>
      </c>
    </row>
    <row r="461" spans="1:8" x14ac:dyDescent="0.3">
      <c r="A461" t="s">
        <v>30</v>
      </c>
      <c r="B461" t="s">
        <v>23</v>
      </c>
      <c r="C461" t="s">
        <v>20</v>
      </c>
      <c r="D461">
        <v>119</v>
      </c>
      <c r="E461" t="s">
        <v>10</v>
      </c>
      <c r="F461" t="s">
        <v>36</v>
      </c>
      <c r="G461" t="s">
        <v>37</v>
      </c>
      <c r="H461">
        <f t="shared" si="7"/>
        <v>119</v>
      </c>
    </row>
    <row r="462" spans="1:8" x14ac:dyDescent="0.3">
      <c r="A462" t="s">
        <v>30</v>
      </c>
      <c r="B462" t="s">
        <v>23</v>
      </c>
      <c r="C462" t="s">
        <v>21</v>
      </c>
      <c r="D462">
        <v>2</v>
      </c>
      <c r="E462" t="s">
        <v>10</v>
      </c>
      <c r="F462" t="s">
        <v>36</v>
      </c>
      <c r="G462" t="s">
        <v>37</v>
      </c>
      <c r="H462">
        <f t="shared" si="7"/>
        <v>2</v>
      </c>
    </row>
    <row r="463" spans="1:8" x14ac:dyDescent="0.3">
      <c r="A463" t="s">
        <v>30</v>
      </c>
      <c r="B463" t="s">
        <v>23</v>
      </c>
      <c r="C463" t="s">
        <v>22</v>
      </c>
      <c r="D463">
        <v>6</v>
      </c>
      <c r="E463" t="s">
        <v>10</v>
      </c>
      <c r="F463" t="s">
        <v>36</v>
      </c>
      <c r="G463" t="s">
        <v>37</v>
      </c>
      <c r="H463">
        <f t="shared" si="7"/>
        <v>6</v>
      </c>
    </row>
    <row r="464" spans="1:8" x14ac:dyDescent="0.3">
      <c r="A464" t="s">
        <v>31</v>
      </c>
      <c r="B464" t="s">
        <v>8</v>
      </c>
      <c r="C464" t="s">
        <v>9</v>
      </c>
      <c r="D464">
        <v>0</v>
      </c>
      <c r="E464" t="s">
        <v>10</v>
      </c>
      <c r="F464" t="s">
        <v>36</v>
      </c>
      <c r="G464" t="s">
        <v>37</v>
      </c>
      <c r="H464">
        <f t="shared" si="7"/>
        <v>0</v>
      </c>
    </row>
    <row r="465" spans="1:8" x14ac:dyDescent="0.3">
      <c r="A465" t="s">
        <v>31</v>
      </c>
      <c r="B465" t="s">
        <v>8</v>
      </c>
      <c r="C465" t="s">
        <v>13</v>
      </c>
      <c r="D465">
        <v>0</v>
      </c>
      <c r="E465" t="s">
        <v>10</v>
      </c>
      <c r="F465" t="s">
        <v>36</v>
      </c>
      <c r="G465" t="s">
        <v>37</v>
      </c>
      <c r="H465">
        <f t="shared" si="7"/>
        <v>0</v>
      </c>
    </row>
    <row r="466" spans="1:8" x14ac:dyDescent="0.3">
      <c r="A466" t="s">
        <v>31</v>
      </c>
      <c r="B466" t="s">
        <v>8</v>
      </c>
      <c r="C466" t="s">
        <v>14</v>
      </c>
      <c r="D466">
        <v>0</v>
      </c>
      <c r="E466" t="s">
        <v>10</v>
      </c>
      <c r="F466" t="s">
        <v>36</v>
      </c>
      <c r="G466" t="s">
        <v>37</v>
      </c>
      <c r="H466">
        <f t="shared" si="7"/>
        <v>0</v>
      </c>
    </row>
    <row r="467" spans="1:8" x14ac:dyDescent="0.3">
      <c r="A467" t="s">
        <v>31</v>
      </c>
      <c r="B467" t="s">
        <v>8</v>
      </c>
      <c r="C467" t="s">
        <v>15</v>
      </c>
      <c r="D467">
        <v>0</v>
      </c>
      <c r="E467" t="s">
        <v>10</v>
      </c>
      <c r="F467" t="s">
        <v>36</v>
      </c>
      <c r="G467" t="s">
        <v>37</v>
      </c>
      <c r="H467">
        <f t="shared" si="7"/>
        <v>0</v>
      </c>
    </row>
    <row r="468" spans="1:8" x14ac:dyDescent="0.3">
      <c r="A468" t="s">
        <v>31</v>
      </c>
      <c r="B468" t="s">
        <v>8</v>
      </c>
      <c r="C468" t="s">
        <v>16</v>
      </c>
      <c r="D468">
        <v>0</v>
      </c>
      <c r="E468" t="s">
        <v>10</v>
      </c>
      <c r="F468" t="s">
        <v>36</v>
      </c>
      <c r="G468" t="s">
        <v>37</v>
      </c>
      <c r="H468">
        <f t="shared" si="7"/>
        <v>0</v>
      </c>
    </row>
    <row r="469" spans="1:8" x14ac:dyDescent="0.3">
      <c r="A469" t="s">
        <v>31</v>
      </c>
      <c r="B469" t="s">
        <v>8</v>
      </c>
      <c r="C469" t="s">
        <v>17</v>
      </c>
      <c r="D469">
        <v>0</v>
      </c>
      <c r="E469" t="s">
        <v>10</v>
      </c>
      <c r="F469" t="s">
        <v>36</v>
      </c>
      <c r="G469" t="s">
        <v>37</v>
      </c>
      <c r="H469">
        <f t="shared" si="7"/>
        <v>0</v>
      </c>
    </row>
    <row r="470" spans="1:8" x14ac:dyDescent="0.3">
      <c r="A470" t="s">
        <v>31</v>
      </c>
      <c r="B470" t="s">
        <v>8</v>
      </c>
      <c r="C470" t="s">
        <v>18</v>
      </c>
      <c r="D470">
        <v>0</v>
      </c>
      <c r="E470" t="s">
        <v>10</v>
      </c>
      <c r="F470" t="s">
        <v>36</v>
      </c>
      <c r="G470" t="s">
        <v>37</v>
      </c>
      <c r="H470">
        <f t="shared" si="7"/>
        <v>0</v>
      </c>
    </row>
    <row r="471" spans="1:8" x14ac:dyDescent="0.3">
      <c r="A471" t="s">
        <v>31</v>
      </c>
      <c r="B471" t="s">
        <v>8</v>
      </c>
      <c r="C471" t="s">
        <v>19</v>
      </c>
      <c r="D471">
        <v>0</v>
      </c>
      <c r="E471" t="s">
        <v>10</v>
      </c>
      <c r="F471" t="s">
        <v>36</v>
      </c>
      <c r="G471" t="s">
        <v>37</v>
      </c>
      <c r="H471">
        <f t="shared" si="7"/>
        <v>0</v>
      </c>
    </row>
    <row r="472" spans="1:8" x14ac:dyDescent="0.3">
      <c r="A472" t="s">
        <v>31</v>
      </c>
      <c r="B472" t="s">
        <v>8</v>
      </c>
      <c r="C472" t="s">
        <v>20</v>
      </c>
      <c r="D472">
        <v>0</v>
      </c>
      <c r="E472" t="s">
        <v>10</v>
      </c>
      <c r="F472" t="s">
        <v>36</v>
      </c>
      <c r="G472" t="s">
        <v>37</v>
      </c>
      <c r="H472">
        <f t="shared" si="7"/>
        <v>0</v>
      </c>
    </row>
    <row r="473" spans="1:8" x14ac:dyDescent="0.3">
      <c r="A473" t="s">
        <v>31</v>
      </c>
      <c r="B473" t="s">
        <v>8</v>
      </c>
      <c r="C473" t="s">
        <v>21</v>
      </c>
      <c r="D473">
        <v>0</v>
      </c>
      <c r="E473" t="s">
        <v>10</v>
      </c>
      <c r="F473" t="s">
        <v>36</v>
      </c>
      <c r="G473" t="s">
        <v>37</v>
      </c>
      <c r="H473">
        <f t="shared" si="7"/>
        <v>0</v>
      </c>
    </row>
    <row r="474" spans="1:8" x14ac:dyDescent="0.3">
      <c r="A474" t="s">
        <v>31</v>
      </c>
      <c r="B474" t="s">
        <v>8</v>
      </c>
      <c r="C474" t="s">
        <v>22</v>
      </c>
      <c r="D474">
        <v>0</v>
      </c>
      <c r="E474" t="s">
        <v>10</v>
      </c>
      <c r="F474" t="s">
        <v>36</v>
      </c>
      <c r="G474" t="s">
        <v>37</v>
      </c>
      <c r="H474">
        <f t="shared" si="7"/>
        <v>0</v>
      </c>
    </row>
    <row r="475" spans="1:8" x14ac:dyDescent="0.3">
      <c r="A475" t="s">
        <v>31</v>
      </c>
      <c r="B475" t="s">
        <v>23</v>
      </c>
      <c r="C475" t="s">
        <v>9</v>
      </c>
      <c r="D475">
        <v>63</v>
      </c>
      <c r="E475" t="s">
        <v>10</v>
      </c>
      <c r="F475" t="s">
        <v>36</v>
      </c>
      <c r="G475" t="s">
        <v>37</v>
      </c>
      <c r="H475">
        <f t="shared" si="7"/>
        <v>63</v>
      </c>
    </row>
    <row r="476" spans="1:8" x14ac:dyDescent="0.3">
      <c r="A476" t="s">
        <v>31</v>
      </c>
      <c r="B476" t="s">
        <v>23</v>
      </c>
      <c r="C476" t="s">
        <v>13</v>
      </c>
      <c r="D476">
        <v>18</v>
      </c>
      <c r="E476" t="s">
        <v>10</v>
      </c>
      <c r="F476" t="s">
        <v>36</v>
      </c>
      <c r="G476" t="s">
        <v>37</v>
      </c>
      <c r="H476">
        <f t="shared" si="7"/>
        <v>18</v>
      </c>
    </row>
    <row r="477" spans="1:8" x14ac:dyDescent="0.3">
      <c r="A477" t="s">
        <v>31</v>
      </c>
      <c r="B477" t="s">
        <v>23</v>
      </c>
      <c r="C477" t="s">
        <v>14</v>
      </c>
      <c r="D477">
        <v>110</v>
      </c>
      <c r="E477" t="s">
        <v>10</v>
      </c>
      <c r="F477" t="s">
        <v>36</v>
      </c>
      <c r="G477" t="s">
        <v>37</v>
      </c>
      <c r="H477">
        <f t="shared" si="7"/>
        <v>110</v>
      </c>
    </row>
    <row r="478" spans="1:8" x14ac:dyDescent="0.3">
      <c r="A478" t="s">
        <v>31</v>
      </c>
      <c r="B478" t="s">
        <v>23</v>
      </c>
      <c r="C478" t="s">
        <v>15</v>
      </c>
      <c r="D478">
        <v>45</v>
      </c>
      <c r="E478" t="s">
        <v>10</v>
      </c>
      <c r="F478" t="s">
        <v>36</v>
      </c>
      <c r="G478" t="s">
        <v>37</v>
      </c>
      <c r="H478">
        <f t="shared" si="7"/>
        <v>45</v>
      </c>
    </row>
    <row r="479" spans="1:8" x14ac:dyDescent="0.3">
      <c r="A479" t="s">
        <v>31</v>
      </c>
      <c r="B479" t="s">
        <v>23</v>
      </c>
      <c r="C479" t="s">
        <v>16</v>
      </c>
      <c r="D479">
        <v>184</v>
      </c>
      <c r="E479" t="s">
        <v>10</v>
      </c>
      <c r="F479" t="s">
        <v>36</v>
      </c>
      <c r="G479" t="s">
        <v>37</v>
      </c>
      <c r="H479">
        <f t="shared" si="7"/>
        <v>184</v>
      </c>
    </row>
    <row r="480" spans="1:8" x14ac:dyDescent="0.3">
      <c r="A480" t="s">
        <v>31</v>
      </c>
      <c r="B480" t="s">
        <v>23</v>
      </c>
      <c r="C480" t="s">
        <v>17</v>
      </c>
      <c r="D480">
        <v>118891</v>
      </c>
      <c r="E480" t="s">
        <v>10</v>
      </c>
      <c r="F480" t="s">
        <v>36</v>
      </c>
      <c r="G480" t="s">
        <v>37</v>
      </c>
      <c r="H480">
        <f t="shared" si="7"/>
        <v>119000</v>
      </c>
    </row>
    <row r="481" spans="1:8" x14ac:dyDescent="0.3">
      <c r="A481" t="s">
        <v>31</v>
      </c>
      <c r="B481" t="s">
        <v>23</v>
      </c>
      <c r="C481" t="s">
        <v>18</v>
      </c>
      <c r="D481">
        <v>0</v>
      </c>
      <c r="E481" t="s">
        <v>10</v>
      </c>
      <c r="F481" t="s">
        <v>36</v>
      </c>
      <c r="G481" t="s">
        <v>37</v>
      </c>
      <c r="H481">
        <f t="shared" si="7"/>
        <v>0</v>
      </c>
    </row>
    <row r="482" spans="1:8" x14ac:dyDescent="0.3">
      <c r="A482" t="s">
        <v>31</v>
      </c>
      <c r="B482" t="s">
        <v>23</v>
      </c>
      <c r="C482" t="s">
        <v>19</v>
      </c>
      <c r="D482">
        <v>5</v>
      </c>
      <c r="E482" t="s">
        <v>10</v>
      </c>
      <c r="F482" t="s">
        <v>36</v>
      </c>
      <c r="G482" t="s">
        <v>37</v>
      </c>
      <c r="H482">
        <f t="shared" si="7"/>
        <v>5</v>
      </c>
    </row>
    <row r="483" spans="1:8" x14ac:dyDescent="0.3">
      <c r="A483" t="s">
        <v>31</v>
      </c>
      <c r="B483" t="s">
        <v>23</v>
      </c>
      <c r="C483" t="s">
        <v>20</v>
      </c>
      <c r="D483">
        <v>266</v>
      </c>
      <c r="E483" t="s">
        <v>10</v>
      </c>
      <c r="F483" t="s">
        <v>36</v>
      </c>
      <c r="G483" t="s">
        <v>37</v>
      </c>
      <c r="H483">
        <f t="shared" si="7"/>
        <v>266</v>
      </c>
    </row>
    <row r="484" spans="1:8" x14ac:dyDescent="0.3">
      <c r="A484" t="s">
        <v>31</v>
      </c>
      <c r="B484" t="s">
        <v>23</v>
      </c>
      <c r="C484" t="s">
        <v>21</v>
      </c>
      <c r="D484">
        <v>5</v>
      </c>
      <c r="E484" t="s">
        <v>10</v>
      </c>
      <c r="F484" t="s">
        <v>36</v>
      </c>
      <c r="G484" t="s">
        <v>37</v>
      </c>
      <c r="H484">
        <f t="shared" si="7"/>
        <v>5</v>
      </c>
    </row>
    <row r="485" spans="1:8" x14ac:dyDescent="0.3">
      <c r="A485" t="s">
        <v>31</v>
      </c>
      <c r="B485" t="s">
        <v>23</v>
      </c>
      <c r="C485" t="s">
        <v>22</v>
      </c>
      <c r="D485">
        <v>14</v>
      </c>
      <c r="E485" t="s">
        <v>10</v>
      </c>
      <c r="F485" t="s">
        <v>36</v>
      </c>
      <c r="G485" t="s">
        <v>37</v>
      </c>
      <c r="H485">
        <f t="shared" si="7"/>
        <v>14</v>
      </c>
    </row>
    <row r="486" spans="1:8" x14ac:dyDescent="0.3">
      <c r="A486" t="s">
        <v>32</v>
      </c>
      <c r="B486" t="s">
        <v>8</v>
      </c>
      <c r="C486" t="s">
        <v>9</v>
      </c>
      <c r="D486">
        <v>0</v>
      </c>
      <c r="E486" t="s">
        <v>10</v>
      </c>
      <c r="F486" t="s">
        <v>36</v>
      </c>
      <c r="G486" t="s">
        <v>37</v>
      </c>
      <c r="H486">
        <f t="shared" si="7"/>
        <v>0</v>
      </c>
    </row>
    <row r="487" spans="1:8" x14ac:dyDescent="0.3">
      <c r="A487" t="s">
        <v>32</v>
      </c>
      <c r="B487" t="s">
        <v>8</v>
      </c>
      <c r="C487" t="s">
        <v>13</v>
      </c>
      <c r="D487">
        <v>0</v>
      </c>
      <c r="E487" t="s">
        <v>10</v>
      </c>
      <c r="F487" t="s">
        <v>36</v>
      </c>
      <c r="G487" t="s">
        <v>37</v>
      </c>
      <c r="H487">
        <f t="shared" si="7"/>
        <v>0</v>
      </c>
    </row>
    <row r="488" spans="1:8" x14ac:dyDescent="0.3">
      <c r="A488" t="s">
        <v>32</v>
      </c>
      <c r="B488" t="s">
        <v>8</v>
      </c>
      <c r="C488" t="s">
        <v>14</v>
      </c>
      <c r="D488">
        <v>0</v>
      </c>
      <c r="E488" t="s">
        <v>10</v>
      </c>
      <c r="F488" t="s">
        <v>36</v>
      </c>
      <c r="G488" t="s">
        <v>37</v>
      </c>
      <c r="H488">
        <f t="shared" si="7"/>
        <v>0</v>
      </c>
    </row>
    <row r="489" spans="1:8" x14ac:dyDescent="0.3">
      <c r="A489" t="s">
        <v>32</v>
      </c>
      <c r="B489" t="s">
        <v>8</v>
      </c>
      <c r="C489" t="s">
        <v>15</v>
      </c>
      <c r="D489">
        <v>0</v>
      </c>
      <c r="E489" t="s">
        <v>10</v>
      </c>
      <c r="F489" t="s">
        <v>36</v>
      </c>
      <c r="G489" t="s">
        <v>37</v>
      </c>
      <c r="H489">
        <f t="shared" si="7"/>
        <v>0</v>
      </c>
    </row>
    <row r="490" spans="1:8" x14ac:dyDescent="0.3">
      <c r="A490" t="s">
        <v>32</v>
      </c>
      <c r="B490" t="s">
        <v>8</v>
      </c>
      <c r="C490" t="s">
        <v>16</v>
      </c>
      <c r="D490">
        <v>0</v>
      </c>
      <c r="E490" t="s">
        <v>10</v>
      </c>
      <c r="F490" t="s">
        <v>36</v>
      </c>
      <c r="G490" t="s">
        <v>37</v>
      </c>
      <c r="H490">
        <f t="shared" si="7"/>
        <v>0</v>
      </c>
    </row>
    <row r="491" spans="1:8" x14ac:dyDescent="0.3">
      <c r="A491" t="s">
        <v>32</v>
      </c>
      <c r="B491" t="s">
        <v>8</v>
      </c>
      <c r="C491" t="s">
        <v>17</v>
      </c>
      <c r="D491">
        <v>0</v>
      </c>
      <c r="E491" t="s">
        <v>10</v>
      </c>
      <c r="F491" t="s">
        <v>36</v>
      </c>
      <c r="G491" t="s">
        <v>37</v>
      </c>
      <c r="H491">
        <f t="shared" si="7"/>
        <v>0</v>
      </c>
    </row>
    <row r="492" spans="1:8" x14ac:dyDescent="0.3">
      <c r="A492" t="s">
        <v>32</v>
      </c>
      <c r="B492" t="s">
        <v>8</v>
      </c>
      <c r="C492" t="s">
        <v>18</v>
      </c>
      <c r="D492">
        <v>0</v>
      </c>
      <c r="E492" t="s">
        <v>10</v>
      </c>
      <c r="F492" t="s">
        <v>36</v>
      </c>
      <c r="G492" t="s">
        <v>37</v>
      </c>
      <c r="H492">
        <f t="shared" si="7"/>
        <v>0</v>
      </c>
    </row>
    <row r="493" spans="1:8" x14ac:dyDescent="0.3">
      <c r="A493" t="s">
        <v>32</v>
      </c>
      <c r="B493" t="s">
        <v>8</v>
      </c>
      <c r="C493" t="s">
        <v>19</v>
      </c>
      <c r="D493">
        <v>0</v>
      </c>
      <c r="E493" t="s">
        <v>10</v>
      </c>
      <c r="F493" t="s">
        <v>36</v>
      </c>
      <c r="G493" t="s">
        <v>37</v>
      </c>
      <c r="H493">
        <f t="shared" si="7"/>
        <v>0</v>
      </c>
    </row>
    <row r="494" spans="1:8" x14ac:dyDescent="0.3">
      <c r="A494" t="s">
        <v>32</v>
      </c>
      <c r="B494" t="s">
        <v>8</v>
      </c>
      <c r="C494" t="s">
        <v>20</v>
      </c>
      <c r="D494">
        <v>0</v>
      </c>
      <c r="E494" t="s">
        <v>10</v>
      </c>
      <c r="F494" t="s">
        <v>36</v>
      </c>
      <c r="G494" t="s">
        <v>37</v>
      </c>
      <c r="H494">
        <f t="shared" si="7"/>
        <v>0</v>
      </c>
    </row>
    <row r="495" spans="1:8" x14ac:dyDescent="0.3">
      <c r="A495" t="s">
        <v>32</v>
      </c>
      <c r="B495" t="s">
        <v>8</v>
      </c>
      <c r="C495" t="s">
        <v>21</v>
      </c>
      <c r="D495">
        <v>0</v>
      </c>
      <c r="E495" t="s">
        <v>10</v>
      </c>
      <c r="F495" t="s">
        <v>36</v>
      </c>
      <c r="G495" t="s">
        <v>37</v>
      </c>
      <c r="H495">
        <f t="shared" si="7"/>
        <v>0</v>
      </c>
    </row>
    <row r="496" spans="1:8" x14ac:dyDescent="0.3">
      <c r="A496" t="s">
        <v>32</v>
      </c>
      <c r="B496" t="s">
        <v>8</v>
      </c>
      <c r="C496" t="s">
        <v>22</v>
      </c>
      <c r="D496">
        <v>0</v>
      </c>
      <c r="E496" t="s">
        <v>10</v>
      </c>
      <c r="F496" t="s">
        <v>36</v>
      </c>
      <c r="G496" t="s">
        <v>37</v>
      </c>
      <c r="H496">
        <f t="shared" si="7"/>
        <v>0</v>
      </c>
    </row>
    <row r="497" spans="1:8" x14ac:dyDescent="0.3">
      <c r="A497" t="s">
        <v>32</v>
      </c>
      <c r="B497" t="s">
        <v>23</v>
      </c>
      <c r="C497" t="s">
        <v>9</v>
      </c>
      <c r="D497">
        <v>148</v>
      </c>
      <c r="E497" t="s">
        <v>10</v>
      </c>
      <c r="F497" t="s">
        <v>36</v>
      </c>
      <c r="G497" t="s">
        <v>37</v>
      </c>
      <c r="H497">
        <f t="shared" si="7"/>
        <v>148</v>
      </c>
    </row>
    <row r="498" spans="1:8" x14ac:dyDescent="0.3">
      <c r="A498" t="s">
        <v>32</v>
      </c>
      <c r="B498" t="s">
        <v>23</v>
      </c>
      <c r="C498" t="s">
        <v>13</v>
      </c>
      <c r="D498">
        <v>1601</v>
      </c>
      <c r="E498" t="s">
        <v>10</v>
      </c>
      <c r="F498" t="s">
        <v>36</v>
      </c>
      <c r="G498" t="s">
        <v>37</v>
      </c>
      <c r="H498">
        <f t="shared" si="7"/>
        <v>1600</v>
      </c>
    </row>
    <row r="499" spans="1:8" x14ac:dyDescent="0.3">
      <c r="A499" t="s">
        <v>32</v>
      </c>
      <c r="B499" t="s">
        <v>23</v>
      </c>
      <c r="C499" t="s">
        <v>14</v>
      </c>
      <c r="D499">
        <v>112</v>
      </c>
      <c r="E499" t="s">
        <v>10</v>
      </c>
      <c r="F499" t="s">
        <v>36</v>
      </c>
      <c r="G499" t="s">
        <v>37</v>
      </c>
      <c r="H499">
        <f t="shared" si="7"/>
        <v>112</v>
      </c>
    </row>
    <row r="500" spans="1:8" x14ac:dyDescent="0.3">
      <c r="A500" t="s">
        <v>32</v>
      </c>
      <c r="B500" t="s">
        <v>23</v>
      </c>
      <c r="C500" t="s">
        <v>15</v>
      </c>
      <c r="D500">
        <v>781</v>
      </c>
      <c r="E500" t="s">
        <v>10</v>
      </c>
      <c r="F500" t="s">
        <v>36</v>
      </c>
      <c r="G500" t="s">
        <v>37</v>
      </c>
      <c r="H500">
        <f t="shared" si="7"/>
        <v>781</v>
      </c>
    </row>
    <row r="501" spans="1:8" x14ac:dyDescent="0.3">
      <c r="A501" t="s">
        <v>32</v>
      </c>
      <c r="B501" t="s">
        <v>23</v>
      </c>
      <c r="C501" t="s">
        <v>16</v>
      </c>
      <c r="D501">
        <v>529</v>
      </c>
      <c r="E501" t="s">
        <v>10</v>
      </c>
      <c r="F501" t="s">
        <v>36</v>
      </c>
      <c r="G501" t="s">
        <v>37</v>
      </c>
      <c r="H501">
        <f t="shared" si="7"/>
        <v>529</v>
      </c>
    </row>
    <row r="502" spans="1:8" x14ac:dyDescent="0.3">
      <c r="A502" t="s">
        <v>32</v>
      </c>
      <c r="B502" t="s">
        <v>23</v>
      </c>
      <c r="C502" t="s">
        <v>17</v>
      </c>
      <c r="D502">
        <v>5</v>
      </c>
      <c r="E502" t="s">
        <v>10</v>
      </c>
      <c r="F502" t="s">
        <v>36</v>
      </c>
      <c r="G502" t="s">
        <v>37</v>
      </c>
      <c r="H502">
        <f t="shared" si="7"/>
        <v>5</v>
      </c>
    </row>
    <row r="503" spans="1:8" x14ac:dyDescent="0.3">
      <c r="A503" t="s">
        <v>32</v>
      </c>
      <c r="B503" t="s">
        <v>23</v>
      </c>
      <c r="C503" t="s">
        <v>18</v>
      </c>
      <c r="D503">
        <v>0</v>
      </c>
      <c r="E503" t="s">
        <v>10</v>
      </c>
      <c r="F503" t="s">
        <v>36</v>
      </c>
      <c r="G503" t="s">
        <v>37</v>
      </c>
      <c r="H503">
        <f t="shared" si="7"/>
        <v>0</v>
      </c>
    </row>
    <row r="504" spans="1:8" x14ac:dyDescent="0.3">
      <c r="A504" t="s">
        <v>32</v>
      </c>
      <c r="B504" t="s">
        <v>23</v>
      </c>
      <c r="C504" t="s">
        <v>19</v>
      </c>
      <c r="D504">
        <v>254</v>
      </c>
      <c r="E504" t="s">
        <v>10</v>
      </c>
      <c r="F504" t="s">
        <v>36</v>
      </c>
      <c r="G504" t="s">
        <v>37</v>
      </c>
      <c r="H504">
        <f t="shared" si="7"/>
        <v>254</v>
      </c>
    </row>
    <row r="505" spans="1:8" x14ac:dyDescent="0.3">
      <c r="A505" t="s">
        <v>32</v>
      </c>
      <c r="B505" t="s">
        <v>23</v>
      </c>
      <c r="C505" t="s">
        <v>20</v>
      </c>
      <c r="D505">
        <v>480</v>
      </c>
      <c r="E505" t="s">
        <v>10</v>
      </c>
      <c r="F505" t="s">
        <v>36</v>
      </c>
      <c r="G505" t="s">
        <v>37</v>
      </c>
      <c r="H505">
        <f t="shared" si="7"/>
        <v>480</v>
      </c>
    </row>
    <row r="506" spans="1:8" x14ac:dyDescent="0.3">
      <c r="A506" t="s">
        <v>32</v>
      </c>
      <c r="B506" t="s">
        <v>23</v>
      </c>
      <c r="C506" t="s">
        <v>21</v>
      </c>
      <c r="D506">
        <v>37</v>
      </c>
      <c r="E506" t="s">
        <v>10</v>
      </c>
      <c r="F506" t="s">
        <v>36</v>
      </c>
      <c r="G506" t="s">
        <v>37</v>
      </c>
      <c r="H506">
        <f t="shared" si="7"/>
        <v>37</v>
      </c>
    </row>
    <row r="507" spans="1:8" x14ac:dyDescent="0.3">
      <c r="A507" t="s">
        <v>32</v>
      </c>
      <c r="B507" t="s">
        <v>23</v>
      </c>
      <c r="C507" t="s">
        <v>22</v>
      </c>
      <c r="D507">
        <v>48222</v>
      </c>
      <c r="E507" t="s">
        <v>10</v>
      </c>
      <c r="F507" t="s">
        <v>36</v>
      </c>
      <c r="G507" t="s">
        <v>37</v>
      </c>
      <c r="H507">
        <f t="shared" si="7"/>
        <v>48200</v>
      </c>
    </row>
    <row r="508" spans="1:8" x14ac:dyDescent="0.3">
      <c r="A508" t="s">
        <v>33</v>
      </c>
      <c r="B508" t="s">
        <v>8</v>
      </c>
      <c r="C508" t="s">
        <v>9</v>
      </c>
      <c r="D508">
        <v>0</v>
      </c>
      <c r="E508" t="s">
        <v>10</v>
      </c>
      <c r="F508" t="s">
        <v>36</v>
      </c>
      <c r="G508" t="s">
        <v>37</v>
      </c>
      <c r="H508">
        <f t="shared" si="7"/>
        <v>0</v>
      </c>
    </row>
    <row r="509" spans="1:8" x14ac:dyDescent="0.3">
      <c r="A509" t="s">
        <v>33</v>
      </c>
      <c r="B509" t="s">
        <v>8</v>
      </c>
      <c r="C509" t="s">
        <v>13</v>
      </c>
      <c r="D509">
        <v>0</v>
      </c>
      <c r="E509" t="s">
        <v>10</v>
      </c>
      <c r="F509" t="s">
        <v>36</v>
      </c>
      <c r="G509" t="s">
        <v>37</v>
      </c>
      <c r="H509">
        <f t="shared" si="7"/>
        <v>0</v>
      </c>
    </row>
    <row r="510" spans="1:8" x14ac:dyDescent="0.3">
      <c r="A510" t="s">
        <v>33</v>
      </c>
      <c r="B510" t="s">
        <v>8</v>
      </c>
      <c r="C510" t="s">
        <v>14</v>
      </c>
      <c r="D510">
        <v>0</v>
      </c>
      <c r="E510" t="s">
        <v>10</v>
      </c>
      <c r="F510" t="s">
        <v>36</v>
      </c>
      <c r="G510" t="s">
        <v>37</v>
      </c>
      <c r="H510">
        <f t="shared" si="7"/>
        <v>0</v>
      </c>
    </row>
    <row r="511" spans="1:8" x14ac:dyDescent="0.3">
      <c r="A511" t="s">
        <v>33</v>
      </c>
      <c r="B511" t="s">
        <v>8</v>
      </c>
      <c r="C511" t="s">
        <v>15</v>
      </c>
      <c r="D511">
        <v>0</v>
      </c>
      <c r="E511" t="s">
        <v>10</v>
      </c>
      <c r="F511" t="s">
        <v>36</v>
      </c>
      <c r="G511" t="s">
        <v>37</v>
      </c>
      <c r="H511">
        <f t="shared" si="7"/>
        <v>0</v>
      </c>
    </row>
    <row r="512" spans="1:8" x14ac:dyDescent="0.3">
      <c r="A512" t="s">
        <v>33</v>
      </c>
      <c r="B512" t="s">
        <v>8</v>
      </c>
      <c r="C512" t="s">
        <v>16</v>
      </c>
      <c r="D512">
        <v>0</v>
      </c>
      <c r="E512" t="s">
        <v>10</v>
      </c>
      <c r="F512" t="s">
        <v>36</v>
      </c>
      <c r="G512" t="s">
        <v>37</v>
      </c>
      <c r="H512">
        <f t="shared" si="7"/>
        <v>0</v>
      </c>
    </row>
    <row r="513" spans="1:8" x14ac:dyDescent="0.3">
      <c r="A513" t="s">
        <v>33</v>
      </c>
      <c r="B513" t="s">
        <v>8</v>
      </c>
      <c r="C513" t="s">
        <v>17</v>
      </c>
      <c r="D513">
        <v>0</v>
      </c>
      <c r="E513" t="s">
        <v>10</v>
      </c>
      <c r="F513" t="s">
        <v>36</v>
      </c>
      <c r="G513" t="s">
        <v>37</v>
      </c>
      <c r="H513">
        <f t="shared" si="7"/>
        <v>0</v>
      </c>
    </row>
    <row r="514" spans="1:8" x14ac:dyDescent="0.3">
      <c r="A514" t="s">
        <v>33</v>
      </c>
      <c r="B514" t="s">
        <v>8</v>
      </c>
      <c r="C514" t="s">
        <v>18</v>
      </c>
      <c r="D514">
        <v>0</v>
      </c>
      <c r="E514" t="s">
        <v>10</v>
      </c>
      <c r="F514" t="s">
        <v>36</v>
      </c>
      <c r="G514" t="s">
        <v>37</v>
      </c>
      <c r="H514">
        <f t="shared" si="7"/>
        <v>0</v>
      </c>
    </row>
    <row r="515" spans="1:8" x14ac:dyDescent="0.3">
      <c r="A515" t="s">
        <v>33</v>
      </c>
      <c r="B515" t="s">
        <v>8</v>
      </c>
      <c r="C515" t="s">
        <v>19</v>
      </c>
      <c r="D515">
        <v>0</v>
      </c>
      <c r="E515" t="s">
        <v>10</v>
      </c>
      <c r="F515" t="s">
        <v>36</v>
      </c>
      <c r="G515" t="s">
        <v>37</v>
      </c>
      <c r="H515">
        <f t="shared" ref="H515:H578" si="8">ROUND(D515, 3 - LEN(INT(ABS(D515))))</f>
        <v>0</v>
      </c>
    </row>
    <row r="516" spans="1:8" x14ac:dyDescent="0.3">
      <c r="A516" t="s">
        <v>33</v>
      </c>
      <c r="B516" t="s">
        <v>8</v>
      </c>
      <c r="C516" t="s">
        <v>20</v>
      </c>
      <c r="D516">
        <v>0</v>
      </c>
      <c r="E516" t="s">
        <v>10</v>
      </c>
      <c r="F516" t="s">
        <v>36</v>
      </c>
      <c r="G516" t="s">
        <v>37</v>
      </c>
      <c r="H516">
        <f t="shared" si="8"/>
        <v>0</v>
      </c>
    </row>
    <row r="517" spans="1:8" x14ac:dyDescent="0.3">
      <c r="A517" t="s">
        <v>33</v>
      </c>
      <c r="B517" t="s">
        <v>8</v>
      </c>
      <c r="C517" t="s">
        <v>21</v>
      </c>
      <c r="D517">
        <v>0</v>
      </c>
      <c r="E517" t="s">
        <v>10</v>
      </c>
      <c r="F517" t="s">
        <v>36</v>
      </c>
      <c r="G517" t="s">
        <v>37</v>
      </c>
      <c r="H517">
        <f t="shared" si="8"/>
        <v>0</v>
      </c>
    </row>
    <row r="518" spans="1:8" x14ac:dyDescent="0.3">
      <c r="A518" t="s">
        <v>33</v>
      </c>
      <c r="B518" t="s">
        <v>8</v>
      </c>
      <c r="C518" t="s">
        <v>22</v>
      </c>
      <c r="D518">
        <v>0</v>
      </c>
      <c r="E518" t="s">
        <v>10</v>
      </c>
      <c r="F518" t="s">
        <v>36</v>
      </c>
      <c r="G518" t="s">
        <v>37</v>
      </c>
      <c r="H518">
        <f t="shared" si="8"/>
        <v>0</v>
      </c>
    </row>
    <row r="519" spans="1:8" x14ac:dyDescent="0.3">
      <c r="A519" t="s">
        <v>33</v>
      </c>
      <c r="B519" t="s">
        <v>23</v>
      </c>
      <c r="C519" t="s">
        <v>9</v>
      </c>
      <c r="D519">
        <v>830</v>
      </c>
      <c r="E519" t="s">
        <v>10</v>
      </c>
      <c r="F519" t="s">
        <v>36</v>
      </c>
      <c r="G519" t="s">
        <v>37</v>
      </c>
      <c r="H519">
        <f t="shared" si="8"/>
        <v>830</v>
      </c>
    </row>
    <row r="520" spans="1:8" x14ac:dyDescent="0.3">
      <c r="A520" t="s">
        <v>33</v>
      </c>
      <c r="B520" t="s">
        <v>23</v>
      </c>
      <c r="C520" t="s">
        <v>13</v>
      </c>
      <c r="D520">
        <v>128</v>
      </c>
      <c r="E520" t="s">
        <v>10</v>
      </c>
      <c r="F520" t="s">
        <v>36</v>
      </c>
      <c r="G520" t="s">
        <v>37</v>
      </c>
      <c r="H520">
        <f t="shared" si="8"/>
        <v>128</v>
      </c>
    </row>
    <row r="521" spans="1:8" x14ac:dyDescent="0.3">
      <c r="A521" t="s">
        <v>33</v>
      </c>
      <c r="B521" t="s">
        <v>23</v>
      </c>
      <c r="C521" t="s">
        <v>14</v>
      </c>
      <c r="D521">
        <v>33201</v>
      </c>
      <c r="E521" t="s">
        <v>10</v>
      </c>
      <c r="F521" t="s">
        <v>36</v>
      </c>
      <c r="G521" t="s">
        <v>37</v>
      </c>
      <c r="H521">
        <f t="shared" si="8"/>
        <v>33200</v>
      </c>
    </row>
    <row r="522" spans="1:8" x14ac:dyDescent="0.3">
      <c r="A522" t="s">
        <v>33</v>
      </c>
      <c r="B522" t="s">
        <v>23</v>
      </c>
      <c r="C522" t="s">
        <v>15</v>
      </c>
      <c r="D522">
        <v>380</v>
      </c>
      <c r="E522" t="s">
        <v>10</v>
      </c>
      <c r="F522" t="s">
        <v>36</v>
      </c>
      <c r="G522" t="s">
        <v>37</v>
      </c>
      <c r="H522">
        <f t="shared" si="8"/>
        <v>380</v>
      </c>
    </row>
    <row r="523" spans="1:8" x14ac:dyDescent="0.3">
      <c r="A523" t="s">
        <v>33</v>
      </c>
      <c r="B523" t="s">
        <v>23</v>
      </c>
      <c r="C523" t="s">
        <v>16</v>
      </c>
      <c r="D523">
        <v>2305207</v>
      </c>
      <c r="E523" t="s">
        <v>10</v>
      </c>
      <c r="F523" t="s">
        <v>36</v>
      </c>
      <c r="G523" t="s">
        <v>37</v>
      </c>
      <c r="H523">
        <f t="shared" si="8"/>
        <v>2310000</v>
      </c>
    </row>
    <row r="524" spans="1:8" x14ac:dyDescent="0.3">
      <c r="A524" t="s">
        <v>33</v>
      </c>
      <c r="B524" t="s">
        <v>23</v>
      </c>
      <c r="C524" t="s">
        <v>17</v>
      </c>
      <c r="D524">
        <v>72301</v>
      </c>
      <c r="E524" t="s">
        <v>10</v>
      </c>
      <c r="F524" t="s">
        <v>36</v>
      </c>
      <c r="G524" t="s">
        <v>37</v>
      </c>
      <c r="H524">
        <f t="shared" si="8"/>
        <v>72300</v>
      </c>
    </row>
    <row r="525" spans="1:8" x14ac:dyDescent="0.3">
      <c r="A525" t="s">
        <v>33</v>
      </c>
      <c r="B525" t="s">
        <v>23</v>
      </c>
      <c r="C525" t="s">
        <v>18</v>
      </c>
      <c r="D525">
        <v>0</v>
      </c>
      <c r="E525" t="s">
        <v>10</v>
      </c>
      <c r="F525" t="s">
        <v>36</v>
      </c>
      <c r="G525" t="s">
        <v>37</v>
      </c>
      <c r="H525">
        <f t="shared" si="8"/>
        <v>0</v>
      </c>
    </row>
    <row r="526" spans="1:8" x14ac:dyDescent="0.3">
      <c r="A526" t="s">
        <v>33</v>
      </c>
      <c r="B526" t="s">
        <v>23</v>
      </c>
      <c r="C526" t="s">
        <v>19</v>
      </c>
      <c r="D526">
        <v>52</v>
      </c>
      <c r="E526" t="s">
        <v>10</v>
      </c>
      <c r="F526" t="s">
        <v>36</v>
      </c>
      <c r="G526" t="s">
        <v>37</v>
      </c>
      <c r="H526">
        <f t="shared" si="8"/>
        <v>52</v>
      </c>
    </row>
    <row r="527" spans="1:8" x14ac:dyDescent="0.3">
      <c r="A527" t="s">
        <v>33</v>
      </c>
      <c r="B527" t="s">
        <v>23</v>
      </c>
      <c r="C527" t="s">
        <v>20</v>
      </c>
      <c r="D527">
        <v>2088</v>
      </c>
      <c r="E527" t="s">
        <v>10</v>
      </c>
      <c r="F527" t="s">
        <v>36</v>
      </c>
      <c r="G527" t="s">
        <v>37</v>
      </c>
      <c r="H527">
        <f t="shared" si="8"/>
        <v>2090</v>
      </c>
    </row>
    <row r="528" spans="1:8" x14ac:dyDescent="0.3">
      <c r="A528" t="s">
        <v>33</v>
      </c>
      <c r="B528" t="s">
        <v>23</v>
      </c>
      <c r="C528" t="s">
        <v>21</v>
      </c>
      <c r="D528">
        <v>569</v>
      </c>
      <c r="E528" t="s">
        <v>10</v>
      </c>
      <c r="F528" t="s">
        <v>36</v>
      </c>
      <c r="G528" t="s">
        <v>37</v>
      </c>
      <c r="H528">
        <f t="shared" si="8"/>
        <v>569</v>
      </c>
    </row>
    <row r="529" spans="1:8" x14ac:dyDescent="0.3">
      <c r="A529" t="s">
        <v>33</v>
      </c>
      <c r="B529" t="s">
        <v>23</v>
      </c>
      <c r="C529" t="s">
        <v>22</v>
      </c>
      <c r="D529">
        <v>497</v>
      </c>
      <c r="E529" t="s">
        <v>10</v>
      </c>
      <c r="F529" t="s">
        <v>36</v>
      </c>
      <c r="G529" t="s">
        <v>37</v>
      </c>
      <c r="H529">
        <f t="shared" si="8"/>
        <v>497</v>
      </c>
    </row>
    <row r="530" spans="1:8" x14ac:dyDescent="0.3">
      <c r="A530" t="s">
        <v>34</v>
      </c>
      <c r="B530" t="s">
        <v>8</v>
      </c>
      <c r="C530" t="s">
        <v>9</v>
      </c>
      <c r="D530">
        <v>0</v>
      </c>
      <c r="E530" t="s">
        <v>10</v>
      </c>
      <c r="F530" t="s">
        <v>36</v>
      </c>
      <c r="G530" t="s">
        <v>37</v>
      </c>
      <c r="H530">
        <f t="shared" si="8"/>
        <v>0</v>
      </c>
    </row>
    <row r="531" spans="1:8" x14ac:dyDescent="0.3">
      <c r="A531" t="s">
        <v>34</v>
      </c>
      <c r="B531" t="s">
        <v>8</v>
      </c>
      <c r="C531" t="s">
        <v>13</v>
      </c>
      <c r="D531">
        <v>0</v>
      </c>
      <c r="E531" t="s">
        <v>10</v>
      </c>
      <c r="F531" t="s">
        <v>36</v>
      </c>
      <c r="G531" t="s">
        <v>37</v>
      </c>
      <c r="H531">
        <f t="shared" si="8"/>
        <v>0</v>
      </c>
    </row>
    <row r="532" spans="1:8" x14ac:dyDescent="0.3">
      <c r="A532" t="s">
        <v>34</v>
      </c>
      <c r="B532" t="s">
        <v>8</v>
      </c>
      <c r="C532" t="s">
        <v>14</v>
      </c>
      <c r="D532">
        <v>0</v>
      </c>
      <c r="E532" t="s">
        <v>10</v>
      </c>
      <c r="F532" t="s">
        <v>36</v>
      </c>
      <c r="G532" t="s">
        <v>37</v>
      </c>
      <c r="H532">
        <f t="shared" si="8"/>
        <v>0</v>
      </c>
    </row>
    <row r="533" spans="1:8" x14ac:dyDescent="0.3">
      <c r="A533" t="s">
        <v>34</v>
      </c>
      <c r="B533" t="s">
        <v>8</v>
      </c>
      <c r="C533" t="s">
        <v>15</v>
      </c>
      <c r="D533">
        <v>0</v>
      </c>
      <c r="E533" t="s">
        <v>10</v>
      </c>
      <c r="F533" t="s">
        <v>36</v>
      </c>
      <c r="G533" t="s">
        <v>37</v>
      </c>
      <c r="H533">
        <f t="shared" si="8"/>
        <v>0</v>
      </c>
    </row>
    <row r="534" spans="1:8" x14ac:dyDescent="0.3">
      <c r="A534" t="s">
        <v>34</v>
      </c>
      <c r="B534" t="s">
        <v>8</v>
      </c>
      <c r="C534" t="s">
        <v>16</v>
      </c>
      <c r="D534">
        <v>0</v>
      </c>
      <c r="E534" t="s">
        <v>10</v>
      </c>
      <c r="F534" t="s">
        <v>36</v>
      </c>
      <c r="G534" t="s">
        <v>37</v>
      </c>
      <c r="H534">
        <f t="shared" si="8"/>
        <v>0</v>
      </c>
    </row>
    <row r="535" spans="1:8" x14ac:dyDescent="0.3">
      <c r="A535" t="s">
        <v>34</v>
      </c>
      <c r="B535" t="s">
        <v>8</v>
      </c>
      <c r="C535" t="s">
        <v>17</v>
      </c>
      <c r="D535">
        <v>0</v>
      </c>
      <c r="E535" t="s">
        <v>10</v>
      </c>
      <c r="F535" t="s">
        <v>36</v>
      </c>
      <c r="G535" t="s">
        <v>37</v>
      </c>
      <c r="H535">
        <f t="shared" si="8"/>
        <v>0</v>
      </c>
    </row>
    <row r="536" spans="1:8" x14ac:dyDescent="0.3">
      <c r="A536" t="s">
        <v>34</v>
      </c>
      <c r="B536" t="s">
        <v>8</v>
      </c>
      <c r="C536" t="s">
        <v>18</v>
      </c>
      <c r="D536">
        <v>0</v>
      </c>
      <c r="E536" t="s">
        <v>10</v>
      </c>
      <c r="F536" t="s">
        <v>36</v>
      </c>
      <c r="G536" t="s">
        <v>37</v>
      </c>
      <c r="H536">
        <f t="shared" si="8"/>
        <v>0</v>
      </c>
    </row>
    <row r="537" spans="1:8" x14ac:dyDescent="0.3">
      <c r="A537" t="s">
        <v>34</v>
      </c>
      <c r="B537" t="s">
        <v>8</v>
      </c>
      <c r="C537" t="s">
        <v>19</v>
      </c>
      <c r="D537">
        <v>0</v>
      </c>
      <c r="E537" t="s">
        <v>10</v>
      </c>
      <c r="F537" t="s">
        <v>36</v>
      </c>
      <c r="G537" t="s">
        <v>37</v>
      </c>
      <c r="H537">
        <f t="shared" si="8"/>
        <v>0</v>
      </c>
    </row>
    <row r="538" spans="1:8" x14ac:dyDescent="0.3">
      <c r="A538" t="s">
        <v>34</v>
      </c>
      <c r="B538" t="s">
        <v>8</v>
      </c>
      <c r="C538" t="s">
        <v>20</v>
      </c>
      <c r="D538">
        <v>0</v>
      </c>
      <c r="E538" t="s">
        <v>10</v>
      </c>
      <c r="F538" t="s">
        <v>36</v>
      </c>
      <c r="G538" t="s">
        <v>37</v>
      </c>
      <c r="H538">
        <f t="shared" si="8"/>
        <v>0</v>
      </c>
    </row>
    <row r="539" spans="1:8" x14ac:dyDescent="0.3">
      <c r="A539" t="s">
        <v>34</v>
      </c>
      <c r="B539" t="s">
        <v>8</v>
      </c>
      <c r="C539" t="s">
        <v>21</v>
      </c>
      <c r="D539">
        <v>0</v>
      </c>
      <c r="E539" t="s">
        <v>10</v>
      </c>
      <c r="F539" t="s">
        <v>36</v>
      </c>
      <c r="G539" t="s">
        <v>37</v>
      </c>
      <c r="H539">
        <f t="shared" si="8"/>
        <v>0</v>
      </c>
    </row>
    <row r="540" spans="1:8" x14ac:dyDescent="0.3">
      <c r="A540" t="s">
        <v>34</v>
      </c>
      <c r="B540" t="s">
        <v>8</v>
      </c>
      <c r="C540" t="s">
        <v>22</v>
      </c>
      <c r="D540">
        <v>0</v>
      </c>
      <c r="E540" t="s">
        <v>10</v>
      </c>
      <c r="F540" t="s">
        <v>36</v>
      </c>
      <c r="G540" t="s">
        <v>37</v>
      </c>
      <c r="H540">
        <f t="shared" si="8"/>
        <v>0</v>
      </c>
    </row>
    <row r="541" spans="1:8" x14ac:dyDescent="0.3">
      <c r="A541" t="s">
        <v>34</v>
      </c>
      <c r="B541" t="s">
        <v>23</v>
      </c>
      <c r="C541" t="s">
        <v>9</v>
      </c>
      <c r="D541">
        <v>370</v>
      </c>
      <c r="E541" t="s">
        <v>10</v>
      </c>
      <c r="F541" t="s">
        <v>36</v>
      </c>
      <c r="G541" t="s">
        <v>37</v>
      </c>
      <c r="H541">
        <f t="shared" si="8"/>
        <v>370</v>
      </c>
    </row>
    <row r="542" spans="1:8" x14ac:dyDescent="0.3">
      <c r="A542" t="s">
        <v>34</v>
      </c>
      <c r="B542" t="s">
        <v>23</v>
      </c>
      <c r="C542" t="s">
        <v>13</v>
      </c>
      <c r="D542">
        <v>4001</v>
      </c>
      <c r="E542" t="s">
        <v>10</v>
      </c>
      <c r="F542" t="s">
        <v>36</v>
      </c>
      <c r="G542" t="s">
        <v>37</v>
      </c>
      <c r="H542">
        <f t="shared" si="8"/>
        <v>4000</v>
      </c>
    </row>
    <row r="543" spans="1:8" x14ac:dyDescent="0.3">
      <c r="A543" t="s">
        <v>34</v>
      </c>
      <c r="B543" t="s">
        <v>23</v>
      </c>
      <c r="C543" t="s">
        <v>14</v>
      </c>
      <c r="D543">
        <v>280</v>
      </c>
      <c r="E543" t="s">
        <v>10</v>
      </c>
      <c r="F543" t="s">
        <v>36</v>
      </c>
      <c r="G543" t="s">
        <v>37</v>
      </c>
      <c r="H543">
        <f t="shared" si="8"/>
        <v>280</v>
      </c>
    </row>
    <row r="544" spans="1:8" x14ac:dyDescent="0.3">
      <c r="A544" t="s">
        <v>34</v>
      </c>
      <c r="B544" t="s">
        <v>23</v>
      </c>
      <c r="C544" t="s">
        <v>15</v>
      </c>
      <c r="D544">
        <v>1952</v>
      </c>
      <c r="E544" t="s">
        <v>10</v>
      </c>
      <c r="F544" t="s">
        <v>36</v>
      </c>
      <c r="G544" t="s">
        <v>37</v>
      </c>
      <c r="H544">
        <f t="shared" si="8"/>
        <v>1950</v>
      </c>
    </row>
    <row r="545" spans="1:8" x14ac:dyDescent="0.3">
      <c r="A545" t="s">
        <v>34</v>
      </c>
      <c r="B545" t="s">
        <v>23</v>
      </c>
      <c r="C545" t="s">
        <v>16</v>
      </c>
      <c r="D545">
        <v>1322</v>
      </c>
      <c r="E545" t="s">
        <v>10</v>
      </c>
      <c r="F545" t="s">
        <v>36</v>
      </c>
      <c r="G545" t="s">
        <v>37</v>
      </c>
      <c r="H545">
        <f t="shared" si="8"/>
        <v>1320</v>
      </c>
    </row>
    <row r="546" spans="1:8" x14ac:dyDescent="0.3">
      <c r="A546" t="s">
        <v>34</v>
      </c>
      <c r="B546" t="s">
        <v>23</v>
      </c>
      <c r="C546" t="s">
        <v>17</v>
      </c>
      <c r="D546">
        <v>13</v>
      </c>
      <c r="E546" t="s">
        <v>10</v>
      </c>
      <c r="F546" t="s">
        <v>36</v>
      </c>
      <c r="G546" t="s">
        <v>37</v>
      </c>
      <c r="H546">
        <f t="shared" si="8"/>
        <v>13</v>
      </c>
    </row>
    <row r="547" spans="1:8" x14ac:dyDescent="0.3">
      <c r="A547" t="s">
        <v>34</v>
      </c>
      <c r="B547" t="s">
        <v>23</v>
      </c>
      <c r="C547" t="s">
        <v>18</v>
      </c>
      <c r="D547">
        <v>0</v>
      </c>
      <c r="E547" t="s">
        <v>10</v>
      </c>
      <c r="F547" t="s">
        <v>36</v>
      </c>
      <c r="G547" t="s">
        <v>37</v>
      </c>
      <c r="H547">
        <f t="shared" si="8"/>
        <v>0</v>
      </c>
    </row>
    <row r="548" spans="1:8" x14ac:dyDescent="0.3">
      <c r="A548" t="s">
        <v>34</v>
      </c>
      <c r="B548" t="s">
        <v>23</v>
      </c>
      <c r="C548" t="s">
        <v>19</v>
      </c>
      <c r="D548">
        <v>636</v>
      </c>
      <c r="E548" t="s">
        <v>10</v>
      </c>
      <c r="F548" t="s">
        <v>36</v>
      </c>
      <c r="G548" t="s">
        <v>37</v>
      </c>
      <c r="H548">
        <f t="shared" si="8"/>
        <v>636</v>
      </c>
    </row>
    <row r="549" spans="1:8" x14ac:dyDescent="0.3">
      <c r="A549" t="s">
        <v>34</v>
      </c>
      <c r="B549" t="s">
        <v>23</v>
      </c>
      <c r="C549" t="s">
        <v>20</v>
      </c>
      <c r="D549">
        <v>1201</v>
      </c>
      <c r="E549" t="s">
        <v>10</v>
      </c>
      <c r="F549" t="s">
        <v>36</v>
      </c>
      <c r="G549" t="s">
        <v>37</v>
      </c>
      <c r="H549">
        <f t="shared" si="8"/>
        <v>1200</v>
      </c>
    </row>
    <row r="550" spans="1:8" x14ac:dyDescent="0.3">
      <c r="A550" t="s">
        <v>34</v>
      </c>
      <c r="B550" t="s">
        <v>23</v>
      </c>
      <c r="C550" t="s">
        <v>21</v>
      </c>
      <c r="D550">
        <v>92</v>
      </c>
      <c r="E550" t="s">
        <v>10</v>
      </c>
      <c r="F550" t="s">
        <v>36</v>
      </c>
      <c r="G550" t="s">
        <v>37</v>
      </c>
      <c r="H550">
        <f t="shared" si="8"/>
        <v>92</v>
      </c>
    </row>
    <row r="551" spans="1:8" x14ac:dyDescent="0.3">
      <c r="A551" t="s">
        <v>34</v>
      </c>
      <c r="B551" t="s">
        <v>23</v>
      </c>
      <c r="C551" t="s">
        <v>22</v>
      </c>
      <c r="D551">
        <v>120556</v>
      </c>
      <c r="E551" t="s">
        <v>10</v>
      </c>
      <c r="F551" t="s">
        <v>36</v>
      </c>
      <c r="G551" t="s">
        <v>37</v>
      </c>
      <c r="H551">
        <f t="shared" si="8"/>
        <v>121000</v>
      </c>
    </row>
    <row r="552" spans="1:8" x14ac:dyDescent="0.3">
      <c r="A552" t="s">
        <v>35</v>
      </c>
      <c r="B552" t="s">
        <v>8</v>
      </c>
      <c r="C552" t="s">
        <v>9</v>
      </c>
      <c r="D552">
        <v>0</v>
      </c>
      <c r="E552" t="s">
        <v>10</v>
      </c>
      <c r="F552" t="s">
        <v>36</v>
      </c>
      <c r="G552" t="s">
        <v>37</v>
      </c>
      <c r="H552">
        <f t="shared" si="8"/>
        <v>0</v>
      </c>
    </row>
    <row r="553" spans="1:8" x14ac:dyDescent="0.3">
      <c r="A553" t="s">
        <v>35</v>
      </c>
      <c r="B553" t="s">
        <v>8</v>
      </c>
      <c r="C553" t="s">
        <v>13</v>
      </c>
      <c r="D553">
        <v>0</v>
      </c>
      <c r="E553" t="s">
        <v>10</v>
      </c>
      <c r="F553" t="s">
        <v>36</v>
      </c>
      <c r="G553" t="s">
        <v>37</v>
      </c>
      <c r="H553">
        <f t="shared" si="8"/>
        <v>0</v>
      </c>
    </row>
    <row r="554" spans="1:8" x14ac:dyDescent="0.3">
      <c r="A554" t="s">
        <v>35</v>
      </c>
      <c r="B554" t="s">
        <v>8</v>
      </c>
      <c r="C554" t="s">
        <v>14</v>
      </c>
      <c r="D554">
        <v>0</v>
      </c>
      <c r="E554" t="s">
        <v>10</v>
      </c>
      <c r="F554" t="s">
        <v>36</v>
      </c>
      <c r="G554" t="s">
        <v>37</v>
      </c>
      <c r="H554">
        <f t="shared" si="8"/>
        <v>0</v>
      </c>
    </row>
    <row r="555" spans="1:8" x14ac:dyDescent="0.3">
      <c r="A555" t="s">
        <v>35</v>
      </c>
      <c r="B555" t="s">
        <v>8</v>
      </c>
      <c r="C555" t="s">
        <v>15</v>
      </c>
      <c r="D555">
        <v>0</v>
      </c>
      <c r="E555" t="s">
        <v>10</v>
      </c>
      <c r="F555" t="s">
        <v>36</v>
      </c>
      <c r="G555" t="s">
        <v>37</v>
      </c>
      <c r="H555">
        <f t="shared" si="8"/>
        <v>0</v>
      </c>
    </row>
    <row r="556" spans="1:8" x14ac:dyDescent="0.3">
      <c r="A556" t="s">
        <v>35</v>
      </c>
      <c r="B556" t="s">
        <v>8</v>
      </c>
      <c r="C556" t="s">
        <v>16</v>
      </c>
      <c r="D556">
        <v>0</v>
      </c>
      <c r="E556" t="s">
        <v>10</v>
      </c>
      <c r="F556" t="s">
        <v>36</v>
      </c>
      <c r="G556" t="s">
        <v>37</v>
      </c>
      <c r="H556">
        <f t="shared" si="8"/>
        <v>0</v>
      </c>
    </row>
    <row r="557" spans="1:8" x14ac:dyDescent="0.3">
      <c r="A557" t="s">
        <v>35</v>
      </c>
      <c r="B557" t="s">
        <v>8</v>
      </c>
      <c r="C557" t="s">
        <v>17</v>
      </c>
      <c r="D557">
        <v>0</v>
      </c>
      <c r="E557" t="s">
        <v>10</v>
      </c>
      <c r="F557" t="s">
        <v>36</v>
      </c>
      <c r="G557" t="s">
        <v>37</v>
      </c>
      <c r="H557">
        <f t="shared" si="8"/>
        <v>0</v>
      </c>
    </row>
    <row r="558" spans="1:8" x14ac:dyDescent="0.3">
      <c r="A558" t="s">
        <v>35</v>
      </c>
      <c r="B558" t="s">
        <v>8</v>
      </c>
      <c r="C558" t="s">
        <v>18</v>
      </c>
      <c r="D558">
        <v>0</v>
      </c>
      <c r="E558" t="s">
        <v>10</v>
      </c>
      <c r="F558" t="s">
        <v>36</v>
      </c>
      <c r="G558" t="s">
        <v>37</v>
      </c>
      <c r="H558">
        <f t="shared" si="8"/>
        <v>0</v>
      </c>
    </row>
    <row r="559" spans="1:8" x14ac:dyDescent="0.3">
      <c r="A559" t="s">
        <v>35</v>
      </c>
      <c r="B559" t="s">
        <v>8</v>
      </c>
      <c r="C559" t="s">
        <v>19</v>
      </c>
      <c r="D559">
        <v>0</v>
      </c>
      <c r="E559" t="s">
        <v>10</v>
      </c>
      <c r="F559" t="s">
        <v>36</v>
      </c>
      <c r="G559" t="s">
        <v>37</v>
      </c>
      <c r="H559">
        <f t="shared" si="8"/>
        <v>0</v>
      </c>
    </row>
    <row r="560" spans="1:8" x14ac:dyDescent="0.3">
      <c r="A560" t="s">
        <v>35</v>
      </c>
      <c r="B560" t="s">
        <v>8</v>
      </c>
      <c r="C560" t="s">
        <v>20</v>
      </c>
      <c r="D560">
        <v>0</v>
      </c>
      <c r="E560" t="s">
        <v>10</v>
      </c>
      <c r="F560" t="s">
        <v>36</v>
      </c>
      <c r="G560" t="s">
        <v>37</v>
      </c>
      <c r="H560">
        <f t="shared" si="8"/>
        <v>0</v>
      </c>
    </row>
    <row r="561" spans="1:8" x14ac:dyDescent="0.3">
      <c r="A561" t="s">
        <v>35</v>
      </c>
      <c r="B561" t="s">
        <v>8</v>
      </c>
      <c r="C561" t="s">
        <v>21</v>
      </c>
      <c r="D561">
        <v>0</v>
      </c>
      <c r="E561" t="s">
        <v>10</v>
      </c>
      <c r="F561" t="s">
        <v>36</v>
      </c>
      <c r="G561" t="s">
        <v>37</v>
      </c>
      <c r="H561">
        <f t="shared" si="8"/>
        <v>0</v>
      </c>
    </row>
    <row r="562" spans="1:8" x14ac:dyDescent="0.3">
      <c r="A562" t="s">
        <v>35</v>
      </c>
      <c r="B562" t="s">
        <v>8</v>
      </c>
      <c r="C562" t="s">
        <v>22</v>
      </c>
      <c r="D562">
        <v>0</v>
      </c>
      <c r="E562" t="s">
        <v>10</v>
      </c>
      <c r="F562" t="s">
        <v>36</v>
      </c>
      <c r="G562" t="s">
        <v>37</v>
      </c>
      <c r="H562">
        <f t="shared" si="8"/>
        <v>0</v>
      </c>
    </row>
    <row r="563" spans="1:8" x14ac:dyDescent="0.3">
      <c r="A563" t="s">
        <v>35</v>
      </c>
      <c r="B563" t="s">
        <v>23</v>
      </c>
      <c r="C563" t="s">
        <v>9</v>
      </c>
      <c r="D563">
        <v>155</v>
      </c>
      <c r="E563" t="s">
        <v>10</v>
      </c>
      <c r="F563" t="s">
        <v>36</v>
      </c>
      <c r="G563" t="s">
        <v>37</v>
      </c>
      <c r="H563">
        <f t="shared" si="8"/>
        <v>155</v>
      </c>
    </row>
    <row r="564" spans="1:8" x14ac:dyDescent="0.3">
      <c r="A564" t="s">
        <v>35</v>
      </c>
      <c r="B564" t="s">
        <v>23</v>
      </c>
      <c r="C564" t="s">
        <v>13</v>
      </c>
      <c r="D564">
        <v>1674</v>
      </c>
      <c r="E564" t="s">
        <v>10</v>
      </c>
      <c r="F564" t="s">
        <v>36</v>
      </c>
      <c r="G564" t="s">
        <v>37</v>
      </c>
      <c r="H564">
        <f t="shared" si="8"/>
        <v>1670</v>
      </c>
    </row>
    <row r="565" spans="1:8" x14ac:dyDescent="0.3">
      <c r="A565" t="s">
        <v>35</v>
      </c>
      <c r="B565" t="s">
        <v>23</v>
      </c>
      <c r="C565" t="s">
        <v>14</v>
      </c>
      <c r="D565">
        <v>117</v>
      </c>
      <c r="E565" t="s">
        <v>10</v>
      </c>
      <c r="F565" t="s">
        <v>36</v>
      </c>
      <c r="G565" t="s">
        <v>37</v>
      </c>
      <c r="H565">
        <f t="shared" si="8"/>
        <v>117</v>
      </c>
    </row>
    <row r="566" spans="1:8" x14ac:dyDescent="0.3">
      <c r="A566" t="s">
        <v>35</v>
      </c>
      <c r="B566" t="s">
        <v>23</v>
      </c>
      <c r="C566" t="s">
        <v>15</v>
      </c>
      <c r="D566">
        <v>817</v>
      </c>
      <c r="E566" t="s">
        <v>10</v>
      </c>
      <c r="F566" t="s">
        <v>36</v>
      </c>
      <c r="G566" t="s">
        <v>37</v>
      </c>
      <c r="H566">
        <f t="shared" si="8"/>
        <v>817</v>
      </c>
    </row>
    <row r="567" spans="1:8" x14ac:dyDescent="0.3">
      <c r="A567" t="s">
        <v>35</v>
      </c>
      <c r="B567" t="s">
        <v>23</v>
      </c>
      <c r="C567" t="s">
        <v>16</v>
      </c>
      <c r="D567">
        <v>553</v>
      </c>
      <c r="E567" t="s">
        <v>10</v>
      </c>
      <c r="F567" t="s">
        <v>36</v>
      </c>
      <c r="G567" t="s">
        <v>37</v>
      </c>
      <c r="H567">
        <f t="shared" si="8"/>
        <v>553</v>
      </c>
    </row>
    <row r="568" spans="1:8" x14ac:dyDescent="0.3">
      <c r="A568" t="s">
        <v>35</v>
      </c>
      <c r="B568" t="s">
        <v>23</v>
      </c>
      <c r="C568" t="s">
        <v>17</v>
      </c>
      <c r="D568">
        <v>5</v>
      </c>
      <c r="E568" t="s">
        <v>10</v>
      </c>
      <c r="F568" t="s">
        <v>36</v>
      </c>
      <c r="G568" t="s">
        <v>37</v>
      </c>
      <c r="H568">
        <f t="shared" si="8"/>
        <v>5</v>
      </c>
    </row>
    <row r="569" spans="1:8" x14ac:dyDescent="0.3">
      <c r="A569" t="s">
        <v>35</v>
      </c>
      <c r="B569" t="s">
        <v>23</v>
      </c>
      <c r="C569" t="s">
        <v>18</v>
      </c>
      <c r="D569">
        <v>0</v>
      </c>
      <c r="E569" t="s">
        <v>10</v>
      </c>
      <c r="F569" t="s">
        <v>36</v>
      </c>
      <c r="G569" t="s">
        <v>37</v>
      </c>
      <c r="H569">
        <f t="shared" si="8"/>
        <v>0</v>
      </c>
    </row>
    <row r="570" spans="1:8" x14ac:dyDescent="0.3">
      <c r="A570" t="s">
        <v>35</v>
      </c>
      <c r="B570" t="s">
        <v>23</v>
      </c>
      <c r="C570" t="s">
        <v>19</v>
      </c>
      <c r="D570">
        <v>266</v>
      </c>
      <c r="E570" t="s">
        <v>10</v>
      </c>
      <c r="F570" t="s">
        <v>36</v>
      </c>
      <c r="G570" t="s">
        <v>37</v>
      </c>
      <c r="H570">
        <f t="shared" si="8"/>
        <v>266</v>
      </c>
    </row>
    <row r="571" spans="1:8" x14ac:dyDescent="0.3">
      <c r="A571" t="s">
        <v>35</v>
      </c>
      <c r="B571" t="s">
        <v>23</v>
      </c>
      <c r="C571" t="s">
        <v>20</v>
      </c>
      <c r="D571">
        <v>503</v>
      </c>
      <c r="E571" t="s">
        <v>10</v>
      </c>
      <c r="F571" t="s">
        <v>36</v>
      </c>
      <c r="G571" t="s">
        <v>37</v>
      </c>
      <c r="H571">
        <f t="shared" si="8"/>
        <v>503</v>
      </c>
    </row>
    <row r="572" spans="1:8" x14ac:dyDescent="0.3">
      <c r="A572" t="s">
        <v>35</v>
      </c>
      <c r="B572" t="s">
        <v>23</v>
      </c>
      <c r="C572" t="s">
        <v>21</v>
      </c>
      <c r="D572">
        <v>38</v>
      </c>
      <c r="E572" t="s">
        <v>10</v>
      </c>
      <c r="F572" t="s">
        <v>36</v>
      </c>
      <c r="G572" t="s">
        <v>37</v>
      </c>
      <c r="H572">
        <f t="shared" si="8"/>
        <v>38</v>
      </c>
    </row>
    <row r="573" spans="1:8" x14ac:dyDescent="0.3">
      <c r="A573" t="s">
        <v>35</v>
      </c>
      <c r="B573" t="s">
        <v>23</v>
      </c>
      <c r="C573" t="s">
        <v>22</v>
      </c>
      <c r="D573">
        <v>50448</v>
      </c>
      <c r="E573" t="s">
        <v>10</v>
      </c>
      <c r="F573" t="s">
        <v>36</v>
      </c>
      <c r="G573" t="s">
        <v>37</v>
      </c>
      <c r="H573">
        <f t="shared" si="8"/>
        <v>50400</v>
      </c>
    </row>
    <row r="574" spans="1:8" x14ac:dyDescent="0.3">
      <c r="A574" t="s">
        <v>7</v>
      </c>
      <c r="B574" t="s">
        <v>8</v>
      </c>
      <c r="C574" t="s">
        <v>9</v>
      </c>
      <c r="D574">
        <v>101</v>
      </c>
      <c r="E574" t="s">
        <v>10</v>
      </c>
      <c r="F574" t="s">
        <v>38</v>
      </c>
      <c r="G574" t="s">
        <v>37</v>
      </c>
      <c r="H574">
        <f t="shared" si="8"/>
        <v>101</v>
      </c>
    </row>
    <row r="575" spans="1:8" x14ac:dyDescent="0.3">
      <c r="A575" t="s">
        <v>7</v>
      </c>
      <c r="B575" t="s">
        <v>8</v>
      </c>
      <c r="C575" t="s">
        <v>13</v>
      </c>
      <c r="D575">
        <v>14514</v>
      </c>
      <c r="E575" t="s">
        <v>10</v>
      </c>
      <c r="F575" t="s">
        <v>38</v>
      </c>
      <c r="G575" t="s">
        <v>37</v>
      </c>
      <c r="H575">
        <f t="shared" si="8"/>
        <v>14500</v>
      </c>
    </row>
    <row r="576" spans="1:8" x14ac:dyDescent="0.3">
      <c r="A576" t="s">
        <v>7</v>
      </c>
      <c r="B576" t="s">
        <v>8</v>
      </c>
      <c r="C576" t="s">
        <v>14</v>
      </c>
      <c r="D576">
        <v>614</v>
      </c>
      <c r="E576" t="s">
        <v>10</v>
      </c>
      <c r="F576" t="s">
        <v>38</v>
      </c>
      <c r="G576" t="s">
        <v>37</v>
      </c>
      <c r="H576">
        <f t="shared" si="8"/>
        <v>614</v>
      </c>
    </row>
    <row r="577" spans="1:8" x14ac:dyDescent="0.3">
      <c r="A577" t="s">
        <v>7</v>
      </c>
      <c r="B577" t="s">
        <v>8</v>
      </c>
      <c r="C577" t="s">
        <v>15</v>
      </c>
      <c r="D577">
        <v>30</v>
      </c>
      <c r="E577" t="s">
        <v>10</v>
      </c>
      <c r="F577" t="s">
        <v>38</v>
      </c>
      <c r="G577" t="s">
        <v>37</v>
      </c>
      <c r="H577">
        <f t="shared" si="8"/>
        <v>30</v>
      </c>
    </row>
    <row r="578" spans="1:8" x14ac:dyDescent="0.3">
      <c r="A578" t="s">
        <v>7</v>
      </c>
      <c r="B578" t="s">
        <v>8</v>
      </c>
      <c r="C578" t="s">
        <v>16</v>
      </c>
      <c r="D578">
        <v>309</v>
      </c>
      <c r="E578" t="s">
        <v>10</v>
      </c>
      <c r="F578" t="s">
        <v>38</v>
      </c>
      <c r="G578" t="s">
        <v>37</v>
      </c>
      <c r="H578">
        <f t="shared" si="8"/>
        <v>309</v>
      </c>
    </row>
    <row r="579" spans="1:8" x14ac:dyDescent="0.3">
      <c r="A579" t="s">
        <v>7</v>
      </c>
      <c r="B579" t="s">
        <v>8</v>
      </c>
      <c r="C579" t="s">
        <v>17</v>
      </c>
      <c r="D579">
        <v>117</v>
      </c>
      <c r="E579" t="s">
        <v>10</v>
      </c>
      <c r="F579" t="s">
        <v>38</v>
      </c>
      <c r="G579" t="s">
        <v>37</v>
      </c>
      <c r="H579">
        <f t="shared" ref="H579:H642" si="9">ROUND(D579, 3 - LEN(INT(ABS(D579))))</f>
        <v>117</v>
      </c>
    </row>
    <row r="580" spans="1:8" x14ac:dyDescent="0.3">
      <c r="A580" t="s">
        <v>7</v>
      </c>
      <c r="B580" t="s">
        <v>8</v>
      </c>
      <c r="C580" t="s">
        <v>18</v>
      </c>
      <c r="D580">
        <v>0</v>
      </c>
      <c r="E580" t="s">
        <v>10</v>
      </c>
      <c r="F580" t="s">
        <v>38</v>
      </c>
      <c r="G580" t="s">
        <v>37</v>
      </c>
      <c r="H580">
        <f t="shared" si="9"/>
        <v>0</v>
      </c>
    </row>
    <row r="581" spans="1:8" x14ac:dyDescent="0.3">
      <c r="A581" t="s">
        <v>7</v>
      </c>
      <c r="B581" t="s">
        <v>8</v>
      </c>
      <c r="C581" t="s">
        <v>19</v>
      </c>
      <c r="D581">
        <v>5</v>
      </c>
      <c r="E581" t="s">
        <v>10</v>
      </c>
      <c r="F581" t="s">
        <v>38</v>
      </c>
      <c r="G581" t="s">
        <v>37</v>
      </c>
      <c r="H581">
        <f t="shared" si="9"/>
        <v>5</v>
      </c>
    </row>
    <row r="582" spans="1:8" x14ac:dyDescent="0.3">
      <c r="A582" t="s">
        <v>7</v>
      </c>
      <c r="B582" t="s">
        <v>8</v>
      </c>
      <c r="C582" t="s">
        <v>20</v>
      </c>
      <c r="D582">
        <v>114</v>
      </c>
      <c r="E582" t="s">
        <v>10</v>
      </c>
      <c r="F582" t="s">
        <v>38</v>
      </c>
      <c r="G582" t="s">
        <v>37</v>
      </c>
      <c r="H582">
        <f t="shared" si="9"/>
        <v>114</v>
      </c>
    </row>
    <row r="583" spans="1:8" x14ac:dyDescent="0.3">
      <c r="A583" t="s">
        <v>7</v>
      </c>
      <c r="B583" t="s">
        <v>8</v>
      </c>
      <c r="C583" t="s">
        <v>21</v>
      </c>
      <c r="D583">
        <v>248</v>
      </c>
      <c r="E583" t="s">
        <v>10</v>
      </c>
      <c r="F583" t="s">
        <v>38</v>
      </c>
      <c r="G583" t="s">
        <v>37</v>
      </c>
      <c r="H583">
        <f t="shared" si="9"/>
        <v>248</v>
      </c>
    </row>
    <row r="584" spans="1:8" x14ac:dyDescent="0.3">
      <c r="A584" t="s">
        <v>7</v>
      </c>
      <c r="B584" t="s">
        <v>8</v>
      </c>
      <c r="C584" t="s">
        <v>22</v>
      </c>
      <c r="D584">
        <v>1530818</v>
      </c>
      <c r="E584" t="s">
        <v>10</v>
      </c>
      <c r="F584" t="s">
        <v>38</v>
      </c>
      <c r="G584" t="s">
        <v>37</v>
      </c>
      <c r="H584">
        <f t="shared" si="9"/>
        <v>1530000</v>
      </c>
    </row>
    <row r="585" spans="1:8" x14ac:dyDescent="0.3">
      <c r="A585" t="s">
        <v>7</v>
      </c>
      <c r="B585" t="s">
        <v>23</v>
      </c>
      <c r="C585" t="s">
        <v>9</v>
      </c>
      <c r="D585">
        <v>38101</v>
      </c>
      <c r="E585" t="s">
        <v>10</v>
      </c>
      <c r="F585" t="s">
        <v>38</v>
      </c>
      <c r="G585" t="s">
        <v>37</v>
      </c>
      <c r="H585">
        <f t="shared" si="9"/>
        <v>38100</v>
      </c>
    </row>
    <row r="586" spans="1:8" x14ac:dyDescent="0.3">
      <c r="A586" t="s">
        <v>7</v>
      </c>
      <c r="B586" t="s">
        <v>23</v>
      </c>
      <c r="C586" t="s">
        <v>13</v>
      </c>
      <c r="D586">
        <v>273866</v>
      </c>
      <c r="E586" t="s">
        <v>10</v>
      </c>
      <c r="F586" t="s">
        <v>38</v>
      </c>
      <c r="G586" t="s">
        <v>37</v>
      </c>
      <c r="H586">
        <f t="shared" si="9"/>
        <v>274000</v>
      </c>
    </row>
    <row r="587" spans="1:8" x14ac:dyDescent="0.3">
      <c r="A587" t="s">
        <v>7</v>
      </c>
      <c r="B587" t="s">
        <v>23</v>
      </c>
      <c r="C587" t="s">
        <v>14</v>
      </c>
      <c r="D587">
        <v>264753</v>
      </c>
      <c r="E587" t="s">
        <v>10</v>
      </c>
      <c r="F587" t="s">
        <v>38</v>
      </c>
      <c r="G587" t="s">
        <v>37</v>
      </c>
      <c r="H587">
        <f t="shared" si="9"/>
        <v>265000</v>
      </c>
    </row>
    <row r="588" spans="1:8" x14ac:dyDescent="0.3">
      <c r="A588" t="s">
        <v>7</v>
      </c>
      <c r="B588" t="s">
        <v>23</v>
      </c>
      <c r="C588" t="s">
        <v>15</v>
      </c>
      <c r="D588">
        <v>9834</v>
      </c>
      <c r="E588" t="s">
        <v>10</v>
      </c>
      <c r="F588" t="s">
        <v>38</v>
      </c>
      <c r="G588" t="s">
        <v>37</v>
      </c>
      <c r="H588">
        <f t="shared" si="9"/>
        <v>9830</v>
      </c>
    </row>
    <row r="589" spans="1:8" x14ac:dyDescent="0.3">
      <c r="A589" t="s">
        <v>7</v>
      </c>
      <c r="B589" t="s">
        <v>23</v>
      </c>
      <c r="C589" t="s">
        <v>16</v>
      </c>
      <c r="D589">
        <v>95918</v>
      </c>
      <c r="E589" t="s">
        <v>10</v>
      </c>
      <c r="F589" t="s">
        <v>38</v>
      </c>
      <c r="G589" t="s">
        <v>37</v>
      </c>
      <c r="H589">
        <f t="shared" si="9"/>
        <v>95900</v>
      </c>
    </row>
    <row r="590" spans="1:8" x14ac:dyDescent="0.3">
      <c r="A590" t="s">
        <v>7</v>
      </c>
      <c r="B590" t="s">
        <v>23</v>
      </c>
      <c r="C590" t="s">
        <v>17</v>
      </c>
      <c r="D590">
        <v>7509</v>
      </c>
      <c r="E590" t="s">
        <v>10</v>
      </c>
      <c r="F590" t="s">
        <v>38</v>
      </c>
      <c r="G590" t="s">
        <v>37</v>
      </c>
      <c r="H590">
        <f t="shared" si="9"/>
        <v>7510</v>
      </c>
    </row>
    <row r="591" spans="1:8" x14ac:dyDescent="0.3">
      <c r="A591" t="s">
        <v>7</v>
      </c>
      <c r="B591" t="s">
        <v>23</v>
      </c>
      <c r="C591" t="s">
        <v>18</v>
      </c>
      <c r="D591">
        <v>0</v>
      </c>
      <c r="E591" t="s">
        <v>10</v>
      </c>
      <c r="F591" t="s">
        <v>38</v>
      </c>
      <c r="G591" t="s">
        <v>37</v>
      </c>
      <c r="H591">
        <f t="shared" si="9"/>
        <v>0</v>
      </c>
    </row>
    <row r="592" spans="1:8" x14ac:dyDescent="0.3">
      <c r="A592" t="s">
        <v>7</v>
      </c>
      <c r="B592" t="s">
        <v>23</v>
      </c>
      <c r="C592" t="s">
        <v>19</v>
      </c>
      <c r="D592">
        <v>40029</v>
      </c>
      <c r="E592" t="s">
        <v>10</v>
      </c>
      <c r="F592" t="s">
        <v>38</v>
      </c>
      <c r="G592" t="s">
        <v>37</v>
      </c>
      <c r="H592">
        <f t="shared" si="9"/>
        <v>40000</v>
      </c>
    </row>
    <row r="593" spans="1:8" x14ac:dyDescent="0.3">
      <c r="A593" t="s">
        <v>7</v>
      </c>
      <c r="B593" t="s">
        <v>23</v>
      </c>
      <c r="C593" t="s">
        <v>20</v>
      </c>
      <c r="D593">
        <v>14445</v>
      </c>
      <c r="E593" t="s">
        <v>10</v>
      </c>
      <c r="F593" t="s">
        <v>38</v>
      </c>
      <c r="G593" t="s">
        <v>37</v>
      </c>
      <c r="H593">
        <f t="shared" si="9"/>
        <v>14400</v>
      </c>
    </row>
    <row r="594" spans="1:8" x14ac:dyDescent="0.3">
      <c r="A594" t="s">
        <v>7</v>
      </c>
      <c r="B594" t="s">
        <v>23</v>
      </c>
      <c r="C594" t="s">
        <v>21</v>
      </c>
      <c r="D594">
        <v>8002</v>
      </c>
      <c r="E594" t="s">
        <v>10</v>
      </c>
      <c r="F594" t="s">
        <v>38</v>
      </c>
      <c r="G594" t="s">
        <v>37</v>
      </c>
      <c r="H594">
        <f t="shared" si="9"/>
        <v>8000</v>
      </c>
    </row>
    <row r="595" spans="1:8" x14ac:dyDescent="0.3">
      <c r="A595" t="s">
        <v>7</v>
      </c>
      <c r="B595" t="s">
        <v>23</v>
      </c>
      <c r="C595" t="s">
        <v>22</v>
      </c>
      <c r="D595">
        <v>2202015</v>
      </c>
      <c r="E595" t="s">
        <v>10</v>
      </c>
      <c r="F595" t="s">
        <v>38</v>
      </c>
      <c r="G595" t="s">
        <v>37</v>
      </c>
      <c r="H595">
        <f t="shared" si="9"/>
        <v>2200000</v>
      </c>
    </row>
    <row r="596" spans="1:8" x14ac:dyDescent="0.3">
      <c r="A596" t="s">
        <v>24</v>
      </c>
      <c r="B596" t="s">
        <v>8</v>
      </c>
      <c r="C596" t="s">
        <v>9</v>
      </c>
      <c r="D596">
        <v>3065</v>
      </c>
      <c r="E596" t="s">
        <v>10</v>
      </c>
      <c r="F596" t="s">
        <v>38</v>
      </c>
      <c r="G596" t="s">
        <v>37</v>
      </c>
      <c r="H596">
        <f t="shared" si="9"/>
        <v>3070</v>
      </c>
    </row>
    <row r="597" spans="1:8" x14ac:dyDescent="0.3">
      <c r="A597" t="s">
        <v>24</v>
      </c>
      <c r="B597" t="s">
        <v>8</v>
      </c>
      <c r="C597" t="s">
        <v>13</v>
      </c>
      <c r="D597">
        <v>68</v>
      </c>
      <c r="E597" t="s">
        <v>10</v>
      </c>
      <c r="F597" t="s">
        <v>38</v>
      </c>
      <c r="G597" t="s">
        <v>37</v>
      </c>
      <c r="H597">
        <f t="shared" si="9"/>
        <v>68</v>
      </c>
    </row>
    <row r="598" spans="1:8" x14ac:dyDescent="0.3">
      <c r="A598" t="s">
        <v>24</v>
      </c>
      <c r="B598" t="s">
        <v>8</v>
      </c>
      <c r="C598" t="s">
        <v>14</v>
      </c>
      <c r="D598">
        <v>637041</v>
      </c>
      <c r="E598" t="s">
        <v>10</v>
      </c>
      <c r="F598" t="s">
        <v>38</v>
      </c>
      <c r="G598" t="s">
        <v>37</v>
      </c>
      <c r="H598">
        <f t="shared" si="9"/>
        <v>637000</v>
      </c>
    </row>
    <row r="599" spans="1:8" x14ac:dyDescent="0.3">
      <c r="A599" t="s">
        <v>24</v>
      </c>
      <c r="B599" t="s">
        <v>8</v>
      </c>
      <c r="C599" t="s">
        <v>15</v>
      </c>
      <c r="D599">
        <v>72</v>
      </c>
      <c r="E599" t="s">
        <v>10</v>
      </c>
      <c r="F599" t="s">
        <v>38</v>
      </c>
      <c r="G599" t="s">
        <v>37</v>
      </c>
      <c r="H599">
        <f t="shared" si="9"/>
        <v>72</v>
      </c>
    </row>
    <row r="600" spans="1:8" x14ac:dyDescent="0.3">
      <c r="A600" t="s">
        <v>24</v>
      </c>
      <c r="B600" t="s">
        <v>8</v>
      </c>
      <c r="C600" t="s">
        <v>16</v>
      </c>
      <c r="D600">
        <v>23447986</v>
      </c>
      <c r="E600" t="s">
        <v>10</v>
      </c>
      <c r="F600" t="s">
        <v>38</v>
      </c>
      <c r="G600" t="s">
        <v>37</v>
      </c>
      <c r="H600">
        <f t="shared" si="9"/>
        <v>23400000</v>
      </c>
    </row>
    <row r="601" spans="1:8" x14ac:dyDescent="0.3">
      <c r="A601" t="s">
        <v>24</v>
      </c>
      <c r="B601" t="s">
        <v>8</v>
      </c>
      <c r="C601" t="s">
        <v>17</v>
      </c>
      <c r="D601">
        <v>2865165</v>
      </c>
      <c r="E601" t="s">
        <v>10</v>
      </c>
      <c r="F601" t="s">
        <v>38</v>
      </c>
      <c r="G601" t="s">
        <v>37</v>
      </c>
      <c r="H601">
        <f t="shared" si="9"/>
        <v>2870000</v>
      </c>
    </row>
    <row r="602" spans="1:8" x14ac:dyDescent="0.3">
      <c r="A602" t="s">
        <v>24</v>
      </c>
      <c r="B602" t="s">
        <v>8</v>
      </c>
      <c r="C602" t="s">
        <v>18</v>
      </c>
      <c r="D602">
        <v>0</v>
      </c>
      <c r="E602" t="s">
        <v>10</v>
      </c>
      <c r="F602" t="s">
        <v>38</v>
      </c>
      <c r="G602" t="s">
        <v>37</v>
      </c>
      <c r="H602">
        <f t="shared" si="9"/>
        <v>0</v>
      </c>
    </row>
    <row r="603" spans="1:8" x14ac:dyDescent="0.3">
      <c r="A603" t="s">
        <v>24</v>
      </c>
      <c r="B603" t="s">
        <v>8</v>
      </c>
      <c r="C603" t="s">
        <v>19</v>
      </c>
      <c r="D603">
        <v>12</v>
      </c>
      <c r="E603" t="s">
        <v>10</v>
      </c>
      <c r="F603" t="s">
        <v>38</v>
      </c>
      <c r="G603" t="s">
        <v>37</v>
      </c>
      <c r="H603">
        <f t="shared" si="9"/>
        <v>12</v>
      </c>
    </row>
    <row r="604" spans="1:8" x14ac:dyDescent="0.3">
      <c r="A604" t="s">
        <v>24</v>
      </c>
      <c r="B604" t="s">
        <v>8</v>
      </c>
      <c r="C604" t="s">
        <v>20</v>
      </c>
      <c r="D604">
        <v>438</v>
      </c>
      <c r="E604" t="s">
        <v>10</v>
      </c>
      <c r="F604" t="s">
        <v>38</v>
      </c>
      <c r="G604" t="s">
        <v>37</v>
      </c>
      <c r="H604">
        <f t="shared" si="9"/>
        <v>438</v>
      </c>
    </row>
    <row r="605" spans="1:8" x14ac:dyDescent="0.3">
      <c r="A605" t="s">
        <v>24</v>
      </c>
      <c r="B605" t="s">
        <v>8</v>
      </c>
      <c r="C605" t="s">
        <v>21</v>
      </c>
      <c r="D605">
        <v>790</v>
      </c>
      <c r="E605" t="s">
        <v>10</v>
      </c>
      <c r="F605" t="s">
        <v>38</v>
      </c>
      <c r="G605" t="s">
        <v>37</v>
      </c>
      <c r="H605">
        <f t="shared" si="9"/>
        <v>790</v>
      </c>
    </row>
    <row r="606" spans="1:8" x14ac:dyDescent="0.3">
      <c r="A606" t="s">
        <v>24</v>
      </c>
      <c r="B606" t="s">
        <v>8</v>
      </c>
      <c r="C606" t="s">
        <v>22</v>
      </c>
      <c r="D606">
        <v>892</v>
      </c>
      <c r="E606" t="s">
        <v>10</v>
      </c>
      <c r="F606" t="s">
        <v>38</v>
      </c>
      <c r="G606" t="s">
        <v>37</v>
      </c>
      <c r="H606">
        <f t="shared" si="9"/>
        <v>892</v>
      </c>
    </row>
    <row r="607" spans="1:8" x14ac:dyDescent="0.3">
      <c r="A607" t="s">
        <v>24</v>
      </c>
      <c r="B607" t="s">
        <v>23</v>
      </c>
      <c r="C607" t="s">
        <v>9</v>
      </c>
      <c r="D607">
        <v>54273</v>
      </c>
      <c r="E607" t="s">
        <v>10</v>
      </c>
      <c r="F607" t="s">
        <v>38</v>
      </c>
      <c r="G607" t="s">
        <v>37</v>
      </c>
      <c r="H607">
        <f t="shared" si="9"/>
        <v>54300</v>
      </c>
    </row>
    <row r="608" spans="1:8" x14ac:dyDescent="0.3">
      <c r="A608" t="s">
        <v>24</v>
      </c>
      <c r="B608" t="s">
        <v>23</v>
      </c>
      <c r="C608" t="s">
        <v>13</v>
      </c>
      <c r="D608">
        <v>11560</v>
      </c>
      <c r="E608" t="s">
        <v>10</v>
      </c>
      <c r="F608" t="s">
        <v>38</v>
      </c>
      <c r="G608" t="s">
        <v>37</v>
      </c>
      <c r="H608">
        <f t="shared" si="9"/>
        <v>11600</v>
      </c>
    </row>
    <row r="609" spans="1:8" x14ac:dyDescent="0.3">
      <c r="A609" t="s">
        <v>24</v>
      </c>
      <c r="B609" t="s">
        <v>23</v>
      </c>
      <c r="C609" t="s">
        <v>14</v>
      </c>
      <c r="D609">
        <v>223097</v>
      </c>
      <c r="E609" t="s">
        <v>10</v>
      </c>
      <c r="F609" t="s">
        <v>38</v>
      </c>
      <c r="G609" t="s">
        <v>37</v>
      </c>
      <c r="H609">
        <f t="shared" si="9"/>
        <v>223000</v>
      </c>
    </row>
    <row r="610" spans="1:8" x14ac:dyDescent="0.3">
      <c r="A610" t="s">
        <v>24</v>
      </c>
      <c r="B610" t="s">
        <v>23</v>
      </c>
      <c r="C610" t="s">
        <v>15</v>
      </c>
      <c r="D610">
        <v>2006</v>
      </c>
      <c r="E610" t="s">
        <v>10</v>
      </c>
      <c r="F610" t="s">
        <v>38</v>
      </c>
      <c r="G610" t="s">
        <v>37</v>
      </c>
      <c r="H610">
        <f t="shared" si="9"/>
        <v>2010</v>
      </c>
    </row>
    <row r="611" spans="1:8" x14ac:dyDescent="0.3">
      <c r="A611" t="s">
        <v>24</v>
      </c>
      <c r="B611" t="s">
        <v>23</v>
      </c>
      <c r="C611" t="s">
        <v>16</v>
      </c>
      <c r="D611">
        <v>15559194</v>
      </c>
      <c r="E611" t="s">
        <v>10</v>
      </c>
      <c r="F611" t="s">
        <v>38</v>
      </c>
      <c r="G611" t="s">
        <v>37</v>
      </c>
      <c r="H611">
        <f t="shared" si="9"/>
        <v>15600000</v>
      </c>
    </row>
    <row r="612" spans="1:8" x14ac:dyDescent="0.3">
      <c r="A612" t="s">
        <v>24</v>
      </c>
      <c r="B612" t="s">
        <v>23</v>
      </c>
      <c r="C612" t="s">
        <v>17</v>
      </c>
      <c r="D612">
        <v>365610</v>
      </c>
      <c r="E612" t="s">
        <v>10</v>
      </c>
      <c r="F612" t="s">
        <v>38</v>
      </c>
      <c r="G612" t="s">
        <v>37</v>
      </c>
      <c r="H612">
        <f t="shared" si="9"/>
        <v>366000</v>
      </c>
    </row>
    <row r="613" spans="1:8" x14ac:dyDescent="0.3">
      <c r="A613" t="s">
        <v>24</v>
      </c>
      <c r="B613" t="s">
        <v>23</v>
      </c>
      <c r="C613" t="s">
        <v>18</v>
      </c>
      <c r="D613">
        <v>115</v>
      </c>
      <c r="E613" t="s">
        <v>10</v>
      </c>
      <c r="F613" t="s">
        <v>38</v>
      </c>
      <c r="G613" t="s">
        <v>37</v>
      </c>
      <c r="H613">
        <f t="shared" si="9"/>
        <v>115</v>
      </c>
    </row>
    <row r="614" spans="1:8" x14ac:dyDescent="0.3">
      <c r="A614" t="s">
        <v>24</v>
      </c>
      <c r="B614" t="s">
        <v>23</v>
      </c>
      <c r="C614" t="s">
        <v>19</v>
      </c>
      <c r="D614">
        <v>2769</v>
      </c>
      <c r="E614" t="s">
        <v>10</v>
      </c>
      <c r="F614" t="s">
        <v>38</v>
      </c>
      <c r="G614" t="s">
        <v>37</v>
      </c>
      <c r="H614">
        <f t="shared" si="9"/>
        <v>2770</v>
      </c>
    </row>
    <row r="615" spans="1:8" x14ac:dyDescent="0.3">
      <c r="A615" t="s">
        <v>24</v>
      </c>
      <c r="B615" t="s">
        <v>23</v>
      </c>
      <c r="C615" t="s">
        <v>20</v>
      </c>
      <c r="D615">
        <v>31178</v>
      </c>
      <c r="E615" t="s">
        <v>10</v>
      </c>
      <c r="F615" t="s">
        <v>38</v>
      </c>
      <c r="G615" t="s">
        <v>37</v>
      </c>
      <c r="H615">
        <f t="shared" si="9"/>
        <v>31200</v>
      </c>
    </row>
    <row r="616" spans="1:8" x14ac:dyDescent="0.3">
      <c r="A616" t="s">
        <v>24</v>
      </c>
      <c r="B616" t="s">
        <v>23</v>
      </c>
      <c r="C616" t="s">
        <v>21</v>
      </c>
      <c r="D616">
        <v>4370</v>
      </c>
      <c r="E616" t="s">
        <v>10</v>
      </c>
      <c r="F616" t="s">
        <v>38</v>
      </c>
      <c r="G616" t="s">
        <v>37</v>
      </c>
      <c r="H616">
        <f t="shared" si="9"/>
        <v>4370</v>
      </c>
    </row>
    <row r="617" spans="1:8" x14ac:dyDescent="0.3">
      <c r="A617" t="s">
        <v>24</v>
      </c>
      <c r="B617" t="s">
        <v>23</v>
      </c>
      <c r="C617" t="s">
        <v>22</v>
      </c>
      <c r="D617">
        <v>10130</v>
      </c>
      <c r="E617" t="s">
        <v>10</v>
      </c>
      <c r="F617" t="s">
        <v>38</v>
      </c>
      <c r="G617" t="s">
        <v>37</v>
      </c>
      <c r="H617">
        <f t="shared" si="9"/>
        <v>10100</v>
      </c>
    </row>
    <row r="618" spans="1:8" x14ac:dyDescent="0.3">
      <c r="A618" t="s">
        <v>25</v>
      </c>
      <c r="B618" t="s">
        <v>8</v>
      </c>
      <c r="C618" t="s">
        <v>9</v>
      </c>
      <c r="D618">
        <v>42</v>
      </c>
      <c r="E618" t="s">
        <v>10</v>
      </c>
      <c r="F618" t="s">
        <v>38</v>
      </c>
      <c r="G618" t="s">
        <v>37</v>
      </c>
      <c r="H618">
        <f t="shared" si="9"/>
        <v>42</v>
      </c>
    </row>
    <row r="619" spans="1:8" x14ac:dyDescent="0.3">
      <c r="A619" t="s">
        <v>25</v>
      </c>
      <c r="B619" t="s">
        <v>8</v>
      </c>
      <c r="C619" t="s">
        <v>13</v>
      </c>
      <c r="D619">
        <v>6013</v>
      </c>
      <c r="E619" t="s">
        <v>10</v>
      </c>
      <c r="F619" t="s">
        <v>38</v>
      </c>
      <c r="G619" t="s">
        <v>37</v>
      </c>
      <c r="H619">
        <f t="shared" si="9"/>
        <v>6010</v>
      </c>
    </row>
    <row r="620" spans="1:8" x14ac:dyDescent="0.3">
      <c r="A620" t="s">
        <v>25</v>
      </c>
      <c r="B620" t="s">
        <v>8</v>
      </c>
      <c r="C620" t="s">
        <v>14</v>
      </c>
      <c r="D620">
        <v>255</v>
      </c>
      <c r="E620" t="s">
        <v>10</v>
      </c>
      <c r="F620" t="s">
        <v>38</v>
      </c>
      <c r="G620" t="s">
        <v>37</v>
      </c>
      <c r="H620">
        <f t="shared" si="9"/>
        <v>255</v>
      </c>
    </row>
    <row r="621" spans="1:8" x14ac:dyDescent="0.3">
      <c r="A621" t="s">
        <v>25</v>
      </c>
      <c r="B621" t="s">
        <v>8</v>
      </c>
      <c r="C621" t="s">
        <v>15</v>
      </c>
      <c r="D621">
        <v>12</v>
      </c>
      <c r="E621" t="s">
        <v>10</v>
      </c>
      <c r="F621" t="s">
        <v>38</v>
      </c>
      <c r="G621" t="s">
        <v>37</v>
      </c>
      <c r="H621">
        <f t="shared" si="9"/>
        <v>12</v>
      </c>
    </row>
    <row r="622" spans="1:8" x14ac:dyDescent="0.3">
      <c r="A622" t="s">
        <v>25</v>
      </c>
      <c r="B622" t="s">
        <v>8</v>
      </c>
      <c r="C622" t="s">
        <v>16</v>
      </c>
      <c r="D622">
        <v>128</v>
      </c>
      <c r="E622" t="s">
        <v>10</v>
      </c>
      <c r="F622" t="s">
        <v>38</v>
      </c>
      <c r="G622" t="s">
        <v>37</v>
      </c>
      <c r="H622">
        <f t="shared" si="9"/>
        <v>128</v>
      </c>
    </row>
    <row r="623" spans="1:8" x14ac:dyDescent="0.3">
      <c r="A623" t="s">
        <v>25</v>
      </c>
      <c r="B623" t="s">
        <v>8</v>
      </c>
      <c r="C623" t="s">
        <v>17</v>
      </c>
      <c r="D623">
        <v>49</v>
      </c>
      <c r="E623" t="s">
        <v>10</v>
      </c>
      <c r="F623" t="s">
        <v>38</v>
      </c>
      <c r="G623" t="s">
        <v>37</v>
      </c>
      <c r="H623">
        <f t="shared" si="9"/>
        <v>49</v>
      </c>
    </row>
    <row r="624" spans="1:8" x14ac:dyDescent="0.3">
      <c r="A624" t="s">
        <v>25</v>
      </c>
      <c r="B624" t="s">
        <v>8</v>
      </c>
      <c r="C624" t="s">
        <v>18</v>
      </c>
      <c r="D624">
        <v>0</v>
      </c>
      <c r="E624" t="s">
        <v>10</v>
      </c>
      <c r="F624" t="s">
        <v>38</v>
      </c>
      <c r="G624" t="s">
        <v>37</v>
      </c>
      <c r="H624">
        <f t="shared" si="9"/>
        <v>0</v>
      </c>
    </row>
    <row r="625" spans="1:8" x14ac:dyDescent="0.3">
      <c r="A625" t="s">
        <v>25</v>
      </c>
      <c r="B625" t="s">
        <v>8</v>
      </c>
      <c r="C625" t="s">
        <v>19</v>
      </c>
      <c r="D625">
        <v>2</v>
      </c>
      <c r="E625" t="s">
        <v>10</v>
      </c>
      <c r="F625" t="s">
        <v>38</v>
      </c>
      <c r="G625" t="s">
        <v>37</v>
      </c>
      <c r="H625">
        <f t="shared" si="9"/>
        <v>2</v>
      </c>
    </row>
    <row r="626" spans="1:8" x14ac:dyDescent="0.3">
      <c r="A626" t="s">
        <v>25</v>
      </c>
      <c r="B626" t="s">
        <v>8</v>
      </c>
      <c r="C626" t="s">
        <v>20</v>
      </c>
      <c r="D626">
        <v>47</v>
      </c>
      <c r="E626" t="s">
        <v>10</v>
      </c>
      <c r="F626" t="s">
        <v>38</v>
      </c>
      <c r="G626" t="s">
        <v>37</v>
      </c>
      <c r="H626">
        <f t="shared" si="9"/>
        <v>47</v>
      </c>
    </row>
    <row r="627" spans="1:8" x14ac:dyDescent="0.3">
      <c r="A627" t="s">
        <v>25</v>
      </c>
      <c r="B627" t="s">
        <v>8</v>
      </c>
      <c r="C627" t="s">
        <v>21</v>
      </c>
      <c r="D627">
        <v>103</v>
      </c>
      <c r="E627" t="s">
        <v>10</v>
      </c>
      <c r="F627" t="s">
        <v>38</v>
      </c>
      <c r="G627" t="s">
        <v>37</v>
      </c>
      <c r="H627">
        <f t="shared" si="9"/>
        <v>103</v>
      </c>
    </row>
    <row r="628" spans="1:8" x14ac:dyDescent="0.3">
      <c r="A628" t="s">
        <v>25</v>
      </c>
      <c r="B628" t="s">
        <v>8</v>
      </c>
      <c r="C628" t="s">
        <v>22</v>
      </c>
      <c r="D628">
        <v>634157</v>
      </c>
      <c r="E628" t="s">
        <v>10</v>
      </c>
      <c r="F628" t="s">
        <v>38</v>
      </c>
      <c r="G628" t="s">
        <v>37</v>
      </c>
      <c r="H628">
        <f t="shared" si="9"/>
        <v>634000</v>
      </c>
    </row>
    <row r="629" spans="1:8" x14ac:dyDescent="0.3">
      <c r="A629" t="s">
        <v>25</v>
      </c>
      <c r="B629" t="s">
        <v>23</v>
      </c>
      <c r="C629" t="s">
        <v>9</v>
      </c>
      <c r="D629">
        <v>15784</v>
      </c>
      <c r="E629" t="s">
        <v>10</v>
      </c>
      <c r="F629" t="s">
        <v>38</v>
      </c>
      <c r="G629" t="s">
        <v>37</v>
      </c>
      <c r="H629">
        <f t="shared" si="9"/>
        <v>15800</v>
      </c>
    </row>
    <row r="630" spans="1:8" x14ac:dyDescent="0.3">
      <c r="A630" t="s">
        <v>25</v>
      </c>
      <c r="B630" t="s">
        <v>23</v>
      </c>
      <c r="C630" t="s">
        <v>13</v>
      </c>
      <c r="D630">
        <v>113452</v>
      </c>
      <c r="E630" t="s">
        <v>10</v>
      </c>
      <c r="F630" t="s">
        <v>38</v>
      </c>
      <c r="G630" t="s">
        <v>37</v>
      </c>
      <c r="H630">
        <f t="shared" si="9"/>
        <v>113000</v>
      </c>
    </row>
    <row r="631" spans="1:8" x14ac:dyDescent="0.3">
      <c r="A631" t="s">
        <v>25</v>
      </c>
      <c r="B631" t="s">
        <v>23</v>
      </c>
      <c r="C631" t="s">
        <v>14</v>
      </c>
      <c r="D631">
        <v>109677</v>
      </c>
      <c r="E631" t="s">
        <v>10</v>
      </c>
      <c r="F631" t="s">
        <v>38</v>
      </c>
      <c r="G631" t="s">
        <v>37</v>
      </c>
      <c r="H631">
        <f t="shared" si="9"/>
        <v>110000</v>
      </c>
    </row>
    <row r="632" spans="1:8" x14ac:dyDescent="0.3">
      <c r="A632" t="s">
        <v>25</v>
      </c>
      <c r="B632" t="s">
        <v>23</v>
      </c>
      <c r="C632" t="s">
        <v>15</v>
      </c>
      <c r="D632">
        <v>4074</v>
      </c>
      <c r="E632" t="s">
        <v>10</v>
      </c>
      <c r="F632" t="s">
        <v>38</v>
      </c>
      <c r="G632" t="s">
        <v>37</v>
      </c>
      <c r="H632">
        <f t="shared" si="9"/>
        <v>4070</v>
      </c>
    </row>
    <row r="633" spans="1:8" x14ac:dyDescent="0.3">
      <c r="A633" t="s">
        <v>25</v>
      </c>
      <c r="B633" t="s">
        <v>23</v>
      </c>
      <c r="C633" t="s">
        <v>16</v>
      </c>
      <c r="D633">
        <v>39735</v>
      </c>
      <c r="E633" t="s">
        <v>10</v>
      </c>
      <c r="F633" t="s">
        <v>38</v>
      </c>
      <c r="G633" t="s">
        <v>37</v>
      </c>
      <c r="H633">
        <f t="shared" si="9"/>
        <v>39700</v>
      </c>
    </row>
    <row r="634" spans="1:8" x14ac:dyDescent="0.3">
      <c r="A634" t="s">
        <v>25</v>
      </c>
      <c r="B634" t="s">
        <v>23</v>
      </c>
      <c r="C634" t="s">
        <v>17</v>
      </c>
      <c r="D634">
        <v>3111</v>
      </c>
      <c r="E634" t="s">
        <v>10</v>
      </c>
      <c r="F634" t="s">
        <v>38</v>
      </c>
      <c r="G634" t="s">
        <v>37</v>
      </c>
      <c r="H634">
        <f t="shared" si="9"/>
        <v>3110</v>
      </c>
    </row>
    <row r="635" spans="1:8" x14ac:dyDescent="0.3">
      <c r="A635" t="s">
        <v>25</v>
      </c>
      <c r="B635" t="s">
        <v>23</v>
      </c>
      <c r="C635" t="s">
        <v>18</v>
      </c>
      <c r="D635">
        <v>0</v>
      </c>
      <c r="E635" t="s">
        <v>10</v>
      </c>
      <c r="F635" t="s">
        <v>38</v>
      </c>
      <c r="G635" t="s">
        <v>37</v>
      </c>
      <c r="H635">
        <f t="shared" si="9"/>
        <v>0</v>
      </c>
    </row>
    <row r="636" spans="1:8" x14ac:dyDescent="0.3">
      <c r="A636" t="s">
        <v>25</v>
      </c>
      <c r="B636" t="s">
        <v>23</v>
      </c>
      <c r="C636" t="s">
        <v>19</v>
      </c>
      <c r="D636">
        <v>16583</v>
      </c>
      <c r="E636" t="s">
        <v>10</v>
      </c>
      <c r="F636" t="s">
        <v>38</v>
      </c>
      <c r="G636" t="s">
        <v>37</v>
      </c>
      <c r="H636">
        <f t="shared" si="9"/>
        <v>16600</v>
      </c>
    </row>
    <row r="637" spans="1:8" x14ac:dyDescent="0.3">
      <c r="A637" t="s">
        <v>25</v>
      </c>
      <c r="B637" t="s">
        <v>23</v>
      </c>
      <c r="C637" t="s">
        <v>20</v>
      </c>
      <c r="D637">
        <v>5984</v>
      </c>
      <c r="E637" t="s">
        <v>10</v>
      </c>
      <c r="F637" t="s">
        <v>38</v>
      </c>
      <c r="G637" t="s">
        <v>37</v>
      </c>
      <c r="H637">
        <f t="shared" si="9"/>
        <v>5980</v>
      </c>
    </row>
    <row r="638" spans="1:8" x14ac:dyDescent="0.3">
      <c r="A638" t="s">
        <v>25</v>
      </c>
      <c r="B638" t="s">
        <v>23</v>
      </c>
      <c r="C638" t="s">
        <v>21</v>
      </c>
      <c r="D638">
        <v>3315</v>
      </c>
      <c r="E638" t="s">
        <v>10</v>
      </c>
      <c r="F638" t="s">
        <v>38</v>
      </c>
      <c r="G638" t="s">
        <v>37</v>
      </c>
      <c r="H638">
        <f t="shared" si="9"/>
        <v>3320</v>
      </c>
    </row>
    <row r="639" spans="1:8" x14ac:dyDescent="0.3">
      <c r="A639" t="s">
        <v>25</v>
      </c>
      <c r="B639" t="s">
        <v>23</v>
      </c>
      <c r="C639" t="s">
        <v>22</v>
      </c>
      <c r="D639">
        <v>912208</v>
      </c>
      <c r="E639" t="s">
        <v>10</v>
      </c>
      <c r="F639" t="s">
        <v>38</v>
      </c>
      <c r="G639" t="s">
        <v>37</v>
      </c>
      <c r="H639">
        <f t="shared" si="9"/>
        <v>912000</v>
      </c>
    </row>
    <row r="640" spans="1:8" x14ac:dyDescent="0.3">
      <c r="A640" t="s">
        <v>26</v>
      </c>
      <c r="B640" t="s">
        <v>8</v>
      </c>
      <c r="C640" t="s">
        <v>9</v>
      </c>
      <c r="D640">
        <v>97</v>
      </c>
      <c r="E640" t="s">
        <v>10</v>
      </c>
      <c r="F640" t="s">
        <v>38</v>
      </c>
      <c r="G640" t="s">
        <v>37</v>
      </c>
      <c r="H640">
        <f t="shared" si="9"/>
        <v>97</v>
      </c>
    </row>
    <row r="641" spans="1:8" x14ac:dyDescent="0.3">
      <c r="A641" t="s">
        <v>26</v>
      </c>
      <c r="B641" t="s">
        <v>8</v>
      </c>
      <c r="C641" t="s">
        <v>13</v>
      </c>
      <c r="D641">
        <v>14010</v>
      </c>
      <c r="E641" t="s">
        <v>10</v>
      </c>
      <c r="F641" t="s">
        <v>38</v>
      </c>
      <c r="G641" t="s">
        <v>37</v>
      </c>
      <c r="H641">
        <f t="shared" si="9"/>
        <v>14000</v>
      </c>
    </row>
    <row r="642" spans="1:8" x14ac:dyDescent="0.3">
      <c r="A642" t="s">
        <v>26</v>
      </c>
      <c r="B642" t="s">
        <v>8</v>
      </c>
      <c r="C642" t="s">
        <v>14</v>
      </c>
      <c r="D642">
        <v>593</v>
      </c>
      <c r="E642" t="s">
        <v>10</v>
      </c>
      <c r="F642" t="s">
        <v>38</v>
      </c>
      <c r="G642" t="s">
        <v>37</v>
      </c>
      <c r="H642">
        <f t="shared" si="9"/>
        <v>593</v>
      </c>
    </row>
    <row r="643" spans="1:8" x14ac:dyDescent="0.3">
      <c r="A643" t="s">
        <v>26</v>
      </c>
      <c r="B643" t="s">
        <v>8</v>
      </c>
      <c r="C643" t="s">
        <v>15</v>
      </c>
      <c r="D643">
        <v>29</v>
      </c>
      <c r="E643" t="s">
        <v>10</v>
      </c>
      <c r="F643" t="s">
        <v>38</v>
      </c>
      <c r="G643" t="s">
        <v>37</v>
      </c>
      <c r="H643">
        <f t="shared" ref="H643:H706" si="10">ROUND(D643, 3 - LEN(INT(ABS(D643))))</f>
        <v>29</v>
      </c>
    </row>
    <row r="644" spans="1:8" x14ac:dyDescent="0.3">
      <c r="A644" t="s">
        <v>26</v>
      </c>
      <c r="B644" t="s">
        <v>8</v>
      </c>
      <c r="C644" t="s">
        <v>16</v>
      </c>
      <c r="D644">
        <v>298</v>
      </c>
      <c r="E644" t="s">
        <v>10</v>
      </c>
      <c r="F644" t="s">
        <v>38</v>
      </c>
      <c r="G644" t="s">
        <v>37</v>
      </c>
      <c r="H644">
        <f t="shared" si="10"/>
        <v>298</v>
      </c>
    </row>
    <row r="645" spans="1:8" x14ac:dyDescent="0.3">
      <c r="A645" t="s">
        <v>26</v>
      </c>
      <c r="B645" t="s">
        <v>8</v>
      </c>
      <c r="C645" t="s">
        <v>17</v>
      </c>
      <c r="D645">
        <v>113</v>
      </c>
      <c r="E645" t="s">
        <v>10</v>
      </c>
      <c r="F645" t="s">
        <v>38</v>
      </c>
      <c r="G645" t="s">
        <v>37</v>
      </c>
      <c r="H645">
        <f t="shared" si="10"/>
        <v>113</v>
      </c>
    </row>
    <row r="646" spans="1:8" x14ac:dyDescent="0.3">
      <c r="A646" t="s">
        <v>26</v>
      </c>
      <c r="B646" t="s">
        <v>8</v>
      </c>
      <c r="C646" t="s">
        <v>18</v>
      </c>
      <c r="D646">
        <v>0</v>
      </c>
      <c r="E646" t="s">
        <v>10</v>
      </c>
      <c r="F646" t="s">
        <v>38</v>
      </c>
      <c r="G646" t="s">
        <v>37</v>
      </c>
      <c r="H646">
        <f t="shared" si="10"/>
        <v>0</v>
      </c>
    </row>
    <row r="647" spans="1:8" x14ac:dyDescent="0.3">
      <c r="A647" t="s">
        <v>26</v>
      </c>
      <c r="B647" t="s">
        <v>8</v>
      </c>
      <c r="C647" t="s">
        <v>19</v>
      </c>
      <c r="D647">
        <v>5</v>
      </c>
      <c r="E647" t="s">
        <v>10</v>
      </c>
      <c r="F647" t="s">
        <v>38</v>
      </c>
      <c r="G647" t="s">
        <v>37</v>
      </c>
      <c r="H647">
        <f t="shared" si="10"/>
        <v>5</v>
      </c>
    </row>
    <row r="648" spans="1:8" x14ac:dyDescent="0.3">
      <c r="A648" t="s">
        <v>26</v>
      </c>
      <c r="B648" t="s">
        <v>8</v>
      </c>
      <c r="C648" t="s">
        <v>20</v>
      </c>
      <c r="D648">
        <v>110</v>
      </c>
      <c r="E648" t="s">
        <v>10</v>
      </c>
      <c r="F648" t="s">
        <v>38</v>
      </c>
      <c r="G648" t="s">
        <v>37</v>
      </c>
      <c r="H648">
        <f t="shared" si="10"/>
        <v>110</v>
      </c>
    </row>
    <row r="649" spans="1:8" x14ac:dyDescent="0.3">
      <c r="A649" t="s">
        <v>26</v>
      </c>
      <c r="B649" t="s">
        <v>8</v>
      </c>
      <c r="C649" t="s">
        <v>21</v>
      </c>
      <c r="D649">
        <v>240</v>
      </c>
      <c r="E649" t="s">
        <v>10</v>
      </c>
      <c r="F649" t="s">
        <v>38</v>
      </c>
      <c r="G649" t="s">
        <v>37</v>
      </c>
      <c r="H649">
        <f t="shared" si="10"/>
        <v>240</v>
      </c>
    </row>
    <row r="650" spans="1:8" x14ac:dyDescent="0.3">
      <c r="A650" t="s">
        <v>26</v>
      </c>
      <c r="B650" t="s">
        <v>8</v>
      </c>
      <c r="C650" t="s">
        <v>22</v>
      </c>
      <c r="D650">
        <v>1477701</v>
      </c>
      <c r="E650" t="s">
        <v>10</v>
      </c>
      <c r="F650" t="s">
        <v>38</v>
      </c>
      <c r="G650" t="s">
        <v>37</v>
      </c>
      <c r="H650">
        <f t="shared" si="10"/>
        <v>1480000</v>
      </c>
    </row>
    <row r="651" spans="1:8" x14ac:dyDescent="0.3">
      <c r="A651" t="s">
        <v>26</v>
      </c>
      <c r="B651" t="s">
        <v>23</v>
      </c>
      <c r="C651" t="s">
        <v>9</v>
      </c>
      <c r="D651">
        <v>36779</v>
      </c>
      <c r="E651" t="s">
        <v>10</v>
      </c>
      <c r="F651" t="s">
        <v>38</v>
      </c>
      <c r="G651" t="s">
        <v>37</v>
      </c>
      <c r="H651">
        <f t="shared" si="10"/>
        <v>36800</v>
      </c>
    </row>
    <row r="652" spans="1:8" x14ac:dyDescent="0.3">
      <c r="A652" t="s">
        <v>26</v>
      </c>
      <c r="B652" t="s">
        <v>23</v>
      </c>
      <c r="C652" t="s">
        <v>13</v>
      </c>
      <c r="D652">
        <v>264364</v>
      </c>
      <c r="E652" t="s">
        <v>10</v>
      </c>
      <c r="F652" t="s">
        <v>38</v>
      </c>
      <c r="G652" t="s">
        <v>37</v>
      </c>
      <c r="H652">
        <f t="shared" si="10"/>
        <v>264000</v>
      </c>
    </row>
    <row r="653" spans="1:8" x14ac:dyDescent="0.3">
      <c r="A653" t="s">
        <v>26</v>
      </c>
      <c r="B653" t="s">
        <v>23</v>
      </c>
      <c r="C653" t="s">
        <v>14</v>
      </c>
      <c r="D653">
        <v>255567</v>
      </c>
      <c r="E653" t="s">
        <v>10</v>
      </c>
      <c r="F653" t="s">
        <v>38</v>
      </c>
      <c r="G653" t="s">
        <v>37</v>
      </c>
      <c r="H653">
        <f t="shared" si="10"/>
        <v>256000</v>
      </c>
    </row>
    <row r="654" spans="1:8" x14ac:dyDescent="0.3">
      <c r="A654" t="s">
        <v>26</v>
      </c>
      <c r="B654" t="s">
        <v>23</v>
      </c>
      <c r="C654" t="s">
        <v>15</v>
      </c>
      <c r="D654">
        <v>9493</v>
      </c>
      <c r="E654" t="s">
        <v>10</v>
      </c>
      <c r="F654" t="s">
        <v>38</v>
      </c>
      <c r="G654" t="s">
        <v>37</v>
      </c>
      <c r="H654">
        <f t="shared" si="10"/>
        <v>9490</v>
      </c>
    </row>
    <row r="655" spans="1:8" x14ac:dyDescent="0.3">
      <c r="A655" t="s">
        <v>26</v>
      </c>
      <c r="B655" t="s">
        <v>23</v>
      </c>
      <c r="C655" t="s">
        <v>16</v>
      </c>
      <c r="D655">
        <v>92590</v>
      </c>
      <c r="E655" t="s">
        <v>10</v>
      </c>
      <c r="F655" t="s">
        <v>38</v>
      </c>
      <c r="G655" t="s">
        <v>37</v>
      </c>
      <c r="H655">
        <f t="shared" si="10"/>
        <v>92600</v>
      </c>
    </row>
    <row r="656" spans="1:8" x14ac:dyDescent="0.3">
      <c r="A656" t="s">
        <v>26</v>
      </c>
      <c r="B656" t="s">
        <v>23</v>
      </c>
      <c r="C656" t="s">
        <v>17</v>
      </c>
      <c r="D656">
        <v>7249</v>
      </c>
      <c r="E656" t="s">
        <v>10</v>
      </c>
      <c r="F656" t="s">
        <v>38</v>
      </c>
      <c r="G656" t="s">
        <v>37</v>
      </c>
      <c r="H656">
        <f t="shared" si="10"/>
        <v>7250</v>
      </c>
    </row>
    <row r="657" spans="1:8" x14ac:dyDescent="0.3">
      <c r="A657" t="s">
        <v>26</v>
      </c>
      <c r="B657" t="s">
        <v>23</v>
      </c>
      <c r="C657" t="s">
        <v>18</v>
      </c>
      <c r="D657">
        <v>0</v>
      </c>
      <c r="E657" t="s">
        <v>10</v>
      </c>
      <c r="F657" t="s">
        <v>38</v>
      </c>
      <c r="G657" t="s">
        <v>37</v>
      </c>
      <c r="H657">
        <f t="shared" si="10"/>
        <v>0</v>
      </c>
    </row>
    <row r="658" spans="1:8" x14ac:dyDescent="0.3">
      <c r="A658" t="s">
        <v>26</v>
      </c>
      <c r="B658" t="s">
        <v>23</v>
      </c>
      <c r="C658" t="s">
        <v>19</v>
      </c>
      <c r="D658">
        <v>38640</v>
      </c>
      <c r="E658" t="s">
        <v>10</v>
      </c>
      <c r="F658" t="s">
        <v>38</v>
      </c>
      <c r="G658" t="s">
        <v>37</v>
      </c>
      <c r="H658">
        <f t="shared" si="10"/>
        <v>38600</v>
      </c>
    </row>
    <row r="659" spans="1:8" x14ac:dyDescent="0.3">
      <c r="A659" t="s">
        <v>26</v>
      </c>
      <c r="B659" t="s">
        <v>23</v>
      </c>
      <c r="C659" t="s">
        <v>20</v>
      </c>
      <c r="D659">
        <v>13944</v>
      </c>
      <c r="E659" t="s">
        <v>10</v>
      </c>
      <c r="F659" t="s">
        <v>38</v>
      </c>
      <c r="G659" t="s">
        <v>37</v>
      </c>
      <c r="H659">
        <f t="shared" si="10"/>
        <v>13900</v>
      </c>
    </row>
    <row r="660" spans="1:8" x14ac:dyDescent="0.3">
      <c r="A660" t="s">
        <v>26</v>
      </c>
      <c r="B660" t="s">
        <v>23</v>
      </c>
      <c r="C660" t="s">
        <v>21</v>
      </c>
      <c r="D660">
        <v>7724</v>
      </c>
      <c r="E660" t="s">
        <v>10</v>
      </c>
      <c r="F660" t="s">
        <v>38</v>
      </c>
      <c r="G660" t="s">
        <v>37</v>
      </c>
      <c r="H660">
        <f t="shared" si="10"/>
        <v>7720</v>
      </c>
    </row>
    <row r="661" spans="1:8" x14ac:dyDescent="0.3">
      <c r="A661" t="s">
        <v>26</v>
      </c>
      <c r="B661" t="s">
        <v>23</v>
      </c>
      <c r="C661" t="s">
        <v>22</v>
      </c>
      <c r="D661">
        <v>2125610</v>
      </c>
      <c r="E661" t="s">
        <v>10</v>
      </c>
      <c r="F661" t="s">
        <v>38</v>
      </c>
      <c r="G661" t="s">
        <v>37</v>
      </c>
      <c r="H661">
        <f t="shared" si="10"/>
        <v>2130000</v>
      </c>
    </row>
    <row r="662" spans="1:8" x14ac:dyDescent="0.3">
      <c r="A662" t="s">
        <v>27</v>
      </c>
      <c r="B662" t="s">
        <v>8</v>
      </c>
      <c r="C662" t="s">
        <v>9</v>
      </c>
      <c r="D662">
        <v>4135</v>
      </c>
      <c r="E662" t="s">
        <v>10</v>
      </c>
      <c r="F662" t="s">
        <v>38</v>
      </c>
      <c r="G662" t="s">
        <v>37</v>
      </c>
      <c r="H662">
        <f t="shared" si="10"/>
        <v>4140</v>
      </c>
    </row>
    <row r="663" spans="1:8" x14ac:dyDescent="0.3">
      <c r="A663" t="s">
        <v>27</v>
      </c>
      <c r="B663" t="s">
        <v>8</v>
      </c>
      <c r="C663" t="s">
        <v>13</v>
      </c>
      <c r="D663">
        <v>200</v>
      </c>
      <c r="E663" t="s">
        <v>10</v>
      </c>
      <c r="F663" t="s">
        <v>38</v>
      </c>
      <c r="G663" t="s">
        <v>37</v>
      </c>
      <c r="H663">
        <f t="shared" si="10"/>
        <v>200</v>
      </c>
    </row>
    <row r="664" spans="1:8" x14ac:dyDescent="0.3">
      <c r="A664" t="s">
        <v>27</v>
      </c>
      <c r="B664" t="s">
        <v>8</v>
      </c>
      <c r="C664" t="s">
        <v>14</v>
      </c>
      <c r="D664">
        <v>75583784</v>
      </c>
      <c r="E664" t="s">
        <v>10</v>
      </c>
      <c r="F664" t="s">
        <v>38</v>
      </c>
      <c r="G664" t="s">
        <v>37</v>
      </c>
      <c r="H664">
        <f t="shared" si="10"/>
        <v>75600000</v>
      </c>
    </row>
    <row r="665" spans="1:8" x14ac:dyDescent="0.3">
      <c r="A665" t="s">
        <v>27</v>
      </c>
      <c r="B665" t="s">
        <v>8</v>
      </c>
      <c r="C665" t="s">
        <v>15</v>
      </c>
      <c r="D665">
        <v>191</v>
      </c>
      <c r="E665" t="s">
        <v>10</v>
      </c>
      <c r="F665" t="s">
        <v>38</v>
      </c>
      <c r="G665" t="s">
        <v>37</v>
      </c>
      <c r="H665">
        <f t="shared" si="10"/>
        <v>191</v>
      </c>
    </row>
    <row r="666" spans="1:8" x14ac:dyDescent="0.3">
      <c r="A666" t="s">
        <v>27</v>
      </c>
      <c r="B666" t="s">
        <v>8</v>
      </c>
      <c r="C666" t="s">
        <v>16</v>
      </c>
      <c r="D666">
        <v>30021160</v>
      </c>
      <c r="E666" t="s">
        <v>10</v>
      </c>
      <c r="F666" t="s">
        <v>38</v>
      </c>
      <c r="G666" t="s">
        <v>37</v>
      </c>
      <c r="H666">
        <f t="shared" si="10"/>
        <v>30000000</v>
      </c>
    </row>
    <row r="667" spans="1:8" x14ac:dyDescent="0.3">
      <c r="A667" t="s">
        <v>27</v>
      </c>
      <c r="B667" t="s">
        <v>8</v>
      </c>
      <c r="C667" t="s">
        <v>17</v>
      </c>
      <c r="D667">
        <v>10065152</v>
      </c>
      <c r="E667" t="s">
        <v>10</v>
      </c>
      <c r="F667" t="s">
        <v>38</v>
      </c>
      <c r="G667" t="s">
        <v>37</v>
      </c>
      <c r="H667">
        <f t="shared" si="10"/>
        <v>10100000</v>
      </c>
    </row>
    <row r="668" spans="1:8" x14ac:dyDescent="0.3">
      <c r="A668" t="s">
        <v>27</v>
      </c>
      <c r="B668" t="s">
        <v>8</v>
      </c>
      <c r="C668" t="s">
        <v>18</v>
      </c>
      <c r="D668">
        <v>0</v>
      </c>
      <c r="E668" t="s">
        <v>10</v>
      </c>
      <c r="F668" t="s">
        <v>38</v>
      </c>
      <c r="G668" t="s">
        <v>37</v>
      </c>
      <c r="H668">
        <f t="shared" si="10"/>
        <v>0</v>
      </c>
    </row>
    <row r="669" spans="1:8" x14ac:dyDescent="0.3">
      <c r="A669" t="s">
        <v>27</v>
      </c>
      <c r="B669" t="s">
        <v>8</v>
      </c>
      <c r="C669" t="s">
        <v>19</v>
      </c>
      <c r="D669">
        <v>26</v>
      </c>
      <c r="E669" t="s">
        <v>10</v>
      </c>
      <c r="F669" t="s">
        <v>38</v>
      </c>
      <c r="G669" t="s">
        <v>37</v>
      </c>
      <c r="H669">
        <f t="shared" si="10"/>
        <v>26</v>
      </c>
    </row>
    <row r="670" spans="1:8" x14ac:dyDescent="0.3">
      <c r="A670" t="s">
        <v>27</v>
      </c>
      <c r="B670" t="s">
        <v>8</v>
      </c>
      <c r="C670" t="s">
        <v>20</v>
      </c>
      <c r="D670">
        <v>1037</v>
      </c>
      <c r="E670" t="s">
        <v>10</v>
      </c>
      <c r="F670" t="s">
        <v>38</v>
      </c>
      <c r="G670" t="s">
        <v>37</v>
      </c>
      <c r="H670">
        <f t="shared" si="10"/>
        <v>1040</v>
      </c>
    </row>
    <row r="671" spans="1:8" x14ac:dyDescent="0.3">
      <c r="A671" t="s">
        <v>27</v>
      </c>
      <c r="B671" t="s">
        <v>8</v>
      </c>
      <c r="C671" t="s">
        <v>21</v>
      </c>
      <c r="D671">
        <v>1158</v>
      </c>
      <c r="E671" t="s">
        <v>10</v>
      </c>
      <c r="F671" t="s">
        <v>38</v>
      </c>
      <c r="G671" t="s">
        <v>37</v>
      </c>
      <c r="H671">
        <f t="shared" si="10"/>
        <v>1160</v>
      </c>
    </row>
    <row r="672" spans="1:8" x14ac:dyDescent="0.3">
      <c r="A672" t="s">
        <v>27</v>
      </c>
      <c r="B672" t="s">
        <v>8</v>
      </c>
      <c r="C672" t="s">
        <v>22</v>
      </c>
      <c r="D672">
        <v>1906</v>
      </c>
      <c r="E672" t="s">
        <v>10</v>
      </c>
      <c r="F672" t="s">
        <v>38</v>
      </c>
      <c r="G672" t="s">
        <v>37</v>
      </c>
      <c r="H672">
        <f t="shared" si="10"/>
        <v>1910</v>
      </c>
    </row>
    <row r="673" spans="1:8" x14ac:dyDescent="0.3">
      <c r="A673" t="s">
        <v>27</v>
      </c>
      <c r="B673" t="s">
        <v>23</v>
      </c>
      <c r="C673" t="s">
        <v>9</v>
      </c>
      <c r="D673">
        <v>174349</v>
      </c>
      <c r="E673" t="s">
        <v>10</v>
      </c>
      <c r="F673" t="s">
        <v>38</v>
      </c>
      <c r="G673" t="s">
        <v>37</v>
      </c>
      <c r="H673">
        <f t="shared" si="10"/>
        <v>174000</v>
      </c>
    </row>
    <row r="674" spans="1:8" x14ac:dyDescent="0.3">
      <c r="A674" t="s">
        <v>27</v>
      </c>
      <c r="B674" t="s">
        <v>23</v>
      </c>
      <c r="C674" t="s">
        <v>13</v>
      </c>
      <c r="D674">
        <v>21553</v>
      </c>
      <c r="E674" t="s">
        <v>10</v>
      </c>
      <c r="F674" t="s">
        <v>38</v>
      </c>
      <c r="G674" t="s">
        <v>37</v>
      </c>
      <c r="H674">
        <f t="shared" si="10"/>
        <v>21600</v>
      </c>
    </row>
    <row r="675" spans="1:8" x14ac:dyDescent="0.3">
      <c r="A675" t="s">
        <v>27</v>
      </c>
      <c r="B675" t="s">
        <v>23</v>
      </c>
      <c r="C675" t="s">
        <v>14</v>
      </c>
      <c r="D675">
        <v>16270589</v>
      </c>
      <c r="E675" t="s">
        <v>10</v>
      </c>
      <c r="F675" t="s">
        <v>38</v>
      </c>
      <c r="G675" t="s">
        <v>37</v>
      </c>
      <c r="H675">
        <f t="shared" si="10"/>
        <v>16300000</v>
      </c>
    </row>
    <row r="676" spans="1:8" x14ac:dyDescent="0.3">
      <c r="A676" t="s">
        <v>27</v>
      </c>
      <c r="B676" t="s">
        <v>23</v>
      </c>
      <c r="C676" t="s">
        <v>15</v>
      </c>
      <c r="D676">
        <v>10541</v>
      </c>
      <c r="E676" t="s">
        <v>10</v>
      </c>
      <c r="F676" t="s">
        <v>38</v>
      </c>
      <c r="G676" t="s">
        <v>37</v>
      </c>
      <c r="H676">
        <f t="shared" si="10"/>
        <v>10500</v>
      </c>
    </row>
    <row r="677" spans="1:8" x14ac:dyDescent="0.3">
      <c r="A677" t="s">
        <v>27</v>
      </c>
      <c r="B677" t="s">
        <v>23</v>
      </c>
      <c r="C677" t="s">
        <v>16</v>
      </c>
      <c r="D677">
        <v>20463009</v>
      </c>
      <c r="E677" t="s">
        <v>10</v>
      </c>
      <c r="F677" t="s">
        <v>38</v>
      </c>
      <c r="G677" t="s">
        <v>37</v>
      </c>
      <c r="H677">
        <f t="shared" si="10"/>
        <v>20500000</v>
      </c>
    </row>
    <row r="678" spans="1:8" x14ac:dyDescent="0.3">
      <c r="A678" t="s">
        <v>27</v>
      </c>
      <c r="B678" t="s">
        <v>23</v>
      </c>
      <c r="C678" t="s">
        <v>17</v>
      </c>
      <c r="D678">
        <v>1281643</v>
      </c>
      <c r="E678" t="s">
        <v>10</v>
      </c>
      <c r="F678" t="s">
        <v>38</v>
      </c>
      <c r="G678" t="s">
        <v>37</v>
      </c>
      <c r="H678">
        <f t="shared" si="10"/>
        <v>1280000</v>
      </c>
    </row>
    <row r="679" spans="1:8" x14ac:dyDescent="0.3">
      <c r="A679" t="s">
        <v>27</v>
      </c>
      <c r="B679" t="s">
        <v>23</v>
      </c>
      <c r="C679" t="s">
        <v>18</v>
      </c>
      <c r="D679">
        <v>149</v>
      </c>
      <c r="E679" t="s">
        <v>10</v>
      </c>
      <c r="F679" t="s">
        <v>38</v>
      </c>
      <c r="G679" t="s">
        <v>37</v>
      </c>
      <c r="H679">
        <f t="shared" si="10"/>
        <v>149</v>
      </c>
    </row>
    <row r="680" spans="1:8" x14ac:dyDescent="0.3">
      <c r="A680" t="s">
        <v>27</v>
      </c>
      <c r="B680" t="s">
        <v>23</v>
      </c>
      <c r="C680" t="s">
        <v>19</v>
      </c>
      <c r="D680">
        <v>13997</v>
      </c>
      <c r="E680" t="s">
        <v>10</v>
      </c>
      <c r="F680" t="s">
        <v>38</v>
      </c>
      <c r="G680" t="s">
        <v>37</v>
      </c>
      <c r="H680">
        <f t="shared" si="10"/>
        <v>14000</v>
      </c>
    </row>
    <row r="681" spans="1:8" x14ac:dyDescent="0.3">
      <c r="A681" t="s">
        <v>27</v>
      </c>
      <c r="B681" t="s">
        <v>23</v>
      </c>
      <c r="C681" t="s">
        <v>20</v>
      </c>
      <c r="D681">
        <v>53821</v>
      </c>
      <c r="E681" t="s">
        <v>10</v>
      </c>
      <c r="F681" t="s">
        <v>38</v>
      </c>
      <c r="G681" t="s">
        <v>37</v>
      </c>
      <c r="H681">
        <f t="shared" si="10"/>
        <v>53800</v>
      </c>
    </row>
    <row r="682" spans="1:8" x14ac:dyDescent="0.3">
      <c r="A682" t="s">
        <v>27</v>
      </c>
      <c r="B682" t="s">
        <v>23</v>
      </c>
      <c r="C682" t="s">
        <v>21</v>
      </c>
      <c r="D682">
        <v>34316</v>
      </c>
      <c r="E682" t="s">
        <v>10</v>
      </c>
      <c r="F682" t="s">
        <v>38</v>
      </c>
      <c r="G682" t="s">
        <v>37</v>
      </c>
      <c r="H682">
        <f t="shared" si="10"/>
        <v>34300</v>
      </c>
    </row>
    <row r="683" spans="1:8" x14ac:dyDescent="0.3">
      <c r="A683" t="s">
        <v>27</v>
      </c>
      <c r="B683" t="s">
        <v>23</v>
      </c>
      <c r="C683" t="s">
        <v>22</v>
      </c>
      <c r="D683">
        <v>19178</v>
      </c>
      <c r="E683" t="s">
        <v>10</v>
      </c>
      <c r="F683" t="s">
        <v>38</v>
      </c>
      <c r="G683" t="s">
        <v>37</v>
      </c>
      <c r="H683">
        <f t="shared" si="10"/>
        <v>19200</v>
      </c>
    </row>
    <row r="684" spans="1:8" x14ac:dyDescent="0.3">
      <c r="A684" t="s">
        <v>28</v>
      </c>
      <c r="B684" t="s">
        <v>8</v>
      </c>
      <c r="C684" t="s">
        <v>9</v>
      </c>
      <c r="D684">
        <v>1655</v>
      </c>
      <c r="E684" t="s">
        <v>10</v>
      </c>
      <c r="F684" t="s">
        <v>38</v>
      </c>
      <c r="G684" t="s">
        <v>37</v>
      </c>
      <c r="H684">
        <f t="shared" si="10"/>
        <v>1660</v>
      </c>
    </row>
    <row r="685" spans="1:8" x14ac:dyDescent="0.3">
      <c r="A685" t="s">
        <v>28</v>
      </c>
      <c r="B685" t="s">
        <v>8</v>
      </c>
      <c r="C685" t="s">
        <v>13</v>
      </c>
      <c r="D685">
        <v>87</v>
      </c>
      <c r="E685" t="s">
        <v>10</v>
      </c>
      <c r="F685" t="s">
        <v>38</v>
      </c>
      <c r="G685" t="s">
        <v>37</v>
      </c>
      <c r="H685">
        <f t="shared" si="10"/>
        <v>87</v>
      </c>
    </row>
    <row r="686" spans="1:8" x14ac:dyDescent="0.3">
      <c r="A686" t="s">
        <v>28</v>
      </c>
      <c r="B686" t="s">
        <v>8</v>
      </c>
      <c r="C686" t="s">
        <v>14</v>
      </c>
      <c r="D686">
        <v>37996043</v>
      </c>
      <c r="E686" t="s">
        <v>10</v>
      </c>
      <c r="F686" t="s">
        <v>38</v>
      </c>
      <c r="G686" t="s">
        <v>37</v>
      </c>
      <c r="H686">
        <f t="shared" si="10"/>
        <v>38000000</v>
      </c>
    </row>
    <row r="687" spans="1:8" x14ac:dyDescent="0.3">
      <c r="A687" t="s">
        <v>28</v>
      </c>
      <c r="B687" t="s">
        <v>8</v>
      </c>
      <c r="C687" t="s">
        <v>15</v>
      </c>
      <c r="D687">
        <v>79</v>
      </c>
      <c r="E687" t="s">
        <v>10</v>
      </c>
      <c r="F687" t="s">
        <v>38</v>
      </c>
      <c r="G687" t="s">
        <v>37</v>
      </c>
      <c r="H687">
        <f t="shared" si="10"/>
        <v>79</v>
      </c>
    </row>
    <row r="688" spans="1:8" x14ac:dyDescent="0.3">
      <c r="A688" t="s">
        <v>28</v>
      </c>
      <c r="B688" t="s">
        <v>8</v>
      </c>
      <c r="C688" t="s">
        <v>16</v>
      </c>
      <c r="D688">
        <v>12065694</v>
      </c>
      <c r="E688" t="s">
        <v>10</v>
      </c>
      <c r="F688" t="s">
        <v>38</v>
      </c>
      <c r="G688" t="s">
        <v>37</v>
      </c>
      <c r="H688">
        <f t="shared" si="10"/>
        <v>12100000</v>
      </c>
    </row>
    <row r="689" spans="1:8" x14ac:dyDescent="0.3">
      <c r="A689" t="s">
        <v>28</v>
      </c>
      <c r="B689" t="s">
        <v>8</v>
      </c>
      <c r="C689" t="s">
        <v>17</v>
      </c>
      <c r="D689">
        <v>2990</v>
      </c>
      <c r="E689" t="s">
        <v>10</v>
      </c>
      <c r="F689" t="s">
        <v>38</v>
      </c>
      <c r="G689" t="s">
        <v>37</v>
      </c>
      <c r="H689">
        <f t="shared" si="10"/>
        <v>2990</v>
      </c>
    </row>
    <row r="690" spans="1:8" x14ac:dyDescent="0.3">
      <c r="A690" t="s">
        <v>28</v>
      </c>
      <c r="B690" t="s">
        <v>8</v>
      </c>
      <c r="C690" t="s">
        <v>18</v>
      </c>
      <c r="D690">
        <v>0</v>
      </c>
      <c r="E690" t="s">
        <v>10</v>
      </c>
      <c r="F690" t="s">
        <v>38</v>
      </c>
      <c r="G690" t="s">
        <v>37</v>
      </c>
      <c r="H690">
        <f t="shared" si="10"/>
        <v>0</v>
      </c>
    </row>
    <row r="691" spans="1:8" x14ac:dyDescent="0.3">
      <c r="A691" t="s">
        <v>28</v>
      </c>
      <c r="B691" t="s">
        <v>8</v>
      </c>
      <c r="C691" t="s">
        <v>19</v>
      </c>
      <c r="D691">
        <v>11</v>
      </c>
      <c r="E691" t="s">
        <v>10</v>
      </c>
      <c r="F691" t="s">
        <v>38</v>
      </c>
      <c r="G691" t="s">
        <v>37</v>
      </c>
      <c r="H691">
        <f t="shared" si="10"/>
        <v>11</v>
      </c>
    </row>
    <row r="692" spans="1:8" x14ac:dyDescent="0.3">
      <c r="A692" t="s">
        <v>28</v>
      </c>
      <c r="B692" t="s">
        <v>8</v>
      </c>
      <c r="C692" t="s">
        <v>20</v>
      </c>
      <c r="D692">
        <v>406</v>
      </c>
      <c r="E692" t="s">
        <v>10</v>
      </c>
      <c r="F692" t="s">
        <v>38</v>
      </c>
      <c r="G692" t="s">
        <v>37</v>
      </c>
      <c r="H692">
        <f t="shared" si="10"/>
        <v>406</v>
      </c>
    </row>
    <row r="693" spans="1:8" x14ac:dyDescent="0.3">
      <c r="A693" t="s">
        <v>28</v>
      </c>
      <c r="B693" t="s">
        <v>8</v>
      </c>
      <c r="C693" t="s">
        <v>21</v>
      </c>
      <c r="D693">
        <v>480</v>
      </c>
      <c r="E693" t="s">
        <v>10</v>
      </c>
      <c r="F693" t="s">
        <v>38</v>
      </c>
      <c r="G693" t="s">
        <v>37</v>
      </c>
      <c r="H693">
        <f t="shared" si="10"/>
        <v>480</v>
      </c>
    </row>
    <row r="694" spans="1:8" x14ac:dyDescent="0.3">
      <c r="A694" t="s">
        <v>28</v>
      </c>
      <c r="B694" t="s">
        <v>8</v>
      </c>
      <c r="C694" t="s">
        <v>22</v>
      </c>
      <c r="D694">
        <v>744</v>
      </c>
      <c r="E694" t="s">
        <v>10</v>
      </c>
      <c r="F694" t="s">
        <v>38</v>
      </c>
      <c r="G694" t="s">
        <v>37</v>
      </c>
      <c r="H694">
        <f t="shared" si="10"/>
        <v>744</v>
      </c>
    </row>
    <row r="695" spans="1:8" x14ac:dyDescent="0.3">
      <c r="A695" t="s">
        <v>28</v>
      </c>
      <c r="B695" t="s">
        <v>23</v>
      </c>
      <c r="C695" t="s">
        <v>9</v>
      </c>
      <c r="D695">
        <v>7427</v>
      </c>
      <c r="E695" t="s">
        <v>10</v>
      </c>
      <c r="F695" t="s">
        <v>38</v>
      </c>
      <c r="G695" t="s">
        <v>37</v>
      </c>
      <c r="H695">
        <f t="shared" si="10"/>
        <v>7430</v>
      </c>
    </row>
    <row r="696" spans="1:8" x14ac:dyDescent="0.3">
      <c r="A696" t="s">
        <v>28</v>
      </c>
      <c r="B696" t="s">
        <v>23</v>
      </c>
      <c r="C696" t="s">
        <v>13</v>
      </c>
      <c r="D696">
        <v>7497</v>
      </c>
      <c r="E696" t="s">
        <v>10</v>
      </c>
      <c r="F696" t="s">
        <v>38</v>
      </c>
      <c r="G696" t="s">
        <v>37</v>
      </c>
      <c r="H696">
        <f t="shared" si="10"/>
        <v>7500</v>
      </c>
    </row>
    <row r="697" spans="1:8" x14ac:dyDescent="0.3">
      <c r="A697" t="s">
        <v>28</v>
      </c>
      <c r="B697" t="s">
        <v>23</v>
      </c>
      <c r="C697" t="s">
        <v>14</v>
      </c>
      <c r="D697">
        <v>8086445</v>
      </c>
      <c r="E697" t="s">
        <v>10</v>
      </c>
      <c r="F697" t="s">
        <v>38</v>
      </c>
      <c r="G697" t="s">
        <v>37</v>
      </c>
      <c r="H697">
        <f t="shared" si="10"/>
        <v>8090000</v>
      </c>
    </row>
    <row r="698" spans="1:8" x14ac:dyDescent="0.3">
      <c r="A698" t="s">
        <v>28</v>
      </c>
      <c r="B698" t="s">
        <v>23</v>
      </c>
      <c r="C698" t="s">
        <v>15</v>
      </c>
      <c r="D698">
        <v>4769</v>
      </c>
      <c r="E698" t="s">
        <v>10</v>
      </c>
      <c r="F698" t="s">
        <v>38</v>
      </c>
      <c r="G698" t="s">
        <v>37</v>
      </c>
      <c r="H698">
        <f t="shared" si="10"/>
        <v>4770</v>
      </c>
    </row>
    <row r="699" spans="1:8" x14ac:dyDescent="0.3">
      <c r="A699" t="s">
        <v>28</v>
      </c>
      <c r="B699" t="s">
        <v>23</v>
      </c>
      <c r="C699" t="s">
        <v>16</v>
      </c>
      <c r="D699">
        <v>8270833</v>
      </c>
      <c r="E699" t="s">
        <v>10</v>
      </c>
      <c r="F699" t="s">
        <v>38</v>
      </c>
      <c r="G699" t="s">
        <v>37</v>
      </c>
      <c r="H699">
        <f t="shared" si="10"/>
        <v>8270000</v>
      </c>
    </row>
    <row r="700" spans="1:8" x14ac:dyDescent="0.3">
      <c r="A700" t="s">
        <v>28</v>
      </c>
      <c r="B700" t="s">
        <v>23</v>
      </c>
      <c r="C700" t="s">
        <v>17</v>
      </c>
      <c r="D700">
        <v>1474</v>
      </c>
      <c r="E700" t="s">
        <v>10</v>
      </c>
      <c r="F700" t="s">
        <v>38</v>
      </c>
      <c r="G700" t="s">
        <v>37</v>
      </c>
      <c r="H700">
        <f t="shared" si="10"/>
        <v>1470</v>
      </c>
    </row>
    <row r="701" spans="1:8" x14ac:dyDescent="0.3">
      <c r="A701" t="s">
        <v>28</v>
      </c>
      <c r="B701" t="s">
        <v>23</v>
      </c>
      <c r="C701" t="s">
        <v>18</v>
      </c>
      <c r="D701">
        <v>59</v>
      </c>
      <c r="E701" t="s">
        <v>10</v>
      </c>
      <c r="F701" t="s">
        <v>38</v>
      </c>
      <c r="G701" t="s">
        <v>37</v>
      </c>
      <c r="H701">
        <f t="shared" si="10"/>
        <v>59</v>
      </c>
    </row>
    <row r="702" spans="1:8" x14ac:dyDescent="0.3">
      <c r="A702" t="s">
        <v>28</v>
      </c>
      <c r="B702" t="s">
        <v>23</v>
      </c>
      <c r="C702" t="s">
        <v>19</v>
      </c>
      <c r="D702">
        <v>6278</v>
      </c>
      <c r="E702" t="s">
        <v>10</v>
      </c>
      <c r="F702" t="s">
        <v>38</v>
      </c>
      <c r="G702" t="s">
        <v>37</v>
      </c>
      <c r="H702">
        <f t="shared" si="10"/>
        <v>6280</v>
      </c>
    </row>
    <row r="703" spans="1:8" x14ac:dyDescent="0.3">
      <c r="A703" t="s">
        <v>28</v>
      </c>
      <c r="B703" t="s">
        <v>23</v>
      </c>
      <c r="C703" t="s">
        <v>20</v>
      </c>
      <c r="D703">
        <v>20049</v>
      </c>
      <c r="E703" t="s">
        <v>10</v>
      </c>
      <c r="F703" t="s">
        <v>38</v>
      </c>
      <c r="G703" t="s">
        <v>37</v>
      </c>
      <c r="H703">
        <f t="shared" si="10"/>
        <v>20000</v>
      </c>
    </row>
    <row r="704" spans="1:8" x14ac:dyDescent="0.3">
      <c r="A704" t="s">
        <v>28</v>
      </c>
      <c r="B704" t="s">
        <v>23</v>
      </c>
      <c r="C704" t="s">
        <v>21</v>
      </c>
      <c r="D704">
        <v>16331</v>
      </c>
      <c r="E704" t="s">
        <v>10</v>
      </c>
      <c r="F704" t="s">
        <v>38</v>
      </c>
      <c r="G704" t="s">
        <v>37</v>
      </c>
      <c r="H704">
        <f t="shared" si="10"/>
        <v>16300</v>
      </c>
    </row>
    <row r="705" spans="1:8" x14ac:dyDescent="0.3">
      <c r="A705" t="s">
        <v>28</v>
      </c>
      <c r="B705" t="s">
        <v>23</v>
      </c>
      <c r="C705" t="s">
        <v>22</v>
      </c>
      <c r="D705">
        <v>6997</v>
      </c>
      <c r="E705" t="s">
        <v>10</v>
      </c>
      <c r="F705" t="s">
        <v>38</v>
      </c>
      <c r="G705" t="s">
        <v>37</v>
      </c>
      <c r="H705">
        <f t="shared" si="10"/>
        <v>7000</v>
      </c>
    </row>
    <row r="706" spans="1:8" x14ac:dyDescent="0.3">
      <c r="A706" t="s">
        <v>29</v>
      </c>
      <c r="B706" t="s">
        <v>8</v>
      </c>
      <c r="C706" t="s">
        <v>9</v>
      </c>
      <c r="D706">
        <v>73</v>
      </c>
      <c r="E706" t="s">
        <v>10</v>
      </c>
      <c r="F706" t="s">
        <v>38</v>
      </c>
      <c r="G706" t="s">
        <v>37</v>
      </c>
      <c r="H706">
        <f t="shared" si="10"/>
        <v>73</v>
      </c>
    </row>
    <row r="707" spans="1:8" x14ac:dyDescent="0.3">
      <c r="A707" t="s">
        <v>29</v>
      </c>
      <c r="B707" t="s">
        <v>8</v>
      </c>
      <c r="C707" t="s">
        <v>13</v>
      </c>
      <c r="D707">
        <v>44</v>
      </c>
      <c r="E707" t="s">
        <v>10</v>
      </c>
      <c r="F707" t="s">
        <v>38</v>
      </c>
      <c r="G707" t="s">
        <v>37</v>
      </c>
      <c r="H707">
        <f t="shared" ref="H707:H770" si="11">ROUND(D707, 3 - LEN(INT(ABS(D707))))</f>
        <v>44</v>
      </c>
    </row>
    <row r="708" spans="1:8" x14ac:dyDescent="0.3">
      <c r="A708" t="s">
        <v>29</v>
      </c>
      <c r="B708" t="s">
        <v>8</v>
      </c>
      <c r="C708" t="s">
        <v>14</v>
      </c>
      <c r="D708">
        <v>31418072</v>
      </c>
      <c r="E708" t="s">
        <v>10</v>
      </c>
      <c r="F708" t="s">
        <v>38</v>
      </c>
      <c r="G708" t="s">
        <v>37</v>
      </c>
      <c r="H708">
        <f t="shared" si="11"/>
        <v>31400000</v>
      </c>
    </row>
    <row r="709" spans="1:8" x14ac:dyDescent="0.3">
      <c r="A709" t="s">
        <v>29</v>
      </c>
      <c r="B709" t="s">
        <v>8</v>
      </c>
      <c r="C709" t="s">
        <v>15</v>
      </c>
      <c r="D709">
        <v>37</v>
      </c>
      <c r="E709" t="s">
        <v>10</v>
      </c>
      <c r="F709" t="s">
        <v>38</v>
      </c>
      <c r="G709" t="s">
        <v>37</v>
      </c>
      <c r="H709">
        <f t="shared" si="11"/>
        <v>37</v>
      </c>
    </row>
    <row r="710" spans="1:8" x14ac:dyDescent="0.3">
      <c r="A710" t="s">
        <v>29</v>
      </c>
      <c r="B710" t="s">
        <v>8</v>
      </c>
      <c r="C710" t="s">
        <v>16</v>
      </c>
      <c r="D710">
        <v>5226</v>
      </c>
      <c r="E710" t="s">
        <v>10</v>
      </c>
      <c r="F710" t="s">
        <v>38</v>
      </c>
      <c r="G710" t="s">
        <v>37</v>
      </c>
      <c r="H710">
        <f t="shared" si="11"/>
        <v>5230</v>
      </c>
    </row>
    <row r="711" spans="1:8" x14ac:dyDescent="0.3">
      <c r="A711" t="s">
        <v>29</v>
      </c>
      <c r="B711" t="s">
        <v>8</v>
      </c>
      <c r="C711" t="s">
        <v>17</v>
      </c>
      <c r="D711">
        <v>195</v>
      </c>
      <c r="E711" t="s">
        <v>10</v>
      </c>
      <c r="F711" t="s">
        <v>38</v>
      </c>
      <c r="G711" t="s">
        <v>37</v>
      </c>
      <c r="H711">
        <f t="shared" si="11"/>
        <v>195</v>
      </c>
    </row>
    <row r="712" spans="1:8" x14ac:dyDescent="0.3">
      <c r="A712" t="s">
        <v>29</v>
      </c>
      <c r="B712" t="s">
        <v>8</v>
      </c>
      <c r="C712" t="s">
        <v>18</v>
      </c>
      <c r="D712">
        <v>0</v>
      </c>
      <c r="E712" t="s">
        <v>10</v>
      </c>
      <c r="F712" t="s">
        <v>38</v>
      </c>
      <c r="G712" t="s">
        <v>37</v>
      </c>
      <c r="H712">
        <f t="shared" si="11"/>
        <v>0</v>
      </c>
    </row>
    <row r="713" spans="1:8" x14ac:dyDescent="0.3">
      <c r="A713" t="s">
        <v>29</v>
      </c>
      <c r="B713" t="s">
        <v>8</v>
      </c>
      <c r="C713" t="s">
        <v>19</v>
      </c>
      <c r="D713">
        <v>4</v>
      </c>
      <c r="E713" t="s">
        <v>10</v>
      </c>
      <c r="F713" t="s">
        <v>38</v>
      </c>
      <c r="G713" t="s">
        <v>37</v>
      </c>
      <c r="H713">
        <f t="shared" si="11"/>
        <v>4</v>
      </c>
    </row>
    <row r="714" spans="1:8" x14ac:dyDescent="0.3">
      <c r="A714" t="s">
        <v>29</v>
      </c>
      <c r="B714" t="s">
        <v>8</v>
      </c>
      <c r="C714" t="s">
        <v>20</v>
      </c>
      <c r="D714">
        <v>166</v>
      </c>
      <c r="E714" t="s">
        <v>10</v>
      </c>
      <c r="F714" t="s">
        <v>38</v>
      </c>
      <c r="G714" t="s">
        <v>37</v>
      </c>
      <c r="H714">
        <f t="shared" si="11"/>
        <v>166</v>
      </c>
    </row>
    <row r="715" spans="1:8" x14ac:dyDescent="0.3">
      <c r="A715" t="s">
        <v>29</v>
      </c>
      <c r="B715" t="s">
        <v>8</v>
      </c>
      <c r="C715" t="s">
        <v>21</v>
      </c>
      <c r="D715">
        <v>62</v>
      </c>
      <c r="E715" t="s">
        <v>10</v>
      </c>
      <c r="F715" t="s">
        <v>38</v>
      </c>
      <c r="G715" t="s">
        <v>37</v>
      </c>
      <c r="H715">
        <f t="shared" si="11"/>
        <v>62</v>
      </c>
    </row>
    <row r="716" spans="1:8" x14ac:dyDescent="0.3">
      <c r="A716" t="s">
        <v>29</v>
      </c>
      <c r="B716" t="s">
        <v>8</v>
      </c>
      <c r="C716" t="s">
        <v>22</v>
      </c>
      <c r="D716">
        <v>264</v>
      </c>
      <c r="E716" t="s">
        <v>10</v>
      </c>
      <c r="F716" t="s">
        <v>38</v>
      </c>
      <c r="G716" t="s">
        <v>37</v>
      </c>
      <c r="H716">
        <f t="shared" si="11"/>
        <v>264</v>
      </c>
    </row>
    <row r="717" spans="1:8" x14ac:dyDescent="0.3">
      <c r="A717" t="s">
        <v>29</v>
      </c>
      <c r="B717" t="s">
        <v>23</v>
      </c>
      <c r="C717" t="s">
        <v>9</v>
      </c>
      <c r="D717">
        <v>2077</v>
      </c>
      <c r="E717" t="s">
        <v>10</v>
      </c>
      <c r="F717" t="s">
        <v>38</v>
      </c>
      <c r="G717" t="s">
        <v>37</v>
      </c>
      <c r="H717">
        <f t="shared" si="11"/>
        <v>2080</v>
      </c>
    </row>
    <row r="718" spans="1:8" x14ac:dyDescent="0.3">
      <c r="A718" t="s">
        <v>29</v>
      </c>
      <c r="B718" t="s">
        <v>23</v>
      </c>
      <c r="C718" t="s">
        <v>13</v>
      </c>
      <c r="D718">
        <v>1778</v>
      </c>
      <c r="E718" t="s">
        <v>10</v>
      </c>
      <c r="F718" t="s">
        <v>38</v>
      </c>
      <c r="G718" t="s">
        <v>37</v>
      </c>
      <c r="H718">
        <f t="shared" si="11"/>
        <v>1780</v>
      </c>
    </row>
    <row r="719" spans="1:8" x14ac:dyDescent="0.3">
      <c r="A719" t="s">
        <v>29</v>
      </c>
      <c r="B719" t="s">
        <v>23</v>
      </c>
      <c r="C719" t="s">
        <v>14</v>
      </c>
      <c r="D719">
        <v>6670277</v>
      </c>
      <c r="E719" t="s">
        <v>10</v>
      </c>
      <c r="F719" t="s">
        <v>38</v>
      </c>
      <c r="G719" t="s">
        <v>37</v>
      </c>
      <c r="H719">
        <f t="shared" si="11"/>
        <v>6670000</v>
      </c>
    </row>
    <row r="720" spans="1:8" x14ac:dyDescent="0.3">
      <c r="A720" t="s">
        <v>29</v>
      </c>
      <c r="B720" t="s">
        <v>23</v>
      </c>
      <c r="C720" t="s">
        <v>15</v>
      </c>
      <c r="D720">
        <v>3190</v>
      </c>
      <c r="E720" t="s">
        <v>10</v>
      </c>
      <c r="F720" t="s">
        <v>38</v>
      </c>
      <c r="G720" t="s">
        <v>37</v>
      </c>
      <c r="H720">
        <f t="shared" si="11"/>
        <v>3190</v>
      </c>
    </row>
    <row r="721" spans="1:8" x14ac:dyDescent="0.3">
      <c r="A721" t="s">
        <v>29</v>
      </c>
      <c r="B721" t="s">
        <v>23</v>
      </c>
      <c r="C721" t="s">
        <v>16</v>
      </c>
      <c r="D721">
        <v>226328</v>
      </c>
      <c r="E721" t="s">
        <v>10</v>
      </c>
      <c r="F721" t="s">
        <v>38</v>
      </c>
      <c r="G721" t="s">
        <v>37</v>
      </c>
      <c r="H721">
        <f t="shared" si="11"/>
        <v>226000</v>
      </c>
    </row>
    <row r="722" spans="1:8" x14ac:dyDescent="0.3">
      <c r="A722" t="s">
        <v>29</v>
      </c>
      <c r="B722" t="s">
        <v>23</v>
      </c>
      <c r="C722" t="s">
        <v>17</v>
      </c>
      <c r="D722">
        <v>292</v>
      </c>
      <c r="E722" t="s">
        <v>10</v>
      </c>
      <c r="F722" t="s">
        <v>38</v>
      </c>
      <c r="G722" t="s">
        <v>37</v>
      </c>
      <c r="H722">
        <f t="shared" si="11"/>
        <v>292</v>
      </c>
    </row>
    <row r="723" spans="1:8" x14ac:dyDescent="0.3">
      <c r="A723" t="s">
        <v>29</v>
      </c>
      <c r="B723" t="s">
        <v>23</v>
      </c>
      <c r="C723" t="s">
        <v>18</v>
      </c>
      <c r="D723">
        <v>0</v>
      </c>
      <c r="E723" t="s">
        <v>10</v>
      </c>
      <c r="F723" t="s">
        <v>38</v>
      </c>
      <c r="G723" t="s">
        <v>37</v>
      </c>
      <c r="H723">
        <f t="shared" si="11"/>
        <v>0</v>
      </c>
    </row>
    <row r="724" spans="1:8" x14ac:dyDescent="0.3">
      <c r="A724" t="s">
        <v>29</v>
      </c>
      <c r="B724" t="s">
        <v>23</v>
      </c>
      <c r="C724" t="s">
        <v>19</v>
      </c>
      <c r="D724">
        <v>4157</v>
      </c>
      <c r="E724" t="s">
        <v>10</v>
      </c>
      <c r="F724" t="s">
        <v>38</v>
      </c>
      <c r="G724" t="s">
        <v>37</v>
      </c>
      <c r="H724">
        <f t="shared" si="11"/>
        <v>4160</v>
      </c>
    </row>
    <row r="725" spans="1:8" x14ac:dyDescent="0.3">
      <c r="A725" t="s">
        <v>29</v>
      </c>
      <c r="B725" t="s">
        <v>23</v>
      </c>
      <c r="C725" t="s">
        <v>20</v>
      </c>
      <c r="D725">
        <v>4132</v>
      </c>
      <c r="E725" t="s">
        <v>10</v>
      </c>
      <c r="F725" t="s">
        <v>38</v>
      </c>
      <c r="G725" t="s">
        <v>37</v>
      </c>
      <c r="H725">
        <f t="shared" si="11"/>
        <v>4130</v>
      </c>
    </row>
    <row r="726" spans="1:8" x14ac:dyDescent="0.3">
      <c r="A726" t="s">
        <v>29</v>
      </c>
      <c r="B726" t="s">
        <v>23</v>
      </c>
      <c r="C726" t="s">
        <v>21</v>
      </c>
      <c r="D726">
        <v>11848</v>
      </c>
      <c r="E726" t="s">
        <v>10</v>
      </c>
      <c r="F726" t="s">
        <v>38</v>
      </c>
      <c r="G726" t="s">
        <v>37</v>
      </c>
      <c r="H726">
        <f t="shared" si="11"/>
        <v>11800</v>
      </c>
    </row>
    <row r="727" spans="1:8" x14ac:dyDescent="0.3">
      <c r="A727" t="s">
        <v>29</v>
      </c>
      <c r="B727" t="s">
        <v>23</v>
      </c>
      <c r="C727" t="s">
        <v>22</v>
      </c>
      <c r="D727">
        <v>1842</v>
      </c>
      <c r="E727" t="s">
        <v>10</v>
      </c>
      <c r="F727" t="s">
        <v>38</v>
      </c>
      <c r="G727" t="s">
        <v>37</v>
      </c>
      <c r="H727">
        <f t="shared" si="11"/>
        <v>1840</v>
      </c>
    </row>
    <row r="728" spans="1:8" x14ac:dyDescent="0.3">
      <c r="A728" t="s">
        <v>30</v>
      </c>
      <c r="B728" t="s">
        <v>8</v>
      </c>
      <c r="C728" t="s">
        <v>9</v>
      </c>
      <c r="D728">
        <v>8</v>
      </c>
      <c r="E728" t="s">
        <v>10</v>
      </c>
      <c r="F728" t="s">
        <v>38</v>
      </c>
      <c r="G728" t="s">
        <v>37</v>
      </c>
      <c r="H728">
        <f t="shared" si="11"/>
        <v>8</v>
      </c>
    </row>
    <row r="729" spans="1:8" x14ac:dyDescent="0.3">
      <c r="A729" t="s">
        <v>30</v>
      </c>
      <c r="B729" t="s">
        <v>8</v>
      </c>
      <c r="C729" t="s">
        <v>13</v>
      </c>
      <c r="D729">
        <v>1</v>
      </c>
      <c r="E729" t="s">
        <v>10</v>
      </c>
      <c r="F729" t="s">
        <v>38</v>
      </c>
      <c r="G729" t="s">
        <v>37</v>
      </c>
      <c r="H729">
        <f t="shared" si="11"/>
        <v>1</v>
      </c>
    </row>
    <row r="730" spans="1:8" x14ac:dyDescent="0.3">
      <c r="A730" t="s">
        <v>30</v>
      </c>
      <c r="B730" t="s">
        <v>8</v>
      </c>
      <c r="C730" t="s">
        <v>14</v>
      </c>
      <c r="D730">
        <v>7</v>
      </c>
      <c r="E730" t="s">
        <v>10</v>
      </c>
      <c r="F730" t="s">
        <v>38</v>
      </c>
      <c r="G730" t="s">
        <v>37</v>
      </c>
      <c r="H730">
        <f t="shared" si="11"/>
        <v>7</v>
      </c>
    </row>
    <row r="731" spans="1:8" x14ac:dyDescent="0.3">
      <c r="A731" t="s">
        <v>30</v>
      </c>
      <c r="B731" t="s">
        <v>8</v>
      </c>
      <c r="C731" t="s">
        <v>15</v>
      </c>
      <c r="D731">
        <v>2</v>
      </c>
      <c r="E731" t="s">
        <v>10</v>
      </c>
      <c r="F731" t="s">
        <v>38</v>
      </c>
      <c r="G731" t="s">
        <v>37</v>
      </c>
      <c r="H731">
        <f t="shared" si="11"/>
        <v>2</v>
      </c>
    </row>
    <row r="732" spans="1:8" x14ac:dyDescent="0.3">
      <c r="A732" t="s">
        <v>30</v>
      </c>
      <c r="B732" t="s">
        <v>8</v>
      </c>
      <c r="C732" t="s">
        <v>16</v>
      </c>
      <c r="D732">
        <v>10</v>
      </c>
      <c r="E732" t="s">
        <v>10</v>
      </c>
      <c r="F732" t="s">
        <v>38</v>
      </c>
      <c r="G732" t="s">
        <v>37</v>
      </c>
      <c r="H732">
        <f t="shared" si="11"/>
        <v>10</v>
      </c>
    </row>
    <row r="733" spans="1:8" x14ac:dyDescent="0.3">
      <c r="A733" t="s">
        <v>30</v>
      </c>
      <c r="B733" t="s">
        <v>8</v>
      </c>
      <c r="C733" t="s">
        <v>17</v>
      </c>
      <c r="D733">
        <v>1284468</v>
      </c>
      <c r="E733" t="s">
        <v>10</v>
      </c>
      <c r="F733" t="s">
        <v>38</v>
      </c>
      <c r="G733" t="s">
        <v>37</v>
      </c>
      <c r="H733">
        <f t="shared" si="11"/>
        <v>1280000</v>
      </c>
    </row>
    <row r="734" spans="1:8" x14ac:dyDescent="0.3">
      <c r="A734" t="s">
        <v>30</v>
      </c>
      <c r="B734" t="s">
        <v>8</v>
      </c>
      <c r="C734" t="s">
        <v>18</v>
      </c>
      <c r="D734">
        <v>0</v>
      </c>
      <c r="E734" t="s">
        <v>10</v>
      </c>
      <c r="F734" t="s">
        <v>38</v>
      </c>
      <c r="G734" t="s">
        <v>37</v>
      </c>
      <c r="H734">
        <f t="shared" si="11"/>
        <v>0</v>
      </c>
    </row>
    <row r="735" spans="1:8" x14ac:dyDescent="0.3">
      <c r="A735" t="s">
        <v>30</v>
      </c>
      <c r="B735" t="s">
        <v>8</v>
      </c>
      <c r="C735" t="s">
        <v>19</v>
      </c>
      <c r="D735">
        <v>0</v>
      </c>
      <c r="E735" t="s">
        <v>10</v>
      </c>
      <c r="F735" t="s">
        <v>38</v>
      </c>
      <c r="G735" t="s">
        <v>37</v>
      </c>
      <c r="H735">
        <f t="shared" si="11"/>
        <v>0</v>
      </c>
    </row>
    <row r="736" spans="1:8" x14ac:dyDescent="0.3">
      <c r="A736" t="s">
        <v>30</v>
      </c>
      <c r="B736" t="s">
        <v>8</v>
      </c>
      <c r="C736" t="s">
        <v>20</v>
      </c>
      <c r="D736">
        <v>16</v>
      </c>
      <c r="E736" t="s">
        <v>10</v>
      </c>
      <c r="F736" t="s">
        <v>38</v>
      </c>
      <c r="G736" t="s">
        <v>37</v>
      </c>
      <c r="H736">
        <f t="shared" si="11"/>
        <v>16</v>
      </c>
    </row>
    <row r="737" spans="1:8" x14ac:dyDescent="0.3">
      <c r="A737" t="s">
        <v>30</v>
      </c>
      <c r="B737" t="s">
        <v>8</v>
      </c>
      <c r="C737" t="s">
        <v>21</v>
      </c>
      <c r="D737">
        <v>0</v>
      </c>
      <c r="E737" t="s">
        <v>10</v>
      </c>
      <c r="F737" t="s">
        <v>38</v>
      </c>
      <c r="G737" t="s">
        <v>37</v>
      </c>
      <c r="H737">
        <f t="shared" si="11"/>
        <v>0</v>
      </c>
    </row>
    <row r="738" spans="1:8" x14ac:dyDescent="0.3">
      <c r="A738" t="s">
        <v>30</v>
      </c>
      <c r="B738" t="s">
        <v>8</v>
      </c>
      <c r="C738" t="s">
        <v>22</v>
      </c>
      <c r="D738">
        <v>27</v>
      </c>
      <c r="E738" t="s">
        <v>10</v>
      </c>
      <c r="F738" t="s">
        <v>38</v>
      </c>
      <c r="G738" t="s">
        <v>37</v>
      </c>
      <c r="H738">
        <f t="shared" si="11"/>
        <v>27</v>
      </c>
    </row>
    <row r="739" spans="1:8" x14ac:dyDescent="0.3">
      <c r="A739" t="s">
        <v>30</v>
      </c>
      <c r="B739" t="s">
        <v>23</v>
      </c>
      <c r="C739" t="s">
        <v>9</v>
      </c>
      <c r="D739">
        <v>20066</v>
      </c>
      <c r="E739" t="s">
        <v>10</v>
      </c>
      <c r="F739" t="s">
        <v>38</v>
      </c>
      <c r="G739" t="s">
        <v>37</v>
      </c>
      <c r="H739">
        <f t="shared" si="11"/>
        <v>20100</v>
      </c>
    </row>
    <row r="740" spans="1:8" x14ac:dyDescent="0.3">
      <c r="A740" t="s">
        <v>30</v>
      </c>
      <c r="B740" t="s">
        <v>23</v>
      </c>
      <c r="C740" t="s">
        <v>13</v>
      </c>
      <c r="D740">
        <v>507</v>
      </c>
      <c r="E740" t="s">
        <v>10</v>
      </c>
      <c r="F740" t="s">
        <v>38</v>
      </c>
      <c r="G740" t="s">
        <v>37</v>
      </c>
      <c r="H740">
        <f t="shared" si="11"/>
        <v>507</v>
      </c>
    </row>
    <row r="741" spans="1:8" x14ac:dyDescent="0.3">
      <c r="A741" t="s">
        <v>30</v>
      </c>
      <c r="B741" t="s">
        <v>23</v>
      </c>
      <c r="C741" t="s">
        <v>14</v>
      </c>
      <c r="D741">
        <v>22325</v>
      </c>
      <c r="E741" t="s">
        <v>10</v>
      </c>
      <c r="F741" t="s">
        <v>38</v>
      </c>
      <c r="G741" t="s">
        <v>37</v>
      </c>
      <c r="H741">
        <f t="shared" si="11"/>
        <v>22300</v>
      </c>
    </row>
    <row r="742" spans="1:8" x14ac:dyDescent="0.3">
      <c r="A742" t="s">
        <v>30</v>
      </c>
      <c r="B742" t="s">
        <v>23</v>
      </c>
      <c r="C742" t="s">
        <v>15</v>
      </c>
      <c r="D742">
        <v>77</v>
      </c>
      <c r="E742" t="s">
        <v>10</v>
      </c>
      <c r="F742" t="s">
        <v>38</v>
      </c>
      <c r="G742" t="s">
        <v>37</v>
      </c>
      <c r="H742">
        <f t="shared" si="11"/>
        <v>77</v>
      </c>
    </row>
    <row r="743" spans="1:8" x14ac:dyDescent="0.3">
      <c r="A743" t="s">
        <v>30</v>
      </c>
      <c r="B743" t="s">
        <v>23</v>
      </c>
      <c r="C743" t="s">
        <v>16</v>
      </c>
      <c r="D743">
        <v>2365</v>
      </c>
      <c r="E743" t="s">
        <v>10</v>
      </c>
      <c r="F743" t="s">
        <v>38</v>
      </c>
      <c r="G743" t="s">
        <v>37</v>
      </c>
      <c r="H743">
        <f t="shared" si="11"/>
        <v>2370</v>
      </c>
    </row>
    <row r="744" spans="1:8" x14ac:dyDescent="0.3">
      <c r="A744" t="s">
        <v>30</v>
      </c>
      <c r="B744" t="s">
        <v>23</v>
      </c>
      <c r="C744" t="s">
        <v>17</v>
      </c>
      <c r="D744">
        <v>163230</v>
      </c>
      <c r="E744" t="s">
        <v>10</v>
      </c>
      <c r="F744" t="s">
        <v>38</v>
      </c>
      <c r="G744" t="s">
        <v>37</v>
      </c>
      <c r="H744">
        <f t="shared" si="11"/>
        <v>163000</v>
      </c>
    </row>
    <row r="745" spans="1:8" x14ac:dyDescent="0.3">
      <c r="A745" t="s">
        <v>30</v>
      </c>
      <c r="B745" t="s">
        <v>23</v>
      </c>
      <c r="C745" t="s">
        <v>18</v>
      </c>
      <c r="D745">
        <v>0</v>
      </c>
      <c r="E745" t="s">
        <v>10</v>
      </c>
      <c r="F745" t="s">
        <v>38</v>
      </c>
      <c r="G745" t="s">
        <v>37</v>
      </c>
      <c r="H745">
        <f t="shared" si="11"/>
        <v>0</v>
      </c>
    </row>
    <row r="746" spans="1:8" x14ac:dyDescent="0.3">
      <c r="A746" t="s">
        <v>30</v>
      </c>
      <c r="B746" t="s">
        <v>23</v>
      </c>
      <c r="C746" t="s">
        <v>19</v>
      </c>
      <c r="D746">
        <v>113</v>
      </c>
      <c r="E746" t="s">
        <v>10</v>
      </c>
      <c r="F746" t="s">
        <v>38</v>
      </c>
      <c r="G746" t="s">
        <v>37</v>
      </c>
      <c r="H746">
        <f t="shared" si="11"/>
        <v>113</v>
      </c>
    </row>
    <row r="747" spans="1:8" x14ac:dyDescent="0.3">
      <c r="A747" t="s">
        <v>30</v>
      </c>
      <c r="B747" t="s">
        <v>23</v>
      </c>
      <c r="C747" t="s">
        <v>20</v>
      </c>
      <c r="D747">
        <v>820</v>
      </c>
      <c r="E747" t="s">
        <v>10</v>
      </c>
      <c r="F747" t="s">
        <v>38</v>
      </c>
      <c r="G747" t="s">
        <v>37</v>
      </c>
      <c r="H747">
        <f t="shared" si="11"/>
        <v>820</v>
      </c>
    </row>
    <row r="748" spans="1:8" x14ac:dyDescent="0.3">
      <c r="A748" t="s">
        <v>30</v>
      </c>
      <c r="B748" t="s">
        <v>23</v>
      </c>
      <c r="C748" t="s">
        <v>21</v>
      </c>
      <c r="D748">
        <v>106</v>
      </c>
      <c r="E748" t="s">
        <v>10</v>
      </c>
      <c r="F748" t="s">
        <v>38</v>
      </c>
      <c r="G748" t="s">
        <v>37</v>
      </c>
      <c r="H748">
        <f t="shared" si="11"/>
        <v>106</v>
      </c>
    </row>
    <row r="749" spans="1:8" x14ac:dyDescent="0.3">
      <c r="A749" t="s">
        <v>30</v>
      </c>
      <c r="B749" t="s">
        <v>23</v>
      </c>
      <c r="C749" t="s">
        <v>22</v>
      </c>
      <c r="D749">
        <v>368</v>
      </c>
      <c r="E749" t="s">
        <v>10</v>
      </c>
      <c r="F749" t="s">
        <v>38</v>
      </c>
      <c r="G749" t="s">
        <v>37</v>
      </c>
      <c r="H749">
        <f t="shared" si="11"/>
        <v>368</v>
      </c>
    </row>
    <row r="750" spans="1:8" x14ac:dyDescent="0.3">
      <c r="A750" t="s">
        <v>31</v>
      </c>
      <c r="B750" t="s">
        <v>8</v>
      </c>
      <c r="C750" t="s">
        <v>9</v>
      </c>
      <c r="D750">
        <v>17</v>
      </c>
      <c r="E750" t="s">
        <v>10</v>
      </c>
      <c r="F750" t="s">
        <v>38</v>
      </c>
      <c r="G750" t="s">
        <v>37</v>
      </c>
      <c r="H750">
        <f t="shared" si="11"/>
        <v>17</v>
      </c>
    </row>
    <row r="751" spans="1:8" x14ac:dyDescent="0.3">
      <c r="A751" t="s">
        <v>31</v>
      </c>
      <c r="B751" t="s">
        <v>8</v>
      </c>
      <c r="C751" t="s">
        <v>13</v>
      </c>
      <c r="D751">
        <v>3</v>
      </c>
      <c r="E751" t="s">
        <v>10</v>
      </c>
      <c r="F751" t="s">
        <v>38</v>
      </c>
      <c r="G751" t="s">
        <v>37</v>
      </c>
      <c r="H751">
        <f t="shared" si="11"/>
        <v>3</v>
      </c>
    </row>
    <row r="752" spans="1:8" x14ac:dyDescent="0.3">
      <c r="A752" t="s">
        <v>31</v>
      </c>
      <c r="B752" t="s">
        <v>8</v>
      </c>
      <c r="C752" t="s">
        <v>14</v>
      </c>
      <c r="D752">
        <v>16</v>
      </c>
      <c r="E752" t="s">
        <v>10</v>
      </c>
      <c r="F752" t="s">
        <v>38</v>
      </c>
      <c r="G752" t="s">
        <v>37</v>
      </c>
      <c r="H752">
        <f t="shared" si="11"/>
        <v>16</v>
      </c>
    </row>
    <row r="753" spans="1:8" x14ac:dyDescent="0.3">
      <c r="A753" t="s">
        <v>31</v>
      </c>
      <c r="B753" t="s">
        <v>8</v>
      </c>
      <c r="C753" t="s">
        <v>15</v>
      </c>
      <c r="D753">
        <v>5</v>
      </c>
      <c r="E753" t="s">
        <v>10</v>
      </c>
      <c r="F753" t="s">
        <v>38</v>
      </c>
      <c r="G753" t="s">
        <v>37</v>
      </c>
      <c r="H753">
        <f t="shared" si="11"/>
        <v>5</v>
      </c>
    </row>
    <row r="754" spans="1:8" x14ac:dyDescent="0.3">
      <c r="A754" t="s">
        <v>31</v>
      </c>
      <c r="B754" t="s">
        <v>8</v>
      </c>
      <c r="C754" t="s">
        <v>16</v>
      </c>
      <c r="D754">
        <v>22</v>
      </c>
      <c r="E754" t="s">
        <v>10</v>
      </c>
      <c r="F754" t="s">
        <v>38</v>
      </c>
      <c r="G754" t="s">
        <v>37</v>
      </c>
      <c r="H754">
        <f t="shared" si="11"/>
        <v>22</v>
      </c>
    </row>
    <row r="755" spans="1:8" x14ac:dyDescent="0.3">
      <c r="A755" t="s">
        <v>31</v>
      </c>
      <c r="B755" t="s">
        <v>8</v>
      </c>
      <c r="C755" t="s">
        <v>17</v>
      </c>
      <c r="D755">
        <v>2859805</v>
      </c>
      <c r="E755" t="s">
        <v>10</v>
      </c>
      <c r="F755" t="s">
        <v>38</v>
      </c>
      <c r="G755" t="s">
        <v>37</v>
      </c>
      <c r="H755">
        <f t="shared" si="11"/>
        <v>2860000</v>
      </c>
    </row>
    <row r="756" spans="1:8" x14ac:dyDescent="0.3">
      <c r="A756" t="s">
        <v>31</v>
      </c>
      <c r="B756" t="s">
        <v>8</v>
      </c>
      <c r="C756" t="s">
        <v>18</v>
      </c>
      <c r="D756">
        <v>0</v>
      </c>
      <c r="E756" t="s">
        <v>10</v>
      </c>
      <c r="F756" t="s">
        <v>38</v>
      </c>
      <c r="G756" t="s">
        <v>37</v>
      </c>
      <c r="H756">
        <f t="shared" si="11"/>
        <v>0</v>
      </c>
    </row>
    <row r="757" spans="1:8" x14ac:dyDescent="0.3">
      <c r="A757" t="s">
        <v>31</v>
      </c>
      <c r="B757" t="s">
        <v>8</v>
      </c>
      <c r="C757" t="s">
        <v>19</v>
      </c>
      <c r="D757">
        <v>0</v>
      </c>
      <c r="E757" t="s">
        <v>10</v>
      </c>
      <c r="F757" t="s">
        <v>38</v>
      </c>
      <c r="G757" t="s">
        <v>37</v>
      </c>
      <c r="H757">
        <f t="shared" si="11"/>
        <v>0</v>
      </c>
    </row>
    <row r="758" spans="1:8" x14ac:dyDescent="0.3">
      <c r="A758" t="s">
        <v>31</v>
      </c>
      <c r="B758" t="s">
        <v>8</v>
      </c>
      <c r="C758" t="s">
        <v>20</v>
      </c>
      <c r="D758">
        <v>36</v>
      </c>
      <c r="E758" t="s">
        <v>10</v>
      </c>
      <c r="F758" t="s">
        <v>38</v>
      </c>
      <c r="G758" t="s">
        <v>37</v>
      </c>
      <c r="H758">
        <f t="shared" si="11"/>
        <v>36</v>
      </c>
    </row>
    <row r="759" spans="1:8" x14ac:dyDescent="0.3">
      <c r="A759" t="s">
        <v>31</v>
      </c>
      <c r="B759" t="s">
        <v>8</v>
      </c>
      <c r="C759" t="s">
        <v>21</v>
      </c>
      <c r="D759">
        <v>0</v>
      </c>
      <c r="E759" t="s">
        <v>10</v>
      </c>
      <c r="F759" t="s">
        <v>38</v>
      </c>
      <c r="G759" t="s">
        <v>37</v>
      </c>
      <c r="H759">
        <f t="shared" si="11"/>
        <v>0</v>
      </c>
    </row>
    <row r="760" spans="1:8" x14ac:dyDescent="0.3">
      <c r="A760" t="s">
        <v>31</v>
      </c>
      <c r="B760" t="s">
        <v>8</v>
      </c>
      <c r="C760" t="s">
        <v>22</v>
      </c>
      <c r="D760">
        <v>61</v>
      </c>
      <c r="E760" t="s">
        <v>10</v>
      </c>
      <c r="F760" t="s">
        <v>38</v>
      </c>
      <c r="G760" t="s">
        <v>37</v>
      </c>
      <c r="H760">
        <f t="shared" si="11"/>
        <v>61</v>
      </c>
    </row>
    <row r="761" spans="1:8" x14ac:dyDescent="0.3">
      <c r="A761" t="s">
        <v>31</v>
      </c>
      <c r="B761" t="s">
        <v>23</v>
      </c>
      <c r="C761" t="s">
        <v>9</v>
      </c>
      <c r="D761">
        <v>44675</v>
      </c>
      <c r="E761" t="s">
        <v>10</v>
      </c>
      <c r="F761" t="s">
        <v>38</v>
      </c>
      <c r="G761" t="s">
        <v>37</v>
      </c>
      <c r="H761">
        <f t="shared" si="11"/>
        <v>44700</v>
      </c>
    </row>
    <row r="762" spans="1:8" x14ac:dyDescent="0.3">
      <c r="A762" t="s">
        <v>31</v>
      </c>
      <c r="B762" t="s">
        <v>23</v>
      </c>
      <c r="C762" t="s">
        <v>13</v>
      </c>
      <c r="D762">
        <v>1129</v>
      </c>
      <c r="E762" t="s">
        <v>10</v>
      </c>
      <c r="F762" t="s">
        <v>38</v>
      </c>
      <c r="G762" t="s">
        <v>37</v>
      </c>
      <c r="H762">
        <f t="shared" si="11"/>
        <v>1130</v>
      </c>
    </row>
    <row r="763" spans="1:8" x14ac:dyDescent="0.3">
      <c r="A763" t="s">
        <v>31</v>
      </c>
      <c r="B763" t="s">
        <v>23</v>
      </c>
      <c r="C763" t="s">
        <v>14</v>
      </c>
      <c r="D763">
        <v>49706</v>
      </c>
      <c r="E763" t="s">
        <v>10</v>
      </c>
      <c r="F763" t="s">
        <v>38</v>
      </c>
      <c r="G763" t="s">
        <v>37</v>
      </c>
      <c r="H763">
        <f t="shared" si="11"/>
        <v>49700</v>
      </c>
    </row>
    <row r="764" spans="1:8" x14ac:dyDescent="0.3">
      <c r="A764" t="s">
        <v>31</v>
      </c>
      <c r="B764" t="s">
        <v>23</v>
      </c>
      <c r="C764" t="s">
        <v>15</v>
      </c>
      <c r="D764">
        <v>171</v>
      </c>
      <c r="E764" t="s">
        <v>10</v>
      </c>
      <c r="F764" t="s">
        <v>38</v>
      </c>
      <c r="G764" t="s">
        <v>37</v>
      </c>
      <c r="H764">
        <f t="shared" si="11"/>
        <v>171</v>
      </c>
    </row>
    <row r="765" spans="1:8" x14ac:dyDescent="0.3">
      <c r="A765" t="s">
        <v>31</v>
      </c>
      <c r="B765" t="s">
        <v>23</v>
      </c>
      <c r="C765" t="s">
        <v>16</v>
      </c>
      <c r="D765">
        <v>5265</v>
      </c>
      <c r="E765" t="s">
        <v>10</v>
      </c>
      <c r="F765" t="s">
        <v>38</v>
      </c>
      <c r="G765" t="s">
        <v>37</v>
      </c>
      <c r="H765">
        <f t="shared" si="11"/>
        <v>5270</v>
      </c>
    </row>
    <row r="766" spans="1:8" x14ac:dyDescent="0.3">
      <c r="A766" t="s">
        <v>31</v>
      </c>
      <c r="B766" t="s">
        <v>23</v>
      </c>
      <c r="C766" t="s">
        <v>17</v>
      </c>
      <c r="D766">
        <v>363424</v>
      </c>
      <c r="E766" t="s">
        <v>10</v>
      </c>
      <c r="F766" t="s">
        <v>38</v>
      </c>
      <c r="G766" t="s">
        <v>37</v>
      </c>
      <c r="H766">
        <f t="shared" si="11"/>
        <v>363000</v>
      </c>
    </row>
    <row r="767" spans="1:8" x14ac:dyDescent="0.3">
      <c r="A767" t="s">
        <v>31</v>
      </c>
      <c r="B767" t="s">
        <v>23</v>
      </c>
      <c r="C767" t="s">
        <v>18</v>
      </c>
      <c r="D767">
        <v>0</v>
      </c>
      <c r="E767" t="s">
        <v>10</v>
      </c>
      <c r="F767" t="s">
        <v>38</v>
      </c>
      <c r="G767" t="s">
        <v>37</v>
      </c>
      <c r="H767">
        <f t="shared" si="11"/>
        <v>0</v>
      </c>
    </row>
    <row r="768" spans="1:8" x14ac:dyDescent="0.3">
      <c r="A768" t="s">
        <v>31</v>
      </c>
      <c r="B768" t="s">
        <v>23</v>
      </c>
      <c r="C768" t="s">
        <v>19</v>
      </c>
      <c r="D768">
        <v>251</v>
      </c>
      <c r="E768" t="s">
        <v>10</v>
      </c>
      <c r="F768" t="s">
        <v>38</v>
      </c>
      <c r="G768" t="s">
        <v>37</v>
      </c>
      <c r="H768">
        <f t="shared" si="11"/>
        <v>251</v>
      </c>
    </row>
    <row r="769" spans="1:8" x14ac:dyDescent="0.3">
      <c r="A769" t="s">
        <v>31</v>
      </c>
      <c r="B769" t="s">
        <v>23</v>
      </c>
      <c r="C769" t="s">
        <v>20</v>
      </c>
      <c r="D769">
        <v>1827</v>
      </c>
      <c r="E769" t="s">
        <v>10</v>
      </c>
      <c r="F769" t="s">
        <v>38</v>
      </c>
      <c r="G769" t="s">
        <v>37</v>
      </c>
      <c r="H769">
        <f t="shared" si="11"/>
        <v>1830</v>
      </c>
    </row>
    <row r="770" spans="1:8" x14ac:dyDescent="0.3">
      <c r="A770" t="s">
        <v>31</v>
      </c>
      <c r="B770" t="s">
        <v>23</v>
      </c>
      <c r="C770" t="s">
        <v>21</v>
      </c>
      <c r="D770">
        <v>236</v>
      </c>
      <c r="E770" t="s">
        <v>10</v>
      </c>
      <c r="F770" t="s">
        <v>38</v>
      </c>
      <c r="G770" t="s">
        <v>37</v>
      </c>
      <c r="H770">
        <f t="shared" si="11"/>
        <v>236</v>
      </c>
    </row>
    <row r="771" spans="1:8" x14ac:dyDescent="0.3">
      <c r="A771" t="s">
        <v>31</v>
      </c>
      <c r="B771" t="s">
        <v>23</v>
      </c>
      <c r="C771" t="s">
        <v>22</v>
      </c>
      <c r="D771">
        <v>818</v>
      </c>
      <c r="E771" t="s">
        <v>10</v>
      </c>
      <c r="F771" t="s">
        <v>38</v>
      </c>
      <c r="G771" t="s">
        <v>37</v>
      </c>
      <c r="H771">
        <f t="shared" ref="H771:H834" si="12">ROUND(D771, 3 - LEN(INT(ABS(D771))))</f>
        <v>818</v>
      </c>
    </row>
    <row r="772" spans="1:8" x14ac:dyDescent="0.3">
      <c r="A772" t="s">
        <v>32</v>
      </c>
      <c r="B772" t="s">
        <v>8</v>
      </c>
      <c r="C772" t="s">
        <v>9</v>
      </c>
      <c r="D772">
        <v>19</v>
      </c>
      <c r="E772" t="s">
        <v>10</v>
      </c>
      <c r="F772" t="s">
        <v>38</v>
      </c>
      <c r="G772" t="s">
        <v>37</v>
      </c>
      <c r="H772">
        <f t="shared" si="12"/>
        <v>19</v>
      </c>
    </row>
    <row r="773" spans="1:8" x14ac:dyDescent="0.3">
      <c r="A773" t="s">
        <v>32</v>
      </c>
      <c r="B773" t="s">
        <v>8</v>
      </c>
      <c r="C773" t="s">
        <v>13</v>
      </c>
      <c r="D773">
        <v>2736</v>
      </c>
      <c r="E773" t="s">
        <v>10</v>
      </c>
      <c r="F773" t="s">
        <v>38</v>
      </c>
      <c r="G773" t="s">
        <v>37</v>
      </c>
      <c r="H773">
        <f t="shared" si="12"/>
        <v>2740</v>
      </c>
    </row>
    <row r="774" spans="1:8" x14ac:dyDescent="0.3">
      <c r="A774" t="s">
        <v>32</v>
      </c>
      <c r="B774" t="s">
        <v>8</v>
      </c>
      <c r="C774" t="s">
        <v>14</v>
      </c>
      <c r="D774">
        <v>116</v>
      </c>
      <c r="E774" t="s">
        <v>10</v>
      </c>
      <c r="F774" t="s">
        <v>38</v>
      </c>
      <c r="G774" t="s">
        <v>37</v>
      </c>
      <c r="H774">
        <f t="shared" si="12"/>
        <v>116</v>
      </c>
    </row>
    <row r="775" spans="1:8" x14ac:dyDescent="0.3">
      <c r="A775" t="s">
        <v>32</v>
      </c>
      <c r="B775" t="s">
        <v>8</v>
      </c>
      <c r="C775" t="s">
        <v>15</v>
      </c>
      <c r="D775">
        <v>6</v>
      </c>
      <c r="E775" t="s">
        <v>10</v>
      </c>
      <c r="F775" t="s">
        <v>38</v>
      </c>
      <c r="G775" t="s">
        <v>37</v>
      </c>
      <c r="H775">
        <f t="shared" si="12"/>
        <v>6</v>
      </c>
    </row>
    <row r="776" spans="1:8" x14ac:dyDescent="0.3">
      <c r="A776" t="s">
        <v>32</v>
      </c>
      <c r="B776" t="s">
        <v>8</v>
      </c>
      <c r="C776" t="s">
        <v>16</v>
      </c>
      <c r="D776">
        <v>58</v>
      </c>
      <c r="E776" t="s">
        <v>10</v>
      </c>
      <c r="F776" t="s">
        <v>38</v>
      </c>
      <c r="G776" t="s">
        <v>37</v>
      </c>
      <c r="H776">
        <f t="shared" si="12"/>
        <v>58</v>
      </c>
    </row>
    <row r="777" spans="1:8" x14ac:dyDescent="0.3">
      <c r="A777" t="s">
        <v>32</v>
      </c>
      <c r="B777" t="s">
        <v>8</v>
      </c>
      <c r="C777" t="s">
        <v>17</v>
      </c>
      <c r="D777">
        <v>22</v>
      </c>
      <c r="E777" t="s">
        <v>10</v>
      </c>
      <c r="F777" t="s">
        <v>38</v>
      </c>
      <c r="G777" t="s">
        <v>37</v>
      </c>
      <c r="H777">
        <f t="shared" si="12"/>
        <v>22</v>
      </c>
    </row>
    <row r="778" spans="1:8" x14ac:dyDescent="0.3">
      <c r="A778" t="s">
        <v>32</v>
      </c>
      <c r="B778" t="s">
        <v>8</v>
      </c>
      <c r="C778" t="s">
        <v>18</v>
      </c>
      <c r="D778">
        <v>0</v>
      </c>
      <c r="E778" t="s">
        <v>10</v>
      </c>
      <c r="F778" t="s">
        <v>38</v>
      </c>
      <c r="G778" t="s">
        <v>37</v>
      </c>
      <c r="H778">
        <f t="shared" si="12"/>
        <v>0</v>
      </c>
    </row>
    <row r="779" spans="1:8" x14ac:dyDescent="0.3">
      <c r="A779" t="s">
        <v>32</v>
      </c>
      <c r="B779" t="s">
        <v>8</v>
      </c>
      <c r="C779" t="s">
        <v>19</v>
      </c>
      <c r="D779">
        <v>0</v>
      </c>
      <c r="E779" t="s">
        <v>10</v>
      </c>
      <c r="F779" t="s">
        <v>38</v>
      </c>
      <c r="G779" t="s">
        <v>37</v>
      </c>
      <c r="H779">
        <f t="shared" si="12"/>
        <v>0</v>
      </c>
    </row>
    <row r="780" spans="1:8" x14ac:dyDescent="0.3">
      <c r="A780" t="s">
        <v>32</v>
      </c>
      <c r="B780" t="s">
        <v>8</v>
      </c>
      <c r="C780" t="s">
        <v>20</v>
      </c>
      <c r="D780">
        <v>21</v>
      </c>
      <c r="E780" t="s">
        <v>10</v>
      </c>
      <c r="F780" t="s">
        <v>38</v>
      </c>
      <c r="G780" t="s">
        <v>37</v>
      </c>
      <c r="H780">
        <f t="shared" si="12"/>
        <v>21</v>
      </c>
    </row>
    <row r="781" spans="1:8" x14ac:dyDescent="0.3">
      <c r="A781" t="s">
        <v>32</v>
      </c>
      <c r="B781" t="s">
        <v>8</v>
      </c>
      <c r="C781" t="s">
        <v>21</v>
      </c>
      <c r="D781">
        <v>47</v>
      </c>
      <c r="E781" t="s">
        <v>10</v>
      </c>
      <c r="F781" t="s">
        <v>38</v>
      </c>
      <c r="G781" t="s">
        <v>37</v>
      </c>
      <c r="H781">
        <f t="shared" si="12"/>
        <v>47</v>
      </c>
    </row>
    <row r="782" spans="1:8" x14ac:dyDescent="0.3">
      <c r="A782" t="s">
        <v>32</v>
      </c>
      <c r="B782" t="s">
        <v>8</v>
      </c>
      <c r="C782" t="s">
        <v>22</v>
      </c>
      <c r="D782">
        <v>288541</v>
      </c>
      <c r="E782" t="s">
        <v>10</v>
      </c>
      <c r="F782" t="s">
        <v>38</v>
      </c>
      <c r="G782" t="s">
        <v>37</v>
      </c>
      <c r="H782">
        <f t="shared" si="12"/>
        <v>289000</v>
      </c>
    </row>
    <row r="783" spans="1:8" x14ac:dyDescent="0.3">
      <c r="A783" t="s">
        <v>32</v>
      </c>
      <c r="B783" t="s">
        <v>23</v>
      </c>
      <c r="C783" t="s">
        <v>9</v>
      </c>
      <c r="D783">
        <v>7182</v>
      </c>
      <c r="E783" t="s">
        <v>10</v>
      </c>
      <c r="F783" t="s">
        <v>38</v>
      </c>
      <c r="G783" t="s">
        <v>37</v>
      </c>
      <c r="H783">
        <f t="shared" si="12"/>
        <v>7180</v>
      </c>
    </row>
    <row r="784" spans="1:8" x14ac:dyDescent="0.3">
      <c r="A784" t="s">
        <v>32</v>
      </c>
      <c r="B784" t="s">
        <v>23</v>
      </c>
      <c r="C784" t="s">
        <v>13</v>
      </c>
      <c r="D784">
        <v>51621</v>
      </c>
      <c r="E784" t="s">
        <v>10</v>
      </c>
      <c r="F784" t="s">
        <v>38</v>
      </c>
      <c r="G784" t="s">
        <v>37</v>
      </c>
      <c r="H784">
        <f t="shared" si="12"/>
        <v>51600</v>
      </c>
    </row>
    <row r="785" spans="1:8" x14ac:dyDescent="0.3">
      <c r="A785" t="s">
        <v>32</v>
      </c>
      <c r="B785" t="s">
        <v>23</v>
      </c>
      <c r="C785" t="s">
        <v>14</v>
      </c>
      <c r="D785">
        <v>49903</v>
      </c>
      <c r="E785" t="s">
        <v>10</v>
      </c>
      <c r="F785" t="s">
        <v>38</v>
      </c>
      <c r="G785" t="s">
        <v>37</v>
      </c>
      <c r="H785">
        <f t="shared" si="12"/>
        <v>49900</v>
      </c>
    </row>
    <row r="786" spans="1:8" x14ac:dyDescent="0.3">
      <c r="A786" t="s">
        <v>32</v>
      </c>
      <c r="B786" t="s">
        <v>23</v>
      </c>
      <c r="C786" t="s">
        <v>15</v>
      </c>
      <c r="D786">
        <v>1854</v>
      </c>
      <c r="E786" t="s">
        <v>10</v>
      </c>
      <c r="F786" t="s">
        <v>38</v>
      </c>
      <c r="G786" t="s">
        <v>37</v>
      </c>
      <c r="H786">
        <f t="shared" si="12"/>
        <v>1850</v>
      </c>
    </row>
    <row r="787" spans="1:8" x14ac:dyDescent="0.3">
      <c r="A787" t="s">
        <v>32</v>
      </c>
      <c r="B787" t="s">
        <v>23</v>
      </c>
      <c r="C787" t="s">
        <v>16</v>
      </c>
      <c r="D787">
        <v>18079</v>
      </c>
      <c r="E787" t="s">
        <v>10</v>
      </c>
      <c r="F787" t="s">
        <v>38</v>
      </c>
      <c r="G787" t="s">
        <v>37</v>
      </c>
      <c r="H787">
        <f t="shared" si="12"/>
        <v>18100</v>
      </c>
    </row>
    <row r="788" spans="1:8" x14ac:dyDescent="0.3">
      <c r="A788" t="s">
        <v>32</v>
      </c>
      <c r="B788" t="s">
        <v>23</v>
      </c>
      <c r="C788" t="s">
        <v>17</v>
      </c>
      <c r="D788">
        <v>1415</v>
      </c>
      <c r="E788" t="s">
        <v>10</v>
      </c>
      <c r="F788" t="s">
        <v>38</v>
      </c>
      <c r="G788" t="s">
        <v>37</v>
      </c>
      <c r="H788">
        <f t="shared" si="12"/>
        <v>1420</v>
      </c>
    </row>
    <row r="789" spans="1:8" x14ac:dyDescent="0.3">
      <c r="A789" t="s">
        <v>32</v>
      </c>
      <c r="B789" t="s">
        <v>23</v>
      </c>
      <c r="C789" t="s">
        <v>18</v>
      </c>
      <c r="D789">
        <v>0</v>
      </c>
      <c r="E789" t="s">
        <v>10</v>
      </c>
      <c r="F789" t="s">
        <v>38</v>
      </c>
      <c r="G789" t="s">
        <v>37</v>
      </c>
      <c r="H789">
        <f t="shared" si="12"/>
        <v>0</v>
      </c>
    </row>
    <row r="790" spans="1:8" x14ac:dyDescent="0.3">
      <c r="A790" t="s">
        <v>32</v>
      </c>
      <c r="B790" t="s">
        <v>23</v>
      </c>
      <c r="C790" t="s">
        <v>19</v>
      </c>
      <c r="D790">
        <v>7545</v>
      </c>
      <c r="E790" t="s">
        <v>10</v>
      </c>
      <c r="F790" t="s">
        <v>38</v>
      </c>
      <c r="G790" t="s">
        <v>37</v>
      </c>
      <c r="H790">
        <f t="shared" si="12"/>
        <v>7550</v>
      </c>
    </row>
    <row r="791" spans="1:8" x14ac:dyDescent="0.3">
      <c r="A791" t="s">
        <v>32</v>
      </c>
      <c r="B791" t="s">
        <v>23</v>
      </c>
      <c r="C791" t="s">
        <v>20</v>
      </c>
      <c r="D791">
        <v>2723</v>
      </c>
      <c r="E791" t="s">
        <v>10</v>
      </c>
      <c r="F791" t="s">
        <v>38</v>
      </c>
      <c r="G791" t="s">
        <v>37</v>
      </c>
      <c r="H791">
        <f t="shared" si="12"/>
        <v>2720</v>
      </c>
    </row>
    <row r="792" spans="1:8" x14ac:dyDescent="0.3">
      <c r="A792" t="s">
        <v>32</v>
      </c>
      <c r="B792" t="s">
        <v>23</v>
      </c>
      <c r="C792" t="s">
        <v>21</v>
      </c>
      <c r="D792">
        <v>1508</v>
      </c>
      <c r="E792" t="s">
        <v>10</v>
      </c>
      <c r="F792" t="s">
        <v>38</v>
      </c>
      <c r="G792" t="s">
        <v>37</v>
      </c>
      <c r="H792">
        <f t="shared" si="12"/>
        <v>1510</v>
      </c>
    </row>
    <row r="793" spans="1:8" x14ac:dyDescent="0.3">
      <c r="A793" t="s">
        <v>32</v>
      </c>
      <c r="B793" t="s">
        <v>23</v>
      </c>
      <c r="C793" t="s">
        <v>22</v>
      </c>
      <c r="D793">
        <v>415054</v>
      </c>
      <c r="E793" t="s">
        <v>10</v>
      </c>
      <c r="F793" t="s">
        <v>38</v>
      </c>
      <c r="G793" t="s">
        <v>37</v>
      </c>
      <c r="H793">
        <f t="shared" si="12"/>
        <v>415000</v>
      </c>
    </row>
    <row r="794" spans="1:8" x14ac:dyDescent="0.3">
      <c r="A794" t="s">
        <v>33</v>
      </c>
      <c r="B794" t="s">
        <v>8</v>
      </c>
      <c r="C794" t="s">
        <v>9</v>
      </c>
      <c r="D794">
        <v>2585</v>
      </c>
      <c r="E794" t="s">
        <v>10</v>
      </c>
      <c r="F794" t="s">
        <v>38</v>
      </c>
      <c r="G794" t="s">
        <v>37</v>
      </c>
      <c r="H794">
        <f t="shared" si="12"/>
        <v>2590</v>
      </c>
    </row>
    <row r="795" spans="1:8" x14ac:dyDescent="0.3">
      <c r="A795" t="s">
        <v>33</v>
      </c>
      <c r="B795" t="s">
        <v>8</v>
      </c>
      <c r="C795" t="s">
        <v>13</v>
      </c>
      <c r="D795">
        <v>57</v>
      </c>
      <c r="E795" t="s">
        <v>10</v>
      </c>
      <c r="F795" t="s">
        <v>38</v>
      </c>
      <c r="G795" t="s">
        <v>37</v>
      </c>
      <c r="H795">
        <f t="shared" si="12"/>
        <v>57</v>
      </c>
    </row>
    <row r="796" spans="1:8" x14ac:dyDescent="0.3">
      <c r="A796" t="s">
        <v>33</v>
      </c>
      <c r="B796" t="s">
        <v>8</v>
      </c>
      <c r="C796" t="s">
        <v>14</v>
      </c>
      <c r="D796">
        <v>538076</v>
      </c>
      <c r="E796" t="s">
        <v>10</v>
      </c>
      <c r="F796" t="s">
        <v>38</v>
      </c>
      <c r="G796" t="s">
        <v>37</v>
      </c>
      <c r="H796">
        <f t="shared" si="12"/>
        <v>538000</v>
      </c>
    </row>
    <row r="797" spans="1:8" x14ac:dyDescent="0.3">
      <c r="A797" t="s">
        <v>33</v>
      </c>
      <c r="B797" t="s">
        <v>8</v>
      </c>
      <c r="C797" t="s">
        <v>15</v>
      </c>
      <c r="D797">
        <v>59</v>
      </c>
      <c r="E797" t="s">
        <v>10</v>
      </c>
      <c r="F797" t="s">
        <v>38</v>
      </c>
      <c r="G797" t="s">
        <v>37</v>
      </c>
      <c r="H797">
        <f t="shared" si="12"/>
        <v>59</v>
      </c>
    </row>
    <row r="798" spans="1:8" x14ac:dyDescent="0.3">
      <c r="A798" t="s">
        <v>33</v>
      </c>
      <c r="B798" t="s">
        <v>8</v>
      </c>
      <c r="C798" t="s">
        <v>16</v>
      </c>
      <c r="D798">
        <v>19805456</v>
      </c>
      <c r="E798" t="s">
        <v>10</v>
      </c>
      <c r="F798" t="s">
        <v>38</v>
      </c>
      <c r="G798" t="s">
        <v>37</v>
      </c>
      <c r="H798">
        <f t="shared" si="12"/>
        <v>19800000</v>
      </c>
    </row>
    <row r="799" spans="1:8" x14ac:dyDescent="0.3">
      <c r="A799" t="s">
        <v>33</v>
      </c>
      <c r="B799" t="s">
        <v>8</v>
      </c>
      <c r="C799" t="s">
        <v>17</v>
      </c>
      <c r="D799">
        <v>1738767</v>
      </c>
      <c r="E799" t="s">
        <v>10</v>
      </c>
      <c r="F799" t="s">
        <v>38</v>
      </c>
      <c r="G799" t="s">
        <v>37</v>
      </c>
      <c r="H799">
        <f t="shared" si="12"/>
        <v>1740000</v>
      </c>
    </row>
    <row r="800" spans="1:8" x14ac:dyDescent="0.3">
      <c r="A800" t="s">
        <v>33</v>
      </c>
      <c r="B800" t="s">
        <v>8</v>
      </c>
      <c r="C800" t="s">
        <v>18</v>
      </c>
      <c r="D800">
        <v>0</v>
      </c>
      <c r="E800" t="s">
        <v>10</v>
      </c>
      <c r="F800" t="s">
        <v>38</v>
      </c>
      <c r="G800" t="s">
        <v>37</v>
      </c>
      <c r="H800">
        <f t="shared" si="12"/>
        <v>0</v>
      </c>
    </row>
    <row r="801" spans="1:8" x14ac:dyDescent="0.3">
      <c r="A801" t="s">
        <v>33</v>
      </c>
      <c r="B801" t="s">
        <v>8</v>
      </c>
      <c r="C801" t="s">
        <v>19</v>
      </c>
      <c r="D801">
        <v>10</v>
      </c>
      <c r="E801" t="s">
        <v>10</v>
      </c>
      <c r="F801" t="s">
        <v>38</v>
      </c>
      <c r="G801" t="s">
        <v>37</v>
      </c>
      <c r="H801">
        <f t="shared" si="12"/>
        <v>10</v>
      </c>
    </row>
    <row r="802" spans="1:8" x14ac:dyDescent="0.3">
      <c r="A802" t="s">
        <v>33</v>
      </c>
      <c r="B802" t="s">
        <v>8</v>
      </c>
      <c r="C802" t="s">
        <v>20</v>
      </c>
      <c r="D802">
        <v>361</v>
      </c>
      <c r="E802" t="s">
        <v>10</v>
      </c>
      <c r="F802" t="s">
        <v>38</v>
      </c>
      <c r="G802" t="s">
        <v>37</v>
      </c>
      <c r="H802">
        <f t="shared" si="12"/>
        <v>361</v>
      </c>
    </row>
    <row r="803" spans="1:8" x14ac:dyDescent="0.3">
      <c r="A803" t="s">
        <v>33</v>
      </c>
      <c r="B803" t="s">
        <v>8</v>
      </c>
      <c r="C803" t="s">
        <v>21</v>
      </c>
      <c r="D803">
        <v>667</v>
      </c>
      <c r="E803" t="s">
        <v>10</v>
      </c>
      <c r="F803" t="s">
        <v>38</v>
      </c>
      <c r="G803" t="s">
        <v>37</v>
      </c>
      <c r="H803">
        <f t="shared" si="12"/>
        <v>667</v>
      </c>
    </row>
    <row r="804" spans="1:8" x14ac:dyDescent="0.3">
      <c r="A804" t="s">
        <v>33</v>
      </c>
      <c r="B804" t="s">
        <v>8</v>
      </c>
      <c r="C804" t="s">
        <v>22</v>
      </c>
      <c r="D804">
        <v>739</v>
      </c>
      <c r="E804" t="s">
        <v>10</v>
      </c>
      <c r="F804" t="s">
        <v>38</v>
      </c>
      <c r="G804" t="s">
        <v>37</v>
      </c>
      <c r="H804">
        <f t="shared" si="12"/>
        <v>739</v>
      </c>
    </row>
    <row r="805" spans="1:8" x14ac:dyDescent="0.3">
      <c r="A805" t="s">
        <v>33</v>
      </c>
      <c r="B805" t="s">
        <v>23</v>
      </c>
      <c r="C805" t="s">
        <v>9</v>
      </c>
      <c r="D805">
        <v>35199</v>
      </c>
      <c r="E805" t="s">
        <v>10</v>
      </c>
      <c r="F805" t="s">
        <v>38</v>
      </c>
      <c r="G805" t="s">
        <v>37</v>
      </c>
      <c r="H805">
        <f t="shared" si="12"/>
        <v>35200</v>
      </c>
    </row>
    <row r="806" spans="1:8" x14ac:dyDescent="0.3">
      <c r="A806" t="s">
        <v>33</v>
      </c>
      <c r="B806" t="s">
        <v>23</v>
      </c>
      <c r="C806" t="s">
        <v>13</v>
      </c>
      <c r="D806">
        <v>9496</v>
      </c>
      <c r="E806" t="s">
        <v>10</v>
      </c>
      <c r="F806" t="s">
        <v>38</v>
      </c>
      <c r="G806" t="s">
        <v>37</v>
      </c>
      <c r="H806">
        <f t="shared" si="12"/>
        <v>9500</v>
      </c>
    </row>
    <row r="807" spans="1:8" x14ac:dyDescent="0.3">
      <c r="A807" t="s">
        <v>33</v>
      </c>
      <c r="B807" t="s">
        <v>23</v>
      </c>
      <c r="C807" t="s">
        <v>14</v>
      </c>
      <c r="D807">
        <v>176598</v>
      </c>
      <c r="E807" t="s">
        <v>10</v>
      </c>
      <c r="F807" t="s">
        <v>38</v>
      </c>
      <c r="G807" t="s">
        <v>37</v>
      </c>
      <c r="H807">
        <f t="shared" si="12"/>
        <v>177000</v>
      </c>
    </row>
    <row r="808" spans="1:8" x14ac:dyDescent="0.3">
      <c r="A808" t="s">
        <v>33</v>
      </c>
      <c r="B808" t="s">
        <v>23</v>
      </c>
      <c r="C808" t="s">
        <v>15</v>
      </c>
      <c r="D808">
        <v>1654</v>
      </c>
      <c r="E808" t="s">
        <v>10</v>
      </c>
      <c r="F808" t="s">
        <v>38</v>
      </c>
      <c r="G808" t="s">
        <v>37</v>
      </c>
      <c r="H808">
        <f t="shared" si="12"/>
        <v>1650</v>
      </c>
    </row>
    <row r="809" spans="1:8" x14ac:dyDescent="0.3">
      <c r="A809" t="s">
        <v>33</v>
      </c>
      <c r="B809" t="s">
        <v>23</v>
      </c>
      <c r="C809" t="s">
        <v>16</v>
      </c>
      <c r="D809">
        <v>13140899</v>
      </c>
      <c r="E809" t="s">
        <v>10</v>
      </c>
      <c r="F809" t="s">
        <v>38</v>
      </c>
      <c r="G809" t="s">
        <v>37</v>
      </c>
      <c r="H809">
        <f t="shared" si="12"/>
        <v>13100000</v>
      </c>
    </row>
    <row r="810" spans="1:8" x14ac:dyDescent="0.3">
      <c r="A810" t="s">
        <v>33</v>
      </c>
      <c r="B810" t="s">
        <v>23</v>
      </c>
      <c r="C810" t="s">
        <v>17</v>
      </c>
      <c r="D810">
        <v>222234</v>
      </c>
      <c r="E810" t="s">
        <v>10</v>
      </c>
      <c r="F810" t="s">
        <v>38</v>
      </c>
      <c r="G810" t="s">
        <v>37</v>
      </c>
      <c r="H810">
        <f t="shared" si="12"/>
        <v>222000</v>
      </c>
    </row>
    <row r="811" spans="1:8" x14ac:dyDescent="0.3">
      <c r="A811" t="s">
        <v>33</v>
      </c>
      <c r="B811" t="s">
        <v>23</v>
      </c>
      <c r="C811" t="s">
        <v>18</v>
      </c>
      <c r="D811">
        <v>97</v>
      </c>
      <c r="E811" t="s">
        <v>10</v>
      </c>
      <c r="F811" t="s">
        <v>38</v>
      </c>
      <c r="G811" t="s">
        <v>37</v>
      </c>
      <c r="H811">
        <f t="shared" si="12"/>
        <v>97</v>
      </c>
    </row>
    <row r="812" spans="1:8" x14ac:dyDescent="0.3">
      <c r="A812" t="s">
        <v>33</v>
      </c>
      <c r="B812" t="s">
        <v>23</v>
      </c>
      <c r="C812" t="s">
        <v>19</v>
      </c>
      <c r="D812">
        <v>2279</v>
      </c>
      <c r="E812" t="s">
        <v>10</v>
      </c>
      <c r="F812" t="s">
        <v>38</v>
      </c>
      <c r="G812" t="s">
        <v>37</v>
      </c>
      <c r="H812">
        <f t="shared" si="12"/>
        <v>2280</v>
      </c>
    </row>
    <row r="813" spans="1:8" x14ac:dyDescent="0.3">
      <c r="A813" t="s">
        <v>33</v>
      </c>
      <c r="B813" t="s">
        <v>23</v>
      </c>
      <c r="C813" t="s">
        <v>20</v>
      </c>
      <c r="D813">
        <v>25900</v>
      </c>
      <c r="E813" t="s">
        <v>10</v>
      </c>
      <c r="F813" t="s">
        <v>38</v>
      </c>
      <c r="G813" t="s">
        <v>37</v>
      </c>
      <c r="H813">
        <f t="shared" si="12"/>
        <v>25900</v>
      </c>
    </row>
    <row r="814" spans="1:8" x14ac:dyDescent="0.3">
      <c r="A814" t="s">
        <v>33</v>
      </c>
      <c r="B814" t="s">
        <v>23</v>
      </c>
      <c r="C814" t="s">
        <v>21</v>
      </c>
      <c r="D814">
        <v>3635</v>
      </c>
      <c r="E814" t="s">
        <v>10</v>
      </c>
      <c r="F814" t="s">
        <v>38</v>
      </c>
      <c r="G814" t="s">
        <v>37</v>
      </c>
      <c r="H814">
        <f t="shared" si="12"/>
        <v>3640</v>
      </c>
    </row>
    <row r="815" spans="1:8" x14ac:dyDescent="0.3">
      <c r="A815" t="s">
        <v>33</v>
      </c>
      <c r="B815" t="s">
        <v>23</v>
      </c>
      <c r="C815" t="s">
        <v>22</v>
      </c>
      <c r="D815">
        <v>8361</v>
      </c>
      <c r="E815" t="s">
        <v>10</v>
      </c>
      <c r="F815" t="s">
        <v>38</v>
      </c>
      <c r="G815" t="s">
        <v>37</v>
      </c>
      <c r="H815">
        <f t="shared" si="12"/>
        <v>8360</v>
      </c>
    </row>
    <row r="816" spans="1:8" x14ac:dyDescent="0.3">
      <c r="A816" t="s">
        <v>34</v>
      </c>
      <c r="B816" t="s">
        <v>8</v>
      </c>
      <c r="C816" t="s">
        <v>9</v>
      </c>
      <c r="D816">
        <v>48</v>
      </c>
      <c r="E816" t="s">
        <v>10</v>
      </c>
      <c r="F816" t="s">
        <v>38</v>
      </c>
      <c r="G816" t="s">
        <v>37</v>
      </c>
      <c r="H816">
        <f t="shared" si="12"/>
        <v>48</v>
      </c>
    </row>
    <row r="817" spans="1:8" x14ac:dyDescent="0.3">
      <c r="A817" t="s">
        <v>34</v>
      </c>
      <c r="B817" t="s">
        <v>8</v>
      </c>
      <c r="C817" t="s">
        <v>13</v>
      </c>
      <c r="D817">
        <v>6839</v>
      </c>
      <c r="E817" t="s">
        <v>10</v>
      </c>
      <c r="F817" t="s">
        <v>38</v>
      </c>
      <c r="G817" t="s">
        <v>37</v>
      </c>
      <c r="H817">
        <f t="shared" si="12"/>
        <v>6840</v>
      </c>
    </row>
    <row r="818" spans="1:8" x14ac:dyDescent="0.3">
      <c r="A818" t="s">
        <v>34</v>
      </c>
      <c r="B818" t="s">
        <v>8</v>
      </c>
      <c r="C818" t="s">
        <v>14</v>
      </c>
      <c r="D818">
        <v>290</v>
      </c>
      <c r="E818" t="s">
        <v>10</v>
      </c>
      <c r="F818" t="s">
        <v>38</v>
      </c>
      <c r="G818" t="s">
        <v>37</v>
      </c>
      <c r="H818">
        <f t="shared" si="12"/>
        <v>290</v>
      </c>
    </row>
    <row r="819" spans="1:8" x14ac:dyDescent="0.3">
      <c r="A819" t="s">
        <v>34</v>
      </c>
      <c r="B819" t="s">
        <v>8</v>
      </c>
      <c r="C819" t="s">
        <v>15</v>
      </c>
      <c r="D819">
        <v>14</v>
      </c>
      <c r="E819" t="s">
        <v>10</v>
      </c>
      <c r="F819" t="s">
        <v>38</v>
      </c>
      <c r="G819" t="s">
        <v>37</v>
      </c>
      <c r="H819">
        <f t="shared" si="12"/>
        <v>14</v>
      </c>
    </row>
    <row r="820" spans="1:8" x14ac:dyDescent="0.3">
      <c r="A820" t="s">
        <v>34</v>
      </c>
      <c r="B820" t="s">
        <v>8</v>
      </c>
      <c r="C820" t="s">
        <v>16</v>
      </c>
      <c r="D820">
        <v>145</v>
      </c>
      <c r="E820" t="s">
        <v>10</v>
      </c>
      <c r="F820" t="s">
        <v>38</v>
      </c>
      <c r="G820" t="s">
        <v>37</v>
      </c>
      <c r="H820">
        <f t="shared" si="12"/>
        <v>145</v>
      </c>
    </row>
    <row r="821" spans="1:8" x14ac:dyDescent="0.3">
      <c r="A821" t="s">
        <v>34</v>
      </c>
      <c r="B821" t="s">
        <v>8</v>
      </c>
      <c r="C821" t="s">
        <v>17</v>
      </c>
      <c r="D821">
        <v>55</v>
      </c>
      <c r="E821" t="s">
        <v>10</v>
      </c>
      <c r="F821" t="s">
        <v>38</v>
      </c>
      <c r="G821" t="s">
        <v>37</v>
      </c>
      <c r="H821">
        <f t="shared" si="12"/>
        <v>55</v>
      </c>
    </row>
    <row r="822" spans="1:8" x14ac:dyDescent="0.3">
      <c r="A822" t="s">
        <v>34</v>
      </c>
      <c r="B822" t="s">
        <v>8</v>
      </c>
      <c r="C822" t="s">
        <v>18</v>
      </c>
      <c r="D822">
        <v>0</v>
      </c>
      <c r="E822" t="s">
        <v>10</v>
      </c>
      <c r="F822" t="s">
        <v>38</v>
      </c>
      <c r="G822" t="s">
        <v>37</v>
      </c>
      <c r="H822">
        <f t="shared" si="12"/>
        <v>0</v>
      </c>
    </row>
    <row r="823" spans="1:8" x14ac:dyDescent="0.3">
      <c r="A823" t="s">
        <v>34</v>
      </c>
      <c r="B823" t="s">
        <v>8</v>
      </c>
      <c r="C823" t="s">
        <v>19</v>
      </c>
      <c r="D823">
        <v>2</v>
      </c>
      <c r="E823" t="s">
        <v>10</v>
      </c>
      <c r="F823" t="s">
        <v>38</v>
      </c>
      <c r="G823" t="s">
        <v>37</v>
      </c>
      <c r="H823">
        <f t="shared" si="12"/>
        <v>2</v>
      </c>
    </row>
    <row r="824" spans="1:8" x14ac:dyDescent="0.3">
      <c r="A824" t="s">
        <v>34</v>
      </c>
      <c r="B824" t="s">
        <v>8</v>
      </c>
      <c r="C824" t="s">
        <v>20</v>
      </c>
      <c r="D824">
        <v>54</v>
      </c>
      <c r="E824" t="s">
        <v>10</v>
      </c>
      <c r="F824" t="s">
        <v>38</v>
      </c>
      <c r="G824" t="s">
        <v>37</v>
      </c>
      <c r="H824">
        <f t="shared" si="12"/>
        <v>54</v>
      </c>
    </row>
    <row r="825" spans="1:8" x14ac:dyDescent="0.3">
      <c r="A825" t="s">
        <v>34</v>
      </c>
      <c r="B825" t="s">
        <v>8</v>
      </c>
      <c r="C825" t="s">
        <v>21</v>
      </c>
      <c r="D825">
        <v>117</v>
      </c>
      <c r="E825" t="s">
        <v>10</v>
      </c>
      <c r="F825" t="s">
        <v>38</v>
      </c>
      <c r="G825" t="s">
        <v>37</v>
      </c>
      <c r="H825">
        <f t="shared" si="12"/>
        <v>117</v>
      </c>
    </row>
    <row r="826" spans="1:8" x14ac:dyDescent="0.3">
      <c r="A826" t="s">
        <v>34</v>
      </c>
      <c r="B826" t="s">
        <v>8</v>
      </c>
      <c r="C826" t="s">
        <v>22</v>
      </c>
      <c r="D826">
        <v>721354</v>
      </c>
      <c r="E826" t="s">
        <v>10</v>
      </c>
      <c r="F826" t="s">
        <v>38</v>
      </c>
      <c r="G826" t="s">
        <v>37</v>
      </c>
      <c r="H826">
        <f t="shared" si="12"/>
        <v>721000</v>
      </c>
    </row>
    <row r="827" spans="1:8" x14ac:dyDescent="0.3">
      <c r="A827" t="s">
        <v>34</v>
      </c>
      <c r="B827" t="s">
        <v>23</v>
      </c>
      <c r="C827" t="s">
        <v>9</v>
      </c>
      <c r="D827">
        <v>17954</v>
      </c>
      <c r="E827" t="s">
        <v>10</v>
      </c>
      <c r="F827" t="s">
        <v>38</v>
      </c>
      <c r="G827" t="s">
        <v>37</v>
      </c>
      <c r="H827">
        <f t="shared" si="12"/>
        <v>18000</v>
      </c>
    </row>
    <row r="828" spans="1:8" x14ac:dyDescent="0.3">
      <c r="A828" t="s">
        <v>34</v>
      </c>
      <c r="B828" t="s">
        <v>23</v>
      </c>
      <c r="C828" t="s">
        <v>13</v>
      </c>
      <c r="D828">
        <v>129052</v>
      </c>
      <c r="E828" t="s">
        <v>10</v>
      </c>
      <c r="F828" t="s">
        <v>38</v>
      </c>
      <c r="G828" t="s">
        <v>37</v>
      </c>
      <c r="H828">
        <f t="shared" si="12"/>
        <v>129000</v>
      </c>
    </row>
    <row r="829" spans="1:8" x14ac:dyDescent="0.3">
      <c r="A829" t="s">
        <v>34</v>
      </c>
      <c r="B829" t="s">
        <v>23</v>
      </c>
      <c r="C829" t="s">
        <v>14</v>
      </c>
      <c r="D829">
        <v>124757</v>
      </c>
      <c r="E829" t="s">
        <v>10</v>
      </c>
      <c r="F829" t="s">
        <v>38</v>
      </c>
      <c r="G829" t="s">
        <v>37</v>
      </c>
      <c r="H829">
        <f t="shared" si="12"/>
        <v>125000</v>
      </c>
    </row>
    <row r="830" spans="1:8" x14ac:dyDescent="0.3">
      <c r="A830" t="s">
        <v>34</v>
      </c>
      <c r="B830" t="s">
        <v>23</v>
      </c>
      <c r="C830" t="s">
        <v>15</v>
      </c>
      <c r="D830">
        <v>4634</v>
      </c>
      <c r="E830" t="s">
        <v>10</v>
      </c>
      <c r="F830" t="s">
        <v>38</v>
      </c>
      <c r="G830" t="s">
        <v>37</v>
      </c>
      <c r="H830">
        <f t="shared" si="12"/>
        <v>4630</v>
      </c>
    </row>
    <row r="831" spans="1:8" x14ac:dyDescent="0.3">
      <c r="A831" t="s">
        <v>34</v>
      </c>
      <c r="B831" t="s">
        <v>23</v>
      </c>
      <c r="C831" t="s">
        <v>16</v>
      </c>
      <c r="D831">
        <v>45199</v>
      </c>
      <c r="E831" t="s">
        <v>10</v>
      </c>
      <c r="F831" t="s">
        <v>38</v>
      </c>
      <c r="G831" t="s">
        <v>37</v>
      </c>
      <c r="H831">
        <f t="shared" si="12"/>
        <v>45200</v>
      </c>
    </row>
    <row r="832" spans="1:8" x14ac:dyDescent="0.3">
      <c r="A832" t="s">
        <v>34</v>
      </c>
      <c r="B832" t="s">
        <v>23</v>
      </c>
      <c r="C832" t="s">
        <v>17</v>
      </c>
      <c r="D832">
        <v>3538</v>
      </c>
      <c r="E832" t="s">
        <v>10</v>
      </c>
      <c r="F832" t="s">
        <v>38</v>
      </c>
      <c r="G832" t="s">
        <v>37</v>
      </c>
      <c r="H832">
        <f t="shared" si="12"/>
        <v>3540</v>
      </c>
    </row>
    <row r="833" spans="1:8" x14ac:dyDescent="0.3">
      <c r="A833" t="s">
        <v>34</v>
      </c>
      <c r="B833" t="s">
        <v>23</v>
      </c>
      <c r="C833" t="s">
        <v>18</v>
      </c>
      <c r="D833">
        <v>0</v>
      </c>
      <c r="E833" t="s">
        <v>10</v>
      </c>
      <c r="F833" t="s">
        <v>38</v>
      </c>
      <c r="G833" t="s">
        <v>37</v>
      </c>
      <c r="H833">
        <f t="shared" si="12"/>
        <v>0</v>
      </c>
    </row>
    <row r="834" spans="1:8" x14ac:dyDescent="0.3">
      <c r="A834" t="s">
        <v>34</v>
      </c>
      <c r="B834" t="s">
        <v>23</v>
      </c>
      <c r="C834" t="s">
        <v>19</v>
      </c>
      <c r="D834">
        <v>18863</v>
      </c>
      <c r="E834" t="s">
        <v>10</v>
      </c>
      <c r="F834" t="s">
        <v>38</v>
      </c>
      <c r="G834" t="s">
        <v>37</v>
      </c>
      <c r="H834">
        <f t="shared" si="12"/>
        <v>18900</v>
      </c>
    </row>
    <row r="835" spans="1:8" x14ac:dyDescent="0.3">
      <c r="A835" t="s">
        <v>34</v>
      </c>
      <c r="B835" t="s">
        <v>23</v>
      </c>
      <c r="C835" t="s">
        <v>20</v>
      </c>
      <c r="D835">
        <v>6807</v>
      </c>
      <c r="E835" t="s">
        <v>10</v>
      </c>
      <c r="F835" t="s">
        <v>38</v>
      </c>
      <c r="G835" t="s">
        <v>37</v>
      </c>
      <c r="H835">
        <f t="shared" ref="H835:H898" si="13">ROUND(D835, 3 - LEN(INT(ABS(D835))))</f>
        <v>6810</v>
      </c>
    </row>
    <row r="836" spans="1:8" x14ac:dyDescent="0.3">
      <c r="A836" t="s">
        <v>34</v>
      </c>
      <c r="B836" t="s">
        <v>23</v>
      </c>
      <c r="C836" t="s">
        <v>21</v>
      </c>
      <c r="D836">
        <v>3770</v>
      </c>
      <c r="E836" t="s">
        <v>10</v>
      </c>
      <c r="F836" t="s">
        <v>38</v>
      </c>
      <c r="G836" t="s">
        <v>37</v>
      </c>
      <c r="H836">
        <f t="shared" si="13"/>
        <v>3770</v>
      </c>
    </row>
    <row r="837" spans="1:8" x14ac:dyDescent="0.3">
      <c r="A837" t="s">
        <v>34</v>
      </c>
      <c r="B837" t="s">
        <v>23</v>
      </c>
      <c r="C837" t="s">
        <v>22</v>
      </c>
      <c r="D837">
        <v>1037636</v>
      </c>
      <c r="E837" t="s">
        <v>10</v>
      </c>
      <c r="F837" t="s">
        <v>38</v>
      </c>
      <c r="G837" t="s">
        <v>37</v>
      </c>
      <c r="H837">
        <f t="shared" si="13"/>
        <v>1040000</v>
      </c>
    </row>
    <row r="838" spans="1:8" x14ac:dyDescent="0.3">
      <c r="A838" t="s">
        <v>35</v>
      </c>
      <c r="B838" t="s">
        <v>8</v>
      </c>
      <c r="C838" t="s">
        <v>9</v>
      </c>
      <c r="D838">
        <v>20</v>
      </c>
      <c r="E838" t="s">
        <v>10</v>
      </c>
      <c r="F838" t="s">
        <v>38</v>
      </c>
      <c r="G838" t="s">
        <v>37</v>
      </c>
      <c r="H838">
        <f t="shared" si="13"/>
        <v>20</v>
      </c>
    </row>
    <row r="839" spans="1:8" x14ac:dyDescent="0.3">
      <c r="A839" t="s">
        <v>35</v>
      </c>
      <c r="B839" t="s">
        <v>8</v>
      </c>
      <c r="C839" t="s">
        <v>13</v>
      </c>
      <c r="D839">
        <v>2862</v>
      </c>
      <c r="E839" t="s">
        <v>10</v>
      </c>
      <c r="F839" t="s">
        <v>38</v>
      </c>
      <c r="G839" t="s">
        <v>37</v>
      </c>
      <c r="H839">
        <f t="shared" si="13"/>
        <v>2860</v>
      </c>
    </row>
    <row r="840" spans="1:8" x14ac:dyDescent="0.3">
      <c r="A840" t="s">
        <v>35</v>
      </c>
      <c r="B840" t="s">
        <v>8</v>
      </c>
      <c r="C840" t="s">
        <v>14</v>
      </c>
      <c r="D840">
        <v>121</v>
      </c>
      <c r="E840" t="s">
        <v>10</v>
      </c>
      <c r="F840" t="s">
        <v>38</v>
      </c>
      <c r="G840" t="s">
        <v>37</v>
      </c>
      <c r="H840">
        <f t="shared" si="13"/>
        <v>121</v>
      </c>
    </row>
    <row r="841" spans="1:8" x14ac:dyDescent="0.3">
      <c r="A841" t="s">
        <v>35</v>
      </c>
      <c r="B841" t="s">
        <v>8</v>
      </c>
      <c r="C841" t="s">
        <v>15</v>
      </c>
      <c r="D841">
        <v>6</v>
      </c>
      <c r="E841" t="s">
        <v>10</v>
      </c>
      <c r="F841" t="s">
        <v>38</v>
      </c>
      <c r="G841" t="s">
        <v>37</v>
      </c>
      <c r="H841">
        <f t="shared" si="13"/>
        <v>6</v>
      </c>
    </row>
    <row r="842" spans="1:8" x14ac:dyDescent="0.3">
      <c r="A842" t="s">
        <v>35</v>
      </c>
      <c r="B842" t="s">
        <v>8</v>
      </c>
      <c r="C842" t="s">
        <v>16</v>
      </c>
      <c r="D842">
        <v>61</v>
      </c>
      <c r="E842" t="s">
        <v>10</v>
      </c>
      <c r="F842" t="s">
        <v>38</v>
      </c>
      <c r="G842" t="s">
        <v>37</v>
      </c>
      <c r="H842">
        <f t="shared" si="13"/>
        <v>61</v>
      </c>
    </row>
    <row r="843" spans="1:8" x14ac:dyDescent="0.3">
      <c r="A843" t="s">
        <v>35</v>
      </c>
      <c r="B843" t="s">
        <v>8</v>
      </c>
      <c r="C843" t="s">
        <v>17</v>
      </c>
      <c r="D843">
        <v>23</v>
      </c>
      <c r="E843" t="s">
        <v>10</v>
      </c>
      <c r="F843" t="s">
        <v>38</v>
      </c>
      <c r="G843" t="s">
        <v>37</v>
      </c>
      <c r="H843">
        <f t="shared" si="13"/>
        <v>23</v>
      </c>
    </row>
    <row r="844" spans="1:8" x14ac:dyDescent="0.3">
      <c r="A844" t="s">
        <v>35</v>
      </c>
      <c r="B844" t="s">
        <v>8</v>
      </c>
      <c r="C844" t="s">
        <v>18</v>
      </c>
      <c r="D844">
        <v>0</v>
      </c>
      <c r="E844" t="s">
        <v>10</v>
      </c>
      <c r="F844" t="s">
        <v>38</v>
      </c>
      <c r="G844" t="s">
        <v>37</v>
      </c>
      <c r="H844">
        <f t="shared" si="13"/>
        <v>0</v>
      </c>
    </row>
    <row r="845" spans="1:8" x14ac:dyDescent="0.3">
      <c r="A845" t="s">
        <v>35</v>
      </c>
      <c r="B845" t="s">
        <v>8</v>
      </c>
      <c r="C845" t="s">
        <v>19</v>
      </c>
      <c r="D845">
        <v>0</v>
      </c>
      <c r="E845" t="s">
        <v>10</v>
      </c>
      <c r="F845" t="s">
        <v>38</v>
      </c>
      <c r="G845" t="s">
        <v>37</v>
      </c>
      <c r="H845">
        <f t="shared" si="13"/>
        <v>0</v>
      </c>
    </row>
    <row r="846" spans="1:8" x14ac:dyDescent="0.3">
      <c r="A846" t="s">
        <v>35</v>
      </c>
      <c r="B846" t="s">
        <v>8</v>
      </c>
      <c r="C846" t="s">
        <v>20</v>
      </c>
      <c r="D846">
        <v>22</v>
      </c>
      <c r="E846" t="s">
        <v>10</v>
      </c>
      <c r="F846" t="s">
        <v>38</v>
      </c>
      <c r="G846" t="s">
        <v>37</v>
      </c>
      <c r="H846">
        <f t="shared" si="13"/>
        <v>22</v>
      </c>
    </row>
    <row r="847" spans="1:8" x14ac:dyDescent="0.3">
      <c r="A847" t="s">
        <v>35</v>
      </c>
      <c r="B847" t="s">
        <v>8</v>
      </c>
      <c r="C847" t="s">
        <v>21</v>
      </c>
      <c r="D847">
        <v>49</v>
      </c>
      <c r="E847" t="s">
        <v>10</v>
      </c>
      <c r="F847" t="s">
        <v>38</v>
      </c>
      <c r="G847" t="s">
        <v>37</v>
      </c>
      <c r="H847">
        <f t="shared" si="13"/>
        <v>49</v>
      </c>
    </row>
    <row r="848" spans="1:8" x14ac:dyDescent="0.3">
      <c r="A848" t="s">
        <v>35</v>
      </c>
      <c r="B848" t="s">
        <v>8</v>
      </c>
      <c r="C848" t="s">
        <v>22</v>
      </c>
      <c r="D848">
        <v>301859</v>
      </c>
      <c r="E848" t="s">
        <v>10</v>
      </c>
      <c r="F848" t="s">
        <v>38</v>
      </c>
      <c r="G848" t="s">
        <v>37</v>
      </c>
      <c r="H848">
        <f t="shared" si="13"/>
        <v>302000</v>
      </c>
    </row>
    <row r="849" spans="1:8" x14ac:dyDescent="0.3">
      <c r="A849" t="s">
        <v>35</v>
      </c>
      <c r="B849" t="s">
        <v>23</v>
      </c>
      <c r="C849" t="s">
        <v>9</v>
      </c>
      <c r="D849">
        <v>7513</v>
      </c>
      <c r="E849" t="s">
        <v>10</v>
      </c>
      <c r="F849" t="s">
        <v>38</v>
      </c>
      <c r="G849" t="s">
        <v>37</v>
      </c>
      <c r="H849">
        <f t="shared" si="13"/>
        <v>7510</v>
      </c>
    </row>
    <row r="850" spans="1:8" x14ac:dyDescent="0.3">
      <c r="A850" t="s">
        <v>35</v>
      </c>
      <c r="B850" t="s">
        <v>23</v>
      </c>
      <c r="C850" t="s">
        <v>13</v>
      </c>
      <c r="D850">
        <v>54003</v>
      </c>
      <c r="E850" t="s">
        <v>10</v>
      </c>
      <c r="F850" t="s">
        <v>38</v>
      </c>
      <c r="G850" t="s">
        <v>37</v>
      </c>
      <c r="H850">
        <f t="shared" si="13"/>
        <v>54000</v>
      </c>
    </row>
    <row r="851" spans="1:8" x14ac:dyDescent="0.3">
      <c r="A851" t="s">
        <v>35</v>
      </c>
      <c r="B851" t="s">
        <v>23</v>
      </c>
      <c r="C851" t="s">
        <v>14</v>
      </c>
      <c r="D851">
        <v>52206</v>
      </c>
      <c r="E851" t="s">
        <v>10</v>
      </c>
      <c r="F851" t="s">
        <v>38</v>
      </c>
      <c r="G851" t="s">
        <v>37</v>
      </c>
      <c r="H851">
        <f t="shared" si="13"/>
        <v>52200</v>
      </c>
    </row>
    <row r="852" spans="1:8" x14ac:dyDescent="0.3">
      <c r="A852" t="s">
        <v>35</v>
      </c>
      <c r="B852" t="s">
        <v>23</v>
      </c>
      <c r="C852" t="s">
        <v>15</v>
      </c>
      <c r="D852">
        <v>1939</v>
      </c>
      <c r="E852" t="s">
        <v>10</v>
      </c>
      <c r="F852" t="s">
        <v>38</v>
      </c>
      <c r="G852" t="s">
        <v>37</v>
      </c>
      <c r="H852">
        <f t="shared" si="13"/>
        <v>1940</v>
      </c>
    </row>
    <row r="853" spans="1:8" x14ac:dyDescent="0.3">
      <c r="A853" t="s">
        <v>35</v>
      </c>
      <c r="B853" t="s">
        <v>23</v>
      </c>
      <c r="C853" t="s">
        <v>16</v>
      </c>
      <c r="D853">
        <v>18914</v>
      </c>
      <c r="E853" t="s">
        <v>10</v>
      </c>
      <c r="F853" t="s">
        <v>38</v>
      </c>
      <c r="G853" t="s">
        <v>37</v>
      </c>
      <c r="H853">
        <f t="shared" si="13"/>
        <v>18900</v>
      </c>
    </row>
    <row r="854" spans="1:8" x14ac:dyDescent="0.3">
      <c r="A854" t="s">
        <v>35</v>
      </c>
      <c r="B854" t="s">
        <v>23</v>
      </c>
      <c r="C854" t="s">
        <v>17</v>
      </c>
      <c r="D854">
        <v>1481</v>
      </c>
      <c r="E854" t="s">
        <v>10</v>
      </c>
      <c r="F854" t="s">
        <v>38</v>
      </c>
      <c r="G854" t="s">
        <v>37</v>
      </c>
      <c r="H854">
        <f t="shared" si="13"/>
        <v>1480</v>
      </c>
    </row>
    <row r="855" spans="1:8" x14ac:dyDescent="0.3">
      <c r="A855" t="s">
        <v>35</v>
      </c>
      <c r="B855" t="s">
        <v>23</v>
      </c>
      <c r="C855" t="s">
        <v>18</v>
      </c>
      <c r="D855">
        <v>0</v>
      </c>
      <c r="E855" t="s">
        <v>10</v>
      </c>
      <c r="F855" t="s">
        <v>38</v>
      </c>
      <c r="G855" t="s">
        <v>37</v>
      </c>
      <c r="H855">
        <f t="shared" si="13"/>
        <v>0</v>
      </c>
    </row>
    <row r="856" spans="1:8" x14ac:dyDescent="0.3">
      <c r="A856" t="s">
        <v>35</v>
      </c>
      <c r="B856" t="s">
        <v>23</v>
      </c>
      <c r="C856" t="s">
        <v>19</v>
      </c>
      <c r="D856">
        <v>7893</v>
      </c>
      <c r="E856" t="s">
        <v>10</v>
      </c>
      <c r="F856" t="s">
        <v>38</v>
      </c>
      <c r="G856" t="s">
        <v>37</v>
      </c>
      <c r="H856">
        <f t="shared" si="13"/>
        <v>7890</v>
      </c>
    </row>
    <row r="857" spans="1:8" x14ac:dyDescent="0.3">
      <c r="A857" t="s">
        <v>35</v>
      </c>
      <c r="B857" t="s">
        <v>23</v>
      </c>
      <c r="C857" t="s">
        <v>20</v>
      </c>
      <c r="D857">
        <v>2848</v>
      </c>
      <c r="E857" t="s">
        <v>10</v>
      </c>
      <c r="F857" t="s">
        <v>38</v>
      </c>
      <c r="G857" t="s">
        <v>37</v>
      </c>
      <c r="H857">
        <f t="shared" si="13"/>
        <v>2850</v>
      </c>
    </row>
    <row r="858" spans="1:8" x14ac:dyDescent="0.3">
      <c r="A858" t="s">
        <v>35</v>
      </c>
      <c r="B858" t="s">
        <v>23</v>
      </c>
      <c r="C858" t="s">
        <v>21</v>
      </c>
      <c r="D858">
        <v>1578</v>
      </c>
      <c r="E858" t="s">
        <v>10</v>
      </c>
      <c r="F858" t="s">
        <v>38</v>
      </c>
      <c r="G858" t="s">
        <v>37</v>
      </c>
      <c r="H858">
        <f t="shared" si="13"/>
        <v>1580</v>
      </c>
    </row>
    <row r="859" spans="1:8" x14ac:dyDescent="0.3">
      <c r="A859" t="s">
        <v>35</v>
      </c>
      <c r="B859" t="s">
        <v>23</v>
      </c>
      <c r="C859" t="s">
        <v>22</v>
      </c>
      <c r="D859">
        <v>434211</v>
      </c>
      <c r="E859" t="s">
        <v>10</v>
      </c>
      <c r="F859" t="s">
        <v>38</v>
      </c>
      <c r="G859" t="s">
        <v>37</v>
      </c>
      <c r="H859">
        <f t="shared" si="13"/>
        <v>434000</v>
      </c>
    </row>
    <row r="860" spans="1:8" x14ac:dyDescent="0.3">
      <c r="A860" t="s">
        <v>7</v>
      </c>
      <c r="B860" t="s">
        <v>8</v>
      </c>
      <c r="C860" t="s">
        <v>9</v>
      </c>
      <c r="D860">
        <v>0</v>
      </c>
      <c r="E860" t="s">
        <v>10</v>
      </c>
      <c r="F860" t="s">
        <v>39</v>
      </c>
      <c r="G860" t="s">
        <v>40</v>
      </c>
      <c r="H860">
        <f t="shared" si="13"/>
        <v>0</v>
      </c>
    </row>
    <row r="861" spans="1:8" x14ac:dyDescent="0.3">
      <c r="A861" t="s">
        <v>7</v>
      </c>
      <c r="B861" t="s">
        <v>8</v>
      </c>
      <c r="C861" t="s">
        <v>13</v>
      </c>
      <c r="D861">
        <v>47</v>
      </c>
      <c r="E861" t="s">
        <v>10</v>
      </c>
      <c r="F861" t="s">
        <v>39</v>
      </c>
      <c r="G861" t="s">
        <v>40</v>
      </c>
      <c r="H861">
        <f t="shared" si="13"/>
        <v>47</v>
      </c>
    </row>
    <row r="862" spans="1:8" x14ac:dyDescent="0.3">
      <c r="A862" t="s">
        <v>7</v>
      </c>
      <c r="B862" t="s">
        <v>8</v>
      </c>
      <c r="C862" t="s">
        <v>14</v>
      </c>
      <c r="D862">
        <v>0</v>
      </c>
      <c r="E862" t="s">
        <v>10</v>
      </c>
      <c r="F862" t="s">
        <v>39</v>
      </c>
      <c r="G862" t="s">
        <v>40</v>
      </c>
      <c r="H862">
        <f t="shared" si="13"/>
        <v>0</v>
      </c>
    </row>
    <row r="863" spans="1:8" x14ac:dyDescent="0.3">
      <c r="A863" t="s">
        <v>7</v>
      </c>
      <c r="B863" t="s">
        <v>8</v>
      </c>
      <c r="C863" t="s">
        <v>15</v>
      </c>
      <c r="D863">
        <v>0</v>
      </c>
      <c r="E863" t="s">
        <v>10</v>
      </c>
      <c r="F863" t="s">
        <v>39</v>
      </c>
      <c r="G863" t="s">
        <v>40</v>
      </c>
      <c r="H863">
        <f t="shared" si="13"/>
        <v>0</v>
      </c>
    </row>
    <row r="864" spans="1:8" x14ac:dyDescent="0.3">
      <c r="A864" t="s">
        <v>7</v>
      </c>
      <c r="B864" t="s">
        <v>8</v>
      </c>
      <c r="C864" t="s">
        <v>16</v>
      </c>
      <c r="D864">
        <v>1</v>
      </c>
      <c r="E864" t="s">
        <v>10</v>
      </c>
      <c r="F864" t="s">
        <v>39</v>
      </c>
      <c r="G864" t="s">
        <v>40</v>
      </c>
      <c r="H864">
        <f t="shared" si="13"/>
        <v>1</v>
      </c>
    </row>
    <row r="865" spans="1:8" x14ac:dyDescent="0.3">
      <c r="A865" t="s">
        <v>7</v>
      </c>
      <c r="B865" t="s">
        <v>8</v>
      </c>
      <c r="C865" t="s">
        <v>17</v>
      </c>
      <c r="D865">
        <v>0</v>
      </c>
      <c r="E865" t="s">
        <v>10</v>
      </c>
      <c r="F865" t="s">
        <v>39</v>
      </c>
      <c r="G865" t="s">
        <v>40</v>
      </c>
      <c r="H865">
        <f t="shared" si="13"/>
        <v>0</v>
      </c>
    </row>
    <row r="866" spans="1:8" x14ac:dyDescent="0.3">
      <c r="A866" t="s">
        <v>7</v>
      </c>
      <c r="B866" t="s">
        <v>8</v>
      </c>
      <c r="C866" t="s">
        <v>18</v>
      </c>
      <c r="D866">
        <v>0</v>
      </c>
      <c r="E866" t="s">
        <v>10</v>
      </c>
      <c r="F866" t="s">
        <v>39</v>
      </c>
      <c r="G866" t="s">
        <v>40</v>
      </c>
      <c r="H866">
        <f t="shared" si="13"/>
        <v>0</v>
      </c>
    </row>
    <row r="867" spans="1:8" x14ac:dyDescent="0.3">
      <c r="A867" t="s">
        <v>7</v>
      </c>
      <c r="B867" t="s">
        <v>8</v>
      </c>
      <c r="C867" t="s">
        <v>19</v>
      </c>
      <c r="D867">
        <v>0</v>
      </c>
      <c r="E867" t="s">
        <v>10</v>
      </c>
      <c r="F867" t="s">
        <v>39</v>
      </c>
      <c r="G867" t="s">
        <v>40</v>
      </c>
      <c r="H867">
        <f t="shared" si="13"/>
        <v>0</v>
      </c>
    </row>
    <row r="868" spans="1:8" x14ac:dyDescent="0.3">
      <c r="A868" t="s">
        <v>7</v>
      </c>
      <c r="B868" t="s">
        <v>8</v>
      </c>
      <c r="C868" t="s">
        <v>20</v>
      </c>
      <c r="D868">
        <v>0</v>
      </c>
      <c r="E868" t="s">
        <v>10</v>
      </c>
      <c r="F868" t="s">
        <v>39</v>
      </c>
      <c r="G868" t="s">
        <v>40</v>
      </c>
      <c r="H868">
        <f t="shared" si="13"/>
        <v>0</v>
      </c>
    </row>
    <row r="869" spans="1:8" x14ac:dyDescent="0.3">
      <c r="A869" t="s">
        <v>7</v>
      </c>
      <c r="B869" t="s">
        <v>8</v>
      </c>
      <c r="C869" t="s">
        <v>21</v>
      </c>
      <c r="D869">
        <v>0</v>
      </c>
      <c r="E869" t="s">
        <v>10</v>
      </c>
      <c r="F869" t="s">
        <v>39</v>
      </c>
      <c r="G869" t="s">
        <v>40</v>
      </c>
      <c r="H869">
        <f t="shared" si="13"/>
        <v>0</v>
      </c>
    </row>
    <row r="870" spans="1:8" x14ac:dyDescent="0.3">
      <c r="A870" t="s">
        <v>7</v>
      </c>
      <c r="B870" t="s">
        <v>8</v>
      </c>
      <c r="C870" t="s">
        <v>22</v>
      </c>
      <c r="D870">
        <v>62605</v>
      </c>
      <c r="E870" t="s">
        <v>10</v>
      </c>
      <c r="F870" t="s">
        <v>39</v>
      </c>
      <c r="G870" t="s">
        <v>40</v>
      </c>
      <c r="H870">
        <f t="shared" si="13"/>
        <v>62600</v>
      </c>
    </row>
    <row r="871" spans="1:8" x14ac:dyDescent="0.3">
      <c r="A871" t="s">
        <v>7</v>
      </c>
      <c r="B871" t="s">
        <v>23</v>
      </c>
      <c r="C871" t="s">
        <v>9</v>
      </c>
      <c r="D871">
        <v>217</v>
      </c>
      <c r="E871" t="s">
        <v>10</v>
      </c>
      <c r="F871" t="s">
        <v>39</v>
      </c>
      <c r="G871" t="s">
        <v>40</v>
      </c>
      <c r="H871">
        <f t="shared" si="13"/>
        <v>217</v>
      </c>
    </row>
    <row r="872" spans="1:8" x14ac:dyDescent="0.3">
      <c r="A872" t="s">
        <v>7</v>
      </c>
      <c r="B872" t="s">
        <v>23</v>
      </c>
      <c r="C872" t="s">
        <v>13</v>
      </c>
      <c r="D872">
        <v>2559</v>
      </c>
      <c r="E872" t="s">
        <v>10</v>
      </c>
      <c r="F872" t="s">
        <v>39</v>
      </c>
      <c r="G872" t="s">
        <v>40</v>
      </c>
      <c r="H872">
        <f t="shared" si="13"/>
        <v>2560</v>
      </c>
    </row>
    <row r="873" spans="1:8" x14ac:dyDescent="0.3">
      <c r="A873" t="s">
        <v>7</v>
      </c>
      <c r="B873" t="s">
        <v>23</v>
      </c>
      <c r="C873" t="s">
        <v>14</v>
      </c>
      <c r="D873">
        <v>470</v>
      </c>
      <c r="E873" t="s">
        <v>10</v>
      </c>
      <c r="F873" t="s">
        <v>39</v>
      </c>
      <c r="G873" t="s">
        <v>40</v>
      </c>
      <c r="H873">
        <f t="shared" si="13"/>
        <v>470</v>
      </c>
    </row>
    <row r="874" spans="1:8" x14ac:dyDescent="0.3">
      <c r="A874" t="s">
        <v>7</v>
      </c>
      <c r="B874" t="s">
        <v>23</v>
      </c>
      <c r="C874" t="s">
        <v>15</v>
      </c>
      <c r="D874">
        <v>47</v>
      </c>
      <c r="E874" t="s">
        <v>10</v>
      </c>
      <c r="F874" t="s">
        <v>39</v>
      </c>
      <c r="G874" t="s">
        <v>40</v>
      </c>
      <c r="H874">
        <f t="shared" si="13"/>
        <v>47</v>
      </c>
    </row>
    <row r="875" spans="1:8" x14ac:dyDescent="0.3">
      <c r="A875" t="s">
        <v>7</v>
      </c>
      <c r="B875" t="s">
        <v>23</v>
      </c>
      <c r="C875" t="s">
        <v>16</v>
      </c>
      <c r="D875">
        <v>922</v>
      </c>
      <c r="E875" t="s">
        <v>10</v>
      </c>
      <c r="F875" t="s">
        <v>39</v>
      </c>
      <c r="G875" t="s">
        <v>40</v>
      </c>
      <c r="H875">
        <f t="shared" si="13"/>
        <v>922</v>
      </c>
    </row>
    <row r="876" spans="1:8" x14ac:dyDescent="0.3">
      <c r="A876" t="s">
        <v>7</v>
      </c>
      <c r="B876" t="s">
        <v>23</v>
      </c>
      <c r="C876" t="s">
        <v>17</v>
      </c>
      <c r="D876">
        <v>43</v>
      </c>
      <c r="E876" t="s">
        <v>10</v>
      </c>
      <c r="F876" t="s">
        <v>39</v>
      </c>
      <c r="G876" t="s">
        <v>40</v>
      </c>
      <c r="H876">
        <f t="shared" si="13"/>
        <v>43</v>
      </c>
    </row>
    <row r="877" spans="1:8" x14ac:dyDescent="0.3">
      <c r="A877" t="s">
        <v>7</v>
      </c>
      <c r="B877" t="s">
        <v>23</v>
      </c>
      <c r="C877" t="s">
        <v>18</v>
      </c>
      <c r="D877">
        <v>0</v>
      </c>
      <c r="E877" t="s">
        <v>10</v>
      </c>
      <c r="F877" t="s">
        <v>39</v>
      </c>
      <c r="G877" t="s">
        <v>40</v>
      </c>
      <c r="H877">
        <f t="shared" si="13"/>
        <v>0</v>
      </c>
    </row>
    <row r="878" spans="1:8" x14ac:dyDescent="0.3">
      <c r="A878" t="s">
        <v>7</v>
      </c>
      <c r="B878" t="s">
        <v>23</v>
      </c>
      <c r="C878" t="s">
        <v>19</v>
      </c>
      <c r="D878">
        <v>52</v>
      </c>
      <c r="E878" t="s">
        <v>10</v>
      </c>
      <c r="F878" t="s">
        <v>39</v>
      </c>
      <c r="G878" t="s">
        <v>40</v>
      </c>
      <c r="H878">
        <f t="shared" si="13"/>
        <v>52</v>
      </c>
    </row>
    <row r="879" spans="1:8" x14ac:dyDescent="0.3">
      <c r="A879" t="s">
        <v>7</v>
      </c>
      <c r="B879" t="s">
        <v>23</v>
      </c>
      <c r="C879" t="s">
        <v>20</v>
      </c>
      <c r="D879">
        <v>149</v>
      </c>
      <c r="E879" t="s">
        <v>10</v>
      </c>
      <c r="F879" t="s">
        <v>39</v>
      </c>
      <c r="G879" t="s">
        <v>40</v>
      </c>
      <c r="H879">
        <f t="shared" si="13"/>
        <v>149</v>
      </c>
    </row>
    <row r="880" spans="1:8" x14ac:dyDescent="0.3">
      <c r="A880" t="s">
        <v>7</v>
      </c>
      <c r="B880" t="s">
        <v>23</v>
      </c>
      <c r="C880" t="s">
        <v>21</v>
      </c>
      <c r="D880">
        <v>16</v>
      </c>
      <c r="E880" t="s">
        <v>10</v>
      </c>
      <c r="F880" t="s">
        <v>39</v>
      </c>
      <c r="G880" t="s">
        <v>40</v>
      </c>
      <c r="H880">
        <f t="shared" si="13"/>
        <v>16</v>
      </c>
    </row>
    <row r="881" spans="1:8" x14ac:dyDescent="0.3">
      <c r="A881" t="s">
        <v>7</v>
      </c>
      <c r="B881" t="s">
        <v>23</v>
      </c>
      <c r="C881" t="s">
        <v>22</v>
      </c>
      <c r="D881">
        <v>29455</v>
      </c>
      <c r="E881" t="s">
        <v>10</v>
      </c>
      <c r="F881" t="s">
        <v>39</v>
      </c>
      <c r="G881" t="s">
        <v>40</v>
      </c>
      <c r="H881">
        <f t="shared" si="13"/>
        <v>29500</v>
      </c>
    </row>
    <row r="882" spans="1:8" x14ac:dyDescent="0.3">
      <c r="A882" t="s">
        <v>24</v>
      </c>
      <c r="B882" t="s">
        <v>8</v>
      </c>
      <c r="C882" t="s">
        <v>9</v>
      </c>
      <c r="D882">
        <v>2</v>
      </c>
      <c r="E882" t="s">
        <v>10</v>
      </c>
      <c r="F882" t="s">
        <v>39</v>
      </c>
      <c r="G882" t="s">
        <v>40</v>
      </c>
      <c r="H882">
        <f t="shared" si="13"/>
        <v>2</v>
      </c>
    </row>
    <row r="883" spans="1:8" x14ac:dyDescent="0.3">
      <c r="A883" t="s">
        <v>24</v>
      </c>
      <c r="B883" t="s">
        <v>8</v>
      </c>
      <c r="C883" t="s">
        <v>13</v>
      </c>
      <c r="D883">
        <v>0</v>
      </c>
      <c r="E883" t="s">
        <v>10</v>
      </c>
      <c r="F883" t="s">
        <v>39</v>
      </c>
      <c r="G883" t="s">
        <v>40</v>
      </c>
      <c r="H883">
        <f t="shared" si="13"/>
        <v>0</v>
      </c>
    </row>
    <row r="884" spans="1:8" x14ac:dyDescent="0.3">
      <c r="A884" t="s">
        <v>24</v>
      </c>
      <c r="B884" t="s">
        <v>8</v>
      </c>
      <c r="C884" t="s">
        <v>14</v>
      </c>
      <c r="D884">
        <v>17</v>
      </c>
      <c r="E884" t="s">
        <v>10</v>
      </c>
      <c r="F884" t="s">
        <v>39</v>
      </c>
      <c r="G884" t="s">
        <v>40</v>
      </c>
      <c r="H884">
        <f t="shared" si="13"/>
        <v>17</v>
      </c>
    </row>
    <row r="885" spans="1:8" x14ac:dyDescent="0.3">
      <c r="A885" t="s">
        <v>24</v>
      </c>
      <c r="B885" t="s">
        <v>8</v>
      </c>
      <c r="C885" t="s">
        <v>15</v>
      </c>
      <c r="D885">
        <v>1</v>
      </c>
      <c r="E885" t="s">
        <v>10</v>
      </c>
      <c r="F885" t="s">
        <v>39</v>
      </c>
      <c r="G885" t="s">
        <v>40</v>
      </c>
      <c r="H885">
        <f t="shared" si="13"/>
        <v>1</v>
      </c>
    </row>
    <row r="886" spans="1:8" x14ac:dyDescent="0.3">
      <c r="A886" t="s">
        <v>24</v>
      </c>
      <c r="B886" t="s">
        <v>8</v>
      </c>
      <c r="C886" t="s">
        <v>16</v>
      </c>
      <c r="D886">
        <v>94529</v>
      </c>
      <c r="E886" t="s">
        <v>10</v>
      </c>
      <c r="F886" t="s">
        <v>39</v>
      </c>
      <c r="G886" t="s">
        <v>40</v>
      </c>
      <c r="H886">
        <f t="shared" si="13"/>
        <v>94500</v>
      </c>
    </row>
    <row r="887" spans="1:8" x14ac:dyDescent="0.3">
      <c r="A887" t="s">
        <v>24</v>
      </c>
      <c r="B887" t="s">
        <v>8</v>
      </c>
      <c r="C887" t="s">
        <v>17</v>
      </c>
      <c r="D887">
        <v>2637</v>
      </c>
      <c r="E887" t="s">
        <v>10</v>
      </c>
      <c r="F887" t="s">
        <v>39</v>
      </c>
      <c r="G887" t="s">
        <v>40</v>
      </c>
      <c r="H887">
        <f t="shared" si="13"/>
        <v>2640</v>
      </c>
    </row>
    <row r="888" spans="1:8" x14ac:dyDescent="0.3">
      <c r="A888" t="s">
        <v>24</v>
      </c>
      <c r="B888" t="s">
        <v>8</v>
      </c>
      <c r="C888" t="s">
        <v>18</v>
      </c>
      <c r="D888">
        <v>0</v>
      </c>
      <c r="E888" t="s">
        <v>10</v>
      </c>
      <c r="F888" t="s">
        <v>39</v>
      </c>
      <c r="G888" t="s">
        <v>40</v>
      </c>
      <c r="H888">
        <f t="shared" si="13"/>
        <v>0</v>
      </c>
    </row>
    <row r="889" spans="1:8" x14ac:dyDescent="0.3">
      <c r="A889" t="s">
        <v>24</v>
      </c>
      <c r="B889" t="s">
        <v>8</v>
      </c>
      <c r="C889" t="s">
        <v>19</v>
      </c>
      <c r="D889">
        <v>0</v>
      </c>
      <c r="E889" t="s">
        <v>10</v>
      </c>
      <c r="F889" t="s">
        <v>39</v>
      </c>
      <c r="G889" t="s">
        <v>40</v>
      </c>
      <c r="H889">
        <f t="shared" si="13"/>
        <v>0</v>
      </c>
    </row>
    <row r="890" spans="1:8" x14ac:dyDescent="0.3">
      <c r="A890" t="s">
        <v>24</v>
      </c>
      <c r="B890" t="s">
        <v>8</v>
      </c>
      <c r="C890" t="s">
        <v>20</v>
      </c>
      <c r="D890">
        <v>0</v>
      </c>
      <c r="E890" t="s">
        <v>10</v>
      </c>
      <c r="F890" t="s">
        <v>39</v>
      </c>
      <c r="G890" t="s">
        <v>40</v>
      </c>
      <c r="H890">
        <f t="shared" si="13"/>
        <v>0</v>
      </c>
    </row>
    <row r="891" spans="1:8" x14ac:dyDescent="0.3">
      <c r="A891" t="s">
        <v>24</v>
      </c>
      <c r="B891" t="s">
        <v>8</v>
      </c>
      <c r="C891" t="s">
        <v>21</v>
      </c>
      <c r="D891">
        <v>0</v>
      </c>
      <c r="E891" t="s">
        <v>10</v>
      </c>
      <c r="F891" t="s">
        <v>39</v>
      </c>
      <c r="G891" t="s">
        <v>40</v>
      </c>
      <c r="H891">
        <f t="shared" si="13"/>
        <v>0</v>
      </c>
    </row>
    <row r="892" spans="1:8" x14ac:dyDescent="0.3">
      <c r="A892" t="s">
        <v>24</v>
      </c>
      <c r="B892" t="s">
        <v>8</v>
      </c>
      <c r="C892" t="s">
        <v>22</v>
      </c>
      <c r="D892">
        <v>36</v>
      </c>
      <c r="E892" t="s">
        <v>10</v>
      </c>
      <c r="F892" t="s">
        <v>39</v>
      </c>
      <c r="G892" t="s">
        <v>40</v>
      </c>
      <c r="H892">
        <f t="shared" si="13"/>
        <v>36</v>
      </c>
    </row>
    <row r="893" spans="1:8" x14ac:dyDescent="0.3">
      <c r="A893" t="s">
        <v>24</v>
      </c>
      <c r="B893" t="s">
        <v>23</v>
      </c>
      <c r="C893" t="s">
        <v>9</v>
      </c>
      <c r="D893">
        <v>318</v>
      </c>
      <c r="E893" t="s">
        <v>10</v>
      </c>
      <c r="F893" t="s">
        <v>39</v>
      </c>
      <c r="G893" t="s">
        <v>40</v>
      </c>
      <c r="H893">
        <f t="shared" si="13"/>
        <v>318</v>
      </c>
    </row>
    <row r="894" spans="1:8" x14ac:dyDescent="0.3">
      <c r="A894" t="s">
        <v>24</v>
      </c>
      <c r="B894" t="s">
        <v>23</v>
      </c>
      <c r="C894" t="s">
        <v>13</v>
      </c>
      <c r="D894">
        <v>108</v>
      </c>
      <c r="E894" t="s">
        <v>10</v>
      </c>
      <c r="F894" t="s">
        <v>39</v>
      </c>
      <c r="G894" t="s">
        <v>40</v>
      </c>
      <c r="H894">
        <f t="shared" si="13"/>
        <v>108</v>
      </c>
    </row>
    <row r="895" spans="1:8" x14ac:dyDescent="0.3">
      <c r="A895" t="s">
        <v>24</v>
      </c>
      <c r="B895" t="s">
        <v>23</v>
      </c>
      <c r="C895" t="s">
        <v>14</v>
      </c>
      <c r="D895">
        <v>1593</v>
      </c>
      <c r="E895" t="s">
        <v>10</v>
      </c>
      <c r="F895" t="s">
        <v>39</v>
      </c>
      <c r="G895" t="s">
        <v>40</v>
      </c>
      <c r="H895">
        <f t="shared" si="13"/>
        <v>1590</v>
      </c>
    </row>
    <row r="896" spans="1:8" x14ac:dyDescent="0.3">
      <c r="A896" t="s">
        <v>24</v>
      </c>
      <c r="B896" t="s">
        <v>23</v>
      </c>
      <c r="C896" t="s">
        <v>15</v>
      </c>
      <c r="D896">
        <v>27</v>
      </c>
      <c r="E896" t="s">
        <v>10</v>
      </c>
      <c r="F896" t="s">
        <v>39</v>
      </c>
      <c r="G896" t="s">
        <v>40</v>
      </c>
      <c r="H896">
        <f t="shared" si="13"/>
        <v>27</v>
      </c>
    </row>
    <row r="897" spans="1:8" x14ac:dyDescent="0.3">
      <c r="A897" t="s">
        <v>24</v>
      </c>
      <c r="B897" t="s">
        <v>23</v>
      </c>
      <c r="C897" t="s">
        <v>16</v>
      </c>
      <c r="D897">
        <v>244619</v>
      </c>
      <c r="E897" t="s">
        <v>10</v>
      </c>
      <c r="F897" t="s">
        <v>39</v>
      </c>
      <c r="G897" t="s">
        <v>40</v>
      </c>
      <c r="H897">
        <f t="shared" si="13"/>
        <v>245000</v>
      </c>
    </row>
    <row r="898" spans="1:8" x14ac:dyDescent="0.3">
      <c r="A898" t="s">
        <v>24</v>
      </c>
      <c r="B898" t="s">
        <v>23</v>
      </c>
      <c r="C898" t="s">
        <v>17</v>
      </c>
      <c r="D898">
        <v>5825</v>
      </c>
      <c r="E898" t="s">
        <v>10</v>
      </c>
      <c r="F898" t="s">
        <v>39</v>
      </c>
      <c r="G898" t="s">
        <v>40</v>
      </c>
      <c r="H898">
        <f t="shared" si="13"/>
        <v>5830</v>
      </c>
    </row>
    <row r="899" spans="1:8" x14ac:dyDescent="0.3">
      <c r="A899" t="s">
        <v>24</v>
      </c>
      <c r="B899" t="s">
        <v>23</v>
      </c>
      <c r="C899" t="s">
        <v>18</v>
      </c>
      <c r="D899">
        <v>0</v>
      </c>
      <c r="E899" t="s">
        <v>10</v>
      </c>
      <c r="F899" t="s">
        <v>39</v>
      </c>
      <c r="G899" t="s">
        <v>40</v>
      </c>
      <c r="H899">
        <f t="shared" ref="H899:H962" si="14">ROUND(D899, 3 - LEN(INT(ABS(D899))))</f>
        <v>0</v>
      </c>
    </row>
    <row r="900" spans="1:8" x14ac:dyDescent="0.3">
      <c r="A900" t="s">
        <v>24</v>
      </c>
      <c r="B900" t="s">
        <v>23</v>
      </c>
      <c r="C900" t="s">
        <v>19</v>
      </c>
      <c r="D900">
        <v>6</v>
      </c>
      <c r="E900" t="s">
        <v>10</v>
      </c>
      <c r="F900" t="s">
        <v>39</v>
      </c>
      <c r="G900" t="s">
        <v>40</v>
      </c>
      <c r="H900">
        <f t="shared" si="14"/>
        <v>6</v>
      </c>
    </row>
    <row r="901" spans="1:8" x14ac:dyDescent="0.3">
      <c r="A901" t="s">
        <v>24</v>
      </c>
      <c r="B901" t="s">
        <v>23</v>
      </c>
      <c r="C901" t="s">
        <v>20</v>
      </c>
      <c r="D901">
        <v>323</v>
      </c>
      <c r="E901" t="s">
        <v>10</v>
      </c>
      <c r="F901" t="s">
        <v>39</v>
      </c>
      <c r="G901" t="s">
        <v>40</v>
      </c>
      <c r="H901">
        <f t="shared" si="14"/>
        <v>323</v>
      </c>
    </row>
    <row r="902" spans="1:8" x14ac:dyDescent="0.3">
      <c r="A902" t="s">
        <v>24</v>
      </c>
      <c r="B902" t="s">
        <v>23</v>
      </c>
      <c r="C902" t="s">
        <v>21</v>
      </c>
      <c r="D902">
        <v>8</v>
      </c>
      <c r="E902" t="s">
        <v>10</v>
      </c>
      <c r="F902" t="s">
        <v>39</v>
      </c>
      <c r="G902" t="s">
        <v>40</v>
      </c>
      <c r="H902">
        <f t="shared" si="14"/>
        <v>8</v>
      </c>
    </row>
    <row r="903" spans="1:8" x14ac:dyDescent="0.3">
      <c r="A903" t="s">
        <v>24</v>
      </c>
      <c r="B903" t="s">
        <v>23</v>
      </c>
      <c r="C903" t="s">
        <v>22</v>
      </c>
      <c r="D903">
        <v>271</v>
      </c>
      <c r="E903" t="s">
        <v>10</v>
      </c>
      <c r="F903" t="s">
        <v>39</v>
      </c>
      <c r="G903" t="s">
        <v>40</v>
      </c>
      <c r="H903">
        <f t="shared" si="14"/>
        <v>271</v>
      </c>
    </row>
    <row r="904" spans="1:8" x14ac:dyDescent="0.3">
      <c r="A904" t="s">
        <v>25</v>
      </c>
      <c r="B904" t="s">
        <v>8</v>
      </c>
      <c r="C904" t="s">
        <v>9</v>
      </c>
      <c r="D904">
        <v>0</v>
      </c>
      <c r="E904" t="s">
        <v>10</v>
      </c>
      <c r="F904" t="s">
        <v>39</v>
      </c>
      <c r="G904" t="s">
        <v>40</v>
      </c>
      <c r="H904">
        <f t="shared" si="14"/>
        <v>0</v>
      </c>
    </row>
    <row r="905" spans="1:8" x14ac:dyDescent="0.3">
      <c r="A905" t="s">
        <v>25</v>
      </c>
      <c r="B905" t="s">
        <v>8</v>
      </c>
      <c r="C905" t="s">
        <v>13</v>
      </c>
      <c r="D905">
        <v>19</v>
      </c>
      <c r="E905" t="s">
        <v>10</v>
      </c>
      <c r="F905" t="s">
        <v>39</v>
      </c>
      <c r="G905" t="s">
        <v>40</v>
      </c>
      <c r="H905">
        <f t="shared" si="14"/>
        <v>19</v>
      </c>
    </row>
    <row r="906" spans="1:8" x14ac:dyDescent="0.3">
      <c r="A906" t="s">
        <v>25</v>
      </c>
      <c r="B906" t="s">
        <v>8</v>
      </c>
      <c r="C906" t="s">
        <v>14</v>
      </c>
      <c r="D906">
        <v>0</v>
      </c>
      <c r="E906" t="s">
        <v>10</v>
      </c>
      <c r="F906" t="s">
        <v>39</v>
      </c>
      <c r="G906" t="s">
        <v>40</v>
      </c>
      <c r="H906">
        <f t="shared" si="14"/>
        <v>0</v>
      </c>
    </row>
    <row r="907" spans="1:8" x14ac:dyDescent="0.3">
      <c r="A907" t="s">
        <v>25</v>
      </c>
      <c r="B907" t="s">
        <v>8</v>
      </c>
      <c r="C907" t="s">
        <v>15</v>
      </c>
      <c r="D907">
        <v>0</v>
      </c>
      <c r="E907" t="s">
        <v>10</v>
      </c>
      <c r="F907" t="s">
        <v>39</v>
      </c>
      <c r="G907" t="s">
        <v>40</v>
      </c>
      <c r="H907">
        <f t="shared" si="14"/>
        <v>0</v>
      </c>
    </row>
    <row r="908" spans="1:8" x14ac:dyDescent="0.3">
      <c r="A908" t="s">
        <v>25</v>
      </c>
      <c r="B908" t="s">
        <v>8</v>
      </c>
      <c r="C908" t="s">
        <v>16</v>
      </c>
      <c r="D908">
        <v>0</v>
      </c>
      <c r="E908" t="s">
        <v>10</v>
      </c>
      <c r="F908" t="s">
        <v>39</v>
      </c>
      <c r="G908" t="s">
        <v>40</v>
      </c>
      <c r="H908">
        <f t="shared" si="14"/>
        <v>0</v>
      </c>
    </row>
    <row r="909" spans="1:8" x14ac:dyDescent="0.3">
      <c r="A909" t="s">
        <v>25</v>
      </c>
      <c r="B909" t="s">
        <v>8</v>
      </c>
      <c r="C909" t="s">
        <v>17</v>
      </c>
      <c r="D909">
        <v>0</v>
      </c>
      <c r="E909" t="s">
        <v>10</v>
      </c>
      <c r="F909" t="s">
        <v>39</v>
      </c>
      <c r="G909" t="s">
        <v>40</v>
      </c>
      <c r="H909">
        <f t="shared" si="14"/>
        <v>0</v>
      </c>
    </row>
    <row r="910" spans="1:8" x14ac:dyDescent="0.3">
      <c r="A910" t="s">
        <v>25</v>
      </c>
      <c r="B910" t="s">
        <v>8</v>
      </c>
      <c r="C910" t="s">
        <v>18</v>
      </c>
      <c r="D910">
        <v>0</v>
      </c>
      <c r="E910" t="s">
        <v>10</v>
      </c>
      <c r="F910" t="s">
        <v>39</v>
      </c>
      <c r="G910" t="s">
        <v>40</v>
      </c>
      <c r="H910">
        <f t="shared" si="14"/>
        <v>0</v>
      </c>
    </row>
    <row r="911" spans="1:8" x14ac:dyDescent="0.3">
      <c r="A911" t="s">
        <v>25</v>
      </c>
      <c r="B911" t="s">
        <v>8</v>
      </c>
      <c r="C911" t="s">
        <v>19</v>
      </c>
      <c r="D911">
        <v>0</v>
      </c>
      <c r="E911" t="s">
        <v>10</v>
      </c>
      <c r="F911" t="s">
        <v>39</v>
      </c>
      <c r="G911" t="s">
        <v>40</v>
      </c>
      <c r="H911">
        <f t="shared" si="14"/>
        <v>0</v>
      </c>
    </row>
    <row r="912" spans="1:8" x14ac:dyDescent="0.3">
      <c r="A912" t="s">
        <v>25</v>
      </c>
      <c r="B912" t="s">
        <v>8</v>
      </c>
      <c r="C912" t="s">
        <v>20</v>
      </c>
      <c r="D912">
        <v>0</v>
      </c>
      <c r="E912" t="s">
        <v>10</v>
      </c>
      <c r="F912" t="s">
        <v>39</v>
      </c>
      <c r="G912" t="s">
        <v>40</v>
      </c>
      <c r="H912">
        <f t="shared" si="14"/>
        <v>0</v>
      </c>
    </row>
    <row r="913" spans="1:8" x14ac:dyDescent="0.3">
      <c r="A913" t="s">
        <v>25</v>
      </c>
      <c r="B913" t="s">
        <v>8</v>
      </c>
      <c r="C913" t="s">
        <v>21</v>
      </c>
      <c r="D913">
        <v>0</v>
      </c>
      <c r="E913" t="s">
        <v>10</v>
      </c>
      <c r="F913" t="s">
        <v>39</v>
      </c>
      <c r="G913" t="s">
        <v>40</v>
      </c>
      <c r="H913">
        <f t="shared" si="14"/>
        <v>0</v>
      </c>
    </row>
    <row r="914" spans="1:8" x14ac:dyDescent="0.3">
      <c r="A914" t="s">
        <v>25</v>
      </c>
      <c r="B914" t="s">
        <v>8</v>
      </c>
      <c r="C914" t="s">
        <v>22</v>
      </c>
      <c r="D914">
        <v>25935</v>
      </c>
      <c r="E914" t="s">
        <v>10</v>
      </c>
      <c r="F914" t="s">
        <v>39</v>
      </c>
      <c r="G914" t="s">
        <v>40</v>
      </c>
      <c r="H914">
        <f t="shared" si="14"/>
        <v>25900</v>
      </c>
    </row>
    <row r="915" spans="1:8" x14ac:dyDescent="0.3">
      <c r="A915" t="s">
        <v>25</v>
      </c>
      <c r="B915" t="s">
        <v>23</v>
      </c>
      <c r="C915" t="s">
        <v>9</v>
      </c>
      <c r="D915">
        <v>90</v>
      </c>
      <c r="E915" t="s">
        <v>10</v>
      </c>
      <c r="F915" t="s">
        <v>39</v>
      </c>
      <c r="G915" t="s">
        <v>40</v>
      </c>
      <c r="H915">
        <f t="shared" si="14"/>
        <v>90</v>
      </c>
    </row>
    <row r="916" spans="1:8" x14ac:dyDescent="0.3">
      <c r="A916" t="s">
        <v>25</v>
      </c>
      <c r="B916" t="s">
        <v>23</v>
      </c>
      <c r="C916" t="s">
        <v>13</v>
      </c>
      <c r="D916">
        <v>1060</v>
      </c>
      <c r="E916" t="s">
        <v>10</v>
      </c>
      <c r="F916" t="s">
        <v>39</v>
      </c>
      <c r="G916" t="s">
        <v>40</v>
      </c>
      <c r="H916">
        <f t="shared" si="14"/>
        <v>1060</v>
      </c>
    </row>
    <row r="917" spans="1:8" x14ac:dyDescent="0.3">
      <c r="A917" t="s">
        <v>25</v>
      </c>
      <c r="B917" t="s">
        <v>23</v>
      </c>
      <c r="C917" t="s">
        <v>14</v>
      </c>
      <c r="D917">
        <v>195</v>
      </c>
      <c r="E917" t="s">
        <v>10</v>
      </c>
      <c r="F917" t="s">
        <v>39</v>
      </c>
      <c r="G917" t="s">
        <v>40</v>
      </c>
      <c r="H917">
        <f t="shared" si="14"/>
        <v>195</v>
      </c>
    </row>
    <row r="918" spans="1:8" x14ac:dyDescent="0.3">
      <c r="A918" t="s">
        <v>25</v>
      </c>
      <c r="B918" t="s">
        <v>23</v>
      </c>
      <c r="C918" t="s">
        <v>15</v>
      </c>
      <c r="D918">
        <v>20</v>
      </c>
      <c r="E918" t="s">
        <v>10</v>
      </c>
      <c r="F918" t="s">
        <v>39</v>
      </c>
      <c r="G918" t="s">
        <v>40</v>
      </c>
      <c r="H918">
        <f t="shared" si="14"/>
        <v>20</v>
      </c>
    </row>
    <row r="919" spans="1:8" x14ac:dyDescent="0.3">
      <c r="A919" t="s">
        <v>25</v>
      </c>
      <c r="B919" t="s">
        <v>23</v>
      </c>
      <c r="C919" t="s">
        <v>16</v>
      </c>
      <c r="D919">
        <v>382</v>
      </c>
      <c r="E919" t="s">
        <v>10</v>
      </c>
      <c r="F919" t="s">
        <v>39</v>
      </c>
      <c r="G919" t="s">
        <v>40</v>
      </c>
      <c r="H919">
        <f t="shared" si="14"/>
        <v>382</v>
      </c>
    </row>
    <row r="920" spans="1:8" x14ac:dyDescent="0.3">
      <c r="A920" t="s">
        <v>25</v>
      </c>
      <c r="B920" t="s">
        <v>23</v>
      </c>
      <c r="C920" t="s">
        <v>17</v>
      </c>
      <c r="D920">
        <v>18</v>
      </c>
      <c r="E920" t="s">
        <v>10</v>
      </c>
      <c r="F920" t="s">
        <v>39</v>
      </c>
      <c r="G920" t="s">
        <v>40</v>
      </c>
      <c r="H920">
        <f t="shared" si="14"/>
        <v>18</v>
      </c>
    </row>
    <row r="921" spans="1:8" x14ac:dyDescent="0.3">
      <c r="A921" t="s">
        <v>25</v>
      </c>
      <c r="B921" t="s">
        <v>23</v>
      </c>
      <c r="C921" t="s">
        <v>18</v>
      </c>
      <c r="D921">
        <v>0</v>
      </c>
      <c r="E921" t="s">
        <v>10</v>
      </c>
      <c r="F921" t="s">
        <v>39</v>
      </c>
      <c r="G921" t="s">
        <v>40</v>
      </c>
      <c r="H921">
        <f t="shared" si="14"/>
        <v>0</v>
      </c>
    </row>
    <row r="922" spans="1:8" x14ac:dyDescent="0.3">
      <c r="A922" t="s">
        <v>25</v>
      </c>
      <c r="B922" t="s">
        <v>23</v>
      </c>
      <c r="C922" t="s">
        <v>19</v>
      </c>
      <c r="D922">
        <v>21</v>
      </c>
      <c r="E922" t="s">
        <v>10</v>
      </c>
      <c r="F922" t="s">
        <v>39</v>
      </c>
      <c r="G922" t="s">
        <v>40</v>
      </c>
      <c r="H922">
        <f t="shared" si="14"/>
        <v>21</v>
      </c>
    </row>
    <row r="923" spans="1:8" x14ac:dyDescent="0.3">
      <c r="A923" t="s">
        <v>25</v>
      </c>
      <c r="B923" t="s">
        <v>23</v>
      </c>
      <c r="C923" t="s">
        <v>20</v>
      </c>
      <c r="D923">
        <v>62</v>
      </c>
      <c r="E923" t="s">
        <v>10</v>
      </c>
      <c r="F923" t="s">
        <v>39</v>
      </c>
      <c r="G923" t="s">
        <v>40</v>
      </c>
      <c r="H923">
        <f t="shared" si="14"/>
        <v>62</v>
      </c>
    </row>
    <row r="924" spans="1:8" x14ac:dyDescent="0.3">
      <c r="A924" t="s">
        <v>25</v>
      </c>
      <c r="B924" t="s">
        <v>23</v>
      </c>
      <c r="C924" t="s">
        <v>21</v>
      </c>
      <c r="D924">
        <v>7</v>
      </c>
      <c r="E924" t="s">
        <v>10</v>
      </c>
      <c r="F924" t="s">
        <v>39</v>
      </c>
      <c r="G924" t="s">
        <v>40</v>
      </c>
      <c r="H924">
        <f t="shared" si="14"/>
        <v>7</v>
      </c>
    </row>
    <row r="925" spans="1:8" x14ac:dyDescent="0.3">
      <c r="A925" t="s">
        <v>25</v>
      </c>
      <c r="B925" t="s">
        <v>23</v>
      </c>
      <c r="C925" t="s">
        <v>22</v>
      </c>
      <c r="D925">
        <v>12202</v>
      </c>
      <c r="E925" t="s">
        <v>10</v>
      </c>
      <c r="F925" t="s">
        <v>39</v>
      </c>
      <c r="G925" t="s">
        <v>40</v>
      </c>
      <c r="H925">
        <f t="shared" si="14"/>
        <v>12200</v>
      </c>
    </row>
    <row r="926" spans="1:8" x14ac:dyDescent="0.3">
      <c r="A926" t="s">
        <v>26</v>
      </c>
      <c r="B926" t="s">
        <v>8</v>
      </c>
      <c r="C926" t="s">
        <v>9</v>
      </c>
      <c r="D926">
        <v>0</v>
      </c>
      <c r="E926" t="s">
        <v>10</v>
      </c>
      <c r="F926" t="s">
        <v>39</v>
      </c>
      <c r="G926" t="s">
        <v>40</v>
      </c>
      <c r="H926">
        <f t="shared" si="14"/>
        <v>0</v>
      </c>
    </row>
    <row r="927" spans="1:8" x14ac:dyDescent="0.3">
      <c r="A927" t="s">
        <v>26</v>
      </c>
      <c r="B927" t="s">
        <v>8</v>
      </c>
      <c r="C927" t="s">
        <v>13</v>
      </c>
      <c r="D927">
        <v>45</v>
      </c>
      <c r="E927" t="s">
        <v>10</v>
      </c>
      <c r="F927" t="s">
        <v>39</v>
      </c>
      <c r="G927" t="s">
        <v>40</v>
      </c>
      <c r="H927">
        <f t="shared" si="14"/>
        <v>45</v>
      </c>
    </row>
    <row r="928" spans="1:8" x14ac:dyDescent="0.3">
      <c r="A928" t="s">
        <v>26</v>
      </c>
      <c r="B928" t="s">
        <v>8</v>
      </c>
      <c r="C928" t="s">
        <v>14</v>
      </c>
      <c r="D928">
        <v>0</v>
      </c>
      <c r="E928" t="s">
        <v>10</v>
      </c>
      <c r="F928" t="s">
        <v>39</v>
      </c>
      <c r="G928" t="s">
        <v>40</v>
      </c>
      <c r="H928">
        <f t="shared" si="14"/>
        <v>0</v>
      </c>
    </row>
    <row r="929" spans="1:8" x14ac:dyDescent="0.3">
      <c r="A929" t="s">
        <v>26</v>
      </c>
      <c r="B929" t="s">
        <v>8</v>
      </c>
      <c r="C929" t="s">
        <v>15</v>
      </c>
      <c r="D929">
        <v>0</v>
      </c>
      <c r="E929" t="s">
        <v>10</v>
      </c>
      <c r="F929" t="s">
        <v>39</v>
      </c>
      <c r="G929" t="s">
        <v>40</v>
      </c>
      <c r="H929">
        <f t="shared" si="14"/>
        <v>0</v>
      </c>
    </row>
    <row r="930" spans="1:8" x14ac:dyDescent="0.3">
      <c r="A930" t="s">
        <v>26</v>
      </c>
      <c r="B930" t="s">
        <v>8</v>
      </c>
      <c r="C930" t="s">
        <v>16</v>
      </c>
      <c r="D930">
        <v>1</v>
      </c>
      <c r="E930" t="s">
        <v>10</v>
      </c>
      <c r="F930" t="s">
        <v>39</v>
      </c>
      <c r="G930" t="s">
        <v>40</v>
      </c>
      <c r="H930">
        <f t="shared" si="14"/>
        <v>1</v>
      </c>
    </row>
    <row r="931" spans="1:8" x14ac:dyDescent="0.3">
      <c r="A931" t="s">
        <v>26</v>
      </c>
      <c r="B931" t="s">
        <v>8</v>
      </c>
      <c r="C931" t="s">
        <v>17</v>
      </c>
      <c r="D931">
        <v>0</v>
      </c>
      <c r="E931" t="s">
        <v>10</v>
      </c>
      <c r="F931" t="s">
        <v>39</v>
      </c>
      <c r="G931" t="s">
        <v>40</v>
      </c>
      <c r="H931">
        <f t="shared" si="14"/>
        <v>0</v>
      </c>
    </row>
    <row r="932" spans="1:8" x14ac:dyDescent="0.3">
      <c r="A932" t="s">
        <v>26</v>
      </c>
      <c r="B932" t="s">
        <v>8</v>
      </c>
      <c r="C932" t="s">
        <v>18</v>
      </c>
      <c r="D932">
        <v>0</v>
      </c>
      <c r="E932" t="s">
        <v>10</v>
      </c>
      <c r="F932" t="s">
        <v>39</v>
      </c>
      <c r="G932" t="s">
        <v>40</v>
      </c>
      <c r="H932">
        <f t="shared" si="14"/>
        <v>0</v>
      </c>
    </row>
    <row r="933" spans="1:8" x14ac:dyDescent="0.3">
      <c r="A933" t="s">
        <v>26</v>
      </c>
      <c r="B933" t="s">
        <v>8</v>
      </c>
      <c r="C933" t="s">
        <v>19</v>
      </c>
      <c r="D933">
        <v>0</v>
      </c>
      <c r="E933" t="s">
        <v>10</v>
      </c>
      <c r="F933" t="s">
        <v>39</v>
      </c>
      <c r="G933" t="s">
        <v>40</v>
      </c>
      <c r="H933">
        <f t="shared" si="14"/>
        <v>0</v>
      </c>
    </row>
    <row r="934" spans="1:8" x14ac:dyDescent="0.3">
      <c r="A934" t="s">
        <v>26</v>
      </c>
      <c r="B934" t="s">
        <v>8</v>
      </c>
      <c r="C934" t="s">
        <v>20</v>
      </c>
      <c r="D934">
        <v>0</v>
      </c>
      <c r="E934" t="s">
        <v>10</v>
      </c>
      <c r="F934" t="s">
        <v>39</v>
      </c>
      <c r="G934" t="s">
        <v>40</v>
      </c>
      <c r="H934">
        <f t="shared" si="14"/>
        <v>0</v>
      </c>
    </row>
    <row r="935" spans="1:8" x14ac:dyDescent="0.3">
      <c r="A935" t="s">
        <v>26</v>
      </c>
      <c r="B935" t="s">
        <v>8</v>
      </c>
      <c r="C935" t="s">
        <v>21</v>
      </c>
      <c r="D935">
        <v>0</v>
      </c>
      <c r="E935" t="s">
        <v>10</v>
      </c>
      <c r="F935" t="s">
        <v>39</v>
      </c>
      <c r="G935" t="s">
        <v>40</v>
      </c>
      <c r="H935">
        <f t="shared" si="14"/>
        <v>0</v>
      </c>
    </row>
    <row r="936" spans="1:8" x14ac:dyDescent="0.3">
      <c r="A936" t="s">
        <v>26</v>
      </c>
      <c r="B936" t="s">
        <v>8</v>
      </c>
      <c r="C936" t="s">
        <v>22</v>
      </c>
      <c r="D936">
        <v>60433</v>
      </c>
      <c r="E936" t="s">
        <v>10</v>
      </c>
      <c r="F936" t="s">
        <v>39</v>
      </c>
      <c r="G936" t="s">
        <v>40</v>
      </c>
      <c r="H936">
        <f t="shared" si="14"/>
        <v>60400</v>
      </c>
    </row>
    <row r="937" spans="1:8" x14ac:dyDescent="0.3">
      <c r="A937" t="s">
        <v>26</v>
      </c>
      <c r="B937" t="s">
        <v>23</v>
      </c>
      <c r="C937" t="s">
        <v>9</v>
      </c>
      <c r="D937">
        <v>210</v>
      </c>
      <c r="E937" t="s">
        <v>10</v>
      </c>
      <c r="F937" t="s">
        <v>39</v>
      </c>
      <c r="G937" t="s">
        <v>40</v>
      </c>
      <c r="H937">
        <f t="shared" si="14"/>
        <v>210</v>
      </c>
    </row>
    <row r="938" spans="1:8" x14ac:dyDescent="0.3">
      <c r="A938" t="s">
        <v>26</v>
      </c>
      <c r="B938" t="s">
        <v>23</v>
      </c>
      <c r="C938" t="s">
        <v>13</v>
      </c>
      <c r="D938">
        <v>2471</v>
      </c>
      <c r="E938" t="s">
        <v>10</v>
      </c>
      <c r="F938" t="s">
        <v>39</v>
      </c>
      <c r="G938" t="s">
        <v>40</v>
      </c>
      <c r="H938">
        <f t="shared" si="14"/>
        <v>2470</v>
      </c>
    </row>
    <row r="939" spans="1:8" x14ac:dyDescent="0.3">
      <c r="A939" t="s">
        <v>26</v>
      </c>
      <c r="B939" t="s">
        <v>23</v>
      </c>
      <c r="C939" t="s">
        <v>14</v>
      </c>
      <c r="D939">
        <v>453</v>
      </c>
      <c r="E939" t="s">
        <v>10</v>
      </c>
      <c r="F939" t="s">
        <v>39</v>
      </c>
      <c r="G939" t="s">
        <v>40</v>
      </c>
      <c r="H939">
        <f t="shared" si="14"/>
        <v>453</v>
      </c>
    </row>
    <row r="940" spans="1:8" x14ac:dyDescent="0.3">
      <c r="A940" t="s">
        <v>26</v>
      </c>
      <c r="B940" t="s">
        <v>23</v>
      </c>
      <c r="C940" t="s">
        <v>15</v>
      </c>
      <c r="D940">
        <v>46</v>
      </c>
      <c r="E940" t="s">
        <v>10</v>
      </c>
      <c r="F940" t="s">
        <v>39</v>
      </c>
      <c r="G940" t="s">
        <v>40</v>
      </c>
      <c r="H940">
        <f t="shared" si="14"/>
        <v>46</v>
      </c>
    </row>
    <row r="941" spans="1:8" x14ac:dyDescent="0.3">
      <c r="A941" t="s">
        <v>26</v>
      </c>
      <c r="B941" t="s">
        <v>23</v>
      </c>
      <c r="C941" t="s">
        <v>16</v>
      </c>
      <c r="D941">
        <v>890</v>
      </c>
      <c r="E941" t="s">
        <v>10</v>
      </c>
      <c r="F941" t="s">
        <v>39</v>
      </c>
      <c r="G941" t="s">
        <v>40</v>
      </c>
      <c r="H941">
        <f t="shared" si="14"/>
        <v>890</v>
      </c>
    </row>
    <row r="942" spans="1:8" x14ac:dyDescent="0.3">
      <c r="A942" t="s">
        <v>26</v>
      </c>
      <c r="B942" t="s">
        <v>23</v>
      </c>
      <c r="C942" t="s">
        <v>17</v>
      </c>
      <c r="D942">
        <v>42</v>
      </c>
      <c r="E942" t="s">
        <v>10</v>
      </c>
      <c r="F942" t="s">
        <v>39</v>
      </c>
      <c r="G942" t="s">
        <v>40</v>
      </c>
      <c r="H942">
        <f t="shared" si="14"/>
        <v>42</v>
      </c>
    </row>
    <row r="943" spans="1:8" x14ac:dyDescent="0.3">
      <c r="A943" t="s">
        <v>26</v>
      </c>
      <c r="B943" t="s">
        <v>23</v>
      </c>
      <c r="C943" t="s">
        <v>18</v>
      </c>
      <c r="D943">
        <v>0</v>
      </c>
      <c r="E943" t="s">
        <v>10</v>
      </c>
      <c r="F943" t="s">
        <v>39</v>
      </c>
      <c r="G943" t="s">
        <v>40</v>
      </c>
      <c r="H943">
        <f t="shared" si="14"/>
        <v>0</v>
      </c>
    </row>
    <row r="944" spans="1:8" x14ac:dyDescent="0.3">
      <c r="A944" t="s">
        <v>26</v>
      </c>
      <c r="B944" t="s">
        <v>23</v>
      </c>
      <c r="C944" t="s">
        <v>19</v>
      </c>
      <c r="D944">
        <v>50</v>
      </c>
      <c r="E944" t="s">
        <v>10</v>
      </c>
      <c r="F944" t="s">
        <v>39</v>
      </c>
      <c r="G944" t="s">
        <v>40</v>
      </c>
      <c r="H944">
        <f t="shared" si="14"/>
        <v>50</v>
      </c>
    </row>
    <row r="945" spans="1:8" x14ac:dyDescent="0.3">
      <c r="A945" t="s">
        <v>26</v>
      </c>
      <c r="B945" t="s">
        <v>23</v>
      </c>
      <c r="C945" t="s">
        <v>20</v>
      </c>
      <c r="D945">
        <v>144</v>
      </c>
      <c r="E945" t="s">
        <v>10</v>
      </c>
      <c r="F945" t="s">
        <v>39</v>
      </c>
      <c r="G945" t="s">
        <v>40</v>
      </c>
      <c r="H945">
        <f t="shared" si="14"/>
        <v>144</v>
      </c>
    </row>
    <row r="946" spans="1:8" x14ac:dyDescent="0.3">
      <c r="A946" t="s">
        <v>26</v>
      </c>
      <c r="B946" t="s">
        <v>23</v>
      </c>
      <c r="C946" t="s">
        <v>21</v>
      </c>
      <c r="D946">
        <v>16</v>
      </c>
      <c r="E946" t="s">
        <v>10</v>
      </c>
      <c r="F946" t="s">
        <v>39</v>
      </c>
      <c r="G946" t="s">
        <v>40</v>
      </c>
      <c r="H946">
        <f t="shared" si="14"/>
        <v>16</v>
      </c>
    </row>
    <row r="947" spans="1:8" x14ac:dyDescent="0.3">
      <c r="A947" t="s">
        <v>26</v>
      </c>
      <c r="B947" t="s">
        <v>23</v>
      </c>
      <c r="C947" t="s">
        <v>22</v>
      </c>
      <c r="D947">
        <v>28433</v>
      </c>
      <c r="E947" t="s">
        <v>10</v>
      </c>
      <c r="F947" t="s">
        <v>39</v>
      </c>
      <c r="G947" t="s">
        <v>40</v>
      </c>
      <c r="H947">
        <f t="shared" si="14"/>
        <v>28400</v>
      </c>
    </row>
    <row r="948" spans="1:8" x14ac:dyDescent="0.3">
      <c r="A948" t="s">
        <v>27</v>
      </c>
      <c r="B948" t="s">
        <v>8</v>
      </c>
      <c r="C948" t="s">
        <v>9</v>
      </c>
      <c r="D948">
        <v>3</v>
      </c>
      <c r="E948" t="s">
        <v>10</v>
      </c>
      <c r="F948" t="s">
        <v>39</v>
      </c>
      <c r="G948" t="s">
        <v>40</v>
      </c>
      <c r="H948">
        <f t="shared" si="14"/>
        <v>3</v>
      </c>
    </row>
    <row r="949" spans="1:8" x14ac:dyDescent="0.3">
      <c r="A949" t="s">
        <v>27</v>
      </c>
      <c r="B949" t="s">
        <v>8</v>
      </c>
      <c r="C949" t="s">
        <v>13</v>
      </c>
      <c r="D949">
        <v>1</v>
      </c>
      <c r="E949" t="s">
        <v>10</v>
      </c>
      <c r="F949" t="s">
        <v>39</v>
      </c>
      <c r="G949" t="s">
        <v>40</v>
      </c>
      <c r="H949">
        <f t="shared" si="14"/>
        <v>1</v>
      </c>
    </row>
    <row r="950" spans="1:8" x14ac:dyDescent="0.3">
      <c r="A950" t="s">
        <v>27</v>
      </c>
      <c r="B950" t="s">
        <v>8</v>
      </c>
      <c r="C950" t="s">
        <v>14</v>
      </c>
      <c r="D950">
        <v>27718</v>
      </c>
      <c r="E950" t="s">
        <v>10</v>
      </c>
      <c r="F950" t="s">
        <v>39</v>
      </c>
      <c r="G950" t="s">
        <v>40</v>
      </c>
      <c r="H950">
        <f t="shared" si="14"/>
        <v>27700</v>
      </c>
    </row>
    <row r="951" spans="1:8" x14ac:dyDescent="0.3">
      <c r="A951" t="s">
        <v>27</v>
      </c>
      <c r="B951" t="s">
        <v>8</v>
      </c>
      <c r="C951" t="s">
        <v>15</v>
      </c>
      <c r="D951">
        <v>3</v>
      </c>
      <c r="E951" t="s">
        <v>10</v>
      </c>
      <c r="F951" t="s">
        <v>39</v>
      </c>
      <c r="G951" t="s">
        <v>40</v>
      </c>
      <c r="H951">
        <f t="shared" si="14"/>
        <v>3</v>
      </c>
    </row>
    <row r="952" spans="1:8" x14ac:dyDescent="0.3">
      <c r="A952" t="s">
        <v>27</v>
      </c>
      <c r="B952" t="s">
        <v>8</v>
      </c>
      <c r="C952" t="s">
        <v>16</v>
      </c>
      <c r="D952">
        <v>121020</v>
      </c>
      <c r="E952" t="s">
        <v>10</v>
      </c>
      <c r="F952" t="s">
        <v>39</v>
      </c>
      <c r="G952" t="s">
        <v>40</v>
      </c>
      <c r="H952">
        <f t="shared" si="14"/>
        <v>121000</v>
      </c>
    </row>
    <row r="953" spans="1:8" x14ac:dyDescent="0.3">
      <c r="A953" t="s">
        <v>27</v>
      </c>
      <c r="B953" t="s">
        <v>8</v>
      </c>
      <c r="C953" t="s">
        <v>17</v>
      </c>
      <c r="D953">
        <v>9262</v>
      </c>
      <c r="E953" t="s">
        <v>10</v>
      </c>
      <c r="F953" t="s">
        <v>39</v>
      </c>
      <c r="G953" t="s">
        <v>40</v>
      </c>
      <c r="H953">
        <f t="shared" si="14"/>
        <v>9260</v>
      </c>
    </row>
    <row r="954" spans="1:8" x14ac:dyDescent="0.3">
      <c r="A954" t="s">
        <v>27</v>
      </c>
      <c r="B954" t="s">
        <v>8</v>
      </c>
      <c r="C954" t="s">
        <v>18</v>
      </c>
      <c r="D954">
        <v>0</v>
      </c>
      <c r="E954" t="s">
        <v>10</v>
      </c>
      <c r="F954" t="s">
        <v>39</v>
      </c>
      <c r="G954" t="s">
        <v>40</v>
      </c>
      <c r="H954">
        <f t="shared" si="14"/>
        <v>0</v>
      </c>
    </row>
    <row r="955" spans="1:8" x14ac:dyDescent="0.3">
      <c r="A955" t="s">
        <v>27</v>
      </c>
      <c r="B955" t="s">
        <v>8</v>
      </c>
      <c r="C955" t="s">
        <v>19</v>
      </c>
      <c r="D955">
        <v>0</v>
      </c>
      <c r="E955" t="s">
        <v>10</v>
      </c>
      <c r="F955" t="s">
        <v>39</v>
      </c>
      <c r="G955" t="s">
        <v>40</v>
      </c>
      <c r="H955">
        <f t="shared" si="14"/>
        <v>0</v>
      </c>
    </row>
    <row r="956" spans="1:8" x14ac:dyDescent="0.3">
      <c r="A956" t="s">
        <v>27</v>
      </c>
      <c r="B956" t="s">
        <v>8</v>
      </c>
      <c r="C956" t="s">
        <v>20</v>
      </c>
      <c r="D956">
        <v>0</v>
      </c>
      <c r="E956" t="s">
        <v>10</v>
      </c>
      <c r="F956" t="s">
        <v>39</v>
      </c>
      <c r="G956" t="s">
        <v>40</v>
      </c>
      <c r="H956">
        <f t="shared" si="14"/>
        <v>0</v>
      </c>
    </row>
    <row r="957" spans="1:8" x14ac:dyDescent="0.3">
      <c r="A957" t="s">
        <v>27</v>
      </c>
      <c r="B957" t="s">
        <v>8</v>
      </c>
      <c r="C957" t="s">
        <v>21</v>
      </c>
      <c r="D957">
        <v>0</v>
      </c>
      <c r="E957" t="s">
        <v>10</v>
      </c>
      <c r="F957" t="s">
        <v>39</v>
      </c>
      <c r="G957" t="s">
        <v>40</v>
      </c>
      <c r="H957">
        <f t="shared" si="14"/>
        <v>0</v>
      </c>
    </row>
    <row r="958" spans="1:8" x14ac:dyDescent="0.3">
      <c r="A958" t="s">
        <v>27</v>
      </c>
      <c r="B958" t="s">
        <v>8</v>
      </c>
      <c r="C958" t="s">
        <v>22</v>
      </c>
      <c r="D958">
        <v>94</v>
      </c>
      <c r="E958" t="s">
        <v>10</v>
      </c>
      <c r="F958" t="s">
        <v>39</v>
      </c>
      <c r="G958" t="s">
        <v>40</v>
      </c>
      <c r="H958">
        <f t="shared" si="14"/>
        <v>94</v>
      </c>
    </row>
    <row r="959" spans="1:8" x14ac:dyDescent="0.3">
      <c r="A959" t="s">
        <v>27</v>
      </c>
      <c r="B959" t="s">
        <v>23</v>
      </c>
      <c r="C959" t="s">
        <v>9</v>
      </c>
      <c r="D959">
        <v>978</v>
      </c>
      <c r="E959" t="s">
        <v>10</v>
      </c>
      <c r="F959" t="s">
        <v>39</v>
      </c>
      <c r="G959" t="s">
        <v>40</v>
      </c>
      <c r="H959">
        <f t="shared" si="14"/>
        <v>978</v>
      </c>
    </row>
    <row r="960" spans="1:8" x14ac:dyDescent="0.3">
      <c r="A960" t="s">
        <v>27</v>
      </c>
      <c r="B960" t="s">
        <v>23</v>
      </c>
      <c r="C960" t="s">
        <v>13</v>
      </c>
      <c r="D960">
        <v>226</v>
      </c>
      <c r="E960" t="s">
        <v>10</v>
      </c>
      <c r="F960" t="s">
        <v>39</v>
      </c>
      <c r="G960" t="s">
        <v>40</v>
      </c>
      <c r="H960">
        <f t="shared" si="14"/>
        <v>226</v>
      </c>
    </row>
    <row r="961" spans="1:8" x14ac:dyDescent="0.3">
      <c r="A961" t="s">
        <v>27</v>
      </c>
      <c r="B961" t="s">
        <v>23</v>
      </c>
      <c r="C961" t="s">
        <v>14</v>
      </c>
      <c r="D961">
        <v>50549</v>
      </c>
      <c r="E961" t="s">
        <v>10</v>
      </c>
      <c r="F961" t="s">
        <v>39</v>
      </c>
      <c r="G961" t="s">
        <v>40</v>
      </c>
      <c r="H961">
        <f t="shared" si="14"/>
        <v>50500</v>
      </c>
    </row>
    <row r="962" spans="1:8" x14ac:dyDescent="0.3">
      <c r="A962" t="s">
        <v>27</v>
      </c>
      <c r="B962" t="s">
        <v>23</v>
      </c>
      <c r="C962" t="s">
        <v>15</v>
      </c>
      <c r="D962">
        <v>68</v>
      </c>
      <c r="E962" t="s">
        <v>10</v>
      </c>
      <c r="F962" t="s">
        <v>39</v>
      </c>
      <c r="G962" t="s">
        <v>40</v>
      </c>
      <c r="H962">
        <f t="shared" si="14"/>
        <v>68</v>
      </c>
    </row>
    <row r="963" spans="1:8" x14ac:dyDescent="0.3">
      <c r="A963" t="s">
        <v>27</v>
      </c>
      <c r="B963" t="s">
        <v>23</v>
      </c>
      <c r="C963" t="s">
        <v>16</v>
      </c>
      <c r="D963">
        <v>320417</v>
      </c>
      <c r="E963" t="s">
        <v>10</v>
      </c>
      <c r="F963" t="s">
        <v>39</v>
      </c>
      <c r="G963" t="s">
        <v>40</v>
      </c>
      <c r="H963">
        <f t="shared" ref="H963:H1026" si="15">ROUND(D963, 3 - LEN(INT(ABS(D963))))</f>
        <v>320000</v>
      </c>
    </row>
    <row r="964" spans="1:8" x14ac:dyDescent="0.3">
      <c r="A964" t="s">
        <v>27</v>
      </c>
      <c r="B964" t="s">
        <v>23</v>
      </c>
      <c r="C964" t="s">
        <v>17</v>
      </c>
      <c r="D964">
        <v>20431</v>
      </c>
      <c r="E964" t="s">
        <v>10</v>
      </c>
      <c r="F964" t="s">
        <v>39</v>
      </c>
      <c r="G964" t="s">
        <v>40</v>
      </c>
      <c r="H964">
        <f t="shared" si="15"/>
        <v>20400</v>
      </c>
    </row>
    <row r="965" spans="1:8" x14ac:dyDescent="0.3">
      <c r="A965" t="s">
        <v>27</v>
      </c>
      <c r="B965" t="s">
        <v>23</v>
      </c>
      <c r="C965" t="s">
        <v>18</v>
      </c>
      <c r="D965">
        <v>0</v>
      </c>
      <c r="E965" t="s">
        <v>10</v>
      </c>
      <c r="F965" t="s">
        <v>39</v>
      </c>
      <c r="G965" t="s">
        <v>40</v>
      </c>
      <c r="H965">
        <f t="shared" si="15"/>
        <v>0</v>
      </c>
    </row>
    <row r="966" spans="1:8" x14ac:dyDescent="0.3">
      <c r="A966" t="s">
        <v>27</v>
      </c>
      <c r="B966" t="s">
        <v>23</v>
      </c>
      <c r="C966" t="s">
        <v>19</v>
      </c>
      <c r="D966">
        <v>13</v>
      </c>
      <c r="E966" t="s">
        <v>10</v>
      </c>
      <c r="F966" t="s">
        <v>39</v>
      </c>
      <c r="G966" t="s">
        <v>40</v>
      </c>
      <c r="H966">
        <f t="shared" si="15"/>
        <v>13</v>
      </c>
    </row>
    <row r="967" spans="1:8" x14ac:dyDescent="0.3">
      <c r="A967" t="s">
        <v>27</v>
      </c>
      <c r="B967" t="s">
        <v>23</v>
      </c>
      <c r="C967" t="s">
        <v>20</v>
      </c>
      <c r="D967">
        <v>537</v>
      </c>
      <c r="E967" t="s">
        <v>10</v>
      </c>
      <c r="F967" t="s">
        <v>39</v>
      </c>
      <c r="G967" t="s">
        <v>40</v>
      </c>
      <c r="H967">
        <f t="shared" si="15"/>
        <v>537</v>
      </c>
    </row>
    <row r="968" spans="1:8" x14ac:dyDescent="0.3">
      <c r="A968" t="s">
        <v>27</v>
      </c>
      <c r="B968" t="s">
        <v>23</v>
      </c>
      <c r="C968" t="s">
        <v>21</v>
      </c>
      <c r="D968">
        <v>26</v>
      </c>
      <c r="E968" t="s">
        <v>10</v>
      </c>
      <c r="F968" t="s">
        <v>39</v>
      </c>
      <c r="G968" t="s">
        <v>40</v>
      </c>
      <c r="H968">
        <f t="shared" si="15"/>
        <v>26</v>
      </c>
    </row>
    <row r="969" spans="1:8" x14ac:dyDescent="0.3">
      <c r="A969" t="s">
        <v>27</v>
      </c>
      <c r="B969" t="s">
        <v>23</v>
      </c>
      <c r="C969" t="s">
        <v>22</v>
      </c>
      <c r="D969">
        <v>468</v>
      </c>
      <c r="E969" t="s">
        <v>10</v>
      </c>
      <c r="F969" t="s">
        <v>39</v>
      </c>
      <c r="G969" t="s">
        <v>40</v>
      </c>
      <c r="H969">
        <f t="shared" si="15"/>
        <v>468</v>
      </c>
    </row>
    <row r="970" spans="1:8" x14ac:dyDescent="0.3">
      <c r="A970" t="s">
        <v>28</v>
      </c>
      <c r="B970" t="s">
        <v>8</v>
      </c>
      <c r="C970" t="s">
        <v>9</v>
      </c>
      <c r="D970">
        <v>1</v>
      </c>
      <c r="E970" t="s">
        <v>10</v>
      </c>
      <c r="F970" t="s">
        <v>39</v>
      </c>
      <c r="G970" t="s">
        <v>40</v>
      </c>
      <c r="H970">
        <f t="shared" si="15"/>
        <v>1</v>
      </c>
    </row>
    <row r="971" spans="1:8" x14ac:dyDescent="0.3">
      <c r="A971" t="s">
        <v>28</v>
      </c>
      <c r="B971" t="s">
        <v>8</v>
      </c>
      <c r="C971" t="s">
        <v>13</v>
      </c>
      <c r="D971">
        <v>0</v>
      </c>
      <c r="E971" t="s">
        <v>10</v>
      </c>
      <c r="F971" t="s">
        <v>39</v>
      </c>
      <c r="G971" t="s">
        <v>40</v>
      </c>
      <c r="H971">
        <f t="shared" si="15"/>
        <v>0</v>
      </c>
    </row>
    <row r="972" spans="1:8" x14ac:dyDescent="0.3">
      <c r="A972" t="s">
        <v>28</v>
      </c>
      <c r="B972" t="s">
        <v>8</v>
      </c>
      <c r="C972" t="s">
        <v>14</v>
      </c>
      <c r="D972">
        <v>13962</v>
      </c>
      <c r="E972" t="s">
        <v>10</v>
      </c>
      <c r="F972" t="s">
        <v>39</v>
      </c>
      <c r="G972" t="s">
        <v>40</v>
      </c>
      <c r="H972">
        <f t="shared" si="15"/>
        <v>14000</v>
      </c>
    </row>
    <row r="973" spans="1:8" x14ac:dyDescent="0.3">
      <c r="A973" t="s">
        <v>28</v>
      </c>
      <c r="B973" t="s">
        <v>8</v>
      </c>
      <c r="C973" t="s">
        <v>15</v>
      </c>
      <c r="D973">
        <v>1</v>
      </c>
      <c r="E973" t="s">
        <v>10</v>
      </c>
      <c r="F973" t="s">
        <v>39</v>
      </c>
      <c r="G973" t="s">
        <v>40</v>
      </c>
      <c r="H973">
        <f t="shared" si="15"/>
        <v>1</v>
      </c>
    </row>
    <row r="974" spans="1:8" x14ac:dyDescent="0.3">
      <c r="A974" t="s">
        <v>28</v>
      </c>
      <c r="B974" t="s">
        <v>8</v>
      </c>
      <c r="C974" t="s">
        <v>16</v>
      </c>
      <c r="D974">
        <v>48638</v>
      </c>
      <c r="E974" t="s">
        <v>10</v>
      </c>
      <c r="F974" t="s">
        <v>39</v>
      </c>
      <c r="G974" t="s">
        <v>40</v>
      </c>
      <c r="H974">
        <f t="shared" si="15"/>
        <v>48600</v>
      </c>
    </row>
    <row r="975" spans="1:8" x14ac:dyDescent="0.3">
      <c r="A975" t="s">
        <v>28</v>
      </c>
      <c r="B975" t="s">
        <v>8</v>
      </c>
      <c r="C975" t="s">
        <v>17</v>
      </c>
      <c r="D975">
        <v>4</v>
      </c>
      <c r="E975" t="s">
        <v>10</v>
      </c>
      <c r="F975" t="s">
        <v>39</v>
      </c>
      <c r="G975" t="s">
        <v>40</v>
      </c>
      <c r="H975">
        <f t="shared" si="15"/>
        <v>4</v>
      </c>
    </row>
    <row r="976" spans="1:8" x14ac:dyDescent="0.3">
      <c r="A976" t="s">
        <v>28</v>
      </c>
      <c r="B976" t="s">
        <v>8</v>
      </c>
      <c r="C976" t="s">
        <v>18</v>
      </c>
      <c r="D976">
        <v>0</v>
      </c>
      <c r="E976" t="s">
        <v>10</v>
      </c>
      <c r="F976" t="s">
        <v>39</v>
      </c>
      <c r="G976" t="s">
        <v>40</v>
      </c>
      <c r="H976">
        <f t="shared" si="15"/>
        <v>0</v>
      </c>
    </row>
    <row r="977" spans="1:8" x14ac:dyDescent="0.3">
      <c r="A977" t="s">
        <v>28</v>
      </c>
      <c r="B977" t="s">
        <v>8</v>
      </c>
      <c r="C977" t="s">
        <v>19</v>
      </c>
      <c r="D977">
        <v>0</v>
      </c>
      <c r="E977" t="s">
        <v>10</v>
      </c>
      <c r="F977" t="s">
        <v>39</v>
      </c>
      <c r="G977" t="s">
        <v>40</v>
      </c>
      <c r="H977">
        <f t="shared" si="15"/>
        <v>0</v>
      </c>
    </row>
    <row r="978" spans="1:8" x14ac:dyDescent="0.3">
      <c r="A978" t="s">
        <v>28</v>
      </c>
      <c r="B978" t="s">
        <v>8</v>
      </c>
      <c r="C978" t="s">
        <v>20</v>
      </c>
      <c r="D978">
        <v>0</v>
      </c>
      <c r="E978" t="s">
        <v>10</v>
      </c>
      <c r="F978" t="s">
        <v>39</v>
      </c>
      <c r="G978" t="s">
        <v>40</v>
      </c>
      <c r="H978">
        <f t="shared" si="15"/>
        <v>0</v>
      </c>
    </row>
    <row r="979" spans="1:8" x14ac:dyDescent="0.3">
      <c r="A979" t="s">
        <v>28</v>
      </c>
      <c r="B979" t="s">
        <v>8</v>
      </c>
      <c r="C979" t="s">
        <v>21</v>
      </c>
      <c r="D979">
        <v>0</v>
      </c>
      <c r="E979" t="s">
        <v>10</v>
      </c>
      <c r="F979" t="s">
        <v>39</v>
      </c>
      <c r="G979" t="s">
        <v>40</v>
      </c>
      <c r="H979">
        <f t="shared" si="15"/>
        <v>0</v>
      </c>
    </row>
    <row r="980" spans="1:8" x14ac:dyDescent="0.3">
      <c r="A980" t="s">
        <v>28</v>
      </c>
      <c r="B980" t="s">
        <v>8</v>
      </c>
      <c r="C980" t="s">
        <v>22</v>
      </c>
      <c r="D980">
        <v>38</v>
      </c>
      <c r="E980" t="s">
        <v>10</v>
      </c>
      <c r="F980" t="s">
        <v>39</v>
      </c>
      <c r="G980" t="s">
        <v>40</v>
      </c>
      <c r="H980">
        <f t="shared" si="15"/>
        <v>38</v>
      </c>
    </row>
    <row r="981" spans="1:8" x14ac:dyDescent="0.3">
      <c r="A981" t="s">
        <v>28</v>
      </c>
      <c r="B981" t="s">
        <v>23</v>
      </c>
      <c r="C981" t="s">
        <v>9</v>
      </c>
      <c r="D981">
        <v>92</v>
      </c>
      <c r="E981" t="s">
        <v>10</v>
      </c>
      <c r="F981" t="s">
        <v>39</v>
      </c>
      <c r="G981" t="s">
        <v>40</v>
      </c>
      <c r="H981">
        <f t="shared" si="15"/>
        <v>92</v>
      </c>
    </row>
    <row r="982" spans="1:8" x14ac:dyDescent="0.3">
      <c r="A982" t="s">
        <v>28</v>
      </c>
      <c r="B982" t="s">
        <v>23</v>
      </c>
      <c r="C982" t="s">
        <v>13</v>
      </c>
      <c r="D982">
        <v>70</v>
      </c>
      <c r="E982" t="s">
        <v>10</v>
      </c>
      <c r="F982" t="s">
        <v>39</v>
      </c>
      <c r="G982" t="s">
        <v>40</v>
      </c>
      <c r="H982">
        <f t="shared" si="15"/>
        <v>70</v>
      </c>
    </row>
    <row r="983" spans="1:8" x14ac:dyDescent="0.3">
      <c r="A983" t="s">
        <v>28</v>
      </c>
      <c r="B983" t="s">
        <v>23</v>
      </c>
      <c r="C983" t="s">
        <v>14</v>
      </c>
      <c r="D983">
        <v>25191</v>
      </c>
      <c r="E983" t="s">
        <v>10</v>
      </c>
      <c r="F983" t="s">
        <v>39</v>
      </c>
      <c r="G983" t="s">
        <v>40</v>
      </c>
      <c r="H983">
        <f t="shared" si="15"/>
        <v>25200</v>
      </c>
    </row>
    <row r="984" spans="1:8" x14ac:dyDescent="0.3">
      <c r="A984" t="s">
        <v>28</v>
      </c>
      <c r="B984" t="s">
        <v>23</v>
      </c>
      <c r="C984" t="s">
        <v>15</v>
      </c>
      <c r="D984">
        <v>29</v>
      </c>
      <c r="E984" t="s">
        <v>10</v>
      </c>
      <c r="F984" t="s">
        <v>39</v>
      </c>
      <c r="G984" t="s">
        <v>40</v>
      </c>
      <c r="H984">
        <f t="shared" si="15"/>
        <v>29</v>
      </c>
    </row>
    <row r="985" spans="1:8" x14ac:dyDescent="0.3">
      <c r="A985" t="s">
        <v>28</v>
      </c>
      <c r="B985" t="s">
        <v>23</v>
      </c>
      <c r="C985" t="s">
        <v>16</v>
      </c>
      <c r="D985">
        <v>129412</v>
      </c>
      <c r="E985" t="s">
        <v>10</v>
      </c>
      <c r="F985" t="s">
        <v>39</v>
      </c>
      <c r="G985" t="s">
        <v>40</v>
      </c>
      <c r="H985">
        <f t="shared" si="15"/>
        <v>129000</v>
      </c>
    </row>
    <row r="986" spans="1:8" x14ac:dyDescent="0.3">
      <c r="A986" t="s">
        <v>28</v>
      </c>
      <c r="B986" t="s">
        <v>23</v>
      </c>
      <c r="C986" t="s">
        <v>17</v>
      </c>
      <c r="D986">
        <v>17</v>
      </c>
      <c r="E986" t="s">
        <v>10</v>
      </c>
      <c r="F986" t="s">
        <v>39</v>
      </c>
      <c r="G986" t="s">
        <v>40</v>
      </c>
      <c r="H986">
        <f t="shared" si="15"/>
        <v>17</v>
      </c>
    </row>
    <row r="987" spans="1:8" x14ac:dyDescent="0.3">
      <c r="A987" t="s">
        <v>28</v>
      </c>
      <c r="B987" t="s">
        <v>23</v>
      </c>
      <c r="C987" t="s">
        <v>18</v>
      </c>
      <c r="D987">
        <v>0</v>
      </c>
      <c r="E987" t="s">
        <v>10</v>
      </c>
      <c r="F987" t="s">
        <v>39</v>
      </c>
      <c r="G987" t="s">
        <v>40</v>
      </c>
      <c r="H987">
        <f t="shared" si="15"/>
        <v>0</v>
      </c>
    </row>
    <row r="988" spans="1:8" x14ac:dyDescent="0.3">
      <c r="A988" t="s">
        <v>28</v>
      </c>
      <c r="B988" t="s">
        <v>23</v>
      </c>
      <c r="C988" t="s">
        <v>19</v>
      </c>
      <c r="D988">
        <v>5</v>
      </c>
      <c r="E988" t="s">
        <v>10</v>
      </c>
      <c r="F988" t="s">
        <v>39</v>
      </c>
      <c r="G988" t="s">
        <v>40</v>
      </c>
      <c r="H988">
        <f t="shared" si="15"/>
        <v>5</v>
      </c>
    </row>
    <row r="989" spans="1:8" x14ac:dyDescent="0.3">
      <c r="A989" t="s">
        <v>28</v>
      </c>
      <c r="B989" t="s">
        <v>23</v>
      </c>
      <c r="C989" t="s">
        <v>20</v>
      </c>
      <c r="D989">
        <v>187</v>
      </c>
      <c r="E989" t="s">
        <v>10</v>
      </c>
      <c r="F989" t="s">
        <v>39</v>
      </c>
      <c r="G989" t="s">
        <v>40</v>
      </c>
      <c r="H989">
        <f t="shared" si="15"/>
        <v>187</v>
      </c>
    </row>
    <row r="990" spans="1:8" x14ac:dyDescent="0.3">
      <c r="A990" t="s">
        <v>28</v>
      </c>
      <c r="B990" t="s">
        <v>23</v>
      </c>
      <c r="C990" t="s">
        <v>21</v>
      </c>
      <c r="D990">
        <v>11</v>
      </c>
      <c r="E990" t="s">
        <v>10</v>
      </c>
      <c r="F990" t="s">
        <v>39</v>
      </c>
      <c r="G990" t="s">
        <v>40</v>
      </c>
      <c r="H990">
        <f t="shared" si="15"/>
        <v>11</v>
      </c>
    </row>
    <row r="991" spans="1:8" x14ac:dyDescent="0.3">
      <c r="A991" t="s">
        <v>28</v>
      </c>
      <c r="B991" t="s">
        <v>23</v>
      </c>
      <c r="C991" t="s">
        <v>22</v>
      </c>
      <c r="D991">
        <v>168</v>
      </c>
      <c r="E991" t="s">
        <v>10</v>
      </c>
      <c r="F991" t="s">
        <v>39</v>
      </c>
      <c r="G991" t="s">
        <v>40</v>
      </c>
      <c r="H991">
        <f t="shared" si="15"/>
        <v>168</v>
      </c>
    </row>
    <row r="992" spans="1:8" x14ac:dyDescent="0.3">
      <c r="A992" t="s">
        <v>29</v>
      </c>
      <c r="B992" t="s">
        <v>8</v>
      </c>
      <c r="C992" t="s">
        <v>9</v>
      </c>
      <c r="D992">
        <v>0</v>
      </c>
      <c r="E992" t="s">
        <v>10</v>
      </c>
      <c r="F992" t="s">
        <v>39</v>
      </c>
      <c r="G992" t="s">
        <v>40</v>
      </c>
      <c r="H992">
        <f t="shared" si="15"/>
        <v>0</v>
      </c>
    </row>
    <row r="993" spans="1:8" x14ac:dyDescent="0.3">
      <c r="A993" t="s">
        <v>29</v>
      </c>
      <c r="B993" t="s">
        <v>8</v>
      </c>
      <c r="C993" t="s">
        <v>13</v>
      </c>
      <c r="D993">
        <v>0</v>
      </c>
      <c r="E993" t="s">
        <v>10</v>
      </c>
      <c r="F993" t="s">
        <v>39</v>
      </c>
      <c r="G993" t="s">
        <v>40</v>
      </c>
      <c r="H993">
        <f t="shared" si="15"/>
        <v>0</v>
      </c>
    </row>
    <row r="994" spans="1:8" x14ac:dyDescent="0.3">
      <c r="A994" t="s">
        <v>29</v>
      </c>
      <c r="B994" t="s">
        <v>8</v>
      </c>
      <c r="C994" t="s">
        <v>14</v>
      </c>
      <c r="D994">
        <v>11638</v>
      </c>
      <c r="E994" t="s">
        <v>10</v>
      </c>
      <c r="F994" t="s">
        <v>39</v>
      </c>
      <c r="G994" t="s">
        <v>40</v>
      </c>
      <c r="H994">
        <f t="shared" si="15"/>
        <v>11600</v>
      </c>
    </row>
    <row r="995" spans="1:8" x14ac:dyDescent="0.3">
      <c r="A995" t="s">
        <v>29</v>
      </c>
      <c r="B995" t="s">
        <v>8</v>
      </c>
      <c r="C995" t="s">
        <v>15</v>
      </c>
      <c r="D995">
        <v>0</v>
      </c>
      <c r="E995" t="s">
        <v>10</v>
      </c>
      <c r="F995" t="s">
        <v>39</v>
      </c>
      <c r="G995" t="s">
        <v>40</v>
      </c>
      <c r="H995">
        <f t="shared" si="15"/>
        <v>0</v>
      </c>
    </row>
    <row r="996" spans="1:8" x14ac:dyDescent="0.3">
      <c r="A996" t="s">
        <v>29</v>
      </c>
      <c r="B996" t="s">
        <v>8</v>
      </c>
      <c r="C996" t="s">
        <v>16</v>
      </c>
      <c r="D996">
        <v>17</v>
      </c>
      <c r="E996" t="s">
        <v>10</v>
      </c>
      <c r="F996" t="s">
        <v>39</v>
      </c>
      <c r="G996" t="s">
        <v>40</v>
      </c>
      <c r="H996">
        <f t="shared" si="15"/>
        <v>17</v>
      </c>
    </row>
    <row r="997" spans="1:8" x14ac:dyDescent="0.3">
      <c r="A997" t="s">
        <v>29</v>
      </c>
      <c r="B997" t="s">
        <v>8</v>
      </c>
      <c r="C997" t="s">
        <v>17</v>
      </c>
      <c r="D997">
        <v>0</v>
      </c>
      <c r="E997" t="s">
        <v>10</v>
      </c>
      <c r="F997" t="s">
        <v>39</v>
      </c>
      <c r="G997" t="s">
        <v>40</v>
      </c>
      <c r="H997">
        <f t="shared" si="15"/>
        <v>0</v>
      </c>
    </row>
    <row r="998" spans="1:8" x14ac:dyDescent="0.3">
      <c r="A998" t="s">
        <v>29</v>
      </c>
      <c r="B998" t="s">
        <v>8</v>
      </c>
      <c r="C998" t="s">
        <v>18</v>
      </c>
      <c r="D998">
        <v>0</v>
      </c>
      <c r="E998" t="s">
        <v>10</v>
      </c>
      <c r="F998" t="s">
        <v>39</v>
      </c>
      <c r="G998" t="s">
        <v>40</v>
      </c>
      <c r="H998">
        <f t="shared" si="15"/>
        <v>0</v>
      </c>
    </row>
    <row r="999" spans="1:8" x14ac:dyDescent="0.3">
      <c r="A999" t="s">
        <v>29</v>
      </c>
      <c r="B999" t="s">
        <v>8</v>
      </c>
      <c r="C999" t="s">
        <v>19</v>
      </c>
      <c r="D999">
        <v>0</v>
      </c>
      <c r="E999" t="s">
        <v>10</v>
      </c>
      <c r="F999" t="s">
        <v>39</v>
      </c>
      <c r="G999" t="s">
        <v>40</v>
      </c>
      <c r="H999">
        <f t="shared" si="15"/>
        <v>0</v>
      </c>
    </row>
    <row r="1000" spans="1:8" x14ac:dyDescent="0.3">
      <c r="A1000" t="s">
        <v>29</v>
      </c>
      <c r="B1000" t="s">
        <v>8</v>
      </c>
      <c r="C1000" t="s">
        <v>20</v>
      </c>
      <c r="D1000">
        <v>0</v>
      </c>
      <c r="E1000" t="s">
        <v>10</v>
      </c>
      <c r="F1000" t="s">
        <v>39</v>
      </c>
      <c r="G1000" t="s">
        <v>40</v>
      </c>
      <c r="H1000">
        <f t="shared" si="15"/>
        <v>0</v>
      </c>
    </row>
    <row r="1001" spans="1:8" x14ac:dyDescent="0.3">
      <c r="A1001" t="s">
        <v>29</v>
      </c>
      <c r="B1001" t="s">
        <v>8</v>
      </c>
      <c r="C1001" t="s">
        <v>21</v>
      </c>
      <c r="D1001">
        <v>0</v>
      </c>
      <c r="E1001" t="s">
        <v>10</v>
      </c>
      <c r="F1001" t="s">
        <v>39</v>
      </c>
      <c r="G1001" t="s">
        <v>40</v>
      </c>
      <c r="H1001">
        <f t="shared" si="15"/>
        <v>0</v>
      </c>
    </row>
    <row r="1002" spans="1:8" x14ac:dyDescent="0.3">
      <c r="A1002" t="s">
        <v>29</v>
      </c>
      <c r="B1002" t="s">
        <v>8</v>
      </c>
      <c r="C1002" t="s">
        <v>22</v>
      </c>
      <c r="D1002">
        <v>18</v>
      </c>
      <c r="E1002" t="s">
        <v>10</v>
      </c>
      <c r="F1002" t="s">
        <v>39</v>
      </c>
      <c r="G1002" t="s">
        <v>40</v>
      </c>
      <c r="H1002">
        <f t="shared" si="15"/>
        <v>18</v>
      </c>
    </row>
    <row r="1003" spans="1:8" x14ac:dyDescent="0.3">
      <c r="A1003" t="s">
        <v>29</v>
      </c>
      <c r="B1003" t="s">
        <v>23</v>
      </c>
      <c r="C1003" t="s">
        <v>9</v>
      </c>
      <c r="D1003">
        <v>34</v>
      </c>
      <c r="E1003" t="s">
        <v>10</v>
      </c>
      <c r="F1003" t="s">
        <v>39</v>
      </c>
      <c r="G1003" t="s">
        <v>40</v>
      </c>
      <c r="H1003">
        <f t="shared" si="15"/>
        <v>34</v>
      </c>
    </row>
    <row r="1004" spans="1:8" x14ac:dyDescent="0.3">
      <c r="A1004" t="s">
        <v>29</v>
      </c>
      <c r="B1004" t="s">
        <v>23</v>
      </c>
      <c r="C1004" t="s">
        <v>13</v>
      </c>
      <c r="D1004">
        <v>20</v>
      </c>
      <c r="E1004" t="s">
        <v>10</v>
      </c>
      <c r="F1004" t="s">
        <v>39</v>
      </c>
      <c r="G1004" t="s">
        <v>40</v>
      </c>
      <c r="H1004">
        <f t="shared" si="15"/>
        <v>20</v>
      </c>
    </row>
    <row r="1005" spans="1:8" x14ac:dyDescent="0.3">
      <c r="A1005" t="s">
        <v>29</v>
      </c>
      <c r="B1005" t="s">
        <v>23</v>
      </c>
      <c r="C1005" t="s">
        <v>14</v>
      </c>
      <c r="D1005">
        <v>20346</v>
      </c>
      <c r="E1005" t="s">
        <v>10</v>
      </c>
      <c r="F1005" t="s">
        <v>39</v>
      </c>
      <c r="G1005" t="s">
        <v>40</v>
      </c>
      <c r="H1005">
        <f t="shared" si="15"/>
        <v>20300</v>
      </c>
    </row>
    <row r="1006" spans="1:8" x14ac:dyDescent="0.3">
      <c r="A1006" t="s">
        <v>29</v>
      </c>
      <c r="B1006" t="s">
        <v>23</v>
      </c>
      <c r="C1006" t="s">
        <v>15</v>
      </c>
      <c r="D1006">
        <v>13</v>
      </c>
      <c r="E1006" t="s">
        <v>10</v>
      </c>
      <c r="F1006" t="s">
        <v>39</v>
      </c>
      <c r="G1006" t="s">
        <v>40</v>
      </c>
      <c r="H1006">
        <f t="shared" si="15"/>
        <v>13</v>
      </c>
    </row>
    <row r="1007" spans="1:8" x14ac:dyDescent="0.3">
      <c r="A1007" t="s">
        <v>29</v>
      </c>
      <c r="B1007" t="s">
        <v>23</v>
      </c>
      <c r="C1007" t="s">
        <v>16</v>
      </c>
      <c r="D1007">
        <v>3032</v>
      </c>
      <c r="E1007" t="s">
        <v>10</v>
      </c>
      <c r="F1007" t="s">
        <v>39</v>
      </c>
      <c r="G1007" t="s">
        <v>40</v>
      </c>
      <c r="H1007">
        <f t="shared" si="15"/>
        <v>3030</v>
      </c>
    </row>
    <row r="1008" spans="1:8" x14ac:dyDescent="0.3">
      <c r="A1008" t="s">
        <v>29</v>
      </c>
      <c r="B1008" t="s">
        <v>23</v>
      </c>
      <c r="C1008" t="s">
        <v>17</v>
      </c>
      <c r="D1008">
        <v>2</v>
      </c>
      <c r="E1008" t="s">
        <v>10</v>
      </c>
      <c r="F1008" t="s">
        <v>39</v>
      </c>
      <c r="G1008" t="s">
        <v>40</v>
      </c>
      <c r="H1008">
        <f t="shared" si="15"/>
        <v>2</v>
      </c>
    </row>
    <row r="1009" spans="1:8" x14ac:dyDescent="0.3">
      <c r="A1009" t="s">
        <v>29</v>
      </c>
      <c r="B1009" t="s">
        <v>23</v>
      </c>
      <c r="C1009" t="s">
        <v>18</v>
      </c>
      <c r="D1009">
        <v>0</v>
      </c>
      <c r="E1009" t="s">
        <v>10</v>
      </c>
      <c r="F1009" t="s">
        <v>39</v>
      </c>
      <c r="G1009" t="s">
        <v>40</v>
      </c>
      <c r="H1009">
        <f t="shared" si="15"/>
        <v>0</v>
      </c>
    </row>
    <row r="1010" spans="1:8" x14ac:dyDescent="0.3">
      <c r="A1010" t="s">
        <v>29</v>
      </c>
      <c r="B1010" t="s">
        <v>23</v>
      </c>
      <c r="C1010" t="s">
        <v>19</v>
      </c>
      <c r="D1010">
        <v>1</v>
      </c>
      <c r="E1010" t="s">
        <v>10</v>
      </c>
      <c r="F1010" t="s">
        <v>39</v>
      </c>
      <c r="G1010" t="s">
        <v>40</v>
      </c>
      <c r="H1010">
        <f t="shared" si="15"/>
        <v>1</v>
      </c>
    </row>
    <row r="1011" spans="1:8" x14ac:dyDescent="0.3">
      <c r="A1011" t="s">
        <v>29</v>
      </c>
      <c r="B1011" t="s">
        <v>23</v>
      </c>
      <c r="C1011" t="s">
        <v>20</v>
      </c>
      <c r="D1011">
        <v>28</v>
      </c>
      <c r="E1011" t="s">
        <v>10</v>
      </c>
      <c r="F1011" t="s">
        <v>39</v>
      </c>
      <c r="G1011" t="s">
        <v>40</v>
      </c>
      <c r="H1011">
        <f t="shared" si="15"/>
        <v>28</v>
      </c>
    </row>
    <row r="1012" spans="1:8" x14ac:dyDescent="0.3">
      <c r="A1012" t="s">
        <v>29</v>
      </c>
      <c r="B1012" t="s">
        <v>23</v>
      </c>
      <c r="C1012" t="s">
        <v>21</v>
      </c>
      <c r="D1012">
        <v>6</v>
      </c>
      <c r="E1012" t="s">
        <v>10</v>
      </c>
      <c r="F1012" t="s">
        <v>39</v>
      </c>
      <c r="G1012" t="s">
        <v>40</v>
      </c>
      <c r="H1012">
        <f t="shared" si="15"/>
        <v>6</v>
      </c>
    </row>
    <row r="1013" spans="1:8" x14ac:dyDescent="0.3">
      <c r="A1013" t="s">
        <v>29</v>
      </c>
      <c r="B1013" t="s">
        <v>23</v>
      </c>
      <c r="C1013" t="s">
        <v>22</v>
      </c>
      <c r="D1013">
        <v>33</v>
      </c>
      <c r="E1013" t="s">
        <v>10</v>
      </c>
      <c r="F1013" t="s">
        <v>39</v>
      </c>
      <c r="G1013" t="s">
        <v>40</v>
      </c>
      <c r="H1013">
        <f t="shared" si="15"/>
        <v>33</v>
      </c>
    </row>
    <row r="1014" spans="1:8" x14ac:dyDescent="0.3">
      <c r="A1014" t="s">
        <v>30</v>
      </c>
      <c r="B1014" t="s">
        <v>8</v>
      </c>
      <c r="C1014" t="s">
        <v>9</v>
      </c>
      <c r="D1014">
        <v>0</v>
      </c>
      <c r="E1014" t="s">
        <v>10</v>
      </c>
      <c r="F1014" t="s">
        <v>39</v>
      </c>
      <c r="G1014" t="s">
        <v>40</v>
      </c>
      <c r="H1014">
        <f t="shared" si="15"/>
        <v>0</v>
      </c>
    </row>
    <row r="1015" spans="1:8" x14ac:dyDescent="0.3">
      <c r="A1015" t="s">
        <v>30</v>
      </c>
      <c r="B1015" t="s">
        <v>8</v>
      </c>
      <c r="C1015" t="s">
        <v>13</v>
      </c>
      <c r="D1015">
        <v>0</v>
      </c>
      <c r="E1015" t="s">
        <v>10</v>
      </c>
      <c r="F1015" t="s">
        <v>39</v>
      </c>
      <c r="G1015" t="s">
        <v>40</v>
      </c>
      <c r="H1015">
        <f t="shared" si="15"/>
        <v>0</v>
      </c>
    </row>
    <row r="1016" spans="1:8" x14ac:dyDescent="0.3">
      <c r="A1016" t="s">
        <v>30</v>
      </c>
      <c r="B1016" t="s">
        <v>8</v>
      </c>
      <c r="C1016" t="s">
        <v>14</v>
      </c>
      <c r="D1016">
        <v>0</v>
      </c>
      <c r="E1016" t="s">
        <v>10</v>
      </c>
      <c r="F1016" t="s">
        <v>39</v>
      </c>
      <c r="G1016" t="s">
        <v>40</v>
      </c>
      <c r="H1016">
        <f t="shared" si="15"/>
        <v>0</v>
      </c>
    </row>
    <row r="1017" spans="1:8" x14ac:dyDescent="0.3">
      <c r="A1017" t="s">
        <v>30</v>
      </c>
      <c r="B1017" t="s">
        <v>8</v>
      </c>
      <c r="C1017" t="s">
        <v>15</v>
      </c>
      <c r="D1017">
        <v>0</v>
      </c>
      <c r="E1017" t="s">
        <v>10</v>
      </c>
      <c r="F1017" t="s">
        <v>39</v>
      </c>
      <c r="G1017" t="s">
        <v>40</v>
      </c>
      <c r="H1017">
        <f t="shared" si="15"/>
        <v>0</v>
      </c>
    </row>
    <row r="1018" spans="1:8" x14ac:dyDescent="0.3">
      <c r="A1018" t="s">
        <v>30</v>
      </c>
      <c r="B1018" t="s">
        <v>8</v>
      </c>
      <c r="C1018" t="s">
        <v>16</v>
      </c>
      <c r="D1018">
        <v>0</v>
      </c>
      <c r="E1018" t="s">
        <v>10</v>
      </c>
      <c r="F1018" t="s">
        <v>39</v>
      </c>
      <c r="G1018" t="s">
        <v>40</v>
      </c>
      <c r="H1018">
        <f t="shared" si="15"/>
        <v>0</v>
      </c>
    </row>
    <row r="1019" spans="1:8" x14ac:dyDescent="0.3">
      <c r="A1019" t="s">
        <v>30</v>
      </c>
      <c r="B1019" t="s">
        <v>8</v>
      </c>
      <c r="C1019" t="s">
        <v>17</v>
      </c>
      <c r="D1019">
        <v>1182</v>
      </c>
      <c r="E1019" t="s">
        <v>10</v>
      </c>
      <c r="F1019" t="s">
        <v>39</v>
      </c>
      <c r="G1019" t="s">
        <v>40</v>
      </c>
      <c r="H1019">
        <f t="shared" si="15"/>
        <v>1180</v>
      </c>
    </row>
    <row r="1020" spans="1:8" x14ac:dyDescent="0.3">
      <c r="A1020" t="s">
        <v>30</v>
      </c>
      <c r="B1020" t="s">
        <v>8</v>
      </c>
      <c r="C1020" t="s">
        <v>18</v>
      </c>
      <c r="D1020">
        <v>0</v>
      </c>
      <c r="E1020" t="s">
        <v>10</v>
      </c>
      <c r="F1020" t="s">
        <v>39</v>
      </c>
      <c r="G1020" t="s">
        <v>40</v>
      </c>
      <c r="H1020">
        <f t="shared" si="15"/>
        <v>0</v>
      </c>
    </row>
    <row r="1021" spans="1:8" x14ac:dyDescent="0.3">
      <c r="A1021" t="s">
        <v>30</v>
      </c>
      <c r="B1021" t="s">
        <v>8</v>
      </c>
      <c r="C1021" t="s">
        <v>19</v>
      </c>
      <c r="D1021">
        <v>0</v>
      </c>
      <c r="E1021" t="s">
        <v>10</v>
      </c>
      <c r="F1021" t="s">
        <v>39</v>
      </c>
      <c r="G1021" t="s">
        <v>40</v>
      </c>
      <c r="H1021">
        <f t="shared" si="15"/>
        <v>0</v>
      </c>
    </row>
    <row r="1022" spans="1:8" x14ac:dyDescent="0.3">
      <c r="A1022" t="s">
        <v>30</v>
      </c>
      <c r="B1022" t="s">
        <v>8</v>
      </c>
      <c r="C1022" t="s">
        <v>20</v>
      </c>
      <c r="D1022">
        <v>0</v>
      </c>
      <c r="E1022" t="s">
        <v>10</v>
      </c>
      <c r="F1022" t="s">
        <v>39</v>
      </c>
      <c r="G1022" t="s">
        <v>40</v>
      </c>
      <c r="H1022">
        <f t="shared" si="15"/>
        <v>0</v>
      </c>
    </row>
    <row r="1023" spans="1:8" x14ac:dyDescent="0.3">
      <c r="A1023" t="s">
        <v>30</v>
      </c>
      <c r="B1023" t="s">
        <v>8</v>
      </c>
      <c r="C1023" t="s">
        <v>21</v>
      </c>
      <c r="D1023">
        <v>0</v>
      </c>
      <c r="E1023" t="s">
        <v>10</v>
      </c>
      <c r="F1023" t="s">
        <v>39</v>
      </c>
      <c r="G1023" t="s">
        <v>40</v>
      </c>
      <c r="H1023">
        <f t="shared" si="15"/>
        <v>0</v>
      </c>
    </row>
    <row r="1024" spans="1:8" x14ac:dyDescent="0.3">
      <c r="A1024" t="s">
        <v>30</v>
      </c>
      <c r="B1024" t="s">
        <v>8</v>
      </c>
      <c r="C1024" t="s">
        <v>22</v>
      </c>
      <c r="D1024">
        <v>1</v>
      </c>
      <c r="E1024" t="s">
        <v>10</v>
      </c>
      <c r="F1024" t="s">
        <v>39</v>
      </c>
      <c r="G1024" t="s">
        <v>40</v>
      </c>
      <c r="H1024">
        <f t="shared" si="15"/>
        <v>1</v>
      </c>
    </row>
    <row r="1025" spans="1:8" x14ac:dyDescent="0.3">
      <c r="A1025" t="s">
        <v>30</v>
      </c>
      <c r="B1025" t="s">
        <v>23</v>
      </c>
      <c r="C1025" t="s">
        <v>9</v>
      </c>
      <c r="D1025">
        <v>98</v>
      </c>
      <c r="E1025" t="s">
        <v>10</v>
      </c>
      <c r="F1025" t="s">
        <v>39</v>
      </c>
      <c r="G1025" t="s">
        <v>40</v>
      </c>
      <c r="H1025">
        <f t="shared" si="15"/>
        <v>98</v>
      </c>
    </row>
    <row r="1026" spans="1:8" x14ac:dyDescent="0.3">
      <c r="A1026" t="s">
        <v>30</v>
      </c>
      <c r="B1026" t="s">
        <v>23</v>
      </c>
      <c r="C1026" t="s">
        <v>13</v>
      </c>
      <c r="D1026">
        <v>8</v>
      </c>
      <c r="E1026" t="s">
        <v>10</v>
      </c>
      <c r="F1026" t="s">
        <v>39</v>
      </c>
      <c r="G1026" t="s">
        <v>40</v>
      </c>
      <c r="H1026">
        <f t="shared" si="15"/>
        <v>8</v>
      </c>
    </row>
    <row r="1027" spans="1:8" x14ac:dyDescent="0.3">
      <c r="A1027" t="s">
        <v>30</v>
      </c>
      <c r="B1027" t="s">
        <v>23</v>
      </c>
      <c r="C1027" t="s">
        <v>14</v>
      </c>
      <c r="D1027">
        <v>19</v>
      </c>
      <c r="E1027" t="s">
        <v>10</v>
      </c>
      <c r="F1027" t="s">
        <v>39</v>
      </c>
      <c r="G1027" t="s">
        <v>40</v>
      </c>
      <c r="H1027">
        <f t="shared" ref="H1027:H1090" si="16">ROUND(D1027, 3 - LEN(INT(ABS(D1027))))</f>
        <v>19</v>
      </c>
    </row>
    <row r="1028" spans="1:8" x14ac:dyDescent="0.3">
      <c r="A1028" t="s">
        <v>30</v>
      </c>
      <c r="B1028" t="s">
        <v>23</v>
      </c>
      <c r="C1028" t="s">
        <v>15</v>
      </c>
      <c r="D1028">
        <v>0</v>
      </c>
      <c r="E1028" t="s">
        <v>10</v>
      </c>
      <c r="F1028" t="s">
        <v>39</v>
      </c>
      <c r="G1028" t="s">
        <v>40</v>
      </c>
      <c r="H1028">
        <f t="shared" si="16"/>
        <v>0</v>
      </c>
    </row>
    <row r="1029" spans="1:8" x14ac:dyDescent="0.3">
      <c r="A1029" t="s">
        <v>30</v>
      </c>
      <c r="B1029" t="s">
        <v>23</v>
      </c>
      <c r="C1029" t="s">
        <v>16</v>
      </c>
      <c r="D1029">
        <v>28</v>
      </c>
      <c r="E1029" t="s">
        <v>10</v>
      </c>
      <c r="F1029" t="s">
        <v>39</v>
      </c>
      <c r="G1029" t="s">
        <v>40</v>
      </c>
      <c r="H1029">
        <f t="shared" si="16"/>
        <v>28</v>
      </c>
    </row>
    <row r="1030" spans="1:8" x14ac:dyDescent="0.3">
      <c r="A1030" t="s">
        <v>30</v>
      </c>
      <c r="B1030" t="s">
        <v>23</v>
      </c>
      <c r="C1030" t="s">
        <v>17</v>
      </c>
      <c r="D1030">
        <v>2604</v>
      </c>
      <c r="E1030" t="s">
        <v>10</v>
      </c>
      <c r="F1030" t="s">
        <v>39</v>
      </c>
      <c r="G1030" t="s">
        <v>40</v>
      </c>
      <c r="H1030">
        <f t="shared" si="16"/>
        <v>2600</v>
      </c>
    </row>
    <row r="1031" spans="1:8" x14ac:dyDescent="0.3">
      <c r="A1031" t="s">
        <v>30</v>
      </c>
      <c r="B1031" t="s">
        <v>23</v>
      </c>
      <c r="C1031" t="s">
        <v>18</v>
      </c>
      <c r="D1031">
        <v>0</v>
      </c>
      <c r="E1031" t="s">
        <v>10</v>
      </c>
      <c r="F1031" t="s">
        <v>39</v>
      </c>
      <c r="G1031" t="s">
        <v>40</v>
      </c>
      <c r="H1031">
        <f t="shared" si="16"/>
        <v>0</v>
      </c>
    </row>
    <row r="1032" spans="1:8" x14ac:dyDescent="0.3">
      <c r="A1032" t="s">
        <v>30</v>
      </c>
      <c r="B1032" t="s">
        <v>23</v>
      </c>
      <c r="C1032" t="s">
        <v>19</v>
      </c>
      <c r="D1032">
        <v>0</v>
      </c>
      <c r="E1032" t="s">
        <v>10</v>
      </c>
      <c r="F1032" t="s">
        <v>39</v>
      </c>
      <c r="G1032" t="s">
        <v>40</v>
      </c>
      <c r="H1032">
        <f t="shared" si="16"/>
        <v>0</v>
      </c>
    </row>
    <row r="1033" spans="1:8" x14ac:dyDescent="0.3">
      <c r="A1033" t="s">
        <v>30</v>
      </c>
      <c r="B1033" t="s">
        <v>23</v>
      </c>
      <c r="C1033" t="s">
        <v>20</v>
      </c>
      <c r="D1033">
        <v>11</v>
      </c>
      <c r="E1033" t="s">
        <v>10</v>
      </c>
      <c r="F1033" t="s">
        <v>39</v>
      </c>
      <c r="G1033" t="s">
        <v>40</v>
      </c>
      <c r="H1033">
        <f t="shared" si="16"/>
        <v>11</v>
      </c>
    </row>
    <row r="1034" spans="1:8" x14ac:dyDescent="0.3">
      <c r="A1034" t="s">
        <v>30</v>
      </c>
      <c r="B1034" t="s">
        <v>23</v>
      </c>
      <c r="C1034" t="s">
        <v>21</v>
      </c>
      <c r="D1034">
        <v>0</v>
      </c>
      <c r="E1034" t="s">
        <v>10</v>
      </c>
      <c r="F1034" t="s">
        <v>39</v>
      </c>
      <c r="G1034" t="s">
        <v>40</v>
      </c>
      <c r="H1034">
        <f t="shared" si="16"/>
        <v>0</v>
      </c>
    </row>
    <row r="1035" spans="1:8" x14ac:dyDescent="0.3">
      <c r="A1035" t="s">
        <v>30</v>
      </c>
      <c r="B1035" t="s">
        <v>23</v>
      </c>
      <c r="C1035" t="s">
        <v>22</v>
      </c>
      <c r="D1035">
        <v>9</v>
      </c>
      <c r="E1035" t="s">
        <v>10</v>
      </c>
      <c r="F1035" t="s">
        <v>39</v>
      </c>
      <c r="G1035" t="s">
        <v>40</v>
      </c>
      <c r="H1035">
        <f t="shared" si="16"/>
        <v>9</v>
      </c>
    </row>
    <row r="1036" spans="1:8" x14ac:dyDescent="0.3">
      <c r="A1036" t="s">
        <v>31</v>
      </c>
      <c r="B1036" t="s">
        <v>8</v>
      </c>
      <c r="C1036" t="s">
        <v>9</v>
      </c>
      <c r="D1036">
        <v>0</v>
      </c>
      <c r="E1036" t="s">
        <v>10</v>
      </c>
      <c r="F1036" t="s">
        <v>39</v>
      </c>
      <c r="G1036" t="s">
        <v>40</v>
      </c>
      <c r="H1036">
        <f t="shared" si="16"/>
        <v>0</v>
      </c>
    </row>
    <row r="1037" spans="1:8" x14ac:dyDescent="0.3">
      <c r="A1037" t="s">
        <v>31</v>
      </c>
      <c r="B1037" t="s">
        <v>8</v>
      </c>
      <c r="C1037" t="s">
        <v>13</v>
      </c>
      <c r="D1037">
        <v>0</v>
      </c>
      <c r="E1037" t="s">
        <v>10</v>
      </c>
      <c r="F1037" t="s">
        <v>39</v>
      </c>
      <c r="G1037" t="s">
        <v>40</v>
      </c>
      <c r="H1037">
        <f t="shared" si="16"/>
        <v>0</v>
      </c>
    </row>
    <row r="1038" spans="1:8" x14ac:dyDescent="0.3">
      <c r="A1038" t="s">
        <v>31</v>
      </c>
      <c r="B1038" t="s">
        <v>8</v>
      </c>
      <c r="C1038" t="s">
        <v>14</v>
      </c>
      <c r="D1038">
        <v>0</v>
      </c>
      <c r="E1038" t="s">
        <v>10</v>
      </c>
      <c r="F1038" t="s">
        <v>39</v>
      </c>
      <c r="G1038" t="s">
        <v>40</v>
      </c>
      <c r="H1038">
        <f t="shared" si="16"/>
        <v>0</v>
      </c>
    </row>
    <row r="1039" spans="1:8" x14ac:dyDescent="0.3">
      <c r="A1039" t="s">
        <v>31</v>
      </c>
      <c r="B1039" t="s">
        <v>8</v>
      </c>
      <c r="C1039" t="s">
        <v>15</v>
      </c>
      <c r="D1039">
        <v>0</v>
      </c>
      <c r="E1039" t="s">
        <v>10</v>
      </c>
      <c r="F1039" t="s">
        <v>39</v>
      </c>
      <c r="G1039" t="s">
        <v>40</v>
      </c>
      <c r="H1039">
        <f t="shared" si="16"/>
        <v>0</v>
      </c>
    </row>
    <row r="1040" spans="1:8" x14ac:dyDescent="0.3">
      <c r="A1040" t="s">
        <v>31</v>
      </c>
      <c r="B1040" t="s">
        <v>8</v>
      </c>
      <c r="C1040" t="s">
        <v>16</v>
      </c>
      <c r="D1040">
        <v>0</v>
      </c>
      <c r="E1040" t="s">
        <v>10</v>
      </c>
      <c r="F1040" t="s">
        <v>39</v>
      </c>
      <c r="G1040" t="s">
        <v>40</v>
      </c>
      <c r="H1040">
        <f t="shared" si="16"/>
        <v>0</v>
      </c>
    </row>
    <row r="1041" spans="1:8" x14ac:dyDescent="0.3">
      <c r="A1041" t="s">
        <v>31</v>
      </c>
      <c r="B1041" t="s">
        <v>8</v>
      </c>
      <c r="C1041" t="s">
        <v>17</v>
      </c>
      <c r="D1041">
        <v>2631</v>
      </c>
      <c r="E1041" t="s">
        <v>10</v>
      </c>
      <c r="F1041" t="s">
        <v>39</v>
      </c>
      <c r="G1041" t="s">
        <v>40</v>
      </c>
      <c r="H1041">
        <f t="shared" si="16"/>
        <v>2630</v>
      </c>
    </row>
    <row r="1042" spans="1:8" x14ac:dyDescent="0.3">
      <c r="A1042" t="s">
        <v>31</v>
      </c>
      <c r="B1042" t="s">
        <v>8</v>
      </c>
      <c r="C1042" t="s">
        <v>18</v>
      </c>
      <c r="D1042">
        <v>0</v>
      </c>
      <c r="E1042" t="s">
        <v>10</v>
      </c>
      <c r="F1042" t="s">
        <v>39</v>
      </c>
      <c r="G1042" t="s">
        <v>40</v>
      </c>
      <c r="H1042">
        <f t="shared" si="16"/>
        <v>0</v>
      </c>
    </row>
    <row r="1043" spans="1:8" x14ac:dyDescent="0.3">
      <c r="A1043" t="s">
        <v>31</v>
      </c>
      <c r="B1043" t="s">
        <v>8</v>
      </c>
      <c r="C1043" t="s">
        <v>19</v>
      </c>
      <c r="D1043">
        <v>0</v>
      </c>
      <c r="E1043" t="s">
        <v>10</v>
      </c>
      <c r="F1043" t="s">
        <v>39</v>
      </c>
      <c r="G1043" t="s">
        <v>40</v>
      </c>
      <c r="H1043">
        <f t="shared" si="16"/>
        <v>0</v>
      </c>
    </row>
    <row r="1044" spans="1:8" x14ac:dyDescent="0.3">
      <c r="A1044" t="s">
        <v>31</v>
      </c>
      <c r="B1044" t="s">
        <v>8</v>
      </c>
      <c r="C1044" t="s">
        <v>20</v>
      </c>
      <c r="D1044">
        <v>0</v>
      </c>
      <c r="E1044" t="s">
        <v>10</v>
      </c>
      <c r="F1044" t="s">
        <v>39</v>
      </c>
      <c r="G1044" t="s">
        <v>40</v>
      </c>
      <c r="H1044">
        <f t="shared" si="16"/>
        <v>0</v>
      </c>
    </row>
    <row r="1045" spans="1:8" x14ac:dyDescent="0.3">
      <c r="A1045" t="s">
        <v>31</v>
      </c>
      <c r="B1045" t="s">
        <v>8</v>
      </c>
      <c r="C1045" t="s">
        <v>21</v>
      </c>
      <c r="D1045">
        <v>0</v>
      </c>
      <c r="E1045" t="s">
        <v>10</v>
      </c>
      <c r="F1045" t="s">
        <v>39</v>
      </c>
      <c r="G1045" t="s">
        <v>40</v>
      </c>
      <c r="H1045">
        <f t="shared" si="16"/>
        <v>0</v>
      </c>
    </row>
    <row r="1046" spans="1:8" x14ac:dyDescent="0.3">
      <c r="A1046" t="s">
        <v>31</v>
      </c>
      <c r="B1046" t="s">
        <v>8</v>
      </c>
      <c r="C1046" t="s">
        <v>22</v>
      </c>
      <c r="D1046">
        <v>3</v>
      </c>
      <c r="E1046" t="s">
        <v>10</v>
      </c>
      <c r="F1046" t="s">
        <v>39</v>
      </c>
      <c r="G1046" t="s">
        <v>40</v>
      </c>
      <c r="H1046">
        <f t="shared" si="16"/>
        <v>3</v>
      </c>
    </row>
    <row r="1047" spans="1:8" x14ac:dyDescent="0.3">
      <c r="A1047" t="s">
        <v>31</v>
      </c>
      <c r="B1047" t="s">
        <v>23</v>
      </c>
      <c r="C1047" t="s">
        <v>9</v>
      </c>
      <c r="D1047">
        <v>219</v>
      </c>
      <c r="E1047" t="s">
        <v>10</v>
      </c>
      <c r="F1047" t="s">
        <v>39</v>
      </c>
      <c r="G1047" t="s">
        <v>40</v>
      </c>
      <c r="H1047">
        <f t="shared" si="16"/>
        <v>219</v>
      </c>
    </row>
    <row r="1048" spans="1:8" x14ac:dyDescent="0.3">
      <c r="A1048" t="s">
        <v>31</v>
      </c>
      <c r="B1048" t="s">
        <v>23</v>
      </c>
      <c r="C1048" t="s">
        <v>13</v>
      </c>
      <c r="D1048">
        <v>18</v>
      </c>
      <c r="E1048" t="s">
        <v>10</v>
      </c>
      <c r="F1048" t="s">
        <v>39</v>
      </c>
      <c r="G1048" t="s">
        <v>40</v>
      </c>
      <c r="H1048">
        <f t="shared" si="16"/>
        <v>18</v>
      </c>
    </row>
    <row r="1049" spans="1:8" x14ac:dyDescent="0.3">
      <c r="A1049" t="s">
        <v>31</v>
      </c>
      <c r="B1049" t="s">
        <v>23</v>
      </c>
      <c r="C1049" t="s">
        <v>14</v>
      </c>
      <c r="D1049">
        <v>41</v>
      </c>
      <c r="E1049" t="s">
        <v>10</v>
      </c>
      <c r="F1049" t="s">
        <v>39</v>
      </c>
      <c r="G1049" t="s">
        <v>40</v>
      </c>
      <c r="H1049">
        <f t="shared" si="16"/>
        <v>41</v>
      </c>
    </row>
    <row r="1050" spans="1:8" x14ac:dyDescent="0.3">
      <c r="A1050" t="s">
        <v>31</v>
      </c>
      <c r="B1050" t="s">
        <v>23</v>
      </c>
      <c r="C1050" t="s">
        <v>15</v>
      </c>
      <c r="D1050">
        <v>1</v>
      </c>
      <c r="E1050" t="s">
        <v>10</v>
      </c>
      <c r="F1050" t="s">
        <v>39</v>
      </c>
      <c r="G1050" t="s">
        <v>40</v>
      </c>
      <c r="H1050">
        <f t="shared" si="16"/>
        <v>1</v>
      </c>
    </row>
    <row r="1051" spans="1:8" x14ac:dyDescent="0.3">
      <c r="A1051" t="s">
        <v>31</v>
      </c>
      <c r="B1051" t="s">
        <v>23</v>
      </c>
      <c r="C1051" t="s">
        <v>16</v>
      </c>
      <c r="D1051">
        <v>62</v>
      </c>
      <c r="E1051" t="s">
        <v>10</v>
      </c>
      <c r="F1051" t="s">
        <v>39</v>
      </c>
      <c r="G1051" t="s">
        <v>40</v>
      </c>
      <c r="H1051">
        <f t="shared" si="16"/>
        <v>62</v>
      </c>
    </row>
    <row r="1052" spans="1:8" x14ac:dyDescent="0.3">
      <c r="A1052" t="s">
        <v>31</v>
      </c>
      <c r="B1052" t="s">
        <v>23</v>
      </c>
      <c r="C1052" t="s">
        <v>17</v>
      </c>
      <c r="D1052">
        <v>5798</v>
      </c>
      <c r="E1052" t="s">
        <v>10</v>
      </c>
      <c r="F1052" t="s">
        <v>39</v>
      </c>
      <c r="G1052" t="s">
        <v>40</v>
      </c>
      <c r="H1052">
        <f t="shared" si="16"/>
        <v>5800</v>
      </c>
    </row>
    <row r="1053" spans="1:8" x14ac:dyDescent="0.3">
      <c r="A1053" t="s">
        <v>31</v>
      </c>
      <c r="B1053" t="s">
        <v>23</v>
      </c>
      <c r="C1053" t="s">
        <v>18</v>
      </c>
      <c r="D1053">
        <v>0</v>
      </c>
      <c r="E1053" t="s">
        <v>10</v>
      </c>
      <c r="F1053" t="s">
        <v>39</v>
      </c>
      <c r="G1053" t="s">
        <v>40</v>
      </c>
      <c r="H1053">
        <f t="shared" si="16"/>
        <v>0</v>
      </c>
    </row>
    <row r="1054" spans="1:8" x14ac:dyDescent="0.3">
      <c r="A1054" t="s">
        <v>31</v>
      </c>
      <c r="B1054" t="s">
        <v>23</v>
      </c>
      <c r="C1054" t="s">
        <v>19</v>
      </c>
      <c r="D1054">
        <v>0</v>
      </c>
      <c r="E1054" t="s">
        <v>10</v>
      </c>
      <c r="F1054" t="s">
        <v>39</v>
      </c>
      <c r="G1054" t="s">
        <v>40</v>
      </c>
      <c r="H1054">
        <f t="shared" si="16"/>
        <v>0</v>
      </c>
    </row>
    <row r="1055" spans="1:8" x14ac:dyDescent="0.3">
      <c r="A1055" t="s">
        <v>31</v>
      </c>
      <c r="B1055" t="s">
        <v>23</v>
      </c>
      <c r="C1055" t="s">
        <v>20</v>
      </c>
      <c r="D1055">
        <v>25</v>
      </c>
      <c r="E1055" t="s">
        <v>10</v>
      </c>
      <c r="F1055" t="s">
        <v>39</v>
      </c>
      <c r="G1055" t="s">
        <v>40</v>
      </c>
      <c r="H1055">
        <f t="shared" si="16"/>
        <v>25</v>
      </c>
    </row>
    <row r="1056" spans="1:8" x14ac:dyDescent="0.3">
      <c r="A1056" t="s">
        <v>31</v>
      </c>
      <c r="B1056" t="s">
        <v>23</v>
      </c>
      <c r="C1056" t="s">
        <v>21</v>
      </c>
      <c r="D1056">
        <v>0</v>
      </c>
      <c r="E1056" t="s">
        <v>10</v>
      </c>
      <c r="F1056" t="s">
        <v>39</v>
      </c>
      <c r="G1056" t="s">
        <v>40</v>
      </c>
      <c r="H1056">
        <f t="shared" si="16"/>
        <v>0</v>
      </c>
    </row>
    <row r="1057" spans="1:8" x14ac:dyDescent="0.3">
      <c r="A1057" t="s">
        <v>31</v>
      </c>
      <c r="B1057" t="s">
        <v>23</v>
      </c>
      <c r="C1057" t="s">
        <v>22</v>
      </c>
      <c r="D1057">
        <v>20</v>
      </c>
      <c r="E1057" t="s">
        <v>10</v>
      </c>
      <c r="F1057" t="s">
        <v>39</v>
      </c>
      <c r="G1057" t="s">
        <v>40</v>
      </c>
      <c r="H1057">
        <f t="shared" si="16"/>
        <v>20</v>
      </c>
    </row>
    <row r="1058" spans="1:8" x14ac:dyDescent="0.3">
      <c r="A1058" t="s">
        <v>32</v>
      </c>
      <c r="B1058" t="s">
        <v>8</v>
      </c>
      <c r="C1058" t="s">
        <v>9</v>
      </c>
      <c r="D1058">
        <v>0</v>
      </c>
      <c r="E1058" t="s">
        <v>10</v>
      </c>
      <c r="F1058" t="s">
        <v>39</v>
      </c>
      <c r="G1058" t="s">
        <v>40</v>
      </c>
      <c r="H1058">
        <f t="shared" si="16"/>
        <v>0</v>
      </c>
    </row>
    <row r="1059" spans="1:8" x14ac:dyDescent="0.3">
      <c r="A1059" t="s">
        <v>32</v>
      </c>
      <c r="B1059" t="s">
        <v>8</v>
      </c>
      <c r="C1059" t="s">
        <v>13</v>
      </c>
      <c r="D1059">
        <v>9</v>
      </c>
      <c r="E1059" t="s">
        <v>10</v>
      </c>
      <c r="F1059" t="s">
        <v>39</v>
      </c>
      <c r="G1059" t="s">
        <v>40</v>
      </c>
      <c r="H1059">
        <f t="shared" si="16"/>
        <v>9</v>
      </c>
    </row>
    <row r="1060" spans="1:8" x14ac:dyDescent="0.3">
      <c r="A1060" t="s">
        <v>32</v>
      </c>
      <c r="B1060" t="s">
        <v>8</v>
      </c>
      <c r="C1060" t="s">
        <v>14</v>
      </c>
      <c r="D1060">
        <v>0</v>
      </c>
      <c r="E1060" t="s">
        <v>10</v>
      </c>
      <c r="F1060" t="s">
        <v>39</v>
      </c>
      <c r="G1060" t="s">
        <v>40</v>
      </c>
      <c r="H1060">
        <f t="shared" si="16"/>
        <v>0</v>
      </c>
    </row>
    <row r="1061" spans="1:8" x14ac:dyDescent="0.3">
      <c r="A1061" t="s">
        <v>32</v>
      </c>
      <c r="B1061" t="s">
        <v>8</v>
      </c>
      <c r="C1061" t="s">
        <v>15</v>
      </c>
      <c r="D1061">
        <v>0</v>
      </c>
      <c r="E1061" t="s">
        <v>10</v>
      </c>
      <c r="F1061" t="s">
        <v>39</v>
      </c>
      <c r="G1061" t="s">
        <v>40</v>
      </c>
      <c r="H1061">
        <f t="shared" si="16"/>
        <v>0</v>
      </c>
    </row>
    <row r="1062" spans="1:8" x14ac:dyDescent="0.3">
      <c r="A1062" t="s">
        <v>32</v>
      </c>
      <c r="B1062" t="s">
        <v>8</v>
      </c>
      <c r="C1062" t="s">
        <v>16</v>
      </c>
      <c r="D1062">
        <v>0</v>
      </c>
      <c r="E1062" t="s">
        <v>10</v>
      </c>
      <c r="F1062" t="s">
        <v>39</v>
      </c>
      <c r="G1062" t="s">
        <v>40</v>
      </c>
      <c r="H1062">
        <f t="shared" si="16"/>
        <v>0</v>
      </c>
    </row>
    <row r="1063" spans="1:8" x14ac:dyDescent="0.3">
      <c r="A1063" t="s">
        <v>32</v>
      </c>
      <c r="B1063" t="s">
        <v>8</v>
      </c>
      <c r="C1063" t="s">
        <v>17</v>
      </c>
      <c r="D1063">
        <v>0</v>
      </c>
      <c r="E1063" t="s">
        <v>10</v>
      </c>
      <c r="F1063" t="s">
        <v>39</v>
      </c>
      <c r="G1063" t="s">
        <v>40</v>
      </c>
      <c r="H1063">
        <f t="shared" si="16"/>
        <v>0</v>
      </c>
    </row>
    <row r="1064" spans="1:8" x14ac:dyDescent="0.3">
      <c r="A1064" t="s">
        <v>32</v>
      </c>
      <c r="B1064" t="s">
        <v>8</v>
      </c>
      <c r="C1064" t="s">
        <v>18</v>
      </c>
      <c r="D1064">
        <v>0</v>
      </c>
      <c r="E1064" t="s">
        <v>10</v>
      </c>
      <c r="F1064" t="s">
        <v>39</v>
      </c>
      <c r="G1064" t="s">
        <v>40</v>
      </c>
      <c r="H1064">
        <f t="shared" si="16"/>
        <v>0</v>
      </c>
    </row>
    <row r="1065" spans="1:8" x14ac:dyDescent="0.3">
      <c r="A1065" t="s">
        <v>32</v>
      </c>
      <c r="B1065" t="s">
        <v>8</v>
      </c>
      <c r="C1065" t="s">
        <v>19</v>
      </c>
      <c r="D1065">
        <v>0</v>
      </c>
      <c r="E1065" t="s">
        <v>10</v>
      </c>
      <c r="F1065" t="s">
        <v>39</v>
      </c>
      <c r="G1065" t="s">
        <v>40</v>
      </c>
      <c r="H1065">
        <f t="shared" si="16"/>
        <v>0</v>
      </c>
    </row>
    <row r="1066" spans="1:8" x14ac:dyDescent="0.3">
      <c r="A1066" t="s">
        <v>32</v>
      </c>
      <c r="B1066" t="s">
        <v>8</v>
      </c>
      <c r="C1066" t="s">
        <v>20</v>
      </c>
      <c r="D1066">
        <v>0</v>
      </c>
      <c r="E1066" t="s">
        <v>10</v>
      </c>
      <c r="F1066" t="s">
        <v>39</v>
      </c>
      <c r="G1066" t="s">
        <v>40</v>
      </c>
      <c r="H1066">
        <f t="shared" si="16"/>
        <v>0</v>
      </c>
    </row>
    <row r="1067" spans="1:8" x14ac:dyDescent="0.3">
      <c r="A1067" t="s">
        <v>32</v>
      </c>
      <c r="B1067" t="s">
        <v>8</v>
      </c>
      <c r="C1067" t="s">
        <v>21</v>
      </c>
      <c r="D1067">
        <v>0</v>
      </c>
      <c r="E1067" t="s">
        <v>10</v>
      </c>
      <c r="F1067" t="s">
        <v>39</v>
      </c>
      <c r="G1067" t="s">
        <v>40</v>
      </c>
      <c r="H1067">
        <f t="shared" si="16"/>
        <v>0</v>
      </c>
    </row>
    <row r="1068" spans="1:8" x14ac:dyDescent="0.3">
      <c r="A1068" t="s">
        <v>32</v>
      </c>
      <c r="B1068" t="s">
        <v>8</v>
      </c>
      <c r="C1068" t="s">
        <v>22</v>
      </c>
      <c r="D1068">
        <v>11800</v>
      </c>
      <c r="E1068" t="s">
        <v>10</v>
      </c>
      <c r="F1068" t="s">
        <v>39</v>
      </c>
      <c r="G1068" t="s">
        <v>40</v>
      </c>
      <c r="H1068">
        <f t="shared" si="16"/>
        <v>11800</v>
      </c>
    </row>
    <row r="1069" spans="1:8" x14ac:dyDescent="0.3">
      <c r="A1069" t="s">
        <v>32</v>
      </c>
      <c r="B1069" t="s">
        <v>23</v>
      </c>
      <c r="C1069" t="s">
        <v>9</v>
      </c>
      <c r="D1069">
        <v>41</v>
      </c>
      <c r="E1069" t="s">
        <v>10</v>
      </c>
      <c r="F1069" t="s">
        <v>39</v>
      </c>
      <c r="G1069" t="s">
        <v>40</v>
      </c>
      <c r="H1069">
        <f t="shared" si="16"/>
        <v>41</v>
      </c>
    </row>
    <row r="1070" spans="1:8" x14ac:dyDescent="0.3">
      <c r="A1070" t="s">
        <v>32</v>
      </c>
      <c r="B1070" t="s">
        <v>23</v>
      </c>
      <c r="C1070" t="s">
        <v>13</v>
      </c>
      <c r="D1070">
        <v>482</v>
      </c>
      <c r="E1070" t="s">
        <v>10</v>
      </c>
      <c r="F1070" t="s">
        <v>39</v>
      </c>
      <c r="G1070" t="s">
        <v>40</v>
      </c>
      <c r="H1070">
        <f t="shared" si="16"/>
        <v>482</v>
      </c>
    </row>
    <row r="1071" spans="1:8" x14ac:dyDescent="0.3">
      <c r="A1071" t="s">
        <v>32</v>
      </c>
      <c r="B1071" t="s">
        <v>23</v>
      </c>
      <c r="C1071" t="s">
        <v>14</v>
      </c>
      <c r="D1071">
        <v>89</v>
      </c>
      <c r="E1071" t="s">
        <v>10</v>
      </c>
      <c r="F1071" t="s">
        <v>39</v>
      </c>
      <c r="G1071" t="s">
        <v>40</v>
      </c>
      <c r="H1071">
        <f t="shared" si="16"/>
        <v>89</v>
      </c>
    </row>
    <row r="1072" spans="1:8" x14ac:dyDescent="0.3">
      <c r="A1072" t="s">
        <v>32</v>
      </c>
      <c r="B1072" t="s">
        <v>23</v>
      </c>
      <c r="C1072" t="s">
        <v>15</v>
      </c>
      <c r="D1072">
        <v>9</v>
      </c>
      <c r="E1072" t="s">
        <v>10</v>
      </c>
      <c r="F1072" t="s">
        <v>39</v>
      </c>
      <c r="G1072" t="s">
        <v>40</v>
      </c>
      <c r="H1072">
        <f t="shared" si="16"/>
        <v>9</v>
      </c>
    </row>
    <row r="1073" spans="1:8" x14ac:dyDescent="0.3">
      <c r="A1073" t="s">
        <v>32</v>
      </c>
      <c r="B1073" t="s">
        <v>23</v>
      </c>
      <c r="C1073" t="s">
        <v>16</v>
      </c>
      <c r="D1073">
        <v>174</v>
      </c>
      <c r="E1073" t="s">
        <v>10</v>
      </c>
      <c r="F1073" t="s">
        <v>39</v>
      </c>
      <c r="G1073" t="s">
        <v>40</v>
      </c>
      <c r="H1073">
        <f t="shared" si="16"/>
        <v>174</v>
      </c>
    </row>
    <row r="1074" spans="1:8" x14ac:dyDescent="0.3">
      <c r="A1074" t="s">
        <v>32</v>
      </c>
      <c r="B1074" t="s">
        <v>23</v>
      </c>
      <c r="C1074" t="s">
        <v>17</v>
      </c>
      <c r="D1074">
        <v>8</v>
      </c>
      <c r="E1074" t="s">
        <v>10</v>
      </c>
      <c r="F1074" t="s">
        <v>39</v>
      </c>
      <c r="G1074" t="s">
        <v>40</v>
      </c>
      <c r="H1074">
        <f t="shared" si="16"/>
        <v>8</v>
      </c>
    </row>
    <row r="1075" spans="1:8" x14ac:dyDescent="0.3">
      <c r="A1075" t="s">
        <v>32</v>
      </c>
      <c r="B1075" t="s">
        <v>23</v>
      </c>
      <c r="C1075" t="s">
        <v>18</v>
      </c>
      <c r="D1075">
        <v>0</v>
      </c>
      <c r="E1075" t="s">
        <v>10</v>
      </c>
      <c r="F1075" t="s">
        <v>39</v>
      </c>
      <c r="G1075" t="s">
        <v>40</v>
      </c>
      <c r="H1075">
        <f t="shared" si="16"/>
        <v>0</v>
      </c>
    </row>
    <row r="1076" spans="1:8" x14ac:dyDescent="0.3">
      <c r="A1076" t="s">
        <v>32</v>
      </c>
      <c r="B1076" t="s">
        <v>23</v>
      </c>
      <c r="C1076" t="s">
        <v>19</v>
      </c>
      <c r="D1076">
        <v>10</v>
      </c>
      <c r="E1076" t="s">
        <v>10</v>
      </c>
      <c r="F1076" t="s">
        <v>39</v>
      </c>
      <c r="G1076" t="s">
        <v>40</v>
      </c>
      <c r="H1076">
        <f t="shared" si="16"/>
        <v>10</v>
      </c>
    </row>
    <row r="1077" spans="1:8" x14ac:dyDescent="0.3">
      <c r="A1077" t="s">
        <v>32</v>
      </c>
      <c r="B1077" t="s">
        <v>23</v>
      </c>
      <c r="C1077" t="s">
        <v>20</v>
      </c>
      <c r="D1077">
        <v>28</v>
      </c>
      <c r="E1077" t="s">
        <v>10</v>
      </c>
      <c r="F1077" t="s">
        <v>39</v>
      </c>
      <c r="G1077" t="s">
        <v>40</v>
      </c>
      <c r="H1077">
        <f t="shared" si="16"/>
        <v>28</v>
      </c>
    </row>
    <row r="1078" spans="1:8" x14ac:dyDescent="0.3">
      <c r="A1078" t="s">
        <v>32</v>
      </c>
      <c r="B1078" t="s">
        <v>23</v>
      </c>
      <c r="C1078" t="s">
        <v>21</v>
      </c>
      <c r="D1078">
        <v>3</v>
      </c>
      <c r="E1078" t="s">
        <v>10</v>
      </c>
      <c r="F1078" t="s">
        <v>39</v>
      </c>
      <c r="G1078" t="s">
        <v>40</v>
      </c>
      <c r="H1078">
        <f t="shared" si="16"/>
        <v>3</v>
      </c>
    </row>
    <row r="1079" spans="1:8" x14ac:dyDescent="0.3">
      <c r="A1079" t="s">
        <v>32</v>
      </c>
      <c r="B1079" t="s">
        <v>23</v>
      </c>
      <c r="C1079" t="s">
        <v>22</v>
      </c>
      <c r="D1079">
        <v>5552</v>
      </c>
      <c r="E1079" t="s">
        <v>10</v>
      </c>
      <c r="F1079" t="s">
        <v>39</v>
      </c>
      <c r="G1079" t="s">
        <v>40</v>
      </c>
      <c r="H1079">
        <f t="shared" si="16"/>
        <v>5550</v>
      </c>
    </row>
    <row r="1080" spans="1:8" x14ac:dyDescent="0.3">
      <c r="A1080" t="s">
        <v>33</v>
      </c>
      <c r="B1080" t="s">
        <v>8</v>
      </c>
      <c r="C1080" t="s">
        <v>9</v>
      </c>
      <c r="D1080">
        <v>2</v>
      </c>
      <c r="E1080" t="s">
        <v>10</v>
      </c>
      <c r="F1080" t="s">
        <v>39</v>
      </c>
      <c r="G1080" t="s">
        <v>40</v>
      </c>
      <c r="H1080">
        <f t="shared" si="16"/>
        <v>2</v>
      </c>
    </row>
    <row r="1081" spans="1:8" x14ac:dyDescent="0.3">
      <c r="A1081" t="s">
        <v>33</v>
      </c>
      <c r="B1081" t="s">
        <v>8</v>
      </c>
      <c r="C1081" t="s">
        <v>13</v>
      </c>
      <c r="D1081">
        <v>0</v>
      </c>
      <c r="E1081" t="s">
        <v>10</v>
      </c>
      <c r="F1081" t="s">
        <v>39</v>
      </c>
      <c r="G1081" t="s">
        <v>40</v>
      </c>
      <c r="H1081">
        <f t="shared" si="16"/>
        <v>0</v>
      </c>
    </row>
    <row r="1082" spans="1:8" x14ac:dyDescent="0.3">
      <c r="A1082" t="s">
        <v>33</v>
      </c>
      <c r="B1082" t="s">
        <v>8</v>
      </c>
      <c r="C1082" t="s">
        <v>14</v>
      </c>
      <c r="D1082">
        <v>14</v>
      </c>
      <c r="E1082" t="s">
        <v>10</v>
      </c>
      <c r="F1082" t="s">
        <v>39</v>
      </c>
      <c r="G1082" t="s">
        <v>40</v>
      </c>
      <c r="H1082">
        <f t="shared" si="16"/>
        <v>14</v>
      </c>
    </row>
    <row r="1083" spans="1:8" x14ac:dyDescent="0.3">
      <c r="A1083" t="s">
        <v>33</v>
      </c>
      <c r="B1083" t="s">
        <v>8</v>
      </c>
      <c r="C1083" t="s">
        <v>15</v>
      </c>
      <c r="D1083">
        <v>0</v>
      </c>
      <c r="E1083" t="s">
        <v>10</v>
      </c>
      <c r="F1083" t="s">
        <v>39</v>
      </c>
      <c r="G1083" t="s">
        <v>40</v>
      </c>
      <c r="H1083">
        <f t="shared" si="16"/>
        <v>0</v>
      </c>
    </row>
    <row r="1084" spans="1:8" x14ac:dyDescent="0.3">
      <c r="A1084" t="s">
        <v>33</v>
      </c>
      <c r="B1084" t="s">
        <v>8</v>
      </c>
      <c r="C1084" t="s">
        <v>16</v>
      </c>
      <c r="D1084">
        <v>79845</v>
      </c>
      <c r="E1084" t="s">
        <v>10</v>
      </c>
      <c r="F1084" t="s">
        <v>39</v>
      </c>
      <c r="G1084" t="s">
        <v>40</v>
      </c>
      <c r="H1084">
        <f t="shared" si="16"/>
        <v>79800</v>
      </c>
    </row>
    <row r="1085" spans="1:8" x14ac:dyDescent="0.3">
      <c r="A1085" t="s">
        <v>33</v>
      </c>
      <c r="B1085" t="s">
        <v>8</v>
      </c>
      <c r="C1085" t="s">
        <v>17</v>
      </c>
      <c r="D1085">
        <v>1600</v>
      </c>
      <c r="E1085" t="s">
        <v>10</v>
      </c>
      <c r="F1085" t="s">
        <v>39</v>
      </c>
      <c r="G1085" t="s">
        <v>40</v>
      </c>
      <c r="H1085">
        <f t="shared" si="16"/>
        <v>1600</v>
      </c>
    </row>
    <row r="1086" spans="1:8" x14ac:dyDescent="0.3">
      <c r="A1086" t="s">
        <v>33</v>
      </c>
      <c r="B1086" t="s">
        <v>8</v>
      </c>
      <c r="C1086" t="s">
        <v>18</v>
      </c>
      <c r="D1086">
        <v>0</v>
      </c>
      <c r="E1086" t="s">
        <v>10</v>
      </c>
      <c r="F1086" t="s">
        <v>39</v>
      </c>
      <c r="G1086" t="s">
        <v>40</v>
      </c>
      <c r="H1086">
        <f t="shared" si="16"/>
        <v>0</v>
      </c>
    </row>
    <row r="1087" spans="1:8" x14ac:dyDescent="0.3">
      <c r="A1087" t="s">
        <v>33</v>
      </c>
      <c r="B1087" t="s">
        <v>8</v>
      </c>
      <c r="C1087" t="s">
        <v>19</v>
      </c>
      <c r="D1087">
        <v>0</v>
      </c>
      <c r="E1087" t="s">
        <v>10</v>
      </c>
      <c r="F1087" t="s">
        <v>39</v>
      </c>
      <c r="G1087" t="s">
        <v>40</v>
      </c>
      <c r="H1087">
        <f t="shared" si="16"/>
        <v>0</v>
      </c>
    </row>
    <row r="1088" spans="1:8" x14ac:dyDescent="0.3">
      <c r="A1088" t="s">
        <v>33</v>
      </c>
      <c r="B1088" t="s">
        <v>8</v>
      </c>
      <c r="C1088" t="s">
        <v>20</v>
      </c>
      <c r="D1088">
        <v>0</v>
      </c>
      <c r="E1088" t="s">
        <v>10</v>
      </c>
      <c r="F1088" t="s">
        <v>39</v>
      </c>
      <c r="G1088" t="s">
        <v>40</v>
      </c>
      <c r="H1088">
        <f t="shared" si="16"/>
        <v>0</v>
      </c>
    </row>
    <row r="1089" spans="1:8" x14ac:dyDescent="0.3">
      <c r="A1089" t="s">
        <v>33</v>
      </c>
      <c r="B1089" t="s">
        <v>8</v>
      </c>
      <c r="C1089" t="s">
        <v>21</v>
      </c>
      <c r="D1089">
        <v>0</v>
      </c>
      <c r="E1089" t="s">
        <v>10</v>
      </c>
      <c r="F1089" t="s">
        <v>39</v>
      </c>
      <c r="G1089" t="s">
        <v>40</v>
      </c>
      <c r="H1089">
        <f t="shared" si="16"/>
        <v>0</v>
      </c>
    </row>
    <row r="1090" spans="1:8" x14ac:dyDescent="0.3">
      <c r="A1090" t="s">
        <v>33</v>
      </c>
      <c r="B1090" t="s">
        <v>8</v>
      </c>
      <c r="C1090" t="s">
        <v>22</v>
      </c>
      <c r="D1090">
        <v>30</v>
      </c>
      <c r="E1090" t="s">
        <v>10</v>
      </c>
      <c r="F1090" t="s">
        <v>39</v>
      </c>
      <c r="G1090" t="s">
        <v>40</v>
      </c>
      <c r="H1090">
        <f t="shared" si="16"/>
        <v>30</v>
      </c>
    </row>
    <row r="1091" spans="1:8" x14ac:dyDescent="0.3">
      <c r="A1091" t="s">
        <v>33</v>
      </c>
      <c r="B1091" t="s">
        <v>23</v>
      </c>
      <c r="C1091" t="s">
        <v>9</v>
      </c>
      <c r="D1091">
        <v>216</v>
      </c>
      <c r="E1091" t="s">
        <v>10</v>
      </c>
      <c r="F1091" t="s">
        <v>39</v>
      </c>
      <c r="G1091" t="s">
        <v>40</v>
      </c>
      <c r="H1091">
        <f t="shared" ref="H1091:H1145" si="17">ROUND(D1091, 3 - LEN(INT(ABS(D1091))))</f>
        <v>216</v>
      </c>
    </row>
    <row r="1092" spans="1:8" x14ac:dyDescent="0.3">
      <c r="A1092" t="s">
        <v>33</v>
      </c>
      <c r="B1092" t="s">
        <v>23</v>
      </c>
      <c r="C1092" t="s">
        <v>13</v>
      </c>
      <c r="D1092">
        <v>87</v>
      </c>
      <c r="E1092" t="s">
        <v>10</v>
      </c>
      <c r="F1092" t="s">
        <v>39</v>
      </c>
      <c r="G1092" t="s">
        <v>40</v>
      </c>
      <c r="H1092">
        <f t="shared" si="17"/>
        <v>87</v>
      </c>
    </row>
    <row r="1093" spans="1:8" x14ac:dyDescent="0.3">
      <c r="A1093" t="s">
        <v>33</v>
      </c>
      <c r="B1093" t="s">
        <v>23</v>
      </c>
      <c r="C1093" t="s">
        <v>14</v>
      </c>
      <c r="D1093">
        <v>1336</v>
      </c>
      <c r="E1093" t="s">
        <v>10</v>
      </c>
      <c r="F1093" t="s">
        <v>39</v>
      </c>
      <c r="G1093" t="s">
        <v>40</v>
      </c>
      <c r="H1093">
        <f t="shared" si="17"/>
        <v>1340</v>
      </c>
    </row>
    <row r="1094" spans="1:8" x14ac:dyDescent="0.3">
      <c r="A1094" t="s">
        <v>33</v>
      </c>
      <c r="B1094" t="s">
        <v>23</v>
      </c>
      <c r="C1094" t="s">
        <v>15</v>
      </c>
      <c r="D1094">
        <v>22</v>
      </c>
      <c r="E1094" t="s">
        <v>10</v>
      </c>
      <c r="F1094" t="s">
        <v>39</v>
      </c>
      <c r="G1094" t="s">
        <v>40</v>
      </c>
      <c r="H1094">
        <f t="shared" si="17"/>
        <v>22</v>
      </c>
    </row>
    <row r="1095" spans="1:8" x14ac:dyDescent="0.3">
      <c r="A1095" t="s">
        <v>33</v>
      </c>
      <c r="B1095" t="s">
        <v>23</v>
      </c>
      <c r="C1095" t="s">
        <v>16</v>
      </c>
      <c r="D1095">
        <v>206604</v>
      </c>
      <c r="E1095" t="s">
        <v>10</v>
      </c>
      <c r="F1095" t="s">
        <v>39</v>
      </c>
      <c r="G1095" t="s">
        <v>40</v>
      </c>
      <c r="H1095">
        <f t="shared" si="17"/>
        <v>207000</v>
      </c>
    </row>
    <row r="1096" spans="1:8" x14ac:dyDescent="0.3">
      <c r="A1096" t="s">
        <v>33</v>
      </c>
      <c r="B1096" t="s">
        <v>23</v>
      </c>
      <c r="C1096" t="s">
        <v>17</v>
      </c>
      <c r="D1096">
        <v>3539</v>
      </c>
      <c r="E1096" t="s">
        <v>10</v>
      </c>
      <c r="F1096" t="s">
        <v>39</v>
      </c>
      <c r="G1096" t="s">
        <v>40</v>
      </c>
      <c r="H1096">
        <f t="shared" si="17"/>
        <v>3540</v>
      </c>
    </row>
    <row r="1097" spans="1:8" x14ac:dyDescent="0.3">
      <c r="A1097" t="s">
        <v>33</v>
      </c>
      <c r="B1097" t="s">
        <v>23</v>
      </c>
      <c r="C1097" t="s">
        <v>18</v>
      </c>
      <c r="D1097">
        <v>0</v>
      </c>
      <c r="E1097" t="s">
        <v>10</v>
      </c>
      <c r="F1097" t="s">
        <v>39</v>
      </c>
      <c r="G1097" t="s">
        <v>40</v>
      </c>
      <c r="H1097">
        <f t="shared" si="17"/>
        <v>0</v>
      </c>
    </row>
    <row r="1098" spans="1:8" x14ac:dyDescent="0.3">
      <c r="A1098" t="s">
        <v>33</v>
      </c>
      <c r="B1098" t="s">
        <v>23</v>
      </c>
      <c r="C1098" t="s">
        <v>19</v>
      </c>
      <c r="D1098">
        <v>5</v>
      </c>
      <c r="E1098" t="s">
        <v>10</v>
      </c>
      <c r="F1098" t="s">
        <v>39</v>
      </c>
      <c r="G1098" t="s">
        <v>40</v>
      </c>
      <c r="H1098">
        <f t="shared" si="17"/>
        <v>5</v>
      </c>
    </row>
    <row r="1099" spans="1:8" x14ac:dyDescent="0.3">
      <c r="A1099" t="s">
        <v>33</v>
      </c>
      <c r="B1099" t="s">
        <v>23</v>
      </c>
      <c r="C1099" t="s">
        <v>20</v>
      </c>
      <c r="D1099">
        <v>267</v>
      </c>
      <c r="E1099" t="s">
        <v>10</v>
      </c>
      <c r="F1099" t="s">
        <v>39</v>
      </c>
      <c r="G1099" t="s">
        <v>40</v>
      </c>
      <c r="H1099">
        <f t="shared" si="17"/>
        <v>267</v>
      </c>
    </row>
    <row r="1100" spans="1:8" x14ac:dyDescent="0.3">
      <c r="A1100" t="s">
        <v>33</v>
      </c>
      <c r="B1100" t="s">
        <v>23</v>
      </c>
      <c r="C1100" t="s">
        <v>21</v>
      </c>
      <c r="D1100">
        <v>7</v>
      </c>
      <c r="E1100" t="s">
        <v>10</v>
      </c>
      <c r="F1100" t="s">
        <v>39</v>
      </c>
      <c r="G1100" t="s">
        <v>40</v>
      </c>
      <c r="H1100">
        <f t="shared" si="17"/>
        <v>7</v>
      </c>
    </row>
    <row r="1101" spans="1:8" x14ac:dyDescent="0.3">
      <c r="A1101" t="s">
        <v>33</v>
      </c>
      <c r="B1101" t="s">
        <v>23</v>
      </c>
      <c r="C1101" t="s">
        <v>22</v>
      </c>
      <c r="D1101">
        <v>224</v>
      </c>
      <c r="E1101" t="s">
        <v>10</v>
      </c>
      <c r="F1101" t="s">
        <v>39</v>
      </c>
      <c r="G1101" t="s">
        <v>40</v>
      </c>
      <c r="H1101">
        <f t="shared" si="17"/>
        <v>224</v>
      </c>
    </row>
    <row r="1102" spans="1:8" x14ac:dyDescent="0.3">
      <c r="A1102" t="s">
        <v>34</v>
      </c>
      <c r="B1102" t="s">
        <v>8</v>
      </c>
      <c r="C1102" t="s">
        <v>9</v>
      </c>
      <c r="D1102">
        <v>0</v>
      </c>
      <c r="E1102" t="s">
        <v>10</v>
      </c>
      <c r="F1102" t="s">
        <v>39</v>
      </c>
      <c r="G1102" t="s">
        <v>40</v>
      </c>
      <c r="H1102">
        <f t="shared" si="17"/>
        <v>0</v>
      </c>
    </row>
    <row r="1103" spans="1:8" x14ac:dyDescent="0.3">
      <c r="A1103" t="s">
        <v>34</v>
      </c>
      <c r="B1103" t="s">
        <v>8</v>
      </c>
      <c r="C1103" t="s">
        <v>13</v>
      </c>
      <c r="D1103">
        <v>22</v>
      </c>
      <c r="E1103" t="s">
        <v>10</v>
      </c>
      <c r="F1103" t="s">
        <v>39</v>
      </c>
      <c r="G1103" t="s">
        <v>40</v>
      </c>
      <c r="H1103">
        <f t="shared" si="17"/>
        <v>22</v>
      </c>
    </row>
    <row r="1104" spans="1:8" x14ac:dyDescent="0.3">
      <c r="A1104" t="s">
        <v>34</v>
      </c>
      <c r="B1104" t="s">
        <v>8</v>
      </c>
      <c r="C1104" t="s">
        <v>14</v>
      </c>
      <c r="D1104">
        <v>0</v>
      </c>
      <c r="E1104" t="s">
        <v>10</v>
      </c>
      <c r="F1104" t="s">
        <v>39</v>
      </c>
      <c r="G1104" t="s">
        <v>40</v>
      </c>
      <c r="H1104">
        <f t="shared" si="17"/>
        <v>0</v>
      </c>
    </row>
    <row r="1105" spans="1:8" x14ac:dyDescent="0.3">
      <c r="A1105" t="s">
        <v>34</v>
      </c>
      <c r="B1105" t="s">
        <v>8</v>
      </c>
      <c r="C1105" t="s">
        <v>15</v>
      </c>
      <c r="D1105">
        <v>0</v>
      </c>
      <c r="E1105" t="s">
        <v>10</v>
      </c>
      <c r="F1105" t="s">
        <v>39</v>
      </c>
      <c r="G1105" t="s">
        <v>40</v>
      </c>
      <c r="H1105">
        <f t="shared" si="17"/>
        <v>0</v>
      </c>
    </row>
    <row r="1106" spans="1:8" x14ac:dyDescent="0.3">
      <c r="A1106" t="s">
        <v>34</v>
      </c>
      <c r="B1106" t="s">
        <v>8</v>
      </c>
      <c r="C1106" t="s">
        <v>16</v>
      </c>
      <c r="D1106">
        <v>0</v>
      </c>
      <c r="E1106" t="s">
        <v>10</v>
      </c>
      <c r="F1106" t="s">
        <v>39</v>
      </c>
      <c r="G1106" t="s">
        <v>40</v>
      </c>
      <c r="H1106">
        <f t="shared" si="17"/>
        <v>0</v>
      </c>
    </row>
    <row r="1107" spans="1:8" x14ac:dyDescent="0.3">
      <c r="A1107" t="s">
        <v>34</v>
      </c>
      <c r="B1107" t="s">
        <v>8</v>
      </c>
      <c r="C1107" t="s">
        <v>17</v>
      </c>
      <c r="D1107">
        <v>0</v>
      </c>
      <c r="E1107" t="s">
        <v>10</v>
      </c>
      <c r="F1107" t="s">
        <v>39</v>
      </c>
      <c r="G1107" t="s">
        <v>40</v>
      </c>
      <c r="H1107">
        <f t="shared" si="17"/>
        <v>0</v>
      </c>
    </row>
    <row r="1108" spans="1:8" x14ac:dyDescent="0.3">
      <c r="A1108" t="s">
        <v>34</v>
      </c>
      <c r="B1108" t="s">
        <v>8</v>
      </c>
      <c r="C1108" t="s">
        <v>18</v>
      </c>
      <c r="D1108">
        <v>0</v>
      </c>
      <c r="E1108" t="s">
        <v>10</v>
      </c>
      <c r="F1108" t="s">
        <v>39</v>
      </c>
      <c r="G1108" t="s">
        <v>40</v>
      </c>
      <c r="H1108">
        <f t="shared" si="17"/>
        <v>0</v>
      </c>
    </row>
    <row r="1109" spans="1:8" x14ac:dyDescent="0.3">
      <c r="A1109" t="s">
        <v>34</v>
      </c>
      <c r="B1109" t="s">
        <v>8</v>
      </c>
      <c r="C1109" t="s">
        <v>19</v>
      </c>
      <c r="D1109">
        <v>0</v>
      </c>
      <c r="E1109" t="s">
        <v>10</v>
      </c>
      <c r="F1109" t="s">
        <v>39</v>
      </c>
      <c r="G1109" t="s">
        <v>40</v>
      </c>
      <c r="H1109">
        <f t="shared" si="17"/>
        <v>0</v>
      </c>
    </row>
    <row r="1110" spans="1:8" x14ac:dyDescent="0.3">
      <c r="A1110" t="s">
        <v>34</v>
      </c>
      <c r="B1110" t="s">
        <v>8</v>
      </c>
      <c r="C1110" t="s">
        <v>20</v>
      </c>
      <c r="D1110">
        <v>0</v>
      </c>
      <c r="E1110" t="s">
        <v>10</v>
      </c>
      <c r="F1110" t="s">
        <v>39</v>
      </c>
      <c r="G1110" t="s">
        <v>40</v>
      </c>
      <c r="H1110">
        <f t="shared" si="17"/>
        <v>0</v>
      </c>
    </row>
    <row r="1111" spans="1:8" x14ac:dyDescent="0.3">
      <c r="A1111" t="s">
        <v>34</v>
      </c>
      <c r="B1111" t="s">
        <v>8</v>
      </c>
      <c r="C1111" t="s">
        <v>21</v>
      </c>
      <c r="D1111">
        <v>0</v>
      </c>
      <c r="E1111" t="s">
        <v>10</v>
      </c>
      <c r="F1111" t="s">
        <v>39</v>
      </c>
      <c r="G1111" t="s">
        <v>40</v>
      </c>
      <c r="H1111">
        <f t="shared" si="17"/>
        <v>0</v>
      </c>
    </row>
    <row r="1112" spans="1:8" x14ac:dyDescent="0.3">
      <c r="A1112" t="s">
        <v>34</v>
      </c>
      <c r="B1112" t="s">
        <v>8</v>
      </c>
      <c r="C1112" t="s">
        <v>22</v>
      </c>
      <c r="D1112">
        <v>29501</v>
      </c>
      <c r="E1112" t="s">
        <v>10</v>
      </c>
      <c r="F1112" t="s">
        <v>39</v>
      </c>
      <c r="G1112" t="s">
        <v>40</v>
      </c>
      <c r="H1112">
        <f t="shared" si="17"/>
        <v>29500</v>
      </c>
    </row>
    <row r="1113" spans="1:8" x14ac:dyDescent="0.3">
      <c r="A1113" t="s">
        <v>34</v>
      </c>
      <c r="B1113" t="s">
        <v>23</v>
      </c>
      <c r="C1113" t="s">
        <v>9</v>
      </c>
      <c r="D1113">
        <v>102</v>
      </c>
      <c r="E1113" t="s">
        <v>10</v>
      </c>
      <c r="F1113" t="s">
        <v>39</v>
      </c>
      <c r="G1113" t="s">
        <v>40</v>
      </c>
      <c r="H1113">
        <f t="shared" si="17"/>
        <v>102</v>
      </c>
    </row>
    <row r="1114" spans="1:8" x14ac:dyDescent="0.3">
      <c r="A1114" t="s">
        <v>34</v>
      </c>
      <c r="B1114" t="s">
        <v>23</v>
      </c>
      <c r="C1114" t="s">
        <v>13</v>
      </c>
      <c r="D1114">
        <v>1206</v>
      </c>
      <c r="E1114" t="s">
        <v>10</v>
      </c>
      <c r="F1114" t="s">
        <v>39</v>
      </c>
      <c r="G1114" t="s">
        <v>40</v>
      </c>
      <c r="H1114">
        <f t="shared" si="17"/>
        <v>1210</v>
      </c>
    </row>
    <row r="1115" spans="1:8" x14ac:dyDescent="0.3">
      <c r="A1115" t="s">
        <v>34</v>
      </c>
      <c r="B1115" t="s">
        <v>23</v>
      </c>
      <c r="C1115" t="s">
        <v>14</v>
      </c>
      <c r="D1115">
        <v>221</v>
      </c>
      <c r="E1115" t="s">
        <v>10</v>
      </c>
      <c r="F1115" t="s">
        <v>39</v>
      </c>
      <c r="G1115" t="s">
        <v>40</v>
      </c>
      <c r="H1115">
        <f t="shared" si="17"/>
        <v>221</v>
      </c>
    </row>
    <row r="1116" spans="1:8" x14ac:dyDescent="0.3">
      <c r="A1116" t="s">
        <v>34</v>
      </c>
      <c r="B1116" t="s">
        <v>23</v>
      </c>
      <c r="C1116" t="s">
        <v>15</v>
      </c>
      <c r="D1116">
        <v>22</v>
      </c>
      <c r="E1116" t="s">
        <v>10</v>
      </c>
      <c r="F1116" t="s">
        <v>39</v>
      </c>
      <c r="G1116" t="s">
        <v>40</v>
      </c>
      <c r="H1116">
        <f t="shared" si="17"/>
        <v>22</v>
      </c>
    </row>
    <row r="1117" spans="1:8" x14ac:dyDescent="0.3">
      <c r="A1117" t="s">
        <v>34</v>
      </c>
      <c r="B1117" t="s">
        <v>23</v>
      </c>
      <c r="C1117" t="s">
        <v>16</v>
      </c>
      <c r="D1117">
        <v>434</v>
      </c>
      <c r="E1117" t="s">
        <v>10</v>
      </c>
      <c r="F1117" t="s">
        <v>39</v>
      </c>
      <c r="G1117" t="s">
        <v>40</v>
      </c>
      <c r="H1117">
        <f t="shared" si="17"/>
        <v>434</v>
      </c>
    </row>
    <row r="1118" spans="1:8" x14ac:dyDescent="0.3">
      <c r="A1118" t="s">
        <v>34</v>
      </c>
      <c r="B1118" t="s">
        <v>23</v>
      </c>
      <c r="C1118" t="s">
        <v>17</v>
      </c>
      <c r="D1118">
        <v>20</v>
      </c>
      <c r="E1118" t="s">
        <v>10</v>
      </c>
      <c r="F1118" t="s">
        <v>39</v>
      </c>
      <c r="G1118" t="s">
        <v>40</v>
      </c>
      <c r="H1118">
        <f t="shared" si="17"/>
        <v>20</v>
      </c>
    </row>
    <row r="1119" spans="1:8" x14ac:dyDescent="0.3">
      <c r="A1119" t="s">
        <v>34</v>
      </c>
      <c r="B1119" t="s">
        <v>23</v>
      </c>
      <c r="C1119" t="s">
        <v>18</v>
      </c>
      <c r="D1119">
        <v>0</v>
      </c>
      <c r="E1119" t="s">
        <v>10</v>
      </c>
      <c r="F1119" t="s">
        <v>39</v>
      </c>
      <c r="G1119" t="s">
        <v>40</v>
      </c>
      <c r="H1119">
        <f t="shared" si="17"/>
        <v>0</v>
      </c>
    </row>
    <row r="1120" spans="1:8" x14ac:dyDescent="0.3">
      <c r="A1120" t="s">
        <v>34</v>
      </c>
      <c r="B1120" t="s">
        <v>23</v>
      </c>
      <c r="C1120" t="s">
        <v>19</v>
      </c>
      <c r="D1120">
        <v>24</v>
      </c>
      <c r="E1120" t="s">
        <v>10</v>
      </c>
      <c r="F1120" t="s">
        <v>39</v>
      </c>
      <c r="G1120" t="s">
        <v>40</v>
      </c>
      <c r="H1120">
        <f t="shared" si="17"/>
        <v>24</v>
      </c>
    </row>
    <row r="1121" spans="1:8" x14ac:dyDescent="0.3">
      <c r="A1121" t="s">
        <v>34</v>
      </c>
      <c r="B1121" t="s">
        <v>23</v>
      </c>
      <c r="C1121" t="s">
        <v>20</v>
      </c>
      <c r="D1121">
        <v>70</v>
      </c>
      <c r="E1121" t="s">
        <v>10</v>
      </c>
      <c r="F1121" t="s">
        <v>39</v>
      </c>
      <c r="G1121" t="s">
        <v>40</v>
      </c>
      <c r="H1121">
        <f t="shared" si="17"/>
        <v>70</v>
      </c>
    </row>
    <row r="1122" spans="1:8" x14ac:dyDescent="0.3">
      <c r="A1122" t="s">
        <v>34</v>
      </c>
      <c r="B1122" t="s">
        <v>23</v>
      </c>
      <c r="C1122" t="s">
        <v>21</v>
      </c>
      <c r="D1122">
        <v>8</v>
      </c>
      <c r="E1122" t="s">
        <v>10</v>
      </c>
      <c r="F1122" t="s">
        <v>39</v>
      </c>
      <c r="G1122" t="s">
        <v>40</v>
      </c>
      <c r="H1122">
        <f t="shared" si="17"/>
        <v>8</v>
      </c>
    </row>
    <row r="1123" spans="1:8" x14ac:dyDescent="0.3">
      <c r="A1123" t="s">
        <v>34</v>
      </c>
      <c r="B1123" t="s">
        <v>23</v>
      </c>
      <c r="C1123" t="s">
        <v>22</v>
      </c>
      <c r="D1123">
        <v>13880</v>
      </c>
      <c r="E1123" t="s">
        <v>10</v>
      </c>
      <c r="F1123" t="s">
        <v>39</v>
      </c>
      <c r="G1123" t="s">
        <v>40</v>
      </c>
      <c r="H1123">
        <f t="shared" si="17"/>
        <v>13900</v>
      </c>
    </row>
    <row r="1124" spans="1:8" x14ac:dyDescent="0.3">
      <c r="A1124" t="s">
        <v>35</v>
      </c>
      <c r="B1124" t="s">
        <v>8</v>
      </c>
      <c r="C1124" t="s">
        <v>9</v>
      </c>
      <c r="D1124">
        <v>0</v>
      </c>
      <c r="E1124" t="s">
        <v>10</v>
      </c>
      <c r="F1124" t="s">
        <v>39</v>
      </c>
      <c r="G1124" t="s">
        <v>40</v>
      </c>
      <c r="H1124">
        <f t="shared" si="17"/>
        <v>0</v>
      </c>
    </row>
    <row r="1125" spans="1:8" x14ac:dyDescent="0.3">
      <c r="A1125" t="s">
        <v>35</v>
      </c>
      <c r="B1125" t="s">
        <v>8</v>
      </c>
      <c r="C1125" t="s">
        <v>13</v>
      </c>
      <c r="D1125">
        <v>9</v>
      </c>
      <c r="E1125" t="s">
        <v>10</v>
      </c>
      <c r="F1125" t="s">
        <v>39</v>
      </c>
      <c r="G1125" t="s">
        <v>40</v>
      </c>
      <c r="H1125">
        <f t="shared" si="17"/>
        <v>9</v>
      </c>
    </row>
    <row r="1126" spans="1:8" x14ac:dyDescent="0.3">
      <c r="A1126" t="s">
        <v>35</v>
      </c>
      <c r="B1126" t="s">
        <v>8</v>
      </c>
      <c r="C1126" t="s">
        <v>14</v>
      </c>
      <c r="D1126">
        <v>0</v>
      </c>
      <c r="E1126" t="s">
        <v>10</v>
      </c>
      <c r="F1126" t="s">
        <v>39</v>
      </c>
      <c r="G1126" t="s">
        <v>40</v>
      </c>
      <c r="H1126">
        <f t="shared" si="17"/>
        <v>0</v>
      </c>
    </row>
    <row r="1127" spans="1:8" x14ac:dyDescent="0.3">
      <c r="A1127" t="s">
        <v>35</v>
      </c>
      <c r="B1127" t="s">
        <v>8</v>
      </c>
      <c r="C1127" t="s">
        <v>15</v>
      </c>
      <c r="D1127">
        <v>0</v>
      </c>
      <c r="E1127" t="s">
        <v>10</v>
      </c>
      <c r="F1127" t="s">
        <v>39</v>
      </c>
      <c r="G1127" t="s">
        <v>40</v>
      </c>
      <c r="H1127">
        <f t="shared" si="17"/>
        <v>0</v>
      </c>
    </row>
    <row r="1128" spans="1:8" x14ac:dyDescent="0.3">
      <c r="A1128" t="s">
        <v>35</v>
      </c>
      <c r="B1128" t="s">
        <v>8</v>
      </c>
      <c r="C1128" t="s">
        <v>16</v>
      </c>
      <c r="D1128">
        <v>0</v>
      </c>
      <c r="E1128" t="s">
        <v>10</v>
      </c>
      <c r="F1128" t="s">
        <v>39</v>
      </c>
      <c r="G1128" t="s">
        <v>40</v>
      </c>
      <c r="H1128">
        <f t="shared" si="17"/>
        <v>0</v>
      </c>
    </row>
    <row r="1129" spans="1:8" x14ac:dyDescent="0.3">
      <c r="A1129" t="s">
        <v>35</v>
      </c>
      <c r="B1129" t="s">
        <v>8</v>
      </c>
      <c r="C1129" t="s">
        <v>17</v>
      </c>
      <c r="D1129">
        <v>0</v>
      </c>
      <c r="E1129" t="s">
        <v>10</v>
      </c>
      <c r="F1129" t="s">
        <v>39</v>
      </c>
      <c r="G1129" t="s">
        <v>40</v>
      </c>
      <c r="H1129">
        <f t="shared" si="17"/>
        <v>0</v>
      </c>
    </row>
    <row r="1130" spans="1:8" x14ac:dyDescent="0.3">
      <c r="A1130" t="s">
        <v>35</v>
      </c>
      <c r="B1130" t="s">
        <v>8</v>
      </c>
      <c r="C1130" t="s">
        <v>18</v>
      </c>
      <c r="D1130">
        <v>0</v>
      </c>
      <c r="E1130" t="s">
        <v>10</v>
      </c>
      <c r="F1130" t="s">
        <v>39</v>
      </c>
      <c r="G1130" t="s">
        <v>40</v>
      </c>
      <c r="H1130">
        <f t="shared" si="17"/>
        <v>0</v>
      </c>
    </row>
    <row r="1131" spans="1:8" x14ac:dyDescent="0.3">
      <c r="A1131" t="s">
        <v>35</v>
      </c>
      <c r="B1131" t="s">
        <v>8</v>
      </c>
      <c r="C1131" t="s">
        <v>19</v>
      </c>
      <c r="D1131">
        <v>0</v>
      </c>
      <c r="E1131" t="s">
        <v>10</v>
      </c>
      <c r="F1131" t="s">
        <v>39</v>
      </c>
      <c r="G1131" t="s">
        <v>40</v>
      </c>
      <c r="H1131">
        <f t="shared" si="17"/>
        <v>0</v>
      </c>
    </row>
    <row r="1132" spans="1:8" x14ac:dyDescent="0.3">
      <c r="A1132" t="s">
        <v>35</v>
      </c>
      <c r="B1132" t="s">
        <v>8</v>
      </c>
      <c r="C1132" t="s">
        <v>20</v>
      </c>
      <c r="D1132">
        <v>0</v>
      </c>
      <c r="E1132" t="s">
        <v>10</v>
      </c>
      <c r="F1132" t="s">
        <v>39</v>
      </c>
      <c r="G1132" t="s">
        <v>40</v>
      </c>
      <c r="H1132">
        <f t="shared" si="17"/>
        <v>0</v>
      </c>
    </row>
    <row r="1133" spans="1:8" x14ac:dyDescent="0.3">
      <c r="A1133" t="s">
        <v>35</v>
      </c>
      <c r="B1133" t="s">
        <v>8</v>
      </c>
      <c r="C1133" t="s">
        <v>21</v>
      </c>
      <c r="D1133">
        <v>0</v>
      </c>
      <c r="E1133" t="s">
        <v>10</v>
      </c>
      <c r="F1133" t="s">
        <v>39</v>
      </c>
      <c r="G1133" t="s">
        <v>40</v>
      </c>
      <c r="H1133">
        <f t="shared" si="17"/>
        <v>0</v>
      </c>
    </row>
    <row r="1134" spans="1:8" x14ac:dyDescent="0.3">
      <c r="A1134" t="s">
        <v>35</v>
      </c>
      <c r="B1134" t="s">
        <v>8</v>
      </c>
      <c r="C1134" t="s">
        <v>22</v>
      </c>
      <c r="D1134">
        <v>12345</v>
      </c>
      <c r="E1134" t="s">
        <v>10</v>
      </c>
      <c r="F1134" t="s">
        <v>39</v>
      </c>
      <c r="G1134" t="s">
        <v>40</v>
      </c>
      <c r="H1134">
        <f t="shared" si="17"/>
        <v>12300</v>
      </c>
    </row>
    <row r="1135" spans="1:8" x14ac:dyDescent="0.3">
      <c r="A1135" t="s">
        <v>35</v>
      </c>
      <c r="B1135" t="s">
        <v>23</v>
      </c>
      <c r="C1135" t="s">
        <v>9</v>
      </c>
      <c r="D1135">
        <v>43</v>
      </c>
      <c r="E1135" t="s">
        <v>10</v>
      </c>
      <c r="F1135" t="s">
        <v>39</v>
      </c>
      <c r="G1135" t="s">
        <v>40</v>
      </c>
      <c r="H1135">
        <f t="shared" si="17"/>
        <v>43</v>
      </c>
    </row>
    <row r="1136" spans="1:8" x14ac:dyDescent="0.3">
      <c r="A1136" t="s">
        <v>35</v>
      </c>
      <c r="B1136" t="s">
        <v>23</v>
      </c>
      <c r="C1136" t="s">
        <v>13</v>
      </c>
      <c r="D1136">
        <v>505</v>
      </c>
      <c r="E1136" t="s">
        <v>10</v>
      </c>
      <c r="F1136" t="s">
        <v>39</v>
      </c>
      <c r="G1136" t="s">
        <v>40</v>
      </c>
      <c r="H1136">
        <f t="shared" si="17"/>
        <v>505</v>
      </c>
    </row>
    <row r="1137" spans="1:8" x14ac:dyDescent="0.3">
      <c r="A1137" t="s">
        <v>35</v>
      </c>
      <c r="B1137" t="s">
        <v>23</v>
      </c>
      <c r="C1137" t="s">
        <v>14</v>
      </c>
      <c r="D1137">
        <v>93</v>
      </c>
      <c r="E1137" t="s">
        <v>10</v>
      </c>
      <c r="F1137" t="s">
        <v>39</v>
      </c>
      <c r="G1137" t="s">
        <v>40</v>
      </c>
      <c r="H1137">
        <f t="shared" si="17"/>
        <v>93</v>
      </c>
    </row>
    <row r="1138" spans="1:8" x14ac:dyDescent="0.3">
      <c r="A1138" t="s">
        <v>35</v>
      </c>
      <c r="B1138" t="s">
        <v>23</v>
      </c>
      <c r="C1138" t="s">
        <v>15</v>
      </c>
      <c r="D1138">
        <v>9</v>
      </c>
      <c r="E1138" t="s">
        <v>10</v>
      </c>
      <c r="F1138" t="s">
        <v>39</v>
      </c>
      <c r="G1138" t="s">
        <v>40</v>
      </c>
      <c r="H1138">
        <f t="shared" si="17"/>
        <v>9</v>
      </c>
    </row>
    <row r="1139" spans="1:8" x14ac:dyDescent="0.3">
      <c r="A1139" t="s">
        <v>35</v>
      </c>
      <c r="B1139" t="s">
        <v>23</v>
      </c>
      <c r="C1139" t="s">
        <v>16</v>
      </c>
      <c r="D1139">
        <v>182</v>
      </c>
      <c r="E1139" t="s">
        <v>10</v>
      </c>
      <c r="F1139" t="s">
        <v>39</v>
      </c>
      <c r="G1139" t="s">
        <v>40</v>
      </c>
      <c r="H1139">
        <f t="shared" si="17"/>
        <v>182</v>
      </c>
    </row>
    <row r="1140" spans="1:8" x14ac:dyDescent="0.3">
      <c r="A1140" t="s">
        <v>35</v>
      </c>
      <c r="B1140" t="s">
        <v>23</v>
      </c>
      <c r="C1140" t="s">
        <v>17</v>
      </c>
      <c r="D1140">
        <v>9</v>
      </c>
      <c r="E1140" t="s">
        <v>10</v>
      </c>
      <c r="F1140" t="s">
        <v>39</v>
      </c>
      <c r="G1140" t="s">
        <v>40</v>
      </c>
      <c r="H1140">
        <f t="shared" si="17"/>
        <v>9</v>
      </c>
    </row>
    <row r="1141" spans="1:8" x14ac:dyDescent="0.3">
      <c r="A1141" t="s">
        <v>35</v>
      </c>
      <c r="B1141" t="s">
        <v>23</v>
      </c>
      <c r="C1141" t="s">
        <v>18</v>
      </c>
      <c r="D1141">
        <v>0</v>
      </c>
      <c r="E1141" t="s">
        <v>10</v>
      </c>
      <c r="F1141" t="s">
        <v>39</v>
      </c>
      <c r="G1141" t="s">
        <v>40</v>
      </c>
      <c r="H1141">
        <f t="shared" si="17"/>
        <v>0</v>
      </c>
    </row>
    <row r="1142" spans="1:8" x14ac:dyDescent="0.3">
      <c r="A1142" t="s">
        <v>35</v>
      </c>
      <c r="B1142" t="s">
        <v>23</v>
      </c>
      <c r="C1142" t="s">
        <v>19</v>
      </c>
      <c r="D1142">
        <v>10</v>
      </c>
      <c r="E1142" t="s">
        <v>10</v>
      </c>
      <c r="F1142" t="s">
        <v>39</v>
      </c>
      <c r="G1142" t="s">
        <v>40</v>
      </c>
      <c r="H1142">
        <f t="shared" si="17"/>
        <v>10</v>
      </c>
    </row>
    <row r="1143" spans="1:8" x14ac:dyDescent="0.3">
      <c r="A1143" t="s">
        <v>35</v>
      </c>
      <c r="B1143" t="s">
        <v>23</v>
      </c>
      <c r="C1143" t="s">
        <v>20</v>
      </c>
      <c r="D1143">
        <v>29</v>
      </c>
      <c r="E1143" t="s">
        <v>10</v>
      </c>
      <c r="F1143" t="s">
        <v>39</v>
      </c>
      <c r="G1143" t="s">
        <v>40</v>
      </c>
      <c r="H1143">
        <f t="shared" si="17"/>
        <v>29</v>
      </c>
    </row>
    <row r="1144" spans="1:8" x14ac:dyDescent="0.3">
      <c r="A1144" t="s">
        <v>35</v>
      </c>
      <c r="B1144" t="s">
        <v>23</v>
      </c>
      <c r="C1144" t="s">
        <v>21</v>
      </c>
      <c r="D1144">
        <v>3</v>
      </c>
      <c r="E1144" t="s">
        <v>10</v>
      </c>
      <c r="F1144" t="s">
        <v>39</v>
      </c>
      <c r="G1144" t="s">
        <v>40</v>
      </c>
      <c r="H1144">
        <f t="shared" si="17"/>
        <v>3</v>
      </c>
    </row>
    <row r="1145" spans="1:8" x14ac:dyDescent="0.3">
      <c r="A1145" t="s">
        <v>35</v>
      </c>
      <c r="B1145" t="s">
        <v>23</v>
      </c>
      <c r="C1145" t="s">
        <v>22</v>
      </c>
      <c r="D1145">
        <v>5808</v>
      </c>
      <c r="E1145" t="s">
        <v>10</v>
      </c>
      <c r="F1145" t="s">
        <v>39</v>
      </c>
      <c r="G1145" t="s">
        <v>40</v>
      </c>
      <c r="H1145">
        <f t="shared" si="17"/>
        <v>5810</v>
      </c>
    </row>
  </sheetData>
  <autoFilter ref="A1:G1" xr:uid="{00000000-0001-0000-0100-000000000000}"/>
  <pageMargins left="0.75" right="0.75" top="1" bottom="1" header="0.5" footer="0.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85"/>
  <sheetViews>
    <sheetView workbookViewId="0">
      <selection activeCell="O50" sqref="O50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118</v>
      </c>
    </row>
    <row r="2" spans="1:8" x14ac:dyDescent="0.3">
      <c r="A2" t="s">
        <v>41</v>
      </c>
      <c r="B2" t="s">
        <v>8</v>
      </c>
      <c r="C2" t="s">
        <v>9</v>
      </c>
      <c r="D2">
        <v>0</v>
      </c>
      <c r="E2" t="s">
        <v>42</v>
      </c>
      <c r="F2" t="s">
        <v>11</v>
      </c>
      <c r="G2" t="s">
        <v>12</v>
      </c>
      <c r="H2">
        <f>ROUND(D2, 3 - LEN(INT(ABS(D2))))</f>
        <v>0</v>
      </c>
    </row>
    <row r="3" spans="1:8" x14ac:dyDescent="0.3">
      <c r="A3" t="s">
        <v>41</v>
      </c>
      <c r="B3" t="s">
        <v>8</v>
      </c>
      <c r="C3" t="s">
        <v>13</v>
      </c>
      <c r="D3">
        <v>0</v>
      </c>
      <c r="E3" t="s">
        <v>42</v>
      </c>
      <c r="F3" t="s">
        <v>11</v>
      </c>
      <c r="G3" t="s">
        <v>12</v>
      </c>
      <c r="H3">
        <f t="shared" ref="H3:H66" si="0">ROUND(D3, 3 - LEN(INT(ABS(D3))))</f>
        <v>0</v>
      </c>
    </row>
    <row r="4" spans="1:8" x14ac:dyDescent="0.3">
      <c r="A4" t="s">
        <v>41</v>
      </c>
      <c r="B4" t="s">
        <v>8</v>
      </c>
      <c r="C4" t="s">
        <v>14</v>
      </c>
      <c r="D4">
        <v>0</v>
      </c>
      <c r="E4" t="s">
        <v>42</v>
      </c>
      <c r="F4" t="s">
        <v>11</v>
      </c>
      <c r="G4" t="s">
        <v>12</v>
      </c>
      <c r="H4">
        <f t="shared" si="0"/>
        <v>0</v>
      </c>
    </row>
    <row r="5" spans="1:8" x14ac:dyDescent="0.3">
      <c r="A5" t="s">
        <v>41</v>
      </c>
      <c r="B5" t="s">
        <v>8</v>
      </c>
      <c r="C5" t="s">
        <v>15</v>
      </c>
      <c r="D5">
        <v>113</v>
      </c>
      <c r="E5" t="s">
        <v>42</v>
      </c>
      <c r="F5" t="s">
        <v>11</v>
      </c>
      <c r="G5" t="s">
        <v>12</v>
      </c>
      <c r="H5">
        <f t="shared" si="0"/>
        <v>113</v>
      </c>
    </row>
    <row r="6" spans="1:8" x14ac:dyDescent="0.3">
      <c r="A6" t="s">
        <v>41</v>
      </c>
      <c r="B6" t="s">
        <v>8</v>
      </c>
      <c r="C6" t="s">
        <v>16</v>
      </c>
      <c r="D6">
        <v>0</v>
      </c>
      <c r="E6" t="s">
        <v>42</v>
      </c>
      <c r="F6" t="s">
        <v>11</v>
      </c>
      <c r="G6" t="s">
        <v>12</v>
      </c>
      <c r="H6">
        <f t="shared" si="0"/>
        <v>0</v>
      </c>
    </row>
    <row r="7" spans="1:8" x14ac:dyDescent="0.3">
      <c r="A7" t="s">
        <v>41</v>
      </c>
      <c r="B7" t="s">
        <v>8</v>
      </c>
      <c r="C7" t="s">
        <v>17</v>
      </c>
      <c r="D7">
        <v>0</v>
      </c>
      <c r="E7" t="s">
        <v>42</v>
      </c>
      <c r="F7" t="s">
        <v>11</v>
      </c>
      <c r="G7" t="s">
        <v>12</v>
      </c>
      <c r="H7">
        <f t="shared" si="0"/>
        <v>0</v>
      </c>
    </row>
    <row r="8" spans="1:8" x14ac:dyDescent="0.3">
      <c r="A8" t="s">
        <v>41</v>
      </c>
      <c r="B8" t="s">
        <v>8</v>
      </c>
      <c r="C8" t="s">
        <v>18</v>
      </c>
      <c r="D8">
        <v>0</v>
      </c>
      <c r="E8" t="s">
        <v>42</v>
      </c>
      <c r="F8" t="s">
        <v>11</v>
      </c>
      <c r="G8" t="s">
        <v>12</v>
      </c>
      <c r="H8">
        <f t="shared" si="0"/>
        <v>0</v>
      </c>
    </row>
    <row r="9" spans="1:8" x14ac:dyDescent="0.3">
      <c r="A9" t="s">
        <v>41</v>
      </c>
      <c r="B9" t="s">
        <v>8</v>
      </c>
      <c r="C9" t="s">
        <v>19</v>
      </c>
      <c r="D9">
        <v>0</v>
      </c>
      <c r="E9" t="s">
        <v>42</v>
      </c>
      <c r="F9" t="s">
        <v>11</v>
      </c>
      <c r="G9" t="s">
        <v>12</v>
      </c>
      <c r="H9">
        <f t="shared" si="0"/>
        <v>0</v>
      </c>
    </row>
    <row r="10" spans="1:8" x14ac:dyDescent="0.3">
      <c r="A10" t="s">
        <v>41</v>
      </c>
      <c r="B10" t="s">
        <v>8</v>
      </c>
      <c r="C10" t="s">
        <v>20</v>
      </c>
      <c r="D10">
        <v>0</v>
      </c>
      <c r="E10" t="s">
        <v>42</v>
      </c>
      <c r="F10" t="s">
        <v>11</v>
      </c>
      <c r="G10" t="s">
        <v>12</v>
      </c>
      <c r="H10">
        <f t="shared" si="0"/>
        <v>0</v>
      </c>
    </row>
    <row r="11" spans="1:8" x14ac:dyDescent="0.3">
      <c r="A11" t="s">
        <v>41</v>
      </c>
      <c r="B11" t="s">
        <v>8</v>
      </c>
      <c r="C11" t="s">
        <v>21</v>
      </c>
      <c r="D11">
        <v>0</v>
      </c>
      <c r="E11" t="s">
        <v>42</v>
      </c>
      <c r="F11" t="s">
        <v>11</v>
      </c>
      <c r="G11" t="s">
        <v>12</v>
      </c>
      <c r="H11">
        <f t="shared" si="0"/>
        <v>0</v>
      </c>
    </row>
    <row r="12" spans="1:8" x14ac:dyDescent="0.3">
      <c r="A12" t="s">
        <v>41</v>
      </c>
      <c r="B12" t="s">
        <v>8</v>
      </c>
      <c r="C12" t="s">
        <v>22</v>
      </c>
      <c r="D12">
        <v>0</v>
      </c>
      <c r="E12" t="s">
        <v>42</v>
      </c>
      <c r="F12" t="s">
        <v>11</v>
      </c>
      <c r="G12" t="s">
        <v>12</v>
      </c>
      <c r="H12">
        <f t="shared" si="0"/>
        <v>0</v>
      </c>
    </row>
    <row r="13" spans="1:8" x14ac:dyDescent="0.3">
      <c r="A13" t="s">
        <v>41</v>
      </c>
      <c r="B13" t="s">
        <v>23</v>
      </c>
      <c r="C13" t="s">
        <v>9</v>
      </c>
      <c r="D13">
        <v>5</v>
      </c>
      <c r="E13" t="s">
        <v>42</v>
      </c>
      <c r="F13" t="s">
        <v>11</v>
      </c>
      <c r="G13" t="s">
        <v>12</v>
      </c>
      <c r="H13">
        <f t="shared" si="0"/>
        <v>5</v>
      </c>
    </row>
    <row r="14" spans="1:8" x14ac:dyDescent="0.3">
      <c r="A14" t="s">
        <v>41</v>
      </c>
      <c r="B14" t="s">
        <v>23</v>
      </c>
      <c r="C14" t="s">
        <v>13</v>
      </c>
      <c r="D14">
        <v>170</v>
      </c>
      <c r="E14" t="s">
        <v>42</v>
      </c>
      <c r="F14" t="s">
        <v>11</v>
      </c>
      <c r="G14" t="s">
        <v>12</v>
      </c>
      <c r="H14">
        <f t="shared" si="0"/>
        <v>170</v>
      </c>
    </row>
    <row r="15" spans="1:8" x14ac:dyDescent="0.3">
      <c r="A15" t="s">
        <v>41</v>
      </c>
      <c r="B15" t="s">
        <v>23</v>
      </c>
      <c r="C15" t="s">
        <v>14</v>
      </c>
      <c r="D15">
        <v>149</v>
      </c>
      <c r="E15" t="s">
        <v>42</v>
      </c>
      <c r="F15" t="s">
        <v>11</v>
      </c>
      <c r="G15" t="s">
        <v>12</v>
      </c>
      <c r="H15">
        <f t="shared" si="0"/>
        <v>149</v>
      </c>
    </row>
    <row r="16" spans="1:8" x14ac:dyDescent="0.3">
      <c r="A16" t="s">
        <v>41</v>
      </c>
      <c r="B16" t="s">
        <v>23</v>
      </c>
      <c r="C16" t="s">
        <v>15</v>
      </c>
      <c r="D16">
        <v>508</v>
      </c>
      <c r="E16" t="s">
        <v>42</v>
      </c>
      <c r="F16" t="s">
        <v>11</v>
      </c>
      <c r="G16" t="s">
        <v>12</v>
      </c>
      <c r="H16">
        <f t="shared" si="0"/>
        <v>508</v>
      </c>
    </row>
    <row r="17" spans="1:8" x14ac:dyDescent="0.3">
      <c r="A17" t="s">
        <v>41</v>
      </c>
      <c r="B17" t="s">
        <v>23</v>
      </c>
      <c r="C17" t="s">
        <v>16</v>
      </c>
      <c r="D17">
        <v>58</v>
      </c>
      <c r="E17" t="s">
        <v>42</v>
      </c>
      <c r="F17" t="s">
        <v>11</v>
      </c>
      <c r="G17" t="s">
        <v>12</v>
      </c>
      <c r="H17">
        <f t="shared" si="0"/>
        <v>58</v>
      </c>
    </row>
    <row r="18" spans="1:8" x14ac:dyDescent="0.3">
      <c r="A18" t="s">
        <v>41</v>
      </c>
      <c r="B18" t="s">
        <v>23</v>
      </c>
      <c r="C18" t="s">
        <v>17</v>
      </c>
      <c r="D18">
        <v>21</v>
      </c>
      <c r="E18" t="s">
        <v>42</v>
      </c>
      <c r="F18" t="s">
        <v>11</v>
      </c>
      <c r="G18" t="s">
        <v>12</v>
      </c>
      <c r="H18">
        <f t="shared" si="0"/>
        <v>21</v>
      </c>
    </row>
    <row r="19" spans="1:8" x14ac:dyDescent="0.3">
      <c r="A19" t="s">
        <v>41</v>
      </c>
      <c r="B19" t="s">
        <v>23</v>
      </c>
      <c r="C19" t="s">
        <v>18</v>
      </c>
      <c r="D19">
        <v>0</v>
      </c>
      <c r="E19" t="s">
        <v>42</v>
      </c>
      <c r="F19" t="s">
        <v>11</v>
      </c>
      <c r="G19" t="s">
        <v>12</v>
      </c>
      <c r="H19">
        <f t="shared" si="0"/>
        <v>0</v>
      </c>
    </row>
    <row r="20" spans="1:8" x14ac:dyDescent="0.3">
      <c r="A20" t="s">
        <v>41</v>
      </c>
      <c r="B20" t="s">
        <v>23</v>
      </c>
      <c r="C20" t="s">
        <v>19</v>
      </c>
      <c r="D20">
        <v>211</v>
      </c>
      <c r="E20" t="s">
        <v>42</v>
      </c>
      <c r="F20" t="s">
        <v>11</v>
      </c>
      <c r="G20" t="s">
        <v>12</v>
      </c>
      <c r="H20">
        <f t="shared" si="0"/>
        <v>211</v>
      </c>
    </row>
    <row r="21" spans="1:8" x14ac:dyDescent="0.3">
      <c r="A21" t="s">
        <v>41</v>
      </c>
      <c r="B21" t="s">
        <v>23</v>
      </c>
      <c r="C21" t="s">
        <v>20</v>
      </c>
      <c r="D21">
        <v>7</v>
      </c>
      <c r="E21" t="s">
        <v>42</v>
      </c>
      <c r="F21" t="s">
        <v>11</v>
      </c>
      <c r="G21" t="s">
        <v>12</v>
      </c>
      <c r="H21">
        <f t="shared" si="0"/>
        <v>7</v>
      </c>
    </row>
    <row r="22" spans="1:8" x14ac:dyDescent="0.3">
      <c r="A22" t="s">
        <v>41</v>
      </c>
      <c r="B22" t="s">
        <v>23</v>
      </c>
      <c r="C22" t="s">
        <v>21</v>
      </c>
      <c r="D22">
        <v>3</v>
      </c>
      <c r="E22" t="s">
        <v>42</v>
      </c>
      <c r="F22" t="s">
        <v>11</v>
      </c>
      <c r="G22" t="s">
        <v>12</v>
      </c>
      <c r="H22">
        <f t="shared" si="0"/>
        <v>3</v>
      </c>
    </row>
    <row r="23" spans="1:8" x14ac:dyDescent="0.3">
      <c r="A23" t="s">
        <v>41</v>
      </c>
      <c r="B23" t="s">
        <v>23</v>
      </c>
      <c r="C23" t="s">
        <v>22</v>
      </c>
      <c r="D23">
        <v>42</v>
      </c>
      <c r="E23" t="s">
        <v>42</v>
      </c>
      <c r="F23" t="s">
        <v>11</v>
      </c>
      <c r="G23" t="s">
        <v>12</v>
      </c>
      <c r="H23">
        <f t="shared" si="0"/>
        <v>42</v>
      </c>
    </row>
    <row r="24" spans="1:8" x14ac:dyDescent="0.3">
      <c r="A24" t="s">
        <v>43</v>
      </c>
      <c r="B24" t="s">
        <v>8</v>
      </c>
      <c r="C24" t="s">
        <v>9</v>
      </c>
      <c r="D24">
        <v>0</v>
      </c>
      <c r="E24" t="s">
        <v>42</v>
      </c>
      <c r="F24" t="s">
        <v>11</v>
      </c>
      <c r="G24" t="s">
        <v>12</v>
      </c>
      <c r="H24">
        <f t="shared" si="0"/>
        <v>0</v>
      </c>
    </row>
    <row r="25" spans="1:8" x14ac:dyDescent="0.3">
      <c r="A25" t="s">
        <v>43</v>
      </c>
      <c r="B25" t="s">
        <v>8</v>
      </c>
      <c r="C25" t="s">
        <v>13</v>
      </c>
      <c r="D25">
        <v>0</v>
      </c>
      <c r="E25" t="s">
        <v>42</v>
      </c>
      <c r="F25" t="s">
        <v>11</v>
      </c>
      <c r="G25" t="s">
        <v>12</v>
      </c>
      <c r="H25">
        <f t="shared" si="0"/>
        <v>0</v>
      </c>
    </row>
    <row r="26" spans="1:8" x14ac:dyDescent="0.3">
      <c r="A26" t="s">
        <v>43</v>
      </c>
      <c r="B26" t="s">
        <v>8</v>
      </c>
      <c r="C26" t="s">
        <v>14</v>
      </c>
      <c r="D26">
        <v>28</v>
      </c>
      <c r="E26" t="s">
        <v>42</v>
      </c>
      <c r="F26" t="s">
        <v>11</v>
      </c>
      <c r="G26" t="s">
        <v>12</v>
      </c>
      <c r="H26">
        <f t="shared" si="0"/>
        <v>28</v>
      </c>
    </row>
    <row r="27" spans="1:8" x14ac:dyDescent="0.3">
      <c r="A27" t="s">
        <v>43</v>
      </c>
      <c r="B27" t="s">
        <v>8</v>
      </c>
      <c r="C27" t="s">
        <v>15</v>
      </c>
      <c r="D27">
        <v>0</v>
      </c>
      <c r="E27" t="s">
        <v>42</v>
      </c>
      <c r="F27" t="s">
        <v>11</v>
      </c>
      <c r="G27" t="s">
        <v>12</v>
      </c>
      <c r="H27">
        <f t="shared" si="0"/>
        <v>0</v>
      </c>
    </row>
    <row r="28" spans="1:8" x14ac:dyDescent="0.3">
      <c r="A28" t="s">
        <v>43</v>
      </c>
      <c r="B28" t="s">
        <v>8</v>
      </c>
      <c r="C28" t="s">
        <v>16</v>
      </c>
      <c r="D28">
        <v>0</v>
      </c>
      <c r="E28" t="s">
        <v>42</v>
      </c>
      <c r="F28" t="s">
        <v>11</v>
      </c>
      <c r="G28" t="s">
        <v>12</v>
      </c>
      <c r="H28">
        <f t="shared" si="0"/>
        <v>0</v>
      </c>
    </row>
    <row r="29" spans="1:8" x14ac:dyDescent="0.3">
      <c r="A29" t="s">
        <v>43</v>
      </c>
      <c r="B29" t="s">
        <v>8</v>
      </c>
      <c r="C29" t="s">
        <v>17</v>
      </c>
      <c r="D29">
        <v>0</v>
      </c>
      <c r="E29" t="s">
        <v>42</v>
      </c>
      <c r="F29" t="s">
        <v>11</v>
      </c>
      <c r="G29" t="s">
        <v>12</v>
      </c>
      <c r="H29">
        <f t="shared" si="0"/>
        <v>0</v>
      </c>
    </row>
    <row r="30" spans="1:8" x14ac:dyDescent="0.3">
      <c r="A30" t="s">
        <v>43</v>
      </c>
      <c r="B30" t="s">
        <v>8</v>
      </c>
      <c r="C30" t="s">
        <v>18</v>
      </c>
      <c r="D30">
        <v>0</v>
      </c>
      <c r="E30" t="s">
        <v>42</v>
      </c>
      <c r="F30" t="s">
        <v>11</v>
      </c>
      <c r="G30" t="s">
        <v>12</v>
      </c>
      <c r="H30">
        <f t="shared" si="0"/>
        <v>0</v>
      </c>
    </row>
    <row r="31" spans="1:8" x14ac:dyDescent="0.3">
      <c r="A31" t="s">
        <v>43</v>
      </c>
      <c r="B31" t="s">
        <v>8</v>
      </c>
      <c r="C31" t="s">
        <v>19</v>
      </c>
      <c r="D31">
        <v>0</v>
      </c>
      <c r="E31" t="s">
        <v>42</v>
      </c>
      <c r="F31" t="s">
        <v>11</v>
      </c>
      <c r="G31" t="s">
        <v>12</v>
      </c>
      <c r="H31">
        <f t="shared" si="0"/>
        <v>0</v>
      </c>
    </row>
    <row r="32" spans="1:8" x14ac:dyDescent="0.3">
      <c r="A32" t="s">
        <v>43</v>
      </c>
      <c r="B32" t="s">
        <v>8</v>
      </c>
      <c r="C32" t="s">
        <v>20</v>
      </c>
      <c r="D32">
        <v>0</v>
      </c>
      <c r="E32" t="s">
        <v>42</v>
      </c>
      <c r="F32" t="s">
        <v>11</v>
      </c>
      <c r="G32" t="s">
        <v>12</v>
      </c>
      <c r="H32">
        <f t="shared" si="0"/>
        <v>0</v>
      </c>
    </row>
    <row r="33" spans="1:8" x14ac:dyDescent="0.3">
      <c r="A33" t="s">
        <v>43</v>
      </c>
      <c r="B33" t="s">
        <v>8</v>
      </c>
      <c r="C33" t="s">
        <v>21</v>
      </c>
      <c r="D33">
        <v>0</v>
      </c>
      <c r="E33" t="s">
        <v>42</v>
      </c>
      <c r="F33" t="s">
        <v>11</v>
      </c>
      <c r="G33" t="s">
        <v>12</v>
      </c>
      <c r="H33">
        <f t="shared" si="0"/>
        <v>0</v>
      </c>
    </row>
    <row r="34" spans="1:8" x14ac:dyDescent="0.3">
      <c r="A34" t="s">
        <v>43</v>
      </c>
      <c r="B34" t="s">
        <v>8</v>
      </c>
      <c r="C34" t="s">
        <v>22</v>
      </c>
      <c r="D34">
        <v>0</v>
      </c>
      <c r="E34" t="s">
        <v>42</v>
      </c>
      <c r="F34" t="s">
        <v>11</v>
      </c>
      <c r="G34" t="s">
        <v>12</v>
      </c>
      <c r="H34">
        <f t="shared" si="0"/>
        <v>0</v>
      </c>
    </row>
    <row r="35" spans="1:8" x14ac:dyDescent="0.3">
      <c r="A35" t="s">
        <v>43</v>
      </c>
      <c r="B35" t="s">
        <v>23</v>
      </c>
      <c r="C35" t="s">
        <v>9</v>
      </c>
      <c r="D35">
        <v>0</v>
      </c>
      <c r="E35" t="s">
        <v>42</v>
      </c>
      <c r="F35" t="s">
        <v>11</v>
      </c>
      <c r="G35" t="s">
        <v>12</v>
      </c>
      <c r="H35">
        <f t="shared" si="0"/>
        <v>0</v>
      </c>
    </row>
    <row r="36" spans="1:8" x14ac:dyDescent="0.3">
      <c r="A36" t="s">
        <v>43</v>
      </c>
      <c r="B36" t="s">
        <v>23</v>
      </c>
      <c r="C36" t="s">
        <v>13</v>
      </c>
      <c r="D36">
        <v>0</v>
      </c>
      <c r="E36" t="s">
        <v>42</v>
      </c>
      <c r="F36" t="s">
        <v>11</v>
      </c>
      <c r="G36" t="s">
        <v>12</v>
      </c>
      <c r="H36">
        <f t="shared" si="0"/>
        <v>0</v>
      </c>
    </row>
    <row r="37" spans="1:8" x14ac:dyDescent="0.3">
      <c r="A37" t="s">
        <v>43</v>
      </c>
      <c r="B37" t="s">
        <v>23</v>
      </c>
      <c r="C37" t="s">
        <v>14</v>
      </c>
      <c r="D37">
        <v>276</v>
      </c>
      <c r="E37" t="s">
        <v>42</v>
      </c>
      <c r="F37" t="s">
        <v>11</v>
      </c>
      <c r="G37" t="s">
        <v>12</v>
      </c>
      <c r="H37">
        <f t="shared" si="0"/>
        <v>276</v>
      </c>
    </row>
    <row r="38" spans="1:8" x14ac:dyDescent="0.3">
      <c r="A38" t="s">
        <v>43</v>
      </c>
      <c r="B38" t="s">
        <v>23</v>
      </c>
      <c r="C38" t="s">
        <v>15</v>
      </c>
      <c r="D38">
        <v>0</v>
      </c>
      <c r="E38" t="s">
        <v>42</v>
      </c>
      <c r="F38" t="s">
        <v>11</v>
      </c>
      <c r="G38" t="s">
        <v>12</v>
      </c>
      <c r="H38">
        <f t="shared" si="0"/>
        <v>0</v>
      </c>
    </row>
    <row r="39" spans="1:8" x14ac:dyDescent="0.3">
      <c r="A39" t="s">
        <v>43</v>
      </c>
      <c r="B39" t="s">
        <v>23</v>
      </c>
      <c r="C39" t="s">
        <v>16</v>
      </c>
      <c r="D39">
        <v>33</v>
      </c>
      <c r="E39" t="s">
        <v>42</v>
      </c>
      <c r="F39" t="s">
        <v>11</v>
      </c>
      <c r="G39" t="s">
        <v>12</v>
      </c>
      <c r="H39">
        <f t="shared" si="0"/>
        <v>33</v>
      </c>
    </row>
    <row r="40" spans="1:8" x14ac:dyDescent="0.3">
      <c r="A40" t="s">
        <v>43</v>
      </c>
      <c r="B40" t="s">
        <v>23</v>
      </c>
      <c r="C40" t="s">
        <v>17</v>
      </c>
      <c r="D40">
        <v>0</v>
      </c>
      <c r="E40" t="s">
        <v>42</v>
      </c>
      <c r="F40" t="s">
        <v>11</v>
      </c>
      <c r="G40" t="s">
        <v>12</v>
      </c>
      <c r="H40">
        <f t="shared" si="0"/>
        <v>0</v>
      </c>
    </row>
    <row r="41" spans="1:8" x14ac:dyDescent="0.3">
      <c r="A41" t="s">
        <v>43</v>
      </c>
      <c r="B41" t="s">
        <v>23</v>
      </c>
      <c r="C41" t="s">
        <v>18</v>
      </c>
      <c r="D41">
        <v>0</v>
      </c>
      <c r="E41" t="s">
        <v>42</v>
      </c>
      <c r="F41" t="s">
        <v>11</v>
      </c>
      <c r="G41" t="s">
        <v>12</v>
      </c>
      <c r="H41">
        <f t="shared" si="0"/>
        <v>0</v>
      </c>
    </row>
    <row r="42" spans="1:8" x14ac:dyDescent="0.3">
      <c r="A42" t="s">
        <v>43</v>
      </c>
      <c r="B42" t="s">
        <v>23</v>
      </c>
      <c r="C42" t="s">
        <v>19</v>
      </c>
      <c r="D42">
        <v>0</v>
      </c>
      <c r="E42" t="s">
        <v>42</v>
      </c>
      <c r="F42" t="s">
        <v>11</v>
      </c>
      <c r="G42" t="s">
        <v>12</v>
      </c>
      <c r="H42">
        <f t="shared" si="0"/>
        <v>0</v>
      </c>
    </row>
    <row r="43" spans="1:8" x14ac:dyDescent="0.3">
      <c r="A43" t="s">
        <v>43</v>
      </c>
      <c r="B43" t="s">
        <v>23</v>
      </c>
      <c r="C43" t="s">
        <v>20</v>
      </c>
      <c r="D43">
        <v>0</v>
      </c>
      <c r="E43" t="s">
        <v>42</v>
      </c>
      <c r="F43" t="s">
        <v>11</v>
      </c>
      <c r="G43" t="s">
        <v>12</v>
      </c>
      <c r="H43">
        <f t="shared" si="0"/>
        <v>0</v>
      </c>
    </row>
    <row r="44" spans="1:8" x14ac:dyDescent="0.3">
      <c r="A44" t="s">
        <v>43</v>
      </c>
      <c r="B44" t="s">
        <v>23</v>
      </c>
      <c r="C44" t="s">
        <v>21</v>
      </c>
      <c r="D44">
        <v>0</v>
      </c>
      <c r="E44" t="s">
        <v>42</v>
      </c>
      <c r="F44" t="s">
        <v>11</v>
      </c>
      <c r="G44" t="s">
        <v>12</v>
      </c>
      <c r="H44">
        <f t="shared" si="0"/>
        <v>0</v>
      </c>
    </row>
    <row r="45" spans="1:8" x14ac:dyDescent="0.3">
      <c r="A45" t="s">
        <v>43</v>
      </c>
      <c r="B45" t="s">
        <v>23</v>
      </c>
      <c r="C45" t="s">
        <v>22</v>
      </c>
      <c r="D45">
        <v>0</v>
      </c>
      <c r="E45" t="s">
        <v>42</v>
      </c>
      <c r="F45" t="s">
        <v>11</v>
      </c>
      <c r="G45" t="s">
        <v>12</v>
      </c>
      <c r="H45">
        <f t="shared" si="0"/>
        <v>0</v>
      </c>
    </row>
    <row r="46" spans="1:8" x14ac:dyDescent="0.3">
      <c r="A46" t="s">
        <v>44</v>
      </c>
      <c r="B46" t="s">
        <v>8</v>
      </c>
      <c r="C46" t="s">
        <v>9</v>
      </c>
      <c r="D46">
        <v>0</v>
      </c>
      <c r="E46" t="s">
        <v>42</v>
      </c>
      <c r="F46" t="s">
        <v>11</v>
      </c>
      <c r="G46" t="s">
        <v>12</v>
      </c>
      <c r="H46">
        <f t="shared" si="0"/>
        <v>0</v>
      </c>
    </row>
    <row r="47" spans="1:8" x14ac:dyDescent="0.3">
      <c r="A47" t="s">
        <v>44</v>
      </c>
      <c r="B47" t="s">
        <v>8</v>
      </c>
      <c r="C47" t="s">
        <v>13</v>
      </c>
      <c r="D47">
        <v>0</v>
      </c>
      <c r="E47" t="s">
        <v>42</v>
      </c>
      <c r="F47" t="s">
        <v>11</v>
      </c>
      <c r="G47" t="s">
        <v>12</v>
      </c>
      <c r="H47">
        <f t="shared" si="0"/>
        <v>0</v>
      </c>
    </row>
    <row r="48" spans="1:8" x14ac:dyDescent="0.3">
      <c r="A48" t="s">
        <v>44</v>
      </c>
      <c r="B48" t="s">
        <v>8</v>
      </c>
      <c r="C48" t="s">
        <v>14</v>
      </c>
      <c r="D48">
        <v>141</v>
      </c>
      <c r="E48" t="s">
        <v>42</v>
      </c>
      <c r="F48" t="s">
        <v>11</v>
      </c>
      <c r="G48" t="s">
        <v>12</v>
      </c>
      <c r="H48">
        <f t="shared" si="0"/>
        <v>141</v>
      </c>
    </row>
    <row r="49" spans="1:8" x14ac:dyDescent="0.3">
      <c r="A49" t="s">
        <v>44</v>
      </c>
      <c r="B49" t="s">
        <v>8</v>
      </c>
      <c r="C49" t="s">
        <v>15</v>
      </c>
      <c r="D49">
        <v>0</v>
      </c>
      <c r="E49" t="s">
        <v>42</v>
      </c>
      <c r="F49" t="s">
        <v>11</v>
      </c>
      <c r="G49" t="s">
        <v>12</v>
      </c>
      <c r="H49">
        <f t="shared" si="0"/>
        <v>0</v>
      </c>
    </row>
    <row r="50" spans="1:8" x14ac:dyDescent="0.3">
      <c r="A50" t="s">
        <v>44</v>
      </c>
      <c r="B50" t="s">
        <v>8</v>
      </c>
      <c r="C50" t="s">
        <v>16</v>
      </c>
      <c r="D50">
        <v>2</v>
      </c>
      <c r="E50" t="s">
        <v>42</v>
      </c>
      <c r="F50" t="s">
        <v>11</v>
      </c>
      <c r="G50" t="s">
        <v>12</v>
      </c>
      <c r="H50">
        <f t="shared" si="0"/>
        <v>2</v>
      </c>
    </row>
    <row r="51" spans="1:8" x14ac:dyDescent="0.3">
      <c r="A51" t="s">
        <v>44</v>
      </c>
      <c r="B51" t="s">
        <v>8</v>
      </c>
      <c r="C51" t="s">
        <v>17</v>
      </c>
      <c r="D51">
        <v>0</v>
      </c>
      <c r="E51" t="s">
        <v>42</v>
      </c>
      <c r="F51" t="s">
        <v>11</v>
      </c>
      <c r="G51" t="s">
        <v>12</v>
      </c>
      <c r="H51">
        <f t="shared" si="0"/>
        <v>0</v>
      </c>
    </row>
    <row r="52" spans="1:8" x14ac:dyDescent="0.3">
      <c r="A52" t="s">
        <v>44</v>
      </c>
      <c r="B52" t="s">
        <v>8</v>
      </c>
      <c r="C52" t="s">
        <v>18</v>
      </c>
      <c r="D52">
        <v>0</v>
      </c>
      <c r="E52" t="s">
        <v>42</v>
      </c>
      <c r="F52" t="s">
        <v>11</v>
      </c>
      <c r="G52" t="s">
        <v>12</v>
      </c>
      <c r="H52">
        <f t="shared" si="0"/>
        <v>0</v>
      </c>
    </row>
    <row r="53" spans="1:8" x14ac:dyDescent="0.3">
      <c r="A53" t="s">
        <v>44</v>
      </c>
      <c r="B53" t="s">
        <v>8</v>
      </c>
      <c r="C53" t="s">
        <v>19</v>
      </c>
      <c r="D53">
        <v>0</v>
      </c>
      <c r="E53" t="s">
        <v>42</v>
      </c>
      <c r="F53" t="s">
        <v>11</v>
      </c>
      <c r="G53" t="s">
        <v>12</v>
      </c>
      <c r="H53">
        <f t="shared" si="0"/>
        <v>0</v>
      </c>
    </row>
    <row r="54" spans="1:8" x14ac:dyDescent="0.3">
      <c r="A54" t="s">
        <v>44</v>
      </c>
      <c r="B54" t="s">
        <v>8</v>
      </c>
      <c r="C54" t="s">
        <v>20</v>
      </c>
      <c r="D54">
        <v>0</v>
      </c>
      <c r="E54" t="s">
        <v>42</v>
      </c>
      <c r="F54" t="s">
        <v>11</v>
      </c>
      <c r="G54" t="s">
        <v>12</v>
      </c>
      <c r="H54">
        <f t="shared" si="0"/>
        <v>0</v>
      </c>
    </row>
    <row r="55" spans="1:8" x14ac:dyDescent="0.3">
      <c r="A55" t="s">
        <v>44</v>
      </c>
      <c r="B55" t="s">
        <v>8</v>
      </c>
      <c r="C55" t="s">
        <v>21</v>
      </c>
      <c r="D55">
        <v>0</v>
      </c>
      <c r="E55" t="s">
        <v>42</v>
      </c>
      <c r="F55" t="s">
        <v>11</v>
      </c>
      <c r="G55" t="s">
        <v>12</v>
      </c>
      <c r="H55">
        <f t="shared" si="0"/>
        <v>0</v>
      </c>
    </row>
    <row r="56" spans="1:8" x14ac:dyDescent="0.3">
      <c r="A56" t="s">
        <v>44</v>
      </c>
      <c r="B56" t="s">
        <v>8</v>
      </c>
      <c r="C56" t="s">
        <v>22</v>
      </c>
      <c r="D56">
        <v>0</v>
      </c>
      <c r="E56" t="s">
        <v>42</v>
      </c>
      <c r="F56" t="s">
        <v>11</v>
      </c>
      <c r="G56" t="s">
        <v>12</v>
      </c>
      <c r="H56">
        <f t="shared" si="0"/>
        <v>0</v>
      </c>
    </row>
    <row r="57" spans="1:8" x14ac:dyDescent="0.3">
      <c r="A57" t="s">
        <v>44</v>
      </c>
      <c r="B57" t="s">
        <v>23</v>
      </c>
      <c r="C57" t="s">
        <v>9</v>
      </c>
      <c r="D57">
        <v>0</v>
      </c>
      <c r="E57" t="s">
        <v>42</v>
      </c>
      <c r="F57" t="s">
        <v>11</v>
      </c>
      <c r="G57" t="s">
        <v>12</v>
      </c>
      <c r="H57">
        <f t="shared" si="0"/>
        <v>0</v>
      </c>
    </row>
    <row r="58" spans="1:8" x14ac:dyDescent="0.3">
      <c r="A58" t="s">
        <v>44</v>
      </c>
      <c r="B58" t="s">
        <v>23</v>
      </c>
      <c r="C58" t="s">
        <v>13</v>
      </c>
      <c r="D58">
        <v>1</v>
      </c>
      <c r="E58" t="s">
        <v>42</v>
      </c>
      <c r="F58" t="s">
        <v>11</v>
      </c>
      <c r="G58" t="s">
        <v>12</v>
      </c>
      <c r="H58">
        <f t="shared" si="0"/>
        <v>1</v>
      </c>
    </row>
    <row r="59" spans="1:8" x14ac:dyDescent="0.3">
      <c r="A59" t="s">
        <v>44</v>
      </c>
      <c r="B59" t="s">
        <v>23</v>
      </c>
      <c r="C59" t="s">
        <v>14</v>
      </c>
      <c r="D59">
        <v>1385</v>
      </c>
      <c r="E59" t="s">
        <v>42</v>
      </c>
      <c r="F59" t="s">
        <v>11</v>
      </c>
      <c r="G59" t="s">
        <v>12</v>
      </c>
      <c r="H59">
        <f t="shared" si="0"/>
        <v>1390</v>
      </c>
    </row>
    <row r="60" spans="1:8" x14ac:dyDescent="0.3">
      <c r="A60" t="s">
        <v>44</v>
      </c>
      <c r="B60" t="s">
        <v>23</v>
      </c>
      <c r="C60" t="s">
        <v>15</v>
      </c>
      <c r="D60">
        <v>4</v>
      </c>
      <c r="E60" t="s">
        <v>42</v>
      </c>
      <c r="F60" t="s">
        <v>11</v>
      </c>
      <c r="G60" t="s">
        <v>12</v>
      </c>
      <c r="H60">
        <f t="shared" si="0"/>
        <v>4</v>
      </c>
    </row>
    <row r="61" spans="1:8" x14ac:dyDescent="0.3">
      <c r="A61" t="s">
        <v>44</v>
      </c>
      <c r="B61" t="s">
        <v>23</v>
      </c>
      <c r="C61" t="s">
        <v>16</v>
      </c>
      <c r="D61">
        <v>167</v>
      </c>
      <c r="E61" t="s">
        <v>42</v>
      </c>
      <c r="F61" t="s">
        <v>11</v>
      </c>
      <c r="G61" t="s">
        <v>12</v>
      </c>
      <c r="H61">
        <f t="shared" si="0"/>
        <v>167</v>
      </c>
    </row>
    <row r="62" spans="1:8" x14ac:dyDescent="0.3">
      <c r="A62" t="s">
        <v>44</v>
      </c>
      <c r="B62" t="s">
        <v>23</v>
      </c>
      <c r="C62" t="s">
        <v>17</v>
      </c>
      <c r="D62">
        <v>0</v>
      </c>
      <c r="E62" t="s">
        <v>42</v>
      </c>
      <c r="F62" t="s">
        <v>11</v>
      </c>
      <c r="G62" t="s">
        <v>12</v>
      </c>
      <c r="H62">
        <f t="shared" si="0"/>
        <v>0</v>
      </c>
    </row>
    <row r="63" spans="1:8" x14ac:dyDescent="0.3">
      <c r="A63" t="s">
        <v>44</v>
      </c>
      <c r="B63" t="s">
        <v>23</v>
      </c>
      <c r="C63" t="s">
        <v>18</v>
      </c>
      <c r="D63">
        <v>0</v>
      </c>
      <c r="E63" t="s">
        <v>42</v>
      </c>
      <c r="F63" t="s">
        <v>11</v>
      </c>
      <c r="G63" t="s">
        <v>12</v>
      </c>
      <c r="H63">
        <f t="shared" si="0"/>
        <v>0</v>
      </c>
    </row>
    <row r="64" spans="1:8" x14ac:dyDescent="0.3">
      <c r="A64" t="s">
        <v>44</v>
      </c>
      <c r="B64" t="s">
        <v>23</v>
      </c>
      <c r="C64" t="s">
        <v>19</v>
      </c>
      <c r="D64">
        <v>4</v>
      </c>
      <c r="E64" t="s">
        <v>42</v>
      </c>
      <c r="F64" t="s">
        <v>11</v>
      </c>
      <c r="G64" t="s">
        <v>12</v>
      </c>
      <c r="H64">
        <f t="shared" si="0"/>
        <v>4</v>
      </c>
    </row>
    <row r="65" spans="1:8" x14ac:dyDescent="0.3">
      <c r="A65" t="s">
        <v>44</v>
      </c>
      <c r="B65" t="s">
        <v>23</v>
      </c>
      <c r="C65" t="s">
        <v>20</v>
      </c>
      <c r="D65">
        <v>3</v>
      </c>
      <c r="E65" t="s">
        <v>42</v>
      </c>
      <c r="F65" t="s">
        <v>11</v>
      </c>
      <c r="G65" t="s">
        <v>12</v>
      </c>
      <c r="H65">
        <f t="shared" si="0"/>
        <v>3</v>
      </c>
    </row>
    <row r="66" spans="1:8" x14ac:dyDescent="0.3">
      <c r="A66" t="s">
        <v>44</v>
      </c>
      <c r="B66" t="s">
        <v>23</v>
      </c>
      <c r="C66" t="s">
        <v>21</v>
      </c>
      <c r="D66">
        <v>3</v>
      </c>
      <c r="E66" t="s">
        <v>42</v>
      </c>
      <c r="F66" t="s">
        <v>11</v>
      </c>
      <c r="G66" t="s">
        <v>12</v>
      </c>
      <c r="H66">
        <f t="shared" si="0"/>
        <v>3</v>
      </c>
    </row>
    <row r="67" spans="1:8" x14ac:dyDescent="0.3">
      <c r="A67" t="s">
        <v>44</v>
      </c>
      <c r="B67" t="s">
        <v>23</v>
      </c>
      <c r="C67" t="s">
        <v>22</v>
      </c>
      <c r="D67">
        <v>1</v>
      </c>
      <c r="E67" t="s">
        <v>42</v>
      </c>
      <c r="F67" t="s">
        <v>11</v>
      </c>
      <c r="G67" t="s">
        <v>12</v>
      </c>
      <c r="H67">
        <f t="shared" ref="H67:H130" si="1">ROUND(D67, 3 - LEN(INT(ABS(D67))))</f>
        <v>1</v>
      </c>
    </row>
    <row r="68" spans="1:8" x14ac:dyDescent="0.3">
      <c r="A68" t="s">
        <v>24</v>
      </c>
      <c r="B68" t="s">
        <v>8</v>
      </c>
      <c r="C68" t="s">
        <v>9</v>
      </c>
      <c r="D68">
        <v>4</v>
      </c>
      <c r="E68" t="s">
        <v>42</v>
      </c>
      <c r="F68" t="s">
        <v>11</v>
      </c>
      <c r="G68" t="s">
        <v>12</v>
      </c>
      <c r="H68">
        <f t="shared" si="1"/>
        <v>4</v>
      </c>
    </row>
    <row r="69" spans="1:8" x14ac:dyDescent="0.3">
      <c r="A69" t="s">
        <v>24</v>
      </c>
      <c r="B69" t="s">
        <v>8</v>
      </c>
      <c r="C69" t="s">
        <v>13</v>
      </c>
      <c r="D69">
        <v>0</v>
      </c>
      <c r="E69" t="s">
        <v>42</v>
      </c>
      <c r="F69" t="s">
        <v>11</v>
      </c>
      <c r="G69" t="s">
        <v>12</v>
      </c>
      <c r="H69">
        <f t="shared" si="1"/>
        <v>0</v>
      </c>
    </row>
    <row r="70" spans="1:8" x14ac:dyDescent="0.3">
      <c r="A70" t="s">
        <v>24</v>
      </c>
      <c r="B70" t="s">
        <v>8</v>
      </c>
      <c r="C70" t="s">
        <v>14</v>
      </c>
      <c r="D70">
        <v>28</v>
      </c>
      <c r="E70" t="s">
        <v>42</v>
      </c>
      <c r="F70" t="s">
        <v>11</v>
      </c>
      <c r="G70" t="s">
        <v>12</v>
      </c>
      <c r="H70">
        <f t="shared" si="1"/>
        <v>28</v>
      </c>
    </row>
    <row r="71" spans="1:8" x14ac:dyDescent="0.3">
      <c r="A71" t="s">
        <v>24</v>
      </c>
      <c r="B71" t="s">
        <v>8</v>
      </c>
      <c r="C71" t="s">
        <v>15</v>
      </c>
      <c r="D71">
        <v>0</v>
      </c>
      <c r="E71" t="s">
        <v>42</v>
      </c>
      <c r="F71" t="s">
        <v>11</v>
      </c>
      <c r="G71" t="s">
        <v>12</v>
      </c>
      <c r="H71">
        <f t="shared" si="1"/>
        <v>0</v>
      </c>
    </row>
    <row r="72" spans="1:8" x14ac:dyDescent="0.3">
      <c r="A72" t="s">
        <v>24</v>
      </c>
      <c r="B72" t="s">
        <v>8</v>
      </c>
      <c r="C72" t="s">
        <v>16</v>
      </c>
      <c r="D72">
        <v>144</v>
      </c>
      <c r="E72" t="s">
        <v>42</v>
      </c>
      <c r="F72" t="s">
        <v>11</v>
      </c>
      <c r="G72" t="s">
        <v>12</v>
      </c>
      <c r="H72">
        <f t="shared" si="1"/>
        <v>144</v>
      </c>
    </row>
    <row r="73" spans="1:8" x14ac:dyDescent="0.3">
      <c r="A73" t="s">
        <v>24</v>
      </c>
      <c r="B73" t="s">
        <v>8</v>
      </c>
      <c r="C73" t="s">
        <v>17</v>
      </c>
      <c r="D73">
        <v>7</v>
      </c>
      <c r="E73" t="s">
        <v>42</v>
      </c>
      <c r="F73" t="s">
        <v>11</v>
      </c>
      <c r="G73" t="s">
        <v>12</v>
      </c>
      <c r="H73">
        <f t="shared" si="1"/>
        <v>7</v>
      </c>
    </row>
    <row r="74" spans="1:8" x14ac:dyDescent="0.3">
      <c r="A74" t="s">
        <v>24</v>
      </c>
      <c r="B74" t="s">
        <v>8</v>
      </c>
      <c r="C74" t="s">
        <v>18</v>
      </c>
      <c r="D74">
        <v>0</v>
      </c>
      <c r="E74" t="s">
        <v>42</v>
      </c>
      <c r="F74" t="s">
        <v>11</v>
      </c>
      <c r="G74" t="s">
        <v>12</v>
      </c>
      <c r="H74">
        <f t="shared" si="1"/>
        <v>0</v>
      </c>
    </row>
    <row r="75" spans="1:8" x14ac:dyDescent="0.3">
      <c r="A75" t="s">
        <v>24</v>
      </c>
      <c r="B75" t="s">
        <v>8</v>
      </c>
      <c r="C75" t="s">
        <v>19</v>
      </c>
      <c r="D75">
        <v>0</v>
      </c>
      <c r="E75" t="s">
        <v>42</v>
      </c>
      <c r="F75" t="s">
        <v>11</v>
      </c>
      <c r="G75" t="s">
        <v>12</v>
      </c>
      <c r="H75">
        <f t="shared" si="1"/>
        <v>0</v>
      </c>
    </row>
    <row r="76" spans="1:8" x14ac:dyDescent="0.3">
      <c r="A76" t="s">
        <v>24</v>
      </c>
      <c r="B76" t="s">
        <v>8</v>
      </c>
      <c r="C76" t="s">
        <v>20</v>
      </c>
      <c r="D76">
        <v>0</v>
      </c>
      <c r="E76" t="s">
        <v>42</v>
      </c>
      <c r="F76" t="s">
        <v>11</v>
      </c>
      <c r="G76" t="s">
        <v>12</v>
      </c>
      <c r="H76">
        <f t="shared" si="1"/>
        <v>0</v>
      </c>
    </row>
    <row r="77" spans="1:8" x14ac:dyDescent="0.3">
      <c r="A77" t="s">
        <v>24</v>
      </c>
      <c r="B77" t="s">
        <v>8</v>
      </c>
      <c r="C77" t="s">
        <v>21</v>
      </c>
      <c r="D77">
        <v>0</v>
      </c>
      <c r="E77" t="s">
        <v>42</v>
      </c>
      <c r="F77" t="s">
        <v>11</v>
      </c>
      <c r="G77" t="s">
        <v>12</v>
      </c>
      <c r="H77">
        <f t="shared" si="1"/>
        <v>0</v>
      </c>
    </row>
    <row r="78" spans="1:8" x14ac:dyDescent="0.3">
      <c r="A78" t="s">
        <v>24</v>
      </c>
      <c r="B78" t="s">
        <v>8</v>
      </c>
      <c r="C78" t="s">
        <v>22</v>
      </c>
      <c r="D78">
        <v>8</v>
      </c>
      <c r="E78" t="s">
        <v>42</v>
      </c>
      <c r="F78" t="s">
        <v>11</v>
      </c>
      <c r="G78" t="s">
        <v>12</v>
      </c>
      <c r="H78">
        <f t="shared" si="1"/>
        <v>8</v>
      </c>
    </row>
    <row r="79" spans="1:8" x14ac:dyDescent="0.3">
      <c r="A79" t="s">
        <v>24</v>
      </c>
      <c r="B79" t="s">
        <v>23</v>
      </c>
      <c r="C79" t="s">
        <v>9</v>
      </c>
      <c r="D79">
        <v>58</v>
      </c>
      <c r="E79" t="s">
        <v>42</v>
      </c>
      <c r="F79" t="s">
        <v>11</v>
      </c>
      <c r="G79" t="s">
        <v>12</v>
      </c>
      <c r="H79">
        <f t="shared" si="1"/>
        <v>58</v>
      </c>
    </row>
    <row r="80" spans="1:8" x14ac:dyDescent="0.3">
      <c r="A80" t="s">
        <v>24</v>
      </c>
      <c r="B80" t="s">
        <v>23</v>
      </c>
      <c r="C80" t="s">
        <v>13</v>
      </c>
      <c r="D80">
        <v>24</v>
      </c>
      <c r="E80" t="s">
        <v>42</v>
      </c>
      <c r="F80" t="s">
        <v>11</v>
      </c>
      <c r="G80" t="s">
        <v>12</v>
      </c>
      <c r="H80">
        <f t="shared" si="1"/>
        <v>24</v>
      </c>
    </row>
    <row r="81" spans="1:8" x14ac:dyDescent="0.3">
      <c r="A81" t="s">
        <v>24</v>
      </c>
      <c r="B81" t="s">
        <v>23</v>
      </c>
      <c r="C81" t="s">
        <v>14</v>
      </c>
      <c r="D81">
        <v>276</v>
      </c>
      <c r="E81" t="s">
        <v>42</v>
      </c>
      <c r="F81" t="s">
        <v>11</v>
      </c>
      <c r="G81" t="s">
        <v>12</v>
      </c>
      <c r="H81">
        <f t="shared" si="1"/>
        <v>276</v>
      </c>
    </row>
    <row r="82" spans="1:8" x14ac:dyDescent="0.3">
      <c r="A82" t="s">
        <v>24</v>
      </c>
      <c r="B82" t="s">
        <v>23</v>
      </c>
      <c r="C82" t="s">
        <v>15</v>
      </c>
      <c r="D82">
        <v>2</v>
      </c>
      <c r="E82" t="s">
        <v>42</v>
      </c>
      <c r="F82" t="s">
        <v>11</v>
      </c>
      <c r="G82" t="s">
        <v>12</v>
      </c>
      <c r="H82">
        <f t="shared" si="1"/>
        <v>2</v>
      </c>
    </row>
    <row r="83" spans="1:8" x14ac:dyDescent="0.3">
      <c r="A83" t="s">
        <v>24</v>
      </c>
      <c r="B83" t="s">
        <v>23</v>
      </c>
      <c r="C83" t="s">
        <v>16</v>
      </c>
      <c r="D83">
        <v>430</v>
      </c>
      <c r="E83" t="s">
        <v>42</v>
      </c>
      <c r="F83" t="s">
        <v>11</v>
      </c>
      <c r="G83" t="s">
        <v>12</v>
      </c>
      <c r="H83">
        <f t="shared" si="1"/>
        <v>430</v>
      </c>
    </row>
    <row r="84" spans="1:8" x14ac:dyDescent="0.3">
      <c r="A84" t="s">
        <v>24</v>
      </c>
      <c r="B84" t="s">
        <v>23</v>
      </c>
      <c r="C84" t="s">
        <v>17</v>
      </c>
      <c r="D84">
        <v>4</v>
      </c>
      <c r="E84" t="s">
        <v>42</v>
      </c>
      <c r="F84" t="s">
        <v>11</v>
      </c>
      <c r="G84" t="s">
        <v>12</v>
      </c>
      <c r="H84">
        <f t="shared" si="1"/>
        <v>4</v>
      </c>
    </row>
    <row r="85" spans="1:8" x14ac:dyDescent="0.3">
      <c r="A85" t="s">
        <v>24</v>
      </c>
      <c r="B85" t="s">
        <v>23</v>
      </c>
      <c r="C85" t="s">
        <v>18</v>
      </c>
      <c r="D85">
        <v>0</v>
      </c>
      <c r="E85" t="s">
        <v>42</v>
      </c>
      <c r="F85" t="s">
        <v>11</v>
      </c>
      <c r="G85" t="s">
        <v>12</v>
      </c>
      <c r="H85">
        <f t="shared" si="1"/>
        <v>0</v>
      </c>
    </row>
    <row r="86" spans="1:8" x14ac:dyDescent="0.3">
      <c r="A86" t="s">
        <v>24</v>
      </c>
      <c r="B86" t="s">
        <v>23</v>
      </c>
      <c r="C86" t="s">
        <v>19</v>
      </c>
      <c r="D86">
        <v>5</v>
      </c>
      <c r="E86" t="s">
        <v>42</v>
      </c>
      <c r="F86" t="s">
        <v>11</v>
      </c>
      <c r="G86" t="s">
        <v>12</v>
      </c>
      <c r="H86">
        <f t="shared" si="1"/>
        <v>5</v>
      </c>
    </row>
    <row r="87" spans="1:8" x14ac:dyDescent="0.3">
      <c r="A87" t="s">
        <v>24</v>
      </c>
      <c r="B87" t="s">
        <v>23</v>
      </c>
      <c r="C87" t="s">
        <v>20</v>
      </c>
      <c r="D87">
        <v>7</v>
      </c>
      <c r="E87" t="s">
        <v>42</v>
      </c>
      <c r="F87" t="s">
        <v>11</v>
      </c>
      <c r="G87" t="s">
        <v>12</v>
      </c>
      <c r="H87">
        <f t="shared" si="1"/>
        <v>7</v>
      </c>
    </row>
    <row r="88" spans="1:8" x14ac:dyDescent="0.3">
      <c r="A88" t="s">
        <v>24</v>
      </c>
      <c r="B88" t="s">
        <v>23</v>
      </c>
      <c r="C88" t="s">
        <v>21</v>
      </c>
      <c r="D88">
        <v>2</v>
      </c>
      <c r="E88" t="s">
        <v>42</v>
      </c>
      <c r="F88" t="s">
        <v>11</v>
      </c>
      <c r="G88" t="s">
        <v>12</v>
      </c>
      <c r="H88">
        <f t="shared" si="1"/>
        <v>2</v>
      </c>
    </row>
    <row r="89" spans="1:8" x14ac:dyDescent="0.3">
      <c r="A89" t="s">
        <v>24</v>
      </c>
      <c r="B89" t="s">
        <v>23</v>
      </c>
      <c r="C89" t="s">
        <v>22</v>
      </c>
      <c r="D89">
        <v>85</v>
      </c>
      <c r="E89" t="s">
        <v>42</v>
      </c>
      <c r="F89" t="s">
        <v>11</v>
      </c>
      <c r="G89" t="s">
        <v>12</v>
      </c>
      <c r="H89">
        <f t="shared" si="1"/>
        <v>85</v>
      </c>
    </row>
    <row r="90" spans="1:8" x14ac:dyDescent="0.3">
      <c r="A90" t="s">
        <v>45</v>
      </c>
      <c r="B90" t="s">
        <v>8</v>
      </c>
      <c r="C90" t="s">
        <v>9</v>
      </c>
      <c r="D90">
        <v>13</v>
      </c>
      <c r="E90" t="s">
        <v>42</v>
      </c>
      <c r="F90" t="s">
        <v>11</v>
      </c>
      <c r="G90" t="s">
        <v>12</v>
      </c>
      <c r="H90">
        <f t="shared" si="1"/>
        <v>13</v>
      </c>
    </row>
    <row r="91" spans="1:8" x14ac:dyDescent="0.3">
      <c r="A91" t="s">
        <v>45</v>
      </c>
      <c r="B91" t="s">
        <v>8</v>
      </c>
      <c r="C91" t="s">
        <v>13</v>
      </c>
      <c r="D91">
        <v>2</v>
      </c>
      <c r="E91" t="s">
        <v>42</v>
      </c>
      <c r="F91" t="s">
        <v>11</v>
      </c>
      <c r="G91" t="s">
        <v>12</v>
      </c>
      <c r="H91">
        <f t="shared" si="1"/>
        <v>2</v>
      </c>
    </row>
    <row r="92" spans="1:8" x14ac:dyDescent="0.3">
      <c r="A92" t="s">
        <v>45</v>
      </c>
      <c r="B92" t="s">
        <v>8</v>
      </c>
      <c r="C92" t="s">
        <v>14</v>
      </c>
      <c r="D92">
        <v>2</v>
      </c>
      <c r="E92" t="s">
        <v>42</v>
      </c>
      <c r="F92" t="s">
        <v>11</v>
      </c>
      <c r="G92" t="s">
        <v>12</v>
      </c>
      <c r="H92">
        <f t="shared" si="1"/>
        <v>2</v>
      </c>
    </row>
    <row r="93" spans="1:8" x14ac:dyDescent="0.3">
      <c r="A93" t="s">
        <v>45</v>
      </c>
      <c r="B93" t="s">
        <v>8</v>
      </c>
      <c r="C93" t="s">
        <v>15</v>
      </c>
      <c r="D93">
        <v>0</v>
      </c>
      <c r="E93" t="s">
        <v>42</v>
      </c>
      <c r="F93" t="s">
        <v>11</v>
      </c>
      <c r="G93" t="s">
        <v>12</v>
      </c>
      <c r="H93">
        <f t="shared" si="1"/>
        <v>0</v>
      </c>
    </row>
    <row r="94" spans="1:8" x14ac:dyDescent="0.3">
      <c r="A94" t="s">
        <v>45</v>
      </c>
      <c r="B94" t="s">
        <v>8</v>
      </c>
      <c r="C94" t="s">
        <v>16</v>
      </c>
      <c r="D94">
        <v>3</v>
      </c>
      <c r="E94" t="s">
        <v>42</v>
      </c>
      <c r="F94" t="s">
        <v>11</v>
      </c>
      <c r="G94" t="s">
        <v>12</v>
      </c>
      <c r="H94">
        <f t="shared" si="1"/>
        <v>3</v>
      </c>
    </row>
    <row r="95" spans="1:8" x14ac:dyDescent="0.3">
      <c r="A95" t="s">
        <v>45</v>
      </c>
      <c r="B95" t="s">
        <v>8</v>
      </c>
      <c r="C95" t="s">
        <v>17</v>
      </c>
      <c r="D95">
        <v>13</v>
      </c>
      <c r="E95" t="s">
        <v>42</v>
      </c>
      <c r="F95" t="s">
        <v>11</v>
      </c>
      <c r="G95" t="s">
        <v>12</v>
      </c>
      <c r="H95">
        <f t="shared" si="1"/>
        <v>13</v>
      </c>
    </row>
    <row r="96" spans="1:8" x14ac:dyDescent="0.3">
      <c r="A96" t="s">
        <v>45</v>
      </c>
      <c r="B96" t="s">
        <v>8</v>
      </c>
      <c r="C96" t="s">
        <v>18</v>
      </c>
      <c r="D96">
        <v>0</v>
      </c>
      <c r="E96" t="s">
        <v>42</v>
      </c>
      <c r="F96" t="s">
        <v>11</v>
      </c>
      <c r="G96" t="s">
        <v>12</v>
      </c>
      <c r="H96">
        <f t="shared" si="1"/>
        <v>0</v>
      </c>
    </row>
    <row r="97" spans="1:8" x14ac:dyDescent="0.3">
      <c r="A97" t="s">
        <v>45</v>
      </c>
      <c r="B97" t="s">
        <v>8</v>
      </c>
      <c r="C97" t="s">
        <v>19</v>
      </c>
      <c r="D97">
        <v>37</v>
      </c>
      <c r="E97" t="s">
        <v>42</v>
      </c>
      <c r="F97" t="s">
        <v>11</v>
      </c>
      <c r="G97" t="s">
        <v>12</v>
      </c>
      <c r="H97">
        <f t="shared" si="1"/>
        <v>37</v>
      </c>
    </row>
    <row r="98" spans="1:8" x14ac:dyDescent="0.3">
      <c r="A98" t="s">
        <v>45</v>
      </c>
      <c r="B98" t="s">
        <v>8</v>
      </c>
      <c r="C98" t="s">
        <v>20</v>
      </c>
      <c r="D98">
        <v>0</v>
      </c>
      <c r="E98" t="s">
        <v>42</v>
      </c>
      <c r="F98" t="s">
        <v>11</v>
      </c>
      <c r="G98" t="s">
        <v>12</v>
      </c>
      <c r="H98">
        <f t="shared" si="1"/>
        <v>0</v>
      </c>
    </row>
    <row r="99" spans="1:8" x14ac:dyDescent="0.3">
      <c r="A99" t="s">
        <v>45</v>
      </c>
      <c r="B99" t="s">
        <v>8</v>
      </c>
      <c r="C99" t="s">
        <v>21</v>
      </c>
      <c r="D99">
        <v>2</v>
      </c>
      <c r="E99" t="s">
        <v>42</v>
      </c>
      <c r="F99" t="s">
        <v>11</v>
      </c>
      <c r="G99" t="s">
        <v>12</v>
      </c>
      <c r="H99">
        <f t="shared" si="1"/>
        <v>2</v>
      </c>
    </row>
    <row r="100" spans="1:8" x14ac:dyDescent="0.3">
      <c r="A100" t="s">
        <v>45</v>
      </c>
      <c r="B100" t="s">
        <v>8</v>
      </c>
      <c r="C100" t="s">
        <v>22</v>
      </c>
      <c r="D100">
        <v>4</v>
      </c>
      <c r="E100" t="s">
        <v>42</v>
      </c>
      <c r="F100" t="s">
        <v>11</v>
      </c>
      <c r="G100" t="s">
        <v>12</v>
      </c>
      <c r="H100">
        <f t="shared" si="1"/>
        <v>4</v>
      </c>
    </row>
    <row r="101" spans="1:8" x14ac:dyDescent="0.3">
      <c r="A101" t="s">
        <v>45</v>
      </c>
      <c r="B101" t="s">
        <v>23</v>
      </c>
      <c r="C101" t="s">
        <v>9</v>
      </c>
      <c r="D101">
        <v>214</v>
      </c>
      <c r="E101" t="s">
        <v>42</v>
      </c>
      <c r="F101" t="s">
        <v>11</v>
      </c>
      <c r="G101" t="s">
        <v>12</v>
      </c>
      <c r="H101">
        <f t="shared" si="1"/>
        <v>214</v>
      </c>
    </row>
    <row r="102" spans="1:8" x14ac:dyDescent="0.3">
      <c r="A102" t="s">
        <v>45</v>
      </c>
      <c r="B102" t="s">
        <v>23</v>
      </c>
      <c r="C102" t="s">
        <v>13</v>
      </c>
      <c r="D102">
        <v>11</v>
      </c>
      <c r="E102" t="s">
        <v>42</v>
      </c>
      <c r="F102" t="s">
        <v>11</v>
      </c>
      <c r="G102" t="s">
        <v>12</v>
      </c>
      <c r="H102">
        <f t="shared" si="1"/>
        <v>11</v>
      </c>
    </row>
    <row r="103" spans="1:8" x14ac:dyDescent="0.3">
      <c r="A103" t="s">
        <v>45</v>
      </c>
      <c r="B103" t="s">
        <v>23</v>
      </c>
      <c r="C103" t="s">
        <v>14</v>
      </c>
      <c r="D103">
        <v>118</v>
      </c>
      <c r="E103" t="s">
        <v>42</v>
      </c>
      <c r="F103" t="s">
        <v>11</v>
      </c>
      <c r="G103" t="s">
        <v>12</v>
      </c>
      <c r="H103">
        <f t="shared" si="1"/>
        <v>118</v>
      </c>
    </row>
    <row r="104" spans="1:8" x14ac:dyDescent="0.3">
      <c r="A104" t="s">
        <v>45</v>
      </c>
      <c r="B104" t="s">
        <v>23</v>
      </c>
      <c r="C104" t="s">
        <v>15</v>
      </c>
      <c r="D104">
        <v>3</v>
      </c>
      <c r="E104" t="s">
        <v>42</v>
      </c>
      <c r="F104" t="s">
        <v>11</v>
      </c>
      <c r="G104" t="s">
        <v>12</v>
      </c>
      <c r="H104">
        <f t="shared" si="1"/>
        <v>3</v>
      </c>
    </row>
    <row r="105" spans="1:8" x14ac:dyDescent="0.3">
      <c r="A105" t="s">
        <v>45</v>
      </c>
      <c r="B105" t="s">
        <v>23</v>
      </c>
      <c r="C105" t="s">
        <v>16</v>
      </c>
      <c r="D105">
        <v>60</v>
      </c>
      <c r="E105" t="s">
        <v>42</v>
      </c>
      <c r="F105" t="s">
        <v>11</v>
      </c>
      <c r="G105" t="s">
        <v>12</v>
      </c>
      <c r="H105">
        <f t="shared" si="1"/>
        <v>60</v>
      </c>
    </row>
    <row r="106" spans="1:8" x14ac:dyDescent="0.3">
      <c r="A106" t="s">
        <v>45</v>
      </c>
      <c r="B106" t="s">
        <v>23</v>
      </c>
      <c r="C106" t="s">
        <v>17</v>
      </c>
      <c r="D106">
        <v>11</v>
      </c>
      <c r="E106" t="s">
        <v>42</v>
      </c>
      <c r="F106" t="s">
        <v>11</v>
      </c>
      <c r="G106" t="s">
        <v>12</v>
      </c>
      <c r="H106">
        <f t="shared" si="1"/>
        <v>11</v>
      </c>
    </row>
    <row r="107" spans="1:8" x14ac:dyDescent="0.3">
      <c r="A107" t="s">
        <v>45</v>
      </c>
      <c r="B107" t="s">
        <v>23</v>
      </c>
      <c r="C107" t="s">
        <v>18</v>
      </c>
      <c r="D107">
        <v>0</v>
      </c>
      <c r="E107" t="s">
        <v>42</v>
      </c>
      <c r="F107" t="s">
        <v>11</v>
      </c>
      <c r="G107" t="s">
        <v>12</v>
      </c>
      <c r="H107">
        <f t="shared" si="1"/>
        <v>0</v>
      </c>
    </row>
    <row r="108" spans="1:8" x14ac:dyDescent="0.3">
      <c r="A108" t="s">
        <v>45</v>
      </c>
      <c r="B108" t="s">
        <v>23</v>
      </c>
      <c r="C108" t="s">
        <v>19</v>
      </c>
      <c r="D108">
        <v>108</v>
      </c>
      <c r="E108" t="s">
        <v>42</v>
      </c>
      <c r="F108" t="s">
        <v>11</v>
      </c>
      <c r="G108" t="s">
        <v>12</v>
      </c>
      <c r="H108">
        <f t="shared" si="1"/>
        <v>108</v>
      </c>
    </row>
    <row r="109" spans="1:8" x14ac:dyDescent="0.3">
      <c r="A109" t="s">
        <v>45</v>
      </c>
      <c r="B109" t="s">
        <v>23</v>
      </c>
      <c r="C109" t="s">
        <v>20</v>
      </c>
      <c r="D109">
        <v>7</v>
      </c>
      <c r="E109" t="s">
        <v>42</v>
      </c>
      <c r="F109" t="s">
        <v>11</v>
      </c>
      <c r="G109" t="s">
        <v>12</v>
      </c>
      <c r="H109">
        <f t="shared" si="1"/>
        <v>7</v>
      </c>
    </row>
    <row r="110" spans="1:8" x14ac:dyDescent="0.3">
      <c r="A110" t="s">
        <v>45</v>
      </c>
      <c r="B110" t="s">
        <v>23</v>
      </c>
      <c r="C110" t="s">
        <v>21</v>
      </c>
      <c r="D110">
        <v>2</v>
      </c>
      <c r="E110" t="s">
        <v>42</v>
      </c>
      <c r="F110" t="s">
        <v>11</v>
      </c>
      <c r="G110" t="s">
        <v>12</v>
      </c>
      <c r="H110">
        <f t="shared" si="1"/>
        <v>2</v>
      </c>
    </row>
    <row r="111" spans="1:8" x14ac:dyDescent="0.3">
      <c r="A111" t="s">
        <v>45</v>
      </c>
      <c r="B111" t="s">
        <v>23</v>
      </c>
      <c r="C111" t="s">
        <v>22</v>
      </c>
      <c r="D111">
        <v>3</v>
      </c>
      <c r="E111" t="s">
        <v>42</v>
      </c>
      <c r="F111" t="s">
        <v>11</v>
      </c>
      <c r="G111" t="s">
        <v>12</v>
      </c>
      <c r="H111">
        <f t="shared" si="1"/>
        <v>3</v>
      </c>
    </row>
    <row r="112" spans="1:8" x14ac:dyDescent="0.3">
      <c r="A112" t="s">
        <v>46</v>
      </c>
      <c r="B112" t="s">
        <v>8</v>
      </c>
      <c r="C112" t="s">
        <v>9</v>
      </c>
      <c r="D112">
        <v>0</v>
      </c>
      <c r="E112" t="s">
        <v>42</v>
      </c>
      <c r="F112" t="s">
        <v>11</v>
      </c>
      <c r="G112" t="s">
        <v>12</v>
      </c>
      <c r="H112">
        <f t="shared" si="1"/>
        <v>0</v>
      </c>
    </row>
    <row r="113" spans="1:8" x14ac:dyDescent="0.3">
      <c r="A113" t="s">
        <v>46</v>
      </c>
      <c r="B113" t="s">
        <v>8</v>
      </c>
      <c r="C113" t="s">
        <v>13</v>
      </c>
      <c r="D113">
        <v>0</v>
      </c>
      <c r="E113" t="s">
        <v>42</v>
      </c>
      <c r="F113" t="s">
        <v>11</v>
      </c>
      <c r="G113" t="s">
        <v>12</v>
      </c>
      <c r="H113">
        <f t="shared" si="1"/>
        <v>0</v>
      </c>
    </row>
    <row r="114" spans="1:8" x14ac:dyDescent="0.3">
      <c r="A114" t="s">
        <v>46</v>
      </c>
      <c r="B114" t="s">
        <v>8</v>
      </c>
      <c r="C114" t="s">
        <v>14</v>
      </c>
      <c r="D114">
        <v>5</v>
      </c>
      <c r="E114" t="s">
        <v>42</v>
      </c>
      <c r="F114" t="s">
        <v>11</v>
      </c>
      <c r="G114" t="s">
        <v>12</v>
      </c>
      <c r="H114">
        <f t="shared" si="1"/>
        <v>5</v>
      </c>
    </row>
    <row r="115" spans="1:8" x14ac:dyDescent="0.3">
      <c r="A115" t="s">
        <v>46</v>
      </c>
      <c r="B115" t="s">
        <v>8</v>
      </c>
      <c r="C115" t="s">
        <v>15</v>
      </c>
      <c r="D115">
        <v>0</v>
      </c>
      <c r="E115" t="s">
        <v>42</v>
      </c>
      <c r="F115" t="s">
        <v>11</v>
      </c>
      <c r="G115" t="s">
        <v>12</v>
      </c>
      <c r="H115">
        <f t="shared" si="1"/>
        <v>0</v>
      </c>
    </row>
    <row r="116" spans="1:8" x14ac:dyDescent="0.3">
      <c r="A116" t="s">
        <v>46</v>
      </c>
      <c r="B116" t="s">
        <v>8</v>
      </c>
      <c r="C116" t="s">
        <v>16</v>
      </c>
      <c r="D116">
        <v>142</v>
      </c>
      <c r="E116" t="s">
        <v>42</v>
      </c>
      <c r="F116" t="s">
        <v>11</v>
      </c>
      <c r="G116" t="s">
        <v>12</v>
      </c>
      <c r="H116">
        <f t="shared" si="1"/>
        <v>142</v>
      </c>
    </row>
    <row r="117" spans="1:8" x14ac:dyDescent="0.3">
      <c r="A117" t="s">
        <v>46</v>
      </c>
      <c r="B117" t="s">
        <v>8</v>
      </c>
      <c r="C117" t="s">
        <v>17</v>
      </c>
      <c r="D117">
        <v>3</v>
      </c>
      <c r="E117" t="s">
        <v>42</v>
      </c>
      <c r="F117" t="s">
        <v>11</v>
      </c>
      <c r="G117" t="s">
        <v>12</v>
      </c>
      <c r="H117">
        <f t="shared" si="1"/>
        <v>3</v>
      </c>
    </row>
    <row r="118" spans="1:8" x14ac:dyDescent="0.3">
      <c r="A118" t="s">
        <v>46</v>
      </c>
      <c r="B118" t="s">
        <v>8</v>
      </c>
      <c r="C118" t="s">
        <v>18</v>
      </c>
      <c r="D118">
        <v>0</v>
      </c>
      <c r="E118" t="s">
        <v>42</v>
      </c>
      <c r="F118" t="s">
        <v>11</v>
      </c>
      <c r="G118" t="s">
        <v>12</v>
      </c>
      <c r="H118">
        <f t="shared" si="1"/>
        <v>0</v>
      </c>
    </row>
    <row r="119" spans="1:8" x14ac:dyDescent="0.3">
      <c r="A119" t="s">
        <v>46</v>
      </c>
      <c r="B119" t="s">
        <v>8</v>
      </c>
      <c r="C119" t="s">
        <v>19</v>
      </c>
      <c r="D119">
        <v>0</v>
      </c>
      <c r="E119" t="s">
        <v>42</v>
      </c>
      <c r="F119" t="s">
        <v>11</v>
      </c>
      <c r="G119" t="s">
        <v>12</v>
      </c>
      <c r="H119">
        <f t="shared" si="1"/>
        <v>0</v>
      </c>
    </row>
    <row r="120" spans="1:8" x14ac:dyDescent="0.3">
      <c r="A120" t="s">
        <v>46</v>
      </c>
      <c r="B120" t="s">
        <v>8</v>
      </c>
      <c r="C120" t="s">
        <v>20</v>
      </c>
      <c r="D120">
        <v>0</v>
      </c>
      <c r="E120" t="s">
        <v>42</v>
      </c>
      <c r="F120" t="s">
        <v>11</v>
      </c>
      <c r="G120" t="s">
        <v>12</v>
      </c>
      <c r="H120">
        <f t="shared" si="1"/>
        <v>0</v>
      </c>
    </row>
    <row r="121" spans="1:8" x14ac:dyDescent="0.3">
      <c r="A121" t="s">
        <v>46</v>
      </c>
      <c r="B121" t="s">
        <v>8</v>
      </c>
      <c r="C121" t="s">
        <v>21</v>
      </c>
      <c r="D121">
        <v>0</v>
      </c>
      <c r="E121" t="s">
        <v>42</v>
      </c>
      <c r="F121" t="s">
        <v>11</v>
      </c>
      <c r="G121" t="s">
        <v>12</v>
      </c>
      <c r="H121">
        <f t="shared" si="1"/>
        <v>0</v>
      </c>
    </row>
    <row r="122" spans="1:8" x14ac:dyDescent="0.3">
      <c r="A122" t="s">
        <v>46</v>
      </c>
      <c r="B122" t="s">
        <v>8</v>
      </c>
      <c r="C122" t="s">
        <v>22</v>
      </c>
      <c r="D122">
        <v>0</v>
      </c>
      <c r="E122" t="s">
        <v>42</v>
      </c>
      <c r="F122" t="s">
        <v>11</v>
      </c>
      <c r="G122" t="s">
        <v>12</v>
      </c>
      <c r="H122">
        <f t="shared" si="1"/>
        <v>0</v>
      </c>
    </row>
    <row r="123" spans="1:8" x14ac:dyDescent="0.3">
      <c r="A123" t="s">
        <v>46</v>
      </c>
      <c r="B123" t="s">
        <v>23</v>
      </c>
      <c r="C123" t="s">
        <v>9</v>
      </c>
      <c r="D123">
        <v>0</v>
      </c>
      <c r="E123" t="s">
        <v>42</v>
      </c>
      <c r="F123" t="s">
        <v>11</v>
      </c>
      <c r="G123" t="s">
        <v>12</v>
      </c>
      <c r="H123">
        <f t="shared" si="1"/>
        <v>0</v>
      </c>
    </row>
    <row r="124" spans="1:8" x14ac:dyDescent="0.3">
      <c r="A124" t="s">
        <v>46</v>
      </c>
      <c r="B124" t="s">
        <v>23</v>
      </c>
      <c r="C124" t="s">
        <v>13</v>
      </c>
      <c r="D124">
        <v>0</v>
      </c>
      <c r="E124" t="s">
        <v>42</v>
      </c>
      <c r="F124" t="s">
        <v>11</v>
      </c>
      <c r="G124" t="s">
        <v>12</v>
      </c>
      <c r="H124">
        <f t="shared" si="1"/>
        <v>0</v>
      </c>
    </row>
    <row r="125" spans="1:8" x14ac:dyDescent="0.3">
      <c r="A125" t="s">
        <v>46</v>
      </c>
      <c r="B125" t="s">
        <v>23</v>
      </c>
      <c r="C125" t="s">
        <v>14</v>
      </c>
      <c r="D125">
        <v>2</v>
      </c>
      <c r="E125" t="s">
        <v>42</v>
      </c>
      <c r="F125" t="s">
        <v>11</v>
      </c>
      <c r="G125" t="s">
        <v>12</v>
      </c>
      <c r="H125">
        <f t="shared" si="1"/>
        <v>2</v>
      </c>
    </row>
    <row r="126" spans="1:8" x14ac:dyDescent="0.3">
      <c r="A126" t="s">
        <v>46</v>
      </c>
      <c r="B126" t="s">
        <v>23</v>
      </c>
      <c r="C126" t="s">
        <v>15</v>
      </c>
      <c r="D126">
        <v>0</v>
      </c>
      <c r="E126" t="s">
        <v>42</v>
      </c>
      <c r="F126" t="s">
        <v>11</v>
      </c>
      <c r="G126" t="s">
        <v>12</v>
      </c>
      <c r="H126">
        <f t="shared" si="1"/>
        <v>0</v>
      </c>
    </row>
    <row r="127" spans="1:8" x14ac:dyDescent="0.3">
      <c r="A127" t="s">
        <v>46</v>
      </c>
      <c r="B127" t="s">
        <v>23</v>
      </c>
      <c r="C127" t="s">
        <v>16</v>
      </c>
      <c r="D127">
        <v>380</v>
      </c>
      <c r="E127" t="s">
        <v>42</v>
      </c>
      <c r="F127" t="s">
        <v>11</v>
      </c>
      <c r="G127" t="s">
        <v>12</v>
      </c>
      <c r="H127">
        <f t="shared" si="1"/>
        <v>380</v>
      </c>
    </row>
    <row r="128" spans="1:8" x14ac:dyDescent="0.3">
      <c r="A128" t="s">
        <v>46</v>
      </c>
      <c r="B128" t="s">
        <v>23</v>
      </c>
      <c r="C128" t="s">
        <v>17</v>
      </c>
      <c r="D128">
        <v>0</v>
      </c>
      <c r="E128" t="s">
        <v>42</v>
      </c>
      <c r="F128" t="s">
        <v>11</v>
      </c>
      <c r="G128" t="s">
        <v>12</v>
      </c>
      <c r="H128">
        <f t="shared" si="1"/>
        <v>0</v>
      </c>
    </row>
    <row r="129" spans="1:8" x14ac:dyDescent="0.3">
      <c r="A129" t="s">
        <v>46</v>
      </c>
      <c r="B129" t="s">
        <v>23</v>
      </c>
      <c r="C129" t="s">
        <v>18</v>
      </c>
      <c r="D129">
        <v>0</v>
      </c>
      <c r="E129" t="s">
        <v>42</v>
      </c>
      <c r="F129" t="s">
        <v>11</v>
      </c>
      <c r="G129" t="s">
        <v>12</v>
      </c>
      <c r="H129">
        <f t="shared" si="1"/>
        <v>0</v>
      </c>
    </row>
    <row r="130" spans="1:8" x14ac:dyDescent="0.3">
      <c r="A130" t="s">
        <v>46</v>
      </c>
      <c r="B130" t="s">
        <v>23</v>
      </c>
      <c r="C130" t="s">
        <v>19</v>
      </c>
      <c r="D130">
        <v>0</v>
      </c>
      <c r="E130" t="s">
        <v>42</v>
      </c>
      <c r="F130" t="s">
        <v>11</v>
      </c>
      <c r="G130" t="s">
        <v>12</v>
      </c>
      <c r="H130">
        <f t="shared" si="1"/>
        <v>0</v>
      </c>
    </row>
    <row r="131" spans="1:8" x14ac:dyDescent="0.3">
      <c r="A131" t="s">
        <v>46</v>
      </c>
      <c r="B131" t="s">
        <v>23</v>
      </c>
      <c r="C131" t="s">
        <v>20</v>
      </c>
      <c r="D131">
        <v>4</v>
      </c>
      <c r="E131" t="s">
        <v>42</v>
      </c>
      <c r="F131" t="s">
        <v>11</v>
      </c>
      <c r="G131" t="s">
        <v>12</v>
      </c>
      <c r="H131">
        <f t="shared" ref="H131:H194" si="2">ROUND(D131, 3 - LEN(INT(ABS(D131))))</f>
        <v>4</v>
      </c>
    </row>
    <row r="132" spans="1:8" x14ac:dyDescent="0.3">
      <c r="A132" t="s">
        <v>46</v>
      </c>
      <c r="B132" t="s">
        <v>23</v>
      </c>
      <c r="C132" t="s">
        <v>21</v>
      </c>
      <c r="D132">
        <v>0</v>
      </c>
      <c r="E132" t="s">
        <v>42</v>
      </c>
      <c r="F132" t="s">
        <v>11</v>
      </c>
      <c r="G132" t="s">
        <v>12</v>
      </c>
      <c r="H132">
        <f t="shared" si="2"/>
        <v>0</v>
      </c>
    </row>
    <row r="133" spans="1:8" x14ac:dyDescent="0.3">
      <c r="A133" t="s">
        <v>46</v>
      </c>
      <c r="B133" t="s">
        <v>23</v>
      </c>
      <c r="C133" t="s">
        <v>22</v>
      </c>
      <c r="D133">
        <v>0</v>
      </c>
      <c r="E133" t="s">
        <v>42</v>
      </c>
      <c r="F133" t="s">
        <v>11</v>
      </c>
      <c r="G133" t="s">
        <v>12</v>
      </c>
      <c r="H133">
        <f t="shared" si="2"/>
        <v>0</v>
      </c>
    </row>
    <row r="134" spans="1:8" x14ac:dyDescent="0.3">
      <c r="A134" t="s">
        <v>47</v>
      </c>
      <c r="B134" t="s">
        <v>8</v>
      </c>
      <c r="C134" t="s">
        <v>9</v>
      </c>
      <c r="D134">
        <v>13</v>
      </c>
      <c r="E134" t="s">
        <v>42</v>
      </c>
      <c r="F134" t="s">
        <v>11</v>
      </c>
      <c r="G134" t="s">
        <v>12</v>
      </c>
      <c r="H134">
        <f t="shared" si="2"/>
        <v>13</v>
      </c>
    </row>
    <row r="135" spans="1:8" x14ac:dyDescent="0.3">
      <c r="A135" t="s">
        <v>47</v>
      </c>
      <c r="B135" t="s">
        <v>8</v>
      </c>
      <c r="C135" t="s">
        <v>13</v>
      </c>
      <c r="D135">
        <v>1</v>
      </c>
      <c r="E135" t="s">
        <v>42</v>
      </c>
      <c r="F135" t="s">
        <v>11</v>
      </c>
      <c r="G135" t="s">
        <v>12</v>
      </c>
      <c r="H135">
        <f t="shared" si="2"/>
        <v>1</v>
      </c>
    </row>
    <row r="136" spans="1:8" x14ac:dyDescent="0.3">
      <c r="A136" t="s">
        <v>47</v>
      </c>
      <c r="B136" t="s">
        <v>8</v>
      </c>
      <c r="C136" t="s">
        <v>14</v>
      </c>
      <c r="D136">
        <v>1</v>
      </c>
      <c r="E136" t="s">
        <v>42</v>
      </c>
      <c r="F136" t="s">
        <v>11</v>
      </c>
      <c r="G136" t="s">
        <v>12</v>
      </c>
      <c r="H136">
        <f t="shared" si="2"/>
        <v>1</v>
      </c>
    </row>
    <row r="137" spans="1:8" x14ac:dyDescent="0.3">
      <c r="A137" t="s">
        <v>47</v>
      </c>
      <c r="B137" t="s">
        <v>8</v>
      </c>
      <c r="C137" t="s">
        <v>15</v>
      </c>
      <c r="D137">
        <v>0</v>
      </c>
      <c r="E137" t="s">
        <v>42</v>
      </c>
      <c r="F137" t="s">
        <v>11</v>
      </c>
      <c r="G137" t="s">
        <v>12</v>
      </c>
      <c r="H137">
        <f t="shared" si="2"/>
        <v>0</v>
      </c>
    </row>
    <row r="138" spans="1:8" x14ac:dyDescent="0.3">
      <c r="A138" t="s">
        <v>47</v>
      </c>
      <c r="B138" t="s">
        <v>8</v>
      </c>
      <c r="C138" t="s">
        <v>16</v>
      </c>
      <c r="D138">
        <v>3</v>
      </c>
      <c r="E138" t="s">
        <v>42</v>
      </c>
      <c r="F138" t="s">
        <v>11</v>
      </c>
      <c r="G138" t="s">
        <v>12</v>
      </c>
      <c r="H138">
        <f t="shared" si="2"/>
        <v>3</v>
      </c>
    </row>
    <row r="139" spans="1:8" x14ac:dyDescent="0.3">
      <c r="A139" t="s">
        <v>47</v>
      </c>
      <c r="B139" t="s">
        <v>8</v>
      </c>
      <c r="C139" t="s">
        <v>17</v>
      </c>
      <c r="D139">
        <v>13</v>
      </c>
      <c r="E139" t="s">
        <v>42</v>
      </c>
      <c r="F139" t="s">
        <v>11</v>
      </c>
      <c r="G139" t="s">
        <v>12</v>
      </c>
      <c r="H139">
        <f t="shared" si="2"/>
        <v>13</v>
      </c>
    </row>
    <row r="140" spans="1:8" x14ac:dyDescent="0.3">
      <c r="A140" t="s">
        <v>47</v>
      </c>
      <c r="B140" t="s">
        <v>8</v>
      </c>
      <c r="C140" t="s">
        <v>18</v>
      </c>
      <c r="D140">
        <v>0</v>
      </c>
      <c r="E140" t="s">
        <v>42</v>
      </c>
      <c r="F140" t="s">
        <v>11</v>
      </c>
      <c r="G140" t="s">
        <v>12</v>
      </c>
      <c r="H140">
        <f t="shared" si="2"/>
        <v>0</v>
      </c>
    </row>
    <row r="141" spans="1:8" x14ac:dyDescent="0.3">
      <c r="A141" t="s">
        <v>47</v>
      </c>
      <c r="B141" t="s">
        <v>8</v>
      </c>
      <c r="C141" t="s">
        <v>19</v>
      </c>
      <c r="D141">
        <v>1</v>
      </c>
      <c r="E141" t="s">
        <v>42</v>
      </c>
      <c r="F141" t="s">
        <v>11</v>
      </c>
      <c r="G141" t="s">
        <v>12</v>
      </c>
      <c r="H141">
        <f t="shared" si="2"/>
        <v>1</v>
      </c>
    </row>
    <row r="142" spans="1:8" x14ac:dyDescent="0.3">
      <c r="A142" t="s">
        <v>47</v>
      </c>
      <c r="B142" t="s">
        <v>8</v>
      </c>
      <c r="C142" t="s">
        <v>20</v>
      </c>
      <c r="D142">
        <v>0</v>
      </c>
      <c r="E142" t="s">
        <v>42</v>
      </c>
      <c r="F142" t="s">
        <v>11</v>
      </c>
      <c r="G142" t="s">
        <v>12</v>
      </c>
      <c r="H142">
        <f t="shared" si="2"/>
        <v>0</v>
      </c>
    </row>
    <row r="143" spans="1:8" x14ac:dyDescent="0.3">
      <c r="A143" t="s">
        <v>47</v>
      </c>
      <c r="B143" t="s">
        <v>8</v>
      </c>
      <c r="C143" t="s">
        <v>21</v>
      </c>
      <c r="D143">
        <v>2</v>
      </c>
      <c r="E143" t="s">
        <v>42</v>
      </c>
      <c r="F143" t="s">
        <v>11</v>
      </c>
      <c r="G143" t="s">
        <v>12</v>
      </c>
      <c r="H143">
        <f t="shared" si="2"/>
        <v>2</v>
      </c>
    </row>
    <row r="144" spans="1:8" x14ac:dyDescent="0.3">
      <c r="A144" t="s">
        <v>47</v>
      </c>
      <c r="B144" t="s">
        <v>8</v>
      </c>
      <c r="C144" t="s">
        <v>22</v>
      </c>
      <c r="D144">
        <v>4</v>
      </c>
      <c r="E144" t="s">
        <v>42</v>
      </c>
      <c r="F144" t="s">
        <v>11</v>
      </c>
      <c r="G144" t="s">
        <v>12</v>
      </c>
      <c r="H144">
        <f t="shared" si="2"/>
        <v>4</v>
      </c>
    </row>
    <row r="145" spans="1:8" x14ac:dyDescent="0.3">
      <c r="A145" t="s">
        <v>47</v>
      </c>
      <c r="B145" t="s">
        <v>23</v>
      </c>
      <c r="C145" t="s">
        <v>9</v>
      </c>
      <c r="D145">
        <v>213</v>
      </c>
      <c r="E145" t="s">
        <v>42</v>
      </c>
      <c r="F145" t="s">
        <v>11</v>
      </c>
      <c r="G145" t="s">
        <v>12</v>
      </c>
      <c r="H145">
        <f t="shared" si="2"/>
        <v>213</v>
      </c>
    </row>
    <row r="146" spans="1:8" x14ac:dyDescent="0.3">
      <c r="A146" t="s">
        <v>47</v>
      </c>
      <c r="B146" t="s">
        <v>23</v>
      </c>
      <c r="C146" t="s">
        <v>13</v>
      </c>
      <c r="D146">
        <v>10</v>
      </c>
      <c r="E146" t="s">
        <v>42</v>
      </c>
      <c r="F146" t="s">
        <v>11</v>
      </c>
      <c r="G146" t="s">
        <v>12</v>
      </c>
      <c r="H146">
        <f t="shared" si="2"/>
        <v>10</v>
      </c>
    </row>
    <row r="147" spans="1:8" x14ac:dyDescent="0.3">
      <c r="A147" t="s">
        <v>47</v>
      </c>
      <c r="B147" t="s">
        <v>23</v>
      </c>
      <c r="C147" t="s">
        <v>14</v>
      </c>
      <c r="D147">
        <v>115</v>
      </c>
      <c r="E147" t="s">
        <v>42</v>
      </c>
      <c r="F147" t="s">
        <v>11</v>
      </c>
      <c r="G147" t="s">
        <v>12</v>
      </c>
      <c r="H147">
        <f t="shared" si="2"/>
        <v>115</v>
      </c>
    </row>
    <row r="148" spans="1:8" x14ac:dyDescent="0.3">
      <c r="A148" t="s">
        <v>47</v>
      </c>
      <c r="B148" t="s">
        <v>23</v>
      </c>
      <c r="C148" t="s">
        <v>15</v>
      </c>
      <c r="D148">
        <v>2</v>
      </c>
      <c r="E148" t="s">
        <v>42</v>
      </c>
      <c r="F148" t="s">
        <v>11</v>
      </c>
      <c r="G148" t="s">
        <v>12</v>
      </c>
      <c r="H148">
        <f t="shared" si="2"/>
        <v>2</v>
      </c>
    </row>
    <row r="149" spans="1:8" x14ac:dyDescent="0.3">
      <c r="A149" t="s">
        <v>47</v>
      </c>
      <c r="B149" t="s">
        <v>23</v>
      </c>
      <c r="C149" t="s">
        <v>16</v>
      </c>
      <c r="D149">
        <v>60</v>
      </c>
      <c r="E149" t="s">
        <v>42</v>
      </c>
      <c r="F149" t="s">
        <v>11</v>
      </c>
      <c r="G149" t="s">
        <v>12</v>
      </c>
      <c r="H149">
        <f t="shared" si="2"/>
        <v>60</v>
      </c>
    </row>
    <row r="150" spans="1:8" x14ac:dyDescent="0.3">
      <c r="A150" t="s">
        <v>47</v>
      </c>
      <c r="B150" t="s">
        <v>23</v>
      </c>
      <c r="C150" t="s">
        <v>17</v>
      </c>
      <c r="D150">
        <v>11</v>
      </c>
      <c r="E150" t="s">
        <v>42</v>
      </c>
      <c r="F150" t="s">
        <v>11</v>
      </c>
      <c r="G150" t="s">
        <v>12</v>
      </c>
      <c r="H150">
        <f t="shared" si="2"/>
        <v>11</v>
      </c>
    </row>
    <row r="151" spans="1:8" x14ac:dyDescent="0.3">
      <c r="A151" t="s">
        <v>47</v>
      </c>
      <c r="B151" t="s">
        <v>23</v>
      </c>
      <c r="C151" t="s">
        <v>18</v>
      </c>
      <c r="D151">
        <v>0</v>
      </c>
      <c r="E151" t="s">
        <v>42</v>
      </c>
      <c r="F151" t="s">
        <v>11</v>
      </c>
      <c r="G151" t="s">
        <v>12</v>
      </c>
      <c r="H151">
        <f t="shared" si="2"/>
        <v>0</v>
      </c>
    </row>
    <row r="152" spans="1:8" x14ac:dyDescent="0.3">
      <c r="A152" t="s">
        <v>47</v>
      </c>
      <c r="B152" t="s">
        <v>23</v>
      </c>
      <c r="C152" t="s">
        <v>19</v>
      </c>
      <c r="D152">
        <v>4</v>
      </c>
      <c r="E152" t="s">
        <v>42</v>
      </c>
      <c r="F152" t="s">
        <v>11</v>
      </c>
      <c r="G152" t="s">
        <v>12</v>
      </c>
      <c r="H152">
        <f t="shared" si="2"/>
        <v>4</v>
      </c>
    </row>
    <row r="153" spans="1:8" x14ac:dyDescent="0.3">
      <c r="A153" t="s">
        <v>47</v>
      </c>
      <c r="B153" t="s">
        <v>23</v>
      </c>
      <c r="C153" t="s">
        <v>20</v>
      </c>
      <c r="D153">
        <v>7</v>
      </c>
      <c r="E153" t="s">
        <v>42</v>
      </c>
      <c r="F153" t="s">
        <v>11</v>
      </c>
      <c r="G153" t="s">
        <v>12</v>
      </c>
      <c r="H153">
        <f t="shared" si="2"/>
        <v>7</v>
      </c>
    </row>
    <row r="154" spans="1:8" x14ac:dyDescent="0.3">
      <c r="A154" t="s">
        <v>47</v>
      </c>
      <c r="B154" t="s">
        <v>23</v>
      </c>
      <c r="C154" t="s">
        <v>21</v>
      </c>
      <c r="D154">
        <v>2</v>
      </c>
      <c r="E154" t="s">
        <v>42</v>
      </c>
      <c r="F154" t="s">
        <v>11</v>
      </c>
      <c r="G154" t="s">
        <v>12</v>
      </c>
      <c r="H154">
        <f t="shared" si="2"/>
        <v>2</v>
      </c>
    </row>
    <row r="155" spans="1:8" x14ac:dyDescent="0.3">
      <c r="A155" t="s">
        <v>47</v>
      </c>
      <c r="B155" t="s">
        <v>23</v>
      </c>
      <c r="C155" t="s">
        <v>22</v>
      </c>
      <c r="D155">
        <v>3</v>
      </c>
      <c r="E155" t="s">
        <v>42</v>
      </c>
      <c r="F155" t="s">
        <v>11</v>
      </c>
      <c r="G155" t="s">
        <v>12</v>
      </c>
      <c r="H155">
        <f t="shared" si="2"/>
        <v>3</v>
      </c>
    </row>
    <row r="156" spans="1:8" x14ac:dyDescent="0.3">
      <c r="A156" t="s">
        <v>48</v>
      </c>
      <c r="B156" t="s">
        <v>8</v>
      </c>
      <c r="C156" t="s">
        <v>9</v>
      </c>
      <c r="D156">
        <v>0</v>
      </c>
      <c r="E156" t="s">
        <v>42</v>
      </c>
      <c r="F156" t="s">
        <v>11</v>
      </c>
      <c r="G156" t="s">
        <v>12</v>
      </c>
      <c r="H156">
        <f t="shared" si="2"/>
        <v>0</v>
      </c>
    </row>
    <row r="157" spans="1:8" x14ac:dyDescent="0.3">
      <c r="A157" t="s">
        <v>48</v>
      </c>
      <c r="B157" t="s">
        <v>8</v>
      </c>
      <c r="C157" t="s">
        <v>13</v>
      </c>
      <c r="D157">
        <v>0</v>
      </c>
      <c r="E157" t="s">
        <v>42</v>
      </c>
      <c r="F157" t="s">
        <v>11</v>
      </c>
      <c r="G157" t="s">
        <v>12</v>
      </c>
      <c r="H157">
        <f t="shared" si="2"/>
        <v>0</v>
      </c>
    </row>
    <row r="158" spans="1:8" x14ac:dyDescent="0.3">
      <c r="A158" t="s">
        <v>48</v>
      </c>
      <c r="B158" t="s">
        <v>8</v>
      </c>
      <c r="C158" t="s">
        <v>14</v>
      </c>
      <c r="D158">
        <v>45</v>
      </c>
      <c r="E158" t="s">
        <v>42</v>
      </c>
      <c r="F158" t="s">
        <v>11</v>
      </c>
      <c r="G158" t="s">
        <v>12</v>
      </c>
      <c r="H158">
        <f t="shared" si="2"/>
        <v>45</v>
      </c>
    </row>
    <row r="159" spans="1:8" x14ac:dyDescent="0.3">
      <c r="A159" t="s">
        <v>48</v>
      </c>
      <c r="B159" t="s">
        <v>8</v>
      </c>
      <c r="C159" t="s">
        <v>15</v>
      </c>
      <c r="D159">
        <v>0</v>
      </c>
      <c r="E159" t="s">
        <v>42</v>
      </c>
      <c r="F159" t="s">
        <v>11</v>
      </c>
      <c r="G159" t="s">
        <v>12</v>
      </c>
      <c r="H159">
        <f t="shared" si="2"/>
        <v>0</v>
      </c>
    </row>
    <row r="160" spans="1:8" x14ac:dyDescent="0.3">
      <c r="A160" t="s">
        <v>48</v>
      </c>
      <c r="B160" t="s">
        <v>8</v>
      </c>
      <c r="C160" t="s">
        <v>16</v>
      </c>
      <c r="D160">
        <v>36</v>
      </c>
      <c r="E160" t="s">
        <v>42</v>
      </c>
      <c r="F160" t="s">
        <v>11</v>
      </c>
      <c r="G160" t="s">
        <v>12</v>
      </c>
      <c r="H160">
        <f t="shared" si="2"/>
        <v>36</v>
      </c>
    </row>
    <row r="161" spans="1:8" x14ac:dyDescent="0.3">
      <c r="A161" t="s">
        <v>48</v>
      </c>
      <c r="B161" t="s">
        <v>8</v>
      </c>
      <c r="C161" t="s">
        <v>17</v>
      </c>
      <c r="D161">
        <v>1</v>
      </c>
      <c r="E161" t="s">
        <v>42</v>
      </c>
      <c r="F161" t="s">
        <v>11</v>
      </c>
      <c r="G161" t="s">
        <v>12</v>
      </c>
      <c r="H161">
        <f t="shared" si="2"/>
        <v>1</v>
      </c>
    </row>
    <row r="162" spans="1:8" x14ac:dyDescent="0.3">
      <c r="A162" t="s">
        <v>48</v>
      </c>
      <c r="B162" t="s">
        <v>8</v>
      </c>
      <c r="C162" t="s">
        <v>18</v>
      </c>
      <c r="D162">
        <v>0</v>
      </c>
      <c r="E162" t="s">
        <v>42</v>
      </c>
      <c r="F162" t="s">
        <v>11</v>
      </c>
      <c r="G162" t="s">
        <v>12</v>
      </c>
      <c r="H162">
        <f t="shared" si="2"/>
        <v>0</v>
      </c>
    </row>
    <row r="163" spans="1:8" x14ac:dyDescent="0.3">
      <c r="A163" t="s">
        <v>48</v>
      </c>
      <c r="B163" t="s">
        <v>8</v>
      </c>
      <c r="C163" t="s">
        <v>19</v>
      </c>
      <c r="D163">
        <v>0</v>
      </c>
      <c r="E163" t="s">
        <v>42</v>
      </c>
      <c r="F163" t="s">
        <v>11</v>
      </c>
      <c r="G163" t="s">
        <v>12</v>
      </c>
      <c r="H163">
        <f t="shared" si="2"/>
        <v>0</v>
      </c>
    </row>
    <row r="164" spans="1:8" x14ac:dyDescent="0.3">
      <c r="A164" t="s">
        <v>48</v>
      </c>
      <c r="B164" t="s">
        <v>8</v>
      </c>
      <c r="C164" t="s">
        <v>20</v>
      </c>
      <c r="D164">
        <v>0</v>
      </c>
      <c r="E164" t="s">
        <v>42</v>
      </c>
      <c r="F164" t="s">
        <v>11</v>
      </c>
      <c r="G164" t="s">
        <v>12</v>
      </c>
      <c r="H164">
        <f t="shared" si="2"/>
        <v>0</v>
      </c>
    </row>
    <row r="165" spans="1:8" x14ac:dyDescent="0.3">
      <c r="A165" t="s">
        <v>48</v>
      </c>
      <c r="B165" t="s">
        <v>8</v>
      </c>
      <c r="C165" t="s">
        <v>21</v>
      </c>
      <c r="D165">
        <v>0</v>
      </c>
      <c r="E165" t="s">
        <v>42</v>
      </c>
      <c r="F165" t="s">
        <v>11</v>
      </c>
      <c r="G165" t="s">
        <v>12</v>
      </c>
      <c r="H165">
        <f t="shared" si="2"/>
        <v>0</v>
      </c>
    </row>
    <row r="166" spans="1:8" x14ac:dyDescent="0.3">
      <c r="A166" t="s">
        <v>48</v>
      </c>
      <c r="B166" t="s">
        <v>8</v>
      </c>
      <c r="C166" t="s">
        <v>22</v>
      </c>
      <c r="D166">
        <v>0</v>
      </c>
      <c r="E166" t="s">
        <v>42</v>
      </c>
      <c r="F166" t="s">
        <v>11</v>
      </c>
      <c r="G166" t="s">
        <v>12</v>
      </c>
      <c r="H166">
        <f t="shared" si="2"/>
        <v>0</v>
      </c>
    </row>
    <row r="167" spans="1:8" x14ac:dyDescent="0.3">
      <c r="A167" t="s">
        <v>48</v>
      </c>
      <c r="B167" t="s">
        <v>23</v>
      </c>
      <c r="C167" t="s">
        <v>9</v>
      </c>
      <c r="D167">
        <v>0</v>
      </c>
      <c r="E167" t="s">
        <v>42</v>
      </c>
      <c r="F167" t="s">
        <v>11</v>
      </c>
      <c r="G167" t="s">
        <v>12</v>
      </c>
      <c r="H167">
        <f t="shared" si="2"/>
        <v>0</v>
      </c>
    </row>
    <row r="168" spans="1:8" x14ac:dyDescent="0.3">
      <c r="A168" t="s">
        <v>48</v>
      </c>
      <c r="B168" t="s">
        <v>23</v>
      </c>
      <c r="C168" t="s">
        <v>13</v>
      </c>
      <c r="D168">
        <v>0</v>
      </c>
      <c r="E168" t="s">
        <v>42</v>
      </c>
      <c r="F168" t="s">
        <v>11</v>
      </c>
      <c r="G168" t="s">
        <v>12</v>
      </c>
      <c r="H168">
        <f t="shared" si="2"/>
        <v>0</v>
      </c>
    </row>
    <row r="169" spans="1:8" x14ac:dyDescent="0.3">
      <c r="A169" t="s">
        <v>48</v>
      </c>
      <c r="B169" t="s">
        <v>23</v>
      </c>
      <c r="C169" t="s">
        <v>14</v>
      </c>
      <c r="D169">
        <v>434</v>
      </c>
      <c r="E169" t="s">
        <v>42</v>
      </c>
      <c r="F169" t="s">
        <v>11</v>
      </c>
      <c r="G169" t="s">
        <v>12</v>
      </c>
      <c r="H169">
        <f t="shared" si="2"/>
        <v>434</v>
      </c>
    </row>
    <row r="170" spans="1:8" x14ac:dyDescent="0.3">
      <c r="A170" t="s">
        <v>48</v>
      </c>
      <c r="B170" t="s">
        <v>23</v>
      </c>
      <c r="C170" t="s">
        <v>15</v>
      </c>
      <c r="D170">
        <v>1</v>
      </c>
      <c r="E170" t="s">
        <v>42</v>
      </c>
      <c r="F170" t="s">
        <v>11</v>
      </c>
      <c r="G170" t="s">
        <v>12</v>
      </c>
      <c r="H170">
        <f t="shared" si="2"/>
        <v>1</v>
      </c>
    </row>
    <row r="171" spans="1:8" x14ac:dyDescent="0.3">
      <c r="A171" t="s">
        <v>48</v>
      </c>
      <c r="B171" t="s">
        <v>23</v>
      </c>
      <c r="C171" t="s">
        <v>16</v>
      </c>
      <c r="D171">
        <v>148</v>
      </c>
      <c r="E171" t="s">
        <v>42</v>
      </c>
      <c r="F171" t="s">
        <v>11</v>
      </c>
      <c r="G171" t="s">
        <v>12</v>
      </c>
      <c r="H171">
        <f t="shared" si="2"/>
        <v>148</v>
      </c>
    </row>
    <row r="172" spans="1:8" x14ac:dyDescent="0.3">
      <c r="A172" t="s">
        <v>48</v>
      </c>
      <c r="B172" t="s">
        <v>23</v>
      </c>
      <c r="C172" t="s">
        <v>17</v>
      </c>
      <c r="D172">
        <v>0</v>
      </c>
      <c r="E172" t="s">
        <v>42</v>
      </c>
      <c r="F172" t="s">
        <v>11</v>
      </c>
      <c r="G172" t="s">
        <v>12</v>
      </c>
      <c r="H172">
        <f t="shared" si="2"/>
        <v>0</v>
      </c>
    </row>
    <row r="173" spans="1:8" x14ac:dyDescent="0.3">
      <c r="A173" t="s">
        <v>48</v>
      </c>
      <c r="B173" t="s">
        <v>23</v>
      </c>
      <c r="C173" t="s">
        <v>18</v>
      </c>
      <c r="D173">
        <v>0</v>
      </c>
      <c r="E173" t="s">
        <v>42</v>
      </c>
      <c r="F173" t="s">
        <v>11</v>
      </c>
      <c r="G173" t="s">
        <v>12</v>
      </c>
      <c r="H173">
        <f t="shared" si="2"/>
        <v>0</v>
      </c>
    </row>
    <row r="174" spans="1:8" x14ac:dyDescent="0.3">
      <c r="A174" t="s">
        <v>48</v>
      </c>
      <c r="B174" t="s">
        <v>23</v>
      </c>
      <c r="C174" t="s">
        <v>19</v>
      </c>
      <c r="D174">
        <v>1</v>
      </c>
      <c r="E174" t="s">
        <v>42</v>
      </c>
      <c r="F174" t="s">
        <v>11</v>
      </c>
      <c r="G174" t="s">
        <v>12</v>
      </c>
      <c r="H174">
        <f t="shared" si="2"/>
        <v>1</v>
      </c>
    </row>
    <row r="175" spans="1:8" x14ac:dyDescent="0.3">
      <c r="A175" t="s">
        <v>48</v>
      </c>
      <c r="B175" t="s">
        <v>23</v>
      </c>
      <c r="C175" t="s">
        <v>20</v>
      </c>
      <c r="D175">
        <v>2</v>
      </c>
      <c r="E175" t="s">
        <v>42</v>
      </c>
      <c r="F175" t="s">
        <v>11</v>
      </c>
      <c r="G175" t="s">
        <v>12</v>
      </c>
      <c r="H175">
        <f t="shared" si="2"/>
        <v>2</v>
      </c>
    </row>
    <row r="176" spans="1:8" x14ac:dyDescent="0.3">
      <c r="A176" t="s">
        <v>48</v>
      </c>
      <c r="B176" t="s">
        <v>23</v>
      </c>
      <c r="C176" t="s">
        <v>21</v>
      </c>
      <c r="D176">
        <v>0</v>
      </c>
      <c r="E176" t="s">
        <v>42</v>
      </c>
      <c r="F176" t="s">
        <v>11</v>
      </c>
      <c r="G176" t="s">
        <v>12</v>
      </c>
      <c r="H176">
        <f t="shared" si="2"/>
        <v>0</v>
      </c>
    </row>
    <row r="177" spans="1:8" x14ac:dyDescent="0.3">
      <c r="A177" t="s">
        <v>48</v>
      </c>
      <c r="B177" t="s">
        <v>23</v>
      </c>
      <c r="C177" t="s">
        <v>22</v>
      </c>
      <c r="D177">
        <v>0</v>
      </c>
      <c r="E177" t="s">
        <v>42</v>
      </c>
      <c r="F177" t="s">
        <v>11</v>
      </c>
      <c r="G177" t="s">
        <v>12</v>
      </c>
      <c r="H177">
        <f t="shared" si="2"/>
        <v>0</v>
      </c>
    </row>
    <row r="178" spans="1:8" x14ac:dyDescent="0.3">
      <c r="A178" t="s">
        <v>49</v>
      </c>
      <c r="B178" t="s">
        <v>8</v>
      </c>
      <c r="C178" t="s">
        <v>9</v>
      </c>
      <c r="D178">
        <v>19</v>
      </c>
      <c r="E178" t="s">
        <v>42</v>
      </c>
      <c r="F178" t="s">
        <v>11</v>
      </c>
      <c r="G178" t="s">
        <v>12</v>
      </c>
      <c r="H178">
        <f t="shared" si="2"/>
        <v>19</v>
      </c>
    </row>
    <row r="179" spans="1:8" x14ac:dyDescent="0.3">
      <c r="A179" t="s">
        <v>49</v>
      </c>
      <c r="B179" t="s">
        <v>8</v>
      </c>
      <c r="C179" t="s">
        <v>13</v>
      </c>
      <c r="D179">
        <v>2</v>
      </c>
      <c r="E179" t="s">
        <v>42</v>
      </c>
      <c r="F179" t="s">
        <v>11</v>
      </c>
      <c r="G179" t="s">
        <v>12</v>
      </c>
      <c r="H179">
        <f t="shared" si="2"/>
        <v>2</v>
      </c>
    </row>
    <row r="180" spans="1:8" x14ac:dyDescent="0.3">
      <c r="A180" t="s">
        <v>49</v>
      </c>
      <c r="B180" t="s">
        <v>8</v>
      </c>
      <c r="C180" t="s">
        <v>14</v>
      </c>
      <c r="D180">
        <v>2</v>
      </c>
      <c r="E180" t="s">
        <v>42</v>
      </c>
      <c r="F180" t="s">
        <v>11</v>
      </c>
      <c r="G180" t="s">
        <v>12</v>
      </c>
      <c r="H180">
        <f t="shared" si="2"/>
        <v>2</v>
      </c>
    </row>
    <row r="181" spans="1:8" x14ac:dyDescent="0.3">
      <c r="A181" t="s">
        <v>49</v>
      </c>
      <c r="B181" t="s">
        <v>8</v>
      </c>
      <c r="C181" t="s">
        <v>15</v>
      </c>
      <c r="D181">
        <v>0</v>
      </c>
      <c r="E181" t="s">
        <v>42</v>
      </c>
      <c r="F181" t="s">
        <v>11</v>
      </c>
      <c r="G181" t="s">
        <v>12</v>
      </c>
      <c r="H181">
        <f t="shared" si="2"/>
        <v>0</v>
      </c>
    </row>
    <row r="182" spans="1:8" x14ac:dyDescent="0.3">
      <c r="A182" t="s">
        <v>49</v>
      </c>
      <c r="B182" t="s">
        <v>8</v>
      </c>
      <c r="C182" t="s">
        <v>16</v>
      </c>
      <c r="D182">
        <v>4</v>
      </c>
      <c r="E182" t="s">
        <v>42</v>
      </c>
      <c r="F182" t="s">
        <v>11</v>
      </c>
      <c r="G182" t="s">
        <v>12</v>
      </c>
      <c r="H182">
        <f t="shared" si="2"/>
        <v>4</v>
      </c>
    </row>
    <row r="183" spans="1:8" x14ac:dyDescent="0.3">
      <c r="A183" t="s">
        <v>49</v>
      </c>
      <c r="B183" t="s">
        <v>8</v>
      </c>
      <c r="C183" t="s">
        <v>17</v>
      </c>
      <c r="D183">
        <v>19</v>
      </c>
      <c r="E183" t="s">
        <v>42</v>
      </c>
      <c r="F183" t="s">
        <v>11</v>
      </c>
      <c r="G183" t="s">
        <v>12</v>
      </c>
      <c r="H183">
        <f t="shared" si="2"/>
        <v>19</v>
      </c>
    </row>
    <row r="184" spans="1:8" x14ac:dyDescent="0.3">
      <c r="A184" t="s">
        <v>49</v>
      </c>
      <c r="B184" t="s">
        <v>8</v>
      </c>
      <c r="C184" t="s">
        <v>18</v>
      </c>
      <c r="D184">
        <v>0</v>
      </c>
      <c r="E184" t="s">
        <v>42</v>
      </c>
      <c r="F184" t="s">
        <v>11</v>
      </c>
      <c r="G184" t="s">
        <v>12</v>
      </c>
      <c r="H184">
        <f t="shared" si="2"/>
        <v>0</v>
      </c>
    </row>
    <row r="185" spans="1:8" x14ac:dyDescent="0.3">
      <c r="A185" t="s">
        <v>49</v>
      </c>
      <c r="B185" t="s">
        <v>8</v>
      </c>
      <c r="C185" t="s">
        <v>19</v>
      </c>
      <c r="D185">
        <v>1</v>
      </c>
      <c r="E185" t="s">
        <v>42</v>
      </c>
      <c r="F185" t="s">
        <v>11</v>
      </c>
      <c r="G185" t="s">
        <v>12</v>
      </c>
      <c r="H185">
        <f t="shared" si="2"/>
        <v>1</v>
      </c>
    </row>
    <row r="186" spans="1:8" x14ac:dyDescent="0.3">
      <c r="A186" t="s">
        <v>49</v>
      </c>
      <c r="B186" t="s">
        <v>8</v>
      </c>
      <c r="C186" t="s">
        <v>20</v>
      </c>
      <c r="D186">
        <v>0</v>
      </c>
      <c r="E186" t="s">
        <v>42</v>
      </c>
      <c r="F186" t="s">
        <v>11</v>
      </c>
      <c r="G186" t="s">
        <v>12</v>
      </c>
      <c r="H186">
        <f t="shared" si="2"/>
        <v>0</v>
      </c>
    </row>
    <row r="187" spans="1:8" x14ac:dyDescent="0.3">
      <c r="A187" t="s">
        <v>49</v>
      </c>
      <c r="B187" t="s">
        <v>8</v>
      </c>
      <c r="C187" t="s">
        <v>21</v>
      </c>
      <c r="D187">
        <v>3</v>
      </c>
      <c r="E187" t="s">
        <v>42</v>
      </c>
      <c r="F187" t="s">
        <v>11</v>
      </c>
      <c r="G187" t="s">
        <v>12</v>
      </c>
      <c r="H187">
        <f t="shared" si="2"/>
        <v>3</v>
      </c>
    </row>
    <row r="188" spans="1:8" x14ac:dyDescent="0.3">
      <c r="A188" t="s">
        <v>49</v>
      </c>
      <c r="B188" t="s">
        <v>8</v>
      </c>
      <c r="C188" t="s">
        <v>22</v>
      </c>
      <c r="D188">
        <v>6</v>
      </c>
      <c r="E188" t="s">
        <v>42</v>
      </c>
      <c r="F188" t="s">
        <v>11</v>
      </c>
      <c r="G188" t="s">
        <v>12</v>
      </c>
      <c r="H188">
        <f t="shared" si="2"/>
        <v>6</v>
      </c>
    </row>
    <row r="189" spans="1:8" x14ac:dyDescent="0.3">
      <c r="A189" t="s">
        <v>49</v>
      </c>
      <c r="B189" t="s">
        <v>23</v>
      </c>
      <c r="C189" t="s">
        <v>9</v>
      </c>
      <c r="D189">
        <v>307</v>
      </c>
      <c r="E189" t="s">
        <v>42</v>
      </c>
      <c r="F189" t="s">
        <v>11</v>
      </c>
      <c r="G189" t="s">
        <v>12</v>
      </c>
      <c r="H189">
        <f t="shared" si="2"/>
        <v>307</v>
      </c>
    </row>
    <row r="190" spans="1:8" x14ac:dyDescent="0.3">
      <c r="A190" t="s">
        <v>49</v>
      </c>
      <c r="B190" t="s">
        <v>23</v>
      </c>
      <c r="C190" t="s">
        <v>13</v>
      </c>
      <c r="D190">
        <v>14</v>
      </c>
      <c r="E190" t="s">
        <v>42</v>
      </c>
      <c r="F190" t="s">
        <v>11</v>
      </c>
      <c r="G190" t="s">
        <v>12</v>
      </c>
      <c r="H190">
        <f t="shared" si="2"/>
        <v>14</v>
      </c>
    </row>
    <row r="191" spans="1:8" x14ac:dyDescent="0.3">
      <c r="A191" t="s">
        <v>49</v>
      </c>
      <c r="B191" t="s">
        <v>23</v>
      </c>
      <c r="C191" t="s">
        <v>14</v>
      </c>
      <c r="D191">
        <v>166</v>
      </c>
      <c r="E191" t="s">
        <v>42</v>
      </c>
      <c r="F191" t="s">
        <v>11</v>
      </c>
      <c r="G191" t="s">
        <v>12</v>
      </c>
      <c r="H191">
        <f t="shared" si="2"/>
        <v>166</v>
      </c>
    </row>
    <row r="192" spans="1:8" x14ac:dyDescent="0.3">
      <c r="A192" t="s">
        <v>49</v>
      </c>
      <c r="B192" t="s">
        <v>23</v>
      </c>
      <c r="C192" t="s">
        <v>15</v>
      </c>
      <c r="D192">
        <v>3</v>
      </c>
      <c r="E192" t="s">
        <v>42</v>
      </c>
      <c r="F192" t="s">
        <v>11</v>
      </c>
      <c r="G192" t="s">
        <v>12</v>
      </c>
      <c r="H192">
        <f t="shared" si="2"/>
        <v>3</v>
      </c>
    </row>
    <row r="193" spans="1:8" x14ac:dyDescent="0.3">
      <c r="A193" t="s">
        <v>49</v>
      </c>
      <c r="B193" t="s">
        <v>23</v>
      </c>
      <c r="C193" t="s">
        <v>16</v>
      </c>
      <c r="D193">
        <v>86</v>
      </c>
      <c r="E193" t="s">
        <v>42</v>
      </c>
      <c r="F193" t="s">
        <v>11</v>
      </c>
      <c r="G193" t="s">
        <v>12</v>
      </c>
      <c r="H193">
        <f t="shared" si="2"/>
        <v>86</v>
      </c>
    </row>
    <row r="194" spans="1:8" x14ac:dyDescent="0.3">
      <c r="A194" t="s">
        <v>49</v>
      </c>
      <c r="B194" t="s">
        <v>23</v>
      </c>
      <c r="C194" t="s">
        <v>17</v>
      </c>
      <c r="D194">
        <v>15</v>
      </c>
      <c r="E194" t="s">
        <v>42</v>
      </c>
      <c r="F194" t="s">
        <v>11</v>
      </c>
      <c r="G194" t="s">
        <v>12</v>
      </c>
      <c r="H194">
        <f t="shared" si="2"/>
        <v>15</v>
      </c>
    </row>
    <row r="195" spans="1:8" x14ac:dyDescent="0.3">
      <c r="A195" t="s">
        <v>49</v>
      </c>
      <c r="B195" t="s">
        <v>23</v>
      </c>
      <c r="C195" t="s">
        <v>18</v>
      </c>
      <c r="D195">
        <v>0</v>
      </c>
      <c r="E195" t="s">
        <v>42</v>
      </c>
      <c r="F195" t="s">
        <v>11</v>
      </c>
      <c r="G195" t="s">
        <v>12</v>
      </c>
      <c r="H195">
        <f t="shared" ref="H195:H258" si="3">ROUND(D195, 3 - LEN(INT(ABS(D195))))</f>
        <v>0</v>
      </c>
    </row>
    <row r="196" spans="1:8" x14ac:dyDescent="0.3">
      <c r="A196" t="s">
        <v>49</v>
      </c>
      <c r="B196" t="s">
        <v>23</v>
      </c>
      <c r="C196" t="s">
        <v>19</v>
      </c>
      <c r="D196">
        <v>6</v>
      </c>
      <c r="E196" t="s">
        <v>42</v>
      </c>
      <c r="F196" t="s">
        <v>11</v>
      </c>
      <c r="G196" t="s">
        <v>12</v>
      </c>
      <c r="H196">
        <f t="shared" si="3"/>
        <v>6</v>
      </c>
    </row>
    <row r="197" spans="1:8" x14ac:dyDescent="0.3">
      <c r="A197" t="s">
        <v>49</v>
      </c>
      <c r="B197" t="s">
        <v>23</v>
      </c>
      <c r="C197" t="s">
        <v>20</v>
      </c>
      <c r="D197">
        <v>10</v>
      </c>
      <c r="E197" t="s">
        <v>42</v>
      </c>
      <c r="F197" t="s">
        <v>11</v>
      </c>
      <c r="G197" t="s">
        <v>12</v>
      </c>
      <c r="H197">
        <f t="shared" si="3"/>
        <v>10</v>
      </c>
    </row>
    <row r="198" spans="1:8" x14ac:dyDescent="0.3">
      <c r="A198" t="s">
        <v>49</v>
      </c>
      <c r="B198" t="s">
        <v>23</v>
      </c>
      <c r="C198" t="s">
        <v>21</v>
      </c>
      <c r="D198">
        <v>3</v>
      </c>
      <c r="E198" t="s">
        <v>42</v>
      </c>
      <c r="F198" t="s">
        <v>11</v>
      </c>
      <c r="G198" t="s">
        <v>12</v>
      </c>
      <c r="H198">
        <f t="shared" si="3"/>
        <v>3</v>
      </c>
    </row>
    <row r="199" spans="1:8" x14ac:dyDescent="0.3">
      <c r="A199" t="s">
        <v>49</v>
      </c>
      <c r="B199" t="s">
        <v>23</v>
      </c>
      <c r="C199" t="s">
        <v>22</v>
      </c>
      <c r="D199">
        <v>4</v>
      </c>
      <c r="E199" t="s">
        <v>42</v>
      </c>
      <c r="F199" t="s">
        <v>11</v>
      </c>
      <c r="G199" t="s">
        <v>12</v>
      </c>
      <c r="H199">
        <f t="shared" si="3"/>
        <v>4</v>
      </c>
    </row>
    <row r="200" spans="1:8" x14ac:dyDescent="0.3">
      <c r="A200" t="s">
        <v>27</v>
      </c>
      <c r="B200" t="s">
        <v>8</v>
      </c>
      <c r="C200" t="s">
        <v>9</v>
      </c>
      <c r="D200">
        <v>1</v>
      </c>
      <c r="E200" t="s">
        <v>42</v>
      </c>
      <c r="F200" t="s">
        <v>11</v>
      </c>
      <c r="G200" t="s">
        <v>12</v>
      </c>
      <c r="H200">
        <f t="shared" si="3"/>
        <v>1</v>
      </c>
    </row>
    <row r="201" spans="1:8" x14ac:dyDescent="0.3">
      <c r="A201" t="s">
        <v>27</v>
      </c>
      <c r="B201" t="s">
        <v>8</v>
      </c>
      <c r="C201" t="s">
        <v>13</v>
      </c>
      <c r="D201">
        <v>0</v>
      </c>
      <c r="E201" t="s">
        <v>42</v>
      </c>
      <c r="F201" t="s">
        <v>11</v>
      </c>
      <c r="G201" t="s">
        <v>12</v>
      </c>
      <c r="H201">
        <f t="shared" si="3"/>
        <v>0</v>
      </c>
    </row>
    <row r="202" spans="1:8" x14ac:dyDescent="0.3">
      <c r="A202" t="s">
        <v>27</v>
      </c>
      <c r="B202" t="s">
        <v>8</v>
      </c>
      <c r="C202" t="s">
        <v>14</v>
      </c>
      <c r="D202">
        <v>139</v>
      </c>
      <c r="E202" t="s">
        <v>42</v>
      </c>
      <c r="F202" t="s">
        <v>11</v>
      </c>
      <c r="G202" t="s">
        <v>12</v>
      </c>
      <c r="H202">
        <f t="shared" si="3"/>
        <v>139</v>
      </c>
    </row>
    <row r="203" spans="1:8" x14ac:dyDescent="0.3">
      <c r="A203" t="s">
        <v>27</v>
      </c>
      <c r="B203" t="s">
        <v>8</v>
      </c>
      <c r="C203" t="s">
        <v>15</v>
      </c>
      <c r="D203">
        <v>0</v>
      </c>
      <c r="E203" t="s">
        <v>42</v>
      </c>
      <c r="F203" t="s">
        <v>11</v>
      </c>
      <c r="G203" t="s">
        <v>12</v>
      </c>
      <c r="H203">
        <f t="shared" si="3"/>
        <v>0</v>
      </c>
    </row>
    <row r="204" spans="1:8" x14ac:dyDescent="0.3">
      <c r="A204" t="s">
        <v>27</v>
      </c>
      <c r="B204" t="s">
        <v>8</v>
      </c>
      <c r="C204" t="s">
        <v>16</v>
      </c>
      <c r="D204">
        <v>481</v>
      </c>
      <c r="E204" t="s">
        <v>42</v>
      </c>
      <c r="F204" t="s">
        <v>11</v>
      </c>
      <c r="G204" t="s">
        <v>12</v>
      </c>
      <c r="H204">
        <f t="shared" si="3"/>
        <v>481</v>
      </c>
    </row>
    <row r="205" spans="1:8" x14ac:dyDescent="0.3">
      <c r="A205" t="s">
        <v>27</v>
      </c>
      <c r="B205" t="s">
        <v>8</v>
      </c>
      <c r="C205" t="s">
        <v>17</v>
      </c>
      <c r="D205">
        <v>12</v>
      </c>
      <c r="E205" t="s">
        <v>42</v>
      </c>
      <c r="F205" t="s">
        <v>11</v>
      </c>
      <c r="G205" t="s">
        <v>12</v>
      </c>
      <c r="H205">
        <f t="shared" si="3"/>
        <v>12</v>
      </c>
    </row>
    <row r="206" spans="1:8" x14ac:dyDescent="0.3">
      <c r="A206" t="s">
        <v>27</v>
      </c>
      <c r="B206" t="s">
        <v>8</v>
      </c>
      <c r="C206" t="s">
        <v>18</v>
      </c>
      <c r="D206">
        <v>0</v>
      </c>
      <c r="E206" t="s">
        <v>42</v>
      </c>
      <c r="F206" t="s">
        <v>11</v>
      </c>
      <c r="G206" t="s">
        <v>12</v>
      </c>
      <c r="H206">
        <f t="shared" si="3"/>
        <v>0</v>
      </c>
    </row>
    <row r="207" spans="1:8" x14ac:dyDescent="0.3">
      <c r="A207" t="s">
        <v>27</v>
      </c>
      <c r="B207" t="s">
        <v>8</v>
      </c>
      <c r="C207" t="s">
        <v>19</v>
      </c>
      <c r="D207">
        <v>0</v>
      </c>
      <c r="E207" t="s">
        <v>42</v>
      </c>
      <c r="F207" t="s">
        <v>11</v>
      </c>
      <c r="G207" t="s">
        <v>12</v>
      </c>
      <c r="H207">
        <f t="shared" si="3"/>
        <v>0</v>
      </c>
    </row>
    <row r="208" spans="1:8" x14ac:dyDescent="0.3">
      <c r="A208" t="s">
        <v>27</v>
      </c>
      <c r="B208" t="s">
        <v>8</v>
      </c>
      <c r="C208" t="s">
        <v>20</v>
      </c>
      <c r="D208">
        <v>0</v>
      </c>
      <c r="E208" t="s">
        <v>42</v>
      </c>
      <c r="F208" t="s">
        <v>11</v>
      </c>
      <c r="G208" t="s">
        <v>12</v>
      </c>
      <c r="H208">
        <f t="shared" si="3"/>
        <v>0</v>
      </c>
    </row>
    <row r="209" spans="1:8" x14ac:dyDescent="0.3">
      <c r="A209" t="s">
        <v>27</v>
      </c>
      <c r="B209" t="s">
        <v>8</v>
      </c>
      <c r="C209" t="s">
        <v>21</v>
      </c>
      <c r="D209">
        <v>0</v>
      </c>
      <c r="E209" t="s">
        <v>42</v>
      </c>
      <c r="F209" t="s">
        <v>11</v>
      </c>
      <c r="G209" t="s">
        <v>12</v>
      </c>
      <c r="H209">
        <f t="shared" si="3"/>
        <v>0</v>
      </c>
    </row>
    <row r="210" spans="1:8" x14ac:dyDescent="0.3">
      <c r="A210" t="s">
        <v>27</v>
      </c>
      <c r="B210" t="s">
        <v>8</v>
      </c>
      <c r="C210" t="s">
        <v>22</v>
      </c>
      <c r="D210">
        <v>18</v>
      </c>
      <c r="E210" t="s">
        <v>42</v>
      </c>
      <c r="F210" t="s">
        <v>11</v>
      </c>
      <c r="G210" t="s">
        <v>12</v>
      </c>
      <c r="H210">
        <f t="shared" si="3"/>
        <v>18</v>
      </c>
    </row>
    <row r="211" spans="1:8" x14ac:dyDescent="0.3">
      <c r="A211" t="s">
        <v>27</v>
      </c>
      <c r="B211" t="s">
        <v>23</v>
      </c>
      <c r="C211" t="s">
        <v>9</v>
      </c>
      <c r="D211">
        <v>5</v>
      </c>
      <c r="E211" t="s">
        <v>42</v>
      </c>
      <c r="F211" t="s">
        <v>11</v>
      </c>
      <c r="G211" t="s">
        <v>12</v>
      </c>
      <c r="H211">
        <f t="shared" si="3"/>
        <v>5</v>
      </c>
    </row>
    <row r="212" spans="1:8" x14ac:dyDescent="0.3">
      <c r="A212" t="s">
        <v>27</v>
      </c>
      <c r="B212" t="s">
        <v>23</v>
      </c>
      <c r="C212" t="s">
        <v>13</v>
      </c>
      <c r="D212">
        <v>59</v>
      </c>
      <c r="E212" t="s">
        <v>42</v>
      </c>
      <c r="F212" t="s">
        <v>11</v>
      </c>
      <c r="G212" t="s">
        <v>12</v>
      </c>
      <c r="H212">
        <f t="shared" si="3"/>
        <v>59</v>
      </c>
    </row>
    <row r="213" spans="1:8" x14ac:dyDescent="0.3">
      <c r="A213" t="s">
        <v>27</v>
      </c>
      <c r="B213" t="s">
        <v>23</v>
      </c>
      <c r="C213" t="s">
        <v>14</v>
      </c>
      <c r="D213">
        <v>1252</v>
      </c>
      <c r="E213" t="s">
        <v>42</v>
      </c>
      <c r="F213" t="s">
        <v>11</v>
      </c>
      <c r="G213" t="s">
        <v>12</v>
      </c>
      <c r="H213">
        <f t="shared" si="3"/>
        <v>1250</v>
      </c>
    </row>
    <row r="214" spans="1:8" x14ac:dyDescent="0.3">
      <c r="A214" t="s">
        <v>27</v>
      </c>
      <c r="B214" t="s">
        <v>23</v>
      </c>
      <c r="C214" t="s">
        <v>15</v>
      </c>
      <c r="D214">
        <v>7</v>
      </c>
      <c r="E214" t="s">
        <v>42</v>
      </c>
      <c r="F214" t="s">
        <v>11</v>
      </c>
      <c r="G214" t="s">
        <v>12</v>
      </c>
      <c r="H214">
        <f t="shared" si="3"/>
        <v>7</v>
      </c>
    </row>
    <row r="215" spans="1:8" x14ac:dyDescent="0.3">
      <c r="A215" t="s">
        <v>27</v>
      </c>
      <c r="B215" t="s">
        <v>23</v>
      </c>
      <c r="C215" t="s">
        <v>16</v>
      </c>
      <c r="D215">
        <v>1443</v>
      </c>
      <c r="E215" t="s">
        <v>42</v>
      </c>
      <c r="F215" t="s">
        <v>11</v>
      </c>
      <c r="G215" t="s">
        <v>12</v>
      </c>
      <c r="H215">
        <f t="shared" si="3"/>
        <v>1440</v>
      </c>
    </row>
    <row r="216" spans="1:8" x14ac:dyDescent="0.3">
      <c r="A216" t="s">
        <v>27</v>
      </c>
      <c r="B216" t="s">
        <v>23</v>
      </c>
      <c r="C216" t="s">
        <v>17</v>
      </c>
      <c r="D216">
        <v>3</v>
      </c>
      <c r="E216" t="s">
        <v>42</v>
      </c>
      <c r="F216" t="s">
        <v>11</v>
      </c>
      <c r="G216" t="s">
        <v>12</v>
      </c>
      <c r="H216">
        <f t="shared" si="3"/>
        <v>3</v>
      </c>
    </row>
    <row r="217" spans="1:8" x14ac:dyDescent="0.3">
      <c r="A217" t="s">
        <v>27</v>
      </c>
      <c r="B217" t="s">
        <v>23</v>
      </c>
      <c r="C217" t="s">
        <v>18</v>
      </c>
      <c r="D217">
        <v>0</v>
      </c>
      <c r="E217" t="s">
        <v>42</v>
      </c>
      <c r="F217" t="s">
        <v>11</v>
      </c>
      <c r="G217" t="s">
        <v>12</v>
      </c>
      <c r="H217">
        <f t="shared" si="3"/>
        <v>0</v>
      </c>
    </row>
    <row r="218" spans="1:8" x14ac:dyDescent="0.3">
      <c r="A218" t="s">
        <v>27</v>
      </c>
      <c r="B218" t="s">
        <v>23</v>
      </c>
      <c r="C218" t="s">
        <v>19</v>
      </c>
      <c r="D218">
        <v>12</v>
      </c>
      <c r="E218" t="s">
        <v>42</v>
      </c>
      <c r="F218" t="s">
        <v>11</v>
      </c>
      <c r="G218" t="s">
        <v>12</v>
      </c>
      <c r="H218">
        <f t="shared" si="3"/>
        <v>12</v>
      </c>
    </row>
    <row r="219" spans="1:8" x14ac:dyDescent="0.3">
      <c r="A219" t="s">
        <v>27</v>
      </c>
      <c r="B219" t="s">
        <v>23</v>
      </c>
      <c r="C219" t="s">
        <v>20</v>
      </c>
      <c r="D219">
        <v>19</v>
      </c>
      <c r="E219" t="s">
        <v>42</v>
      </c>
      <c r="F219" t="s">
        <v>11</v>
      </c>
      <c r="G219" t="s">
        <v>12</v>
      </c>
      <c r="H219">
        <f t="shared" si="3"/>
        <v>19</v>
      </c>
    </row>
    <row r="220" spans="1:8" x14ac:dyDescent="0.3">
      <c r="A220" t="s">
        <v>27</v>
      </c>
      <c r="B220" t="s">
        <v>23</v>
      </c>
      <c r="C220" t="s">
        <v>21</v>
      </c>
      <c r="D220">
        <v>4</v>
      </c>
      <c r="E220" t="s">
        <v>42</v>
      </c>
      <c r="F220" t="s">
        <v>11</v>
      </c>
      <c r="G220" t="s">
        <v>12</v>
      </c>
      <c r="H220">
        <f t="shared" si="3"/>
        <v>4</v>
      </c>
    </row>
    <row r="221" spans="1:8" x14ac:dyDescent="0.3">
      <c r="A221" t="s">
        <v>27</v>
      </c>
      <c r="B221" t="s">
        <v>23</v>
      </c>
      <c r="C221" t="s">
        <v>22</v>
      </c>
      <c r="D221">
        <v>233</v>
      </c>
      <c r="E221" t="s">
        <v>42</v>
      </c>
      <c r="F221" t="s">
        <v>11</v>
      </c>
      <c r="G221" t="s">
        <v>12</v>
      </c>
      <c r="H221">
        <f t="shared" si="3"/>
        <v>233</v>
      </c>
    </row>
    <row r="222" spans="1:8" x14ac:dyDescent="0.3">
      <c r="A222" t="s">
        <v>50</v>
      </c>
      <c r="B222" t="s">
        <v>8</v>
      </c>
      <c r="C222" t="s">
        <v>9</v>
      </c>
      <c r="D222">
        <v>0</v>
      </c>
      <c r="E222" t="s">
        <v>42</v>
      </c>
      <c r="F222" t="s">
        <v>11</v>
      </c>
      <c r="G222" t="s">
        <v>12</v>
      </c>
      <c r="H222">
        <f t="shared" si="3"/>
        <v>0</v>
      </c>
    </row>
    <row r="223" spans="1:8" x14ac:dyDescent="0.3">
      <c r="A223" t="s">
        <v>50</v>
      </c>
      <c r="B223" t="s">
        <v>8</v>
      </c>
      <c r="C223" t="s">
        <v>13</v>
      </c>
      <c r="D223">
        <v>0</v>
      </c>
      <c r="E223" t="s">
        <v>42</v>
      </c>
      <c r="F223" t="s">
        <v>11</v>
      </c>
      <c r="G223" t="s">
        <v>12</v>
      </c>
      <c r="H223">
        <f t="shared" si="3"/>
        <v>0</v>
      </c>
    </row>
    <row r="224" spans="1:8" x14ac:dyDescent="0.3">
      <c r="A224" t="s">
        <v>50</v>
      </c>
      <c r="B224" t="s">
        <v>8</v>
      </c>
      <c r="C224" t="s">
        <v>14</v>
      </c>
      <c r="D224">
        <v>6</v>
      </c>
      <c r="E224" t="s">
        <v>42</v>
      </c>
      <c r="F224" t="s">
        <v>11</v>
      </c>
      <c r="G224" t="s">
        <v>12</v>
      </c>
      <c r="H224">
        <f t="shared" si="3"/>
        <v>6</v>
      </c>
    </row>
    <row r="225" spans="1:8" x14ac:dyDescent="0.3">
      <c r="A225" t="s">
        <v>50</v>
      </c>
      <c r="B225" t="s">
        <v>8</v>
      </c>
      <c r="C225" t="s">
        <v>15</v>
      </c>
      <c r="D225">
        <v>0</v>
      </c>
      <c r="E225" t="s">
        <v>42</v>
      </c>
      <c r="F225" t="s">
        <v>11</v>
      </c>
      <c r="G225" t="s">
        <v>12</v>
      </c>
      <c r="H225">
        <f t="shared" si="3"/>
        <v>0</v>
      </c>
    </row>
    <row r="226" spans="1:8" x14ac:dyDescent="0.3">
      <c r="A226" t="s">
        <v>50</v>
      </c>
      <c r="B226" t="s">
        <v>8</v>
      </c>
      <c r="C226" t="s">
        <v>16</v>
      </c>
      <c r="D226">
        <v>178</v>
      </c>
      <c r="E226" t="s">
        <v>42</v>
      </c>
      <c r="F226" t="s">
        <v>11</v>
      </c>
      <c r="G226" t="s">
        <v>12</v>
      </c>
      <c r="H226">
        <f t="shared" si="3"/>
        <v>178</v>
      </c>
    </row>
    <row r="227" spans="1:8" x14ac:dyDescent="0.3">
      <c r="A227" t="s">
        <v>50</v>
      </c>
      <c r="B227" t="s">
        <v>8</v>
      </c>
      <c r="C227" t="s">
        <v>17</v>
      </c>
      <c r="D227">
        <v>4</v>
      </c>
      <c r="E227" t="s">
        <v>42</v>
      </c>
      <c r="F227" t="s">
        <v>11</v>
      </c>
      <c r="G227" t="s">
        <v>12</v>
      </c>
      <c r="H227">
        <f t="shared" si="3"/>
        <v>4</v>
      </c>
    </row>
    <row r="228" spans="1:8" x14ac:dyDescent="0.3">
      <c r="A228" t="s">
        <v>50</v>
      </c>
      <c r="B228" t="s">
        <v>8</v>
      </c>
      <c r="C228" t="s">
        <v>18</v>
      </c>
      <c r="D228">
        <v>0</v>
      </c>
      <c r="E228" t="s">
        <v>42</v>
      </c>
      <c r="F228" t="s">
        <v>11</v>
      </c>
      <c r="G228" t="s">
        <v>12</v>
      </c>
      <c r="H228">
        <f t="shared" si="3"/>
        <v>0</v>
      </c>
    </row>
    <row r="229" spans="1:8" x14ac:dyDescent="0.3">
      <c r="A229" t="s">
        <v>50</v>
      </c>
      <c r="B229" t="s">
        <v>8</v>
      </c>
      <c r="C229" t="s">
        <v>19</v>
      </c>
      <c r="D229">
        <v>0</v>
      </c>
      <c r="E229" t="s">
        <v>42</v>
      </c>
      <c r="F229" t="s">
        <v>11</v>
      </c>
      <c r="G229" t="s">
        <v>12</v>
      </c>
      <c r="H229">
        <f t="shared" si="3"/>
        <v>0</v>
      </c>
    </row>
    <row r="230" spans="1:8" x14ac:dyDescent="0.3">
      <c r="A230" t="s">
        <v>50</v>
      </c>
      <c r="B230" t="s">
        <v>8</v>
      </c>
      <c r="C230" t="s">
        <v>20</v>
      </c>
      <c r="D230">
        <v>0</v>
      </c>
      <c r="E230" t="s">
        <v>42</v>
      </c>
      <c r="F230" t="s">
        <v>11</v>
      </c>
      <c r="G230" t="s">
        <v>12</v>
      </c>
      <c r="H230">
        <f t="shared" si="3"/>
        <v>0</v>
      </c>
    </row>
    <row r="231" spans="1:8" x14ac:dyDescent="0.3">
      <c r="A231" t="s">
        <v>50</v>
      </c>
      <c r="B231" t="s">
        <v>8</v>
      </c>
      <c r="C231" t="s">
        <v>21</v>
      </c>
      <c r="D231">
        <v>0</v>
      </c>
      <c r="E231" t="s">
        <v>42</v>
      </c>
      <c r="F231" t="s">
        <v>11</v>
      </c>
      <c r="G231" t="s">
        <v>12</v>
      </c>
      <c r="H231">
        <f t="shared" si="3"/>
        <v>0</v>
      </c>
    </row>
    <row r="232" spans="1:8" x14ac:dyDescent="0.3">
      <c r="A232" t="s">
        <v>50</v>
      </c>
      <c r="B232" t="s">
        <v>8</v>
      </c>
      <c r="C232" t="s">
        <v>22</v>
      </c>
      <c r="D232">
        <v>0</v>
      </c>
      <c r="E232" t="s">
        <v>42</v>
      </c>
      <c r="F232" t="s">
        <v>11</v>
      </c>
      <c r="G232" t="s">
        <v>12</v>
      </c>
      <c r="H232">
        <f t="shared" si="3"/>
        <v>0</v>
      </c>
    </row>
    <row r="233" spans="1:8" x14ac:dyDescent="0.3">
      <c r="A233" t="s">
        <v>50</v>
      </c>
      <c r="B233" t="s">
        <v>23</v>
      </c>
      <c r="C233" t="s">
        <v>9</v>
      </c>
      <c r="D233">
        <v>0</v>
      </c>
      <c r="E233" t="s">
        <v>42</v>
      </c>
      <c r="F233" t="s">
        <v>11</v>
      </c>
      <c r="G233" t="s">
        <v>12</v>
      </c>
      <c r="H233">
        <f t="shared" si="3"/>
        <v>0</v>
      </c>
    </row>
    <row r="234" spans="1:8" x14ac:dyDescent="0.3">
      <c r="A234" t="s">
        <v>50</v>
      </c>
      <c r="B234" t="s">
        <v>23</v>
      </c>
      <c r="C234" t="s">
        <v>13</v>
      </c>
      <c r="D234">
        <v>0</v>
      </c>
      <c r="E234" t="s">
        <v>42</v>
      </c>
      <c r="F234" t="s">
        <v>11</v>
      </c>
      <c r="G234" t="s">
        <v>12</v>
      </c>
      <c r="H234">
        <f t="shared" si="3"/>
        <v>0</v>
      </c>
    </row>
    <row r="235" spans="1:8" x14ac:dyDescent="0.3">
      <c r="A235" t="s">
        <v>50</v>
      </c>
      <c r="B235" t="s">
        <v>23</v>
      </c>
      <c r="C235" t="s">
        <v>14</v>
      </c>
      <c r="D235">
        <v>2</v>
      </c>
      <c r="E235" t="s">
        <v>42</v>
      </c>
      <c r="F235" t="s">
        <v>11</v>
      </c>
      <c r="G235" t="s">
        <v>12</v>
      </c>
      <c r="H235">
        <f t="shared" si="3"/>
        <v>2</v>
      </c>
    </row>
    <row r="236" spans="1:8" x14ac:dyDescent="0.3">
      <c r="A236" t="s">
        <v>50</v>
      </c>
      <c r="B236" t="s">
        <v>23</v>
      </c>
      <c r="C236" t="s">
        <v>15</v>
      </c>
      <c r="D236">
        <v>0</v>
      </c>
      <c r="E236" t="s">
        <v>42</v>
      </c>
      <c r="F236" t="s">
        <v>11</v>
      </c>
      <c r="G236" t="s">
        <v>12</v>
      </c>
      <c r="H236">
        <f t="shared" si="3"/>
        <v>0</v>
      </c>
    </row>
    <row r="237" spans="1:8" x14ac:dyDescent="0.3">
      <c r="A237" t="s">
        <v>50</v>
      </c>
      <c r="B237" t="s">
        <v>23</v>
      </c>
      <c r="C237" t="s">
        <v>16</v>
      </c>
      <c r="D237">
        <v>475</v>
      </c>
      <c r="E237" t="s">
        <v>42</v>
      </c>
      <c r="F237" t="s">
        <v>11</v>
      </c>
      <c r="G237" t="s">
        <v>12</v>
      </c>
      <c r="H237">
        <f t="shared" si="3"/>
        <v>475</v>
      </c>
    </row>
    <row r="238" spans="1:8" x14ac:dyDescent="0.3">
      <c r="A238" t="s">
        <v>50</v>
      </c>
      <c r="B238" t="s">
        <v>23</v>
      </c>
      <c r="C238" t="s">
        <v>17</v>
      </c>
      <c r="D238">
        <v>0</v>
      </c>
      <c r="E238" t="s">
        <v>42</v>
      </c>
      <c r="F238" t="s">
        <v>11</v>
      </c>
      <c r="G238" t="s">
        <v>12</v>
      </c>
      <c r="H238">
        <f t="shared" si="3"/>
        <v>0</v>
      </c>
    </row>
    <row r="239" spans="1:8" x14ac:dyDescent="0.3">
      <c r="A239" t="s">
        <v>50</v>
      </c>
      <c r="B239" t="s">
        <v>23</v>
      </c>
      <c r="C239" t="s">
        <v>18</v>
      </c>
      <c r="D239">
        <v>0</v>
      </c>
      <c r="E239" t="s">
        <v>42</v>
      </c>
      <c r="F239" t="s">
        <v>11</v>
      </c>
      <c r="G239" t="s">
        <v>12</v>
      </c>
      <c r="H239">
        <f t="shared" si="3"/>
        <v>0</v>
      </c>
    </row>
    <row r="240" spans="1:8" x14ac:dyDescent="0.3">
      <c r="A240" t="s">
        <v>50</v>
      </c>
      <c r="B240" t="s">
        <v>23</v>
      </c>
      <c r="C240" t="s">
        <v>19</v>
      </c>
      <c r="D240">
        <v>0</v>
      </c>
      <c r="E240" t="s">
        <v>42</v>
      </c>
      <c r="F240" t="s">
        <v>11</v>
      </c>
      <c r="G240" t="s">
        <v>12</v>
      </c>
      <c r="H240">
        <f t="shared" si="3"/>
        <v>0</v>
      </c>
    </row>
    <row r="241" spans="1:8" x14ac:dyDescent="0.3">
      <c r="A241" t="s">
        <v>50</v>
      </c>
      <c r="B241" t="s">
        <v>23</v>
      </c>
      <c r="C241" t="s">
        <v>20</v>
      </c>
      <c r="D241">
        <v>5</v>
      </c>
      <c r="E241" t="s">
        <v>42</v>
      </c>
      <c r="F241" t="s">
        <v>11</v>
      </c>
      <c r="G241" t="s">
        <v>12</v>
      </c>
      <c r="H241">
        <f t="shared" si="3"/>
        <v>5</v>
      </c>
    </row>
    <row r="242" spans="1:8" x14ac:dyDescent="0.3">
      <c r="A242" t="s">
        <v>50</v>
      </c>
      <c r="B242" t="s">
        <v>23</v>
      </c>
      <c r="C242" t="s">
        <v>21</v>
      </c>
      <c r="D242">
        <v>0</v>
      </c>
      <c r="E242" t="s">
        <v>42</v>
      </c>
      <c r="F242" t="s">
        <v>11</v>
      </c>
      <c r="G242" t="s">
        <v>12</v>
      </c>
      <c r="H242">
        <f t="shared" si="3"/>
        <v>0</v>
      </c>
    </row>
    <row r="243" spans="1:8" x14ac:dyDescent="0.3">
      <c r="A243" t="s">
        <v>50</v>
      </c>
      <c r="B243" t="s">
        <v>23</v>
      </c>
      <c r="C243" t="s">
        <v>22</v>
      </c>
      <c r="D243">
        <v>0</v>
      </c>
      <c r="E243" t="s">
        <v>42</v>
      </c>
      <c r="F243" t="s">
        <v>11</v>
      </c>
      <c r="G243" t="s">
        <v>12</v>
      </c>
      <c r="H243">
        <f t="shared" si="3"/>
        <v>0</v>
      </c>
    </row>
    <row r="244" spans="1:8" x14ac:dyDescent="0.3">
      <c r="A244" t="s">
        <v>51</v>
      </c>
      <c r="B244" t="s">
        <v>8</v>
      </c>
      <c r="C244" t="s">
        <v>9</v>
      </c>
      <c r="D244">
        <v>0</v>
      </c>
      <c r="E244" t="s">
        <v>42</v>
      </c>
      <c r="F244" t="s">
        <v>11</v>
      </c>
      <c r="G244" t="s">
        <v>12</v>
      </c>
      <c r="H244">
        <f t="shared" si="3"/>
        <v>0</v>
      </c>
    </row>
    <row r="245" spans="1:8" x14ac:dyDescent="0.3">
      <c r="A245" t="s">
        <v>51</v>
      </c>
      <c r="B245" t="s">
        <v>8</v>
      </c>
      <c r="C245" t="s">
        <v>13</v>
      </c>
      <c r="D245">
        <v>20</v>
      </c>
      <c r="E245" t="s">
        <v>42</v>
      </c>
      <c r="F245" t="s">
        <v>11</v>
      </c>
      <c r="G245" t="s">
        <v>12</v>
      </c>
      <c r="H245">
        <f t="shared" si="3"/>
        <v>20</v>
      </c>
    </row>
    <row r="246" spans="1:8" x14ac:dyDescent="0.3">
      <c r="A246" t="s">
        <v>51</v>
      </c>
      <c r="B246" t="s">
        <v>8</v>
      </c>
      <c r="C246" t="s">
        <v>14</v>
      </c>
      <c r="D246">
        <v>0</v>
      </c>
      <c r="E246" t="s">
        <v>42</v>
      </c>
      <c r="F246" t="s">
        <v>11</v>
      </c>
      <c r="G246" t="s">
        <v>12</v>
      </c>
      <c r="H246">
        <f t="shared" si="3"/>
        <v>0</v>
      </c>
    </row>
    <row r="247" spans="1:8" x14ac:dyDescent="0.3">
      <c r="A247" t="s">
        <v>51</v>
      </c>
      <c r="B247" t="s">
        <v>8</v>
      </c>
      <c r="C247" t="s">
        <v>15</v>
      </c>
      <c r="D247">
        <v>0</v>
      </c>
      <c r="E247" t="s">
        <v>42</v>
      </c>
      <c r="F247" t="s">
        <v>11</v>
      </c>
      <c r="G247" t="s">
        <v>12</v>
      </c>
      <c r="H247">
        <f t="shared" si="3"/>
        <v>0</v>
      </c>
    </row>
    <row r="248" spans="1:8" x14ac:dyDescent="0.3">
      <c r="A248" t="s">
        <v>51</v>
      </c>
      <c r="B248" t="s">
        <v>8</v>
      </c>
      <c r="C248" t="s">
        <v>16</v>
      </c>
      <c r="D248">
        <v>0</v>
      </c>
      <c r="E248" t="s">
        <v>42</v>
      </c>
      <c r="F248" t="s">
        <v>11</v>
      </c>
      <c r="G248" t="s">
        <v>12</v>
      </c>
      <c r="H248">
        <f t="shared" si="3"/>
        <v>0</v>
      </c>
    </row>
    <row r="249" spans="1:8" x14ac:dyDescent="0.3">
      <c r="A249" t="s">
        <v>51</v>
      </c>
      <c r="B249" t="s">
        <v>8</v>
      </c>
      <c r="C249" t="s">
        <v>17</v>
      </c>
      <c r="D249">
        <v>0</v>
      </c>
      <c r="E249" t="s">
        <v>42</v>
      </c>
      <c r="F249" t="s">
        <v>11</v>
      </c>
      <c r="G249" t="s">
        <v>12</v>
      </c>
      <c r="H249">
        <f t="shared" si="3"/>
        <v>0</v>
      </c>
    </row>
    <row r="250" spans="1:8" x14ac:dyDescent="0.3">
      <c r="A250" t="s">
        <v>51</v>
      </c>
      <c r="B250" t="s">
        <v>8</v>
      </c>
      <c r="C250" t="s">
        <v>18</v>
      </c>
      <c r="D250">
        <v>0</v>
      </c>
      <c r="E250" t="s">
        <v>42</v>
      </c>
      <c r="F250" t="s">
        <v>11</v>
      </c>
      <c r="G250" t="s">
        <v>12</v>
      </c>
      <c r="H250">
        <f t="shared" si="3"/>
        <v>0</v>
      </c>
    </row>
    <row r="251" spans="1:8" x14ac:dyDescent="0.3">
      <c r="A251" t="s">
        <v>51</v>
      </c>
      <c r="B251" t="s">
        <v>8</v>
      </c>
      <c r="C251" t="s">
        <v>19</v>
      </c>
      <c r="D251">
        <v>0</v>
      </c>
      <c r="E251" t="s">
        <v>42</v>
      </c>
      <c r="F251" t="s">
        <v>11</v>
      </c>
      <c r="G251" t="s">
        <v>12</v>
      </c>
      <c r="H251">
        <f t="shared" si="3"/>
        <v>0</v>
      </c>
    </row>
    <row r="252" spans="1:8" x14ac:dyDescent="0.3">
      <c r="A252" t="s">
        <v>51</v>
      </c>
      <c r="B252" t="s">
        <v>8</v>
      </c>
      <c r="C252" t="s">
        <v>20</v>
      </c>
      <c r="D252">
        <v>0</v>
      </c>
      <c r="E252" t="s">
        <v>42</v>
      </c>
      <c r="F252" t="s">
        <v>11</v>
      </c>
      <c r="G252" t="s">
        <v>12</v>
      </c>
      <c r="H252">
        <f t="shared" si="3"/>
        <v>0</v>
      </c>
    </row>
    <row r="253" spans="1:8" x14ac:dyDescent="0.3">
      <c r="A253" t="s">
        <v>51</v>
      </c>
      <c r="B253" t="s">
        <v>8</v>
      </c>
      <c r="C253" t="s">
        <v>21</v>
      </c>
      <c r="D253">
        <v>0</v>
      </c>
      <c r="E253" t="s">
        <v>42</v>
      </c>
      <c r="F253" t="s">
        <v>11</v>
      </c>
      <c r="G253" t="s">
        <v>12</v>
      </c>
      <c r="H253">
        <f t="shared" si="3"/>
        <v>0</v>
      </c>
    </row>
    <row r="254" spans="1:8" x14ac:dyDescent="0.3">
      <c r="A254" t="s">
        <v>51</v>
      </c>
      <c r="B254" t="s">
        <v>8</v>
      </c>
      <c r="C254" t="s">
        <v>22</v>
      </c>
      <c r="D254">
        <v>0</v>
      </c>
      <c r="E254" t="s">
        <v>42</v>
      </c>
      <c r="F254" t="s">
        <v>11</v>
      </c>
      <c r="G254" t="s">
        <v>12</v>
      </c>
      <c r="H254">
        <f t="shared" si="3"/>
        <v>0</v>
      </c>
    </row>
    <row r="255" spans="1:8" x14ac:dyDescent="0.3">
      <c r="A255" t="s">
        <v>51</v>
      </c>
      <c r="B255" t="s">
        <v>23</v>
      </c>
      <c r="C255" t="s">
        <v>9</v>
      </c>
      <c r="D255">
        <v>1</v>
      </c>
      <c r="E255" t="s">
        <v>42</v>
      </c>
      <c r="F255" t="s">
        <v>11</v>
      </c>
      <c r="G255" t="s">
        <v>12</v>
      </c>
      <c r="H255">
        <f t="shared" si="3"/>
        <v>1</v>
      </c>
    </row>
    <row r="256" spans="1:8" x14ac:dyDescent="0.3">
      <c r="A256" t="s">
        <v>51</v>
      </c>
      <c r="B256" t="s">
        <v>23</v>
      </c>
      <c r="C256" t="s">
        <v>13</v>
      </c>
      <c r="D256">
        <v>457</v>
      </c>
      <c r="E256" t="s">
        <v>42</v>
      </c>
      <c r="F256" t="s">
        <v>11</v>
      </c>
      <c r="G256" t="s">
        <v>12</v>
      </c>
      <c r="H256">
        <f t="shared" si="3"/>
        <v>457</v>
      </c>
    </row>
    <row r="257" spans="1:8" x14ac:dyDescent="0.3">
      <c r="A257" t="s">
        <v>51</v>
      </c>
      <c r="B257" t="s">
        <v>23</v>
      </c>
      <c r="C257" t="s">
        <v>14</v>
      </c>
      <c r="D257">
        <v>27</v>
      </c>
      <c r="E257" t="s">
        <v>42</v>
      </c>
      <c r="F257" t="s">
        <v>11</v>
      </c>
      <c r="G257" t="s">
        <v>12</v>
      </c>
      <c r="H257">
        <f t="shared" si="3"/>
        <v>27</v>
      </c>
    </row>
    <row r="258" spans="1:8" x14ac:dyDescent="0.3">
      <c r="A258" t="s">
        <v>51</v>
      </c>
      <c r="B258" t="s">
        <v>23</v>
      </c>
      <c r="C258" t="s">
        <v>15</v>
      </c>
      <c r="D258">
        <v>1</v>
      </c>
      <c r="E258" t="s">
        <v>42</v>
      </c>
      <c r="F258" t="s">
        <v>11</v>
      </c>
      <c r="G258" t="s">
        <v>12</v>
      </c>
      <c r="H258">
        <f t="shared" si="3"/>
        <v>1</v>
      </c>
    </row>
    <row r="259" spans="1:8" x14ac:dyDescent="0.3">
      <c r="A259" t="s">
        <v>51</v>
      </c>
      <c r="B259" t="s">
        <v>23</v>
      </c>
      <c r="C259" t="s">
        <v>16</v>
      </c>
      <c r="D259">
        <v>2</v>
      </c>
      <c r="E259" t="s">
        <v>42</v>
      </c>
      <c r="F259" t="s">
        <v>11</v>
      </c>
      <c r="G259" t="s">
        <v>12</v>
      </c>
      <c r="H259">
        <f t="shared" ref="H259:H322" si="4">ROUND(D259, 3 - LEN(INT(ABS(D259))))</f>
        <v>2</v>
      </c>
    </row>
    <row r="260" spans="1:8" x14ac:dyDescent="0.3">
      <c r="A260" t="s">
        <v>51</v>
      </c>
      <c r="B260" t="s">
        <v>23</v>
      </c>
      <c r="C260" t="s">
        <v>17</v>
      </c>
      <c r="D260">
        <v>0</v>
      </c>
      <c r="E260" t="s">
        <v>42</v>
      </c>
      <c r="F260" t="s">
        <v>11</v>
      </c>
      <c r="G260" t="s">
        <v>12</v>
      </c>
      <c r="H260">
        <f t="shared" si="4"/>
        <v>0</v>
      </c>
    </row>
    <row r="261" spans="1:8" x14ac:dyDescent="0.3">
      <c r="A261" t="s">
        <v>51</v>
      </c>
      <c r="B261" t="s">
        <v>23</v>
      </c>
      <c r="C261" t="s">
        <v>18</v>
      </c>
      <c r="D261">
        <v>0</v>
      </c>
      <c r="E261" t="s">
        <v>42</v>
      </c>
      <c r="F261" t="s">
        <v>11</v>
      </c>
      <c r="G261" t="s">
        <v>12</v>
      </c>
      <c r="H261">
        <f t="shared" si="4"/>
        <v>0</v>
      </c>
    </row>
    <row r="262" spans="1:8" x14ac:dyDescent="0.3">
      <c r="A262" t="s">
        <v>51</v>
      </c>
      <c r="B262" t="s">
        <v>23</v>
      </c>
      <c r="C262" t="s">
        <v>19</v>
      </c>
      <c r="D262">
        <v>9</v>
      </c>
      <c r="E262" t="s">
        <v>42</v>
      </c>
      <c r="F262" t="s">
        <v>11</v>
      </c>
      <c r="G262" t="s">
        <v>12</v>
      </c>
      <c r="H262">
        <f t="shared" si="4"/>
        <v>9</v>
      </c>
    </row>
    <row r="263" spans="1:8" x14ac:dyDescent="0.3">
      <c r="A263" t="s">
        <v>51</v>
      </c>
      <c r="B263" t="s">
        <v>23</v>
      </c>
      <c r="C263" t="s">
        <v>20</v>
      </c>
      <c r="D263">
        <v>0</v>
      </c>
      <c r="E263" t="s">
        <v>42</v>
      </c>
      <c r="F263" t="s">
        <v>11</v>
      </c>
      <c r="G263" t="s">
        <v>12</v>
      </c>
      <c r="H263">
        <f t="shared" si="4"/>
        <v>0</v>
      </c>
    </row>
    <row r="264" spans="1:8" x14ac:dyDescent="0.3">
      <c r="A264" t="s">
        <v>51</v>
      </c>
      <c r="B264" t="s">
        <v>23</v>
      </c>
      <c r="C264" t="s">
        <v>21</v>
      </c>
      <c r="D264">
        <v>0</v>
      </c>
      <c r="E264" t="s">
        <v>42</v>
      </c>
      <c r="F264" t="s">
        <v>11</v>
      </c>
      <c r="G264" t="s">
        <v>12</v>
      </c>
      <c r="H264">
        <f t="shared" si="4"/>
        <v>0</v>
      </c>
    </row>
    <row r="265" spans="1:8" x14ac:dyDescent="0.3">
      <c r="A265" t="s">
        <v>51</v>
      </c>
      <c r="B265" t="s">
        <v>23</v>
      </c>
      <c r="C265" t="s">
        <v>22</v>
      </c>
      <c r="D265">
        <v>13</v>
      </c>
      <c r="E265" t="s">
        <v>42</v>
      </c>
      <c r="F265" t="s">
        <v>11</v>
      </c>
      <c r="G265" t="s">
        <v>12</v>
      </c>
      <c r="H265">
        <f t="shared" si="4"/>
        <v>13</v>
      </c>
    </row>
    <row r="266" spans="1:8" x14ac:dyDescent="0.3">
      <c r="A266" t="s">
        <v>52</v>
      </c>
      <c r="B266" t="s">
        <v>8</v>
      </c>
      <c r="C266" t="s">
        <v>9</v>
      </c>
      <c r="D266">
        <v>13</v>
      </c>
      <c r="E266" t="s">
        <v>42</v>
      </c>
      <c r="F266" t="s">
        <v>11</v>
      </c>
      <c r="G266" t="s">
        <v>12</v>
      </c>
      <c r="H266">
        <f t="shared" si="4"/>
        <v>13</v>
      </c>
    </row>
    <row r="267" spans="1:8" x14ac:dyDescent="0.3">
      <c r="A267" t="s">
        <v>52</v>
      </c>
      <c r="B267" t="s">
        <v>8</v>
      </c>
      <c r="C267" t="s">
        <v>13</v>
      </c>
      <c r="D267">
        <v>1</v>
      </c>
      <c r="E267" t="s">
        <v>42</v>
      </c>
      <c r="F267" t="s">
        <v>11</v>
      </c>
      <c r="G267" t="s">
        <v>12</v>
      </c>
      <c r="H267">
        <f t="shared" si="4"/>
        <v>1</v>
      </c>
    </row>
    <row r="268" spans="1:8" x14ac:dyDescent="0.3">
      <c r="A268" t="s">
        <v>52</v>
      </c>
      <c r="B268" t="s">
        <v>8</v>
      </c>
      <c r="C268" t="s">
        <v>14</v>
      </c>
      <c r="D268">
        <v>1</v>
      </c>
      <c r="E268" t="s">
        <v>42</v>
      </c>
      <c r="F268" t="s">
        <v>11</v>
      </c>
      <c r="G268" t="s">
        <v>12</v>
      </c>
      <c r="H268">
        <f t="shared" si="4"/>
        <v>1</v>
      </c>
    </row>
    <row r="269" spans="1:8" x14ac:dyDescent="0.3">
      <c r="A269" t="s">
        <v>52</v>
      </c>
      <c r="B269" t="s">
        <v>8</v>
      </c>
      <c r="C269" t="s">
        <v>15</v>
      </c>
      <c r="D269">
        <v>0</v>
      </c>
      <c r="E269" t="s">
        <v>42</v>
      </c>
      <c r="F269" t="s">
        <v>11</v>
      </c>
      <c r="G269" t="s">
        <v>12</v>
      </c>
      <c r="H269">
        <f t="shared" si="4"/>
        <v>0</v>
      </c>
    </row>
    <row r="270" spans="1:8" x14ac:dyDescent="0.3">
      <c r="A270" t="s">
        <v>52</v>
      </c>
      <c r="B270" t="s">
        <v>8</v>
      </c>
      <c r="C270" t="s">
        <v>16</v>
      </c>
      <c r="D270">
        <v>3</v>
      </c>
      <c r="E270" t="s">
        <v>42</v>
      </c>
      <c r="F270" t="s">
        <v>11</v>
      </c>
      <c r="G270" t="s">
        <v>12</v>
      </c>
      <c r="H270">
        <f t="shared" si="4"/>
        <v>3</v>
      </c>
    </row>
    <row r="271" spans="1:8" x14ac:dyDescent="0.3">
      <c r="A271" t="s">
        <v>52</v>
      </c>
      <c r="B271" t="s">
        <v>8</v>
      </c>
      <c r="C271" t="s">
        <v>17</v>
      </c>
      <c r="D271">
        <v>13</v>
      </c>
      <c r="E271" t="s">
        <v>42</v>
      </c>
      <c r="F271" t="s">
        <v>11</v>
      </c>
      <c r="G271" t="s">
        <v>12</v>
      </c>
      <c r="H271">
        <f t="shared" si="4"/>
        <v>13</v>
      </c>
    </row>
    <row r="272" spans="1:8" x14ac:dyDescent="0.3">
      <c r="A272" t="s">
        <v>52</v>
      </c>
      <c r="B272" t="s">
        <v>8</v>
      </c>
      <c r="C272" t="s">
        <v>18</v>
      </c>
      <c r="D272">
        <v>0</v>
      </c>
      <c r="E272" t="s">
        <v>42</v>
      </c>
      <c r="F272" t="s">
        <v>11</v>
      </c>
      <c r="G272" t="s">
        <v>12</v>
      </c>
      <c r="H272">
        <f t="shared" si="4"/>
        <v>0</v>
      </c>
    </row>
    <row r="273" spans="1:8" x14ac:dyDescent="0.3">
      <c r="A273" t="s">
        <v>52</v>
      </c>
      <c r="B273" t="s">
        <v>8</v>
      </c>
      <c r="C273" t="s">
        <v>19</v>
      </c>
      <c r="D273">
        <v>0</v>
      </c>
      <c r="E273" t="s">
        <v>42</v>
      </c>
      <c r="F273" t="s">
        <v>11</v>
      </c>
      <c r="G273" t="s">
        <v>12</v>
      </c>
      <c r="H273">
        <f t="shared" si="4"/>
        <v>0</v>
      </c>
    </row>
    <row r="274" spans="1:8" x14ac:dyDescent="0.3">
      <c r="A274" t="s">
        <v>52</v>
      </c>
      <c r="B274" t="s">
        <v>8</v>
      </c>
      <c r="C274" t="s">
        <v>20</v>
      </c>
      <c r="D274">
        <v>0</v>
      </c>
      <c r="E274" t="s">
        <v>42</v>
      </c>
      <c r="F274" t="s">
        <v>11</v>
      </c>
      <c r="G274" t="s">
        <v>12</v>
      </c>
      <c r="H274">
        <f t="shared" si="4"/>
        <v>0</v>
      </c>
    </row>
    <row r="275" spans="1:8" x14ac:dyDescent="0.3">
      <c r="A275" t="s">
        <v>52</v>
      </c>
      <c r="B275" t="s">
        <v>8</v>
      </c>
      <c r="C275" t="s">
        <v>21</v>
      </c>
      <c r="D275">
        <v>2</v>
      </c>
      <c r="E275" t="s">
        <v>42</v>
      </c>
      <c r="F275" t="s">
        <v>11</v>
      </c>
      <c r="G275" t="s">
        <v>12</v>
      </c>
      <c r="H275">
        <f t="shared" si="4"/>
        <v>2</v>
      </c>
    </row>
    <row r="276" spans="1:8" x14ac:dyDescent="0.3">
      <c r="A276" t="s">
        <v>52</v>
      </c>
      <c r="B276" t="s">
        <v>8</v>
      </c>
      <c r="C276" t="s">
        <v>22</v>
      </c>
      <c r="D276">
        <v>4</v>
      </c>
      <c r="E276" t="s">
        <v>42</v>
      </c>
      <c r="F276" t="s">
        <v>11</v>
      </c>
      <c r="G276" t="s">
        <v>12</v>
      </c>
      <c r="H276">
        <f t="shared" si="4"/>
        <v>4</v>
      </c>
    </row>
    <row r="277" spans="1:8" x14ac:dyDescent="0.3">
      <c r="A277" t="s">
        <v>52</v>
      </c>
      <c r="B277" t="s">
        <v>23</v>
      </c>
      <c r="C277" t="s">
        <v>9</v>
      </c>
      <c r="D277">
        <v>206</v>
      </c>
      <c r="E277" t="s">
        <v>42</v>
      </c>
      <c r="F277" t="s">
        <v>11</v>
      </c>
      <c r="G277" t="s">
        <v>12</v>
      </c>
      <c r="H277">
        <f t="shared" si="4"/>
        <v>206</v>
      </c>
    </row>
    <row r="278" spans="1:8" x14ac:dyDescent="0.3">
      <c r="A278" t="s">
        <v>52</v>
      </c>
      <c r="B278" t="s">
        <v>23</v>
      </c>
      <c r="C278" t="s">
        <v>13</v>
      </c>
      <c r="D278">
        <v>10</v>
      </c>
      <c r="E278" t="s">
        <v>42</v>
      </c>
      <c r="F278" t="s">
        <v>11</v>
      </c>
      <c r="G278" t="s">
        <v>12</v>
      </c>
      <c r="H278">
        <f t="shared" si="4"/>
        <v>10</v>
      </c>
    </row>
    <row r="279" spans="1:8" x14ac:dyDescent="0.3">
      <c r="A279" t="s">
        <v>52</v>
      </c>
      <c r="B279" t="s">
        <v>23</v>
      </c>
      <c r="C279" t="s">
        <v>14</v>
      </c>
      <c r="D279">
        <v>112</v>
      </c>
      <c r="E279" t="s">
        <v>42</v>
      </c>
      <c r="F279" t="s">
        <v>11</v>
      </c>
      <c r="G279" t="s">
        <v>12</v>
      </c>
      <c r="H279">
        <f t="shared" si="4"/>
        <v>112</v>
      </c>
    </row>
    <row r="280" spans="1:8" x14ac:dyDescent="0.3">
      <c r="A280" t="s">
        <v>52</v>
      </c>
      <c r="B280" t="s">
        <v>23</v>
      </c>
      <c r="C280" t="s">
        <v>15</v>
      </c>
      <c r="D280">
        <v>2</v>
      </c>
      <c r="E280" t="s">
        <v>42</v>
      </c>
      <c r="F280" t="s">
        <v>11</v>
      </c>
      <c r="G280" t="s">
        <v>12</v>
      </c>
      <c r="H280">
        <f t="shared" si="4"/>
        <v>2</v>
      </c>
    </row>
    <row r="281" spans="1:8" x14ac:dyDescent="0.3">
      <c r="A281" t="s">
        <v>52</v>
      </c>
      <c r="B281" t="s">
        <v>23</v>
      </c>
      <c r="C281" t="s">
        <v>16</v>
      </c>
      <c r="D281">
        <v>58</v>
      </c>
      <c r="E281" t="s">
        <v>42</v>
      </c>
      <c r="F281" t="s">
        <v>11</v>
      </c>
      <c r="G281" t="s">
        <v>12</v>
      </c>
      <c r="H281">
        <f t="shared" si="4"/>
        <v>58</v>
      </c>
    </row>
    <row r="282" spans="1:8" x14ac:dyDescent="0.3">
      <c r="A282" t="s">
        <v>52</v>
      </c>
      <c r="B282" t="s">
        <v>23</v>
      </c>
      <c r="C282" t="s">
        <v>17</v>
      </c>
      <c r="D282">
        <v>10</v>
      </c>
      <c r="E282" t="s">
        <v>42</v>
      </c>
      <c r="F282" t="s">
        <v>11</v>
      </c>
      <c r="G282" t="s">
        <v>12</v>
      </c>
      <c r="H282">
        <f t="shared" si="4"/>
        <v>10</v>
      </c>
    </row>
    <row r="283" spans="1:8" x14ac:dyDescent="0.3">
      <c r="A283" t="s">
        <v>52</v>
      </c>
      <c r="B283" t="s">
        <v>23</v>
      </c>
      <c r="C283" t="s">
        <v>18</v>
      </c>
      <c r="D283">
        <v>0</v>
      </c>
      <c r="E283" t="s">
        <v>42</v>
      </c>
      <c r="F283" t="s">
        <v>11</v>
      </c>
      <c r="G283" t="s">
        <v>12</v>
      </c>
      <c r="H283">
        <f t="shared" si="4"/>
        <v>0</v>
      </c>
    </row>
    <row r="284" spans="1:8" x14ac:dyDescent="0.3">
      <c r="A284" t="s">
        <v>52</v>
      </c>
      <c r="B284" t="s">
        <v>23</v>
      </c>
      <c r="C284" t="s">
        <v>19</v>
      </c>
      <c r="D284">
        <v>4</v>
      </c>
      <c r="E284" t="s">
        <v>42</v>
      </c>
      <c r="F284" t="s">
        <v>11</v>
      </c>
      <c r="G284" t="s">
        <v>12</v>
      </c>
      <c r="H284">
        <f t="shared" si="4"/>
        <v>4</v>
      </c>
    </row>
    <row r="285" spans="1:8" x14ac:dyDescent="0.3">
      <c r="A285" t="s">
        <v>52</v>
      </c>
      <c r="B285" t="s">
        <v>23</v>
      </c>
      <c r="C285" t="s">
        <v>20</v>
      </c>
      <c r="D285">
        <v>7</v>
      </c>
      <c r="E285" t="s">
        <v>42</v>
      </c>
      <c r="F285" t="s">
        <v>11</v>
      </c>
      <c r="G285" t="s">
        <v>12</v>
      </c>
      <c r="H285">
        <f t="shared" si="4"/>
        <v>7</v>
      </c>
    </row>
    <row r="286" spans="1:8" x14ac:dyDescent="0.3">
      <c r="A286" t="s">
        <v>52</v>
      </c>
      <c r="B286" t="s">
        <v>23</v>
      </c>
      <c r="C286" t="s">
        <v>21</v>
      </c>
      <c r="D286">
        <v>2</v>
      </c>
      <c r="E286" t="s">
        <v>42</v>
      </c>
      <c r="F286" t="s">
        <v>11</v>
      </c>
      <c r="G286" t="s">
        <v>12</v>
      </c>
      <c r="H286">
        <f t="shared" si="4"/>
        <v>2</v>
      </c>
    </row>
    <row r="287" spans="1:8" x14ac:dyDescent="0.3">
      <c r="A287" t="s">
        <v>52</v>
      </c>
      <c r="B287" t="s">
        <v>23</v>
      </c>
      <c r="C287" t="s">
        <v>22</v>
      </c>
      <c r="D287">
        <v>3</v>
      </c>
      <c r="E287" t="s">
        <v>42</v>
      </c>
      <c r="F287" t="s">
        <v>11</v>
      </c>
      <c r="G287" t="s">
        <v>12</v>
      </c>
      <c r="H287">
        <f t="shared" si="4"/>
        <v>3</v>
      </c>
    </row>
    <row r="288" spans="1:8" x14ac:dyDescent="0.3">
      <c r="A288" t="s">
        <v>53</v>
      </c>
      <c r="B288" t="s">
        <v>8</v>
      </c>
      <c r="C288" t="s">
        <v>9</v>
      </c>
      <c r="D288">
        <v>0</v>
      </c>
      <c r="E288" t="s">
        <v>42</v>
      </c>
      <c r="F288" t="s">
        <v>11</v>
      </c>
      <c r="G288" t="s">
        <v>12</v>
      </c>
      <c r="H288">
        <f t="shared" si="4"/>
        <v>0</v>
      </c>
    </row>
    <row r="289" spans="1:8" x14ac:dyDescent="0.3">
      <c r="A289" t="s">
        <v>53</v>
      </c>
      <c r="B289" t="s">
        <v>8</v>
      </c>
      <c r="C289" t="s">
        <v>13</v>
      </c>
      <c r="D289">
        <v>0</v>
      </c>
      <c r="E289" t="s">
        <v>42</v>
      </c>
      <c r="F289" t="s">
        <v>11</v>
      </c>
      <c r="G289" t="s">
        <v>12</v>
      </c>
      <c r="H289">
        <f t="shared" si="4"/>
        <v>0</v>
      </c>
    </row>
    <row r="290" spans="1:8" x14ac:dyDescent="0.3">
      <c r="A290" t="s">
        <v>53</v>
      </c>
      <c r="B290" t="s">
        <v>8</v>
      </c>
      <c r="C290" t="s">
        <v>14</v>
      </c>
      <c r="D290">
        <v>5</v>
      </c>
      <c r="E290" t="s">
        <v>42</v>
      </c>
      <c r="F290" t="s">
        <v>11</v>
      </c>
      <c r="G290" t="s">
        <v>12</v>
      </c>
      <c r="H290">
        <f t="shared" si="4"/>
        <v>5</v>
      </c>
    </row>
    <row r="291" spans="1:8" x14ac:dyDescent="0.3">
      <c r="A291" t="s">
        <v>53</v>
      </c>
      <c r="B291" t="s">
        <v>8</v>
      </c>
      <c r="C291" t="s">
        <v>15</v>
      </c>
      <c r="D291">
        <v>0</v>
      </c>
      <c r="E291" t="s">
        <v>42</v>
      </c>
      <c r="F291" t="s">
        <v>11</v>
      </c>
      <c r="G291" t="s">
        <v>12</v>
      </c>
      <c r="H291">
        <f t="shared" si="4"/>
        <v>0</v>
      </c>
    </row>
    <row r="292" spans="1:8" x14ac:dyDescent="0.3">
      <c r="A292" t="s">
        <v>53</v>
      </c>
      <c r="B292" t="s">
        <v>8</v>
      </c>
      <c r="C292" t="s">
        <v>16</v>
      </c>
      <c r="D292">
        <v>163</v>
      </c>
      <c r="E292" t="s">
        <v>42</v>
      </c>
      <c r="F292" t="s">
        <v>11</v>
      </c>
      <c r="G292" t="s">
        <v>12</v>
      </c>
      <c r="H292">
        <f t="shared" si="4"/>
        <v>163</v>
      </c>
    </row>
    <row r="293" spans="1:8" x14ac:dyDescent="0.3">
      <c r="A293" t="s">
        <v>53</v>
      </c>
      <c r="B293" t="s">
        <v>8</v>
      </c>
      <c r="C293" t="s">
        <v>17</v>
      </c>
      <c r="D293">
        <v>4</v>
      </c>
      <c r="E293" t="s">
        <v>42</v>
      </c>
      <c r="F293" t="s">
        <v>11</v>
      </c>
      <c r="G293" t="s">
        <v>12</v>
      </c>
      <c r="H293">
        <f t="shared" si="4"/>
        <v>4</v>
      </c>
    </row>
    <row r="294" spans="1:8" x14ac:dyDescent="0.3">
      <c r="A294" t="s">
        <v>53</v>
      </c>
      <c r="B294" t="s">
        <v>8</v>
      </c>
      <c r="C294" t="s">
        <v>18</v>
      </c>
      <c r="D294">
        <v>0</v>
      </c>
      <c r="E294" t="s">
        <v>42</v>
      </c>
      <c r="F294" t="s">
        <v>11</v>
      </c>
      <c r="G294" t="s">
        <v>12</v>
      </c>
      <c r="H294">
        <f t="shared" si="4"/>
        <v>0</v>
      </c>
    </row>
    <row r="295" spans="1:8" x14ac:dyDescent="0.3">
      <c r="A295" t="s">
        <v>53</v>
      </c>
      <c r="B295" t="s">
        <v>8</v>
      </c>
      <c r="C295" t="s">
        <v>19</v>
      </c>
      <c r="D295">
        <v>0</v>
      </c>
      <c r="E295" t="s">
        <v>42</v>
      </c>
      <c r="F295" t="s">
        <v>11</v>
      </c>
      <c r="G295" t="s">
        <v>12</v>
      </c>
      <c r="H295">
        <f t="shared" si="4"/>
        <v>0</v>
      </c>
    </row>
    <row r="296" spans="1:8" x14ac:dyDescent="0.3">
      <c r="A296" t="s">
        <v>53</v>
      </c>
      <c r="B296" t="s">
        <v>8</v>
      </c>
      <c r="C296" t="s">
        <v>20</v>
      </c>
      <c r="D296">
        <v>0</v>
      </c>
      <c r="E296" t="s">
        <v>42</v>
      </c>
      <c r="F296" t="s">
        <v>11</v>
      </c>
      <c r="G296" t="s">
        <v>12</v>
      </c>
      <c r="H296">
        <f t="shared" si="4"/>
        <v>0</v>
      </c>
    </row>
    <row r="297" spans="1:8" x14ac:dyDescent="0.3">
      <c r="A297" t="s">
        <v>53</v>
      </c>
      <c r="B297" t="s">
        <v>8</v>
      </c>
      <c r="C297" t="s">
        <v>21</v>
      </c>
      <c r="D297">
        <v>0</v>
      </c>
      <c r="E297" t="s">
        <v>42</v>
      </c>
      <c r="F297" t="s">
        <v>11</v>
      </c>
      <c r="G297" t="s">
        <v>12</v>
      </c>
      <c r="H297">
        <f t="shared" si="4"/>
        <v>0</v>
      </c>
    </row>
    <row r="298" spans="1:8" x14ac:dyDescent="0.3">
      <c r="A298" t="s">
        <v>53</v>
      </c>
      <c r="B298" t="s">
        <v>8</v>
      </c>
      <c r="C298" t="s">
        <v>22</v>
      </c>
      <c r="D298">
        <v>0</v>
      </c>
      <c r="E298" t="s">
        <v>42</v>
      </c>
      <c r="F298" t="s">
        <v>11</v>
      </c>
      <c r="G298" t="s">
        <v>12</v>
      </c>
      <c r="H298">
        <f t="shared" si="4"/>
        <v>0</v>
      </c>
    </row>
    <row r="299" spans="1:8" x14ac:dyDescent="0.3">
      <c r="A299" t="s">
        <v>53</v>
      </c>
      <c r="B299" t="s">
        <v>23</v>
      </c>
      <c r="C299" t="s">
        <v>9</v>
      </c>
      <c r="D299">
        <v>0</v>
      </c>
      <c r="E299" t="s">
        <v>42</v>
      </c>
      <c r="F299" t="s">
        <v>11</v>
      </c>
      <c r="G299" t="s">
        <v>12</v>
      </c>
      <c r="H299">
        <f t="shared" si="4"/>
        <v>0</v>
      </c>
    </row>
    <row r="300" spans="1:8" x14ac:dyDescent="0.3">
      <c r="A300" t="s">
        <v>53</v>
      </c>
      <c r="B300" t="s">
        <v>23</v>
      </c>
      <c r="C300" t="s">
        <v>13</v>
      </c>
      <c r="D300">
        <v>0</v>
      </c>
      <c r="E300" t="s">
        <v>42</v>
      </c>
      <c r="F300" t="s">
        <v>11</v>
      </c>
      <c r="G300" t="s">
        <v>12</v>
      </c>
      <c r="H300">
        <f t="shared" si="4"/>
        <v>0</v>
      </c>
    </row>
    <row r="301" spans="1:8" x14ac:dyDescent="0.3">
      <c r="A301" t="s">
        <v>53</v>
      </c>
      <c r="B301" t="s">
        <v>23</v>
      </c>
      <c r="C301" t="s">
        <v>14</v>
      </c>
      <c r="D301">
        <v>2</v>
      </c>
      <c r="E301" t="s">
        <v>42</v>
      </c>
      <c r="F301" t="s">
        <v>11</v>
      </c>
      <c r="G301" t="s">
        <v>12</v>
      </c>
      <c r="H301">
        <f t="shared" si="4"/>
        <v>2</v>
      </c>
    </row>
    <row r="302" spans="1:8" x14ac:dyDescent="0.3">
      <c r="A302" t="s">
        <v>53</v>
      </c>
      <c r="B302" t="s">
        <v>23</v>
      </c>
      <c r="C302" t="s">
        <v>15</v>
      </c>
      <c r="D302">
        <v>0</v>
      </c>
      <c r="E302" t="s">
        <v>42</v>
      </c>
      <c r="F302" t="s">
        <v>11</v>
      </c>
      <c r="G302" t="s">
        <v>12</v>
      </c>
      <c r="H302">
        <f t="shared" si="4"/>
        <v>0</v>
      </c>
    </row>
    <row r="303" spans="1:8" x14ac:dyDescent="0.3">
      <c r="A303" t="s">
        <v>53</v>
      </c>
      <c r="B303" t="s">
        <v>23</v>
      </c>
      <c r="C303" t="s">
        <v>16</v>
      </c>
      <c r="D303">
        <v>436</v>
      </c>
      <c r="E303" t="s">
        <v>42</v>
      </c>
      <c r="F303" t="s">
        <v>11</v>
      </c>
      <c r="G303" t="s">
        <v>12</v>
      </c>
      <c r="H303">
        <f t="shared" si="4"/>
        <v>436</v>
      </c>
    </row>
    <row r="304" spans="1:8" x14ac:dyDescent="0.3">
      <c r="A304" t="s">
        <v>53</v>
      </c>
      <c r="B304" t="s">
        <v>23</v>
      </c>
      <c r="C304" t="s">
        <v>17</v>
      </c>
      <c r="D304">
        <v>0</v>
      </c>
      <c r="E304" t="s">
        <v>42</v>
      </c>
      <c r="F304" t="s">
        <v>11</v>
      </c>
      <c r="G304" t="s">
        <v>12</v>
      </c>
      <c r="H304">
        <f t="shared" si="4"/>
        <v>0</v>
      </c>
    </row>
    <row r="305" spans="1:8" x14ac:dyDescent="0.3">
      <c r="A305" t="s">
        <v>53</v>
      </c>
      <c r="B305" t="s">
        <v>23</v>
      </c>
      <c r="C305" t="s">
        <v>18</v>
      </c>
      <c r="D305">
        <v>0</v>
      </c>
      <c r="E305" t="s">
        <v>42</v>
      </c>
      <c r="F305" t="s">
        <v>11</v>
      </c>
      <c r="G305" t="s">
        <v>12</v>
      </c>
      <c r="H305">
        <f t="shared" si="4"/>
        <v>0</v>
      </c>
    </row>
    <row r="306" spans="1:8" x14ac:dyDescent="0.3">
      <c r="A306" t="s">
        <v>53</v>
      </c>
      <c r="B306" t="s">
        <v>23</v>
      </c>
      <c r="C306" t="s">
        <v>19</v>
      </c>
      <c r="D306">
        <v>0</v>
      </c>
      <c r="E306" t="s">
        <v>42</v>
      </c>
      <c r="F306" t="s">
        <v>11</v>
      </c>
      <c r="G306" t="s">
        <v>12</v>
      </c>
      <c r="H306">
        <f t="shared" si="4"/>
        <v>0</v>
      </c>
    </row>
    <row r="307" spans="1:8" x14ac:dyDescent="0.3">
      <c r="A307" t="s">
        <v>53</v>
      </c>
      <c r="B307" t="s">
        <v>23</v>
      </c>
      <c r="C307" t="s">
        <v>20</v>
      </c>
      <c r="D307">
        <v>5</v>
      </c>
      <c r="E307" t="s">
        <v>42</v>
      </c>
      <c r="F307" t="s">
        <v>11</v>
      </c>
      <c r="G307" t="s">
        <v>12</v>
      </c>
      <c r="H307">
        <f t="shared" si="4"/>
        <v>5</v>
      </c>
    </row>
    <row r="308" spans="1:8" x14ac:dyDescent="0.3">
      <c r="A308" t="s">
        <v>53</v>
      </c>
      <c r="B308" t="s">
        <v>23</v>
      </c>
      <c r="C308" t="s">
        <v>21</v>
      </c>
      <c r="D308">
        <v>0</v>
      </c>
      <c r="E308" t="s">
        <v>42</v>
      </c>
      <c r="F308" t="s">
        <v>11</v>
      </c>
      <c r="G308" t="s">
        <v>12</v>
      </c>
      <c r="H308">
        <f t="shared" si="4"/>
        <v>0</v>
      </c>
    </row>
    <row r="309" spans="1:8" x14ac:dyDescent="0.3">
      <c r="A309" t="s">
        <v>53</v>
      </c>
      <c r="B309" t="s">
        <v>23</v>
      </c>
      <c r="C309" t="s">
        <v>22</v>
      </c>
      <c r="D309">
        <v>0</v>
      </c>
      <c r="E309" t="s">
        <v>42</v>
      </c>
      <c r="F309" t="s">
        <v>11</v>
      </c>
      <c r="G309" t="s">
        <v>12</v>
      </c>
      <c r="H309">
        <f t="shared" si="4"/>
        <v>0</v>
      </c>
    </row>
    <row r="310" spans="1:8" x14ac:dyDescent="0.3">
      <c r="A310" t="s">
        <v>33</v>
      </c>
      <c r="B310" t="s">
        <v>8</v>
      </c>
      <c r="C310" t="s">
        <v>9</v>
      </c>
      <c r="D310">
        <v>5</v>
      </c>
      <c r="E310" t="s">
        <v>42</v>
      </c>
      <c r="F310" t="s">
        <v>11</v>
      </c>
      <c r="G310" t="s">
        <v>12</v>
      </c>
      <c r="H310">
        <f t="shared" si="4"/>
        <v>5</v>
      </c>
    </row>
    <row r="311" spans="1:8" x14ac:dyDescent="0.3">
      <c r="A311" t="s">
        <v>33</v>
      </c>
      <c r="B311" t="s">
        <v>8</v>
      </c>
      <c r="C311" t="s">
        <v>13</v>
      </c>
      <c r="D311">
        <v>0</v>
      </c>
      <c r="E311" t="s">
        <v>42</v>
      </c>
      <c r="F311" t="s">
        <v>11</v>
      </c>
      <c r="G311" t="s">
        <v>12</v>
      </c>
      <c r="H311">
        <f t="shared" si="4"/>
        <v>0</v>
      </c>
    </row>
    <row r="312" spans="1:8" x14ac:dyDescent="0.3">
      <c r="A312" t="s">
        <v>33</v>
      </c>
      <c r="B312" t="s">
        <v>8</v>
      </c>
      <c r="C312" t="s">
        <v>14</v>
      </c>
      <c r="D312">
        <v>15</v>
      </c>
      <c r="E312" t="s">
        <v>42</v>
      </c>
      <c r="F312" t="s">
        <v>11</v>
      </c>
      <c r="G312" t="s">
        <v>12</v>
      </c>
      <c r="H312">
        <f t="shared" si="4"/>
        <v>15</v>
      </c>
    </row>
    <row r="313" spans="1:8" x14ac:dyDescent="0.3">
      <c r="A313" t="s">
        <v>33</v>
      </c>
      <c r="B313" t="s">
        <v>8</v>
      </c>
      <c r="C313" t="s">
        <v>15</v>
      </c>
      <c r="D313">
        <v>0</v>
      </c>
      <c r="E313" t="s">
        <v>42</v>
      </c>
      <c r="F313" t="s">
        <v>11</v>
      </c>
      <c r="G313" t="s">
        <v>12</v>
      </c>
      <c r="H313">
        <f t="shared" si="4"/>
        <v>0</v>
      </c>
    </row>
    <row r="314" spans="1:8" x14ac:dyDescent="0.3">
      <c r="A314" t="s">
        <v>33</v>
      </c>
      <c r="B314" t="s">
        <v>8</v>
      </c>
      <c r="C314" t="s">
        <v>16</v>
      </c>
      <c r="D314">
        <v>461</v>
      </c>
      <c r="E314" t="s">
        <v>42</v>
      </c>
      <c r="F314" t="s">
        <v>11</v>
      </c>
      <c r="G314" t="s">
        <v>12</v>
      </c>
      <c r="H314">
        <f t="shared" si="4"/>
        <v>461</v>
      </c>
    </row>
    <row r="315" spans="1:8" x14ac:dyDescent="0.3">
      <c r="A315" t="s">
        <v>33</v>
      </c>
      <c r="B315" t="s">
        <v>8</v>
      </c>
      <c r="C315" t="s">
        <v>17</v>
      </c>
      <c r="D315">
        <v>15</v>
      </c>
      <c r="E315" t="s">
        <v>42</v>
      </c>
      <c r="F315" t="s">
        <v>11</v>
      </c>
      <c r="G315" t="s">
        <v>12</v>
      </c>
      <c r="H315">
        <f t="shared" si="4"/>
        <v>15</v>
      </c>
    </row>
    <row r="316" spans="1:8" x14ac:dyDescent="0.3">
      <c r="A316" t="s">
        <v>33</v>
      </c>
      <c r="B316" t="s">
        <v>8</v>
      </c>
      <c r="C316" t="s">
        <v>18</v>
      </c>
      <c r="D316">
        <v>0</v>
      </c>
      <c r="E316" t="s">
        <v>42</v>
      </c>
      <c r="F316" t="s">
        <v>11</v>
      </c>
      <c r="G316" t="s">
        <v>12</v>
      </c>
      <c r="H316">
        <f t="shared" si="4"/>
        <v>0</v>
      </c>
    </row>
    <row r="317" spans="1:8" x14ac:dyDescent="0.3">
      <c r="A317" t="s">
        <v>33</v>
      </c>
      <c r="B317" t="s">
        <v>8</v>
      </c>
      <c r="C317" t="s">
        <v>19</v>
      </c>
      <c r="D317">
        <v>0</v>
      </c>
      <c r="E317" t="s">
        <v>42</v>
      </c>
      <c r="F317" t="s">
        <v>11</v>
      </c>
      <c r="G317" t="s">
        <v>12</v>
      </c>
      <c r="H317">
        <f t="shared" si="4"/>
        <v>0</v>
      </c>
    </row>
    <row r="318" spans="1:8" x14ac:dyDescent="0.3">
      <c r="A318" t="s">
        <v>33</v>
      </c>
      <c r="B318" t="s">
        <v>8</v>
      </c>
      <c r="C318" t="s">
        <v>20</v>
      </c>
      <c r="D318">
        <v>0</v>
      </c>
      <c r="E318" t="s">
        <v>42</v>
      </c>
      <c r="F318" t="s">
        <v>11</v>
      </c>
      <c r="G318" t="s">
        <v>12</v>
      </c>
      <c r="H318">
        <f t="shared" si="4"/>
        <v>0</v>
      </c>
    </row>
    <row r="319" spans="1:8" x14ac:dyDescent="0.3">
      <c r="A319" t="s">
        <v>33</v>
      </c>
      <c r="B319" t="s">
        <v>8</v>
      </c>
      <c r="C319" t="s">
        <v>21</v>
      </c>
      <c r="D319">
        <v>0</v>
      </c>
      <c r="E319" t="s">
        <v>42</v>
      </c>
      <c r="F319" t="s">
        <v>11</v>
      </c>
      <c r="G319" t="s">
        <v>12</v>
      </c>
      <c r="H319">
        <f t="shared" si="4"/>
        <v>0</v>
      </c>
    </row>
    <row r="320" spans="1:8" x14ac:dyDescent="0.3">
      <c r="A320" t="s">
        <v>33</v>
      </c>
      <c r="B320" t="s">
        <v>8</v>
      </c>
      <c r="C320" t="s">
        <v>22</v>
      </c>
      <c r="D320">
        <v>2</v>
      </c>
      <c r="E320" t="s">
        <v>42</v>
      </c>
      <c r="F320" t="s">
        <v>11</v>
      </c>
      <c r="G320" t="s">
        <v>12</v>
      </c>
      <c r="H320">
        <f t="shared" si="4"/>
        <v>2</v>
      </c>
    </row>
    <row r="321" spans="1:8" x14ac:dyDescent="0.3">
      <c r="A321" t="s">
        <v>33</v>
      </c>
      <c r="B321" t="s">
        <v>23</v>
      </c>
      <c r="C321" t="s">
        <v>9</v>
      </c>
      <c r="D321">
        <v>66</v>
      </c>
      <c r="E321" t="s">
        <v>42</v>
      </c>
      <c r="F321" t="s">
        <v>11</v>
      </c>
      <c r="G321" t="s">
        <v>12</v>
      </c>
      <c r="H321">
        <f t="shared" si="4"/>
        <v>66</v>
      </c>
    </row>
    <row r="322" spans="1:8" x14ac:dyDescent="0.3">
      <c r="A322" t="s">
        <v>33</v>
      </c>
      <c r="B322" t="s">
        <v>23</v>
      </c>
      <c r="C322" t="s">
        <v>13</v>
      </c>
      <c r="D322">
        <v>5</v>
      </c>
      <c r="E322" t="s">
        <v>42</v>
      </c>
      <c r="F322" t="s">
        <v>11</v>
      </c>
      <c r="G322" t="s">
        <v>12</v>
      </c>
      <c r="H322">
        <f t="shared" si="4"/>
        <v>5</v>
      </c>
    </row>
    <row r="323" spans="1:8" x14ac:dyDescent="0.3">
      <c r="A323" t="s">
        <v>33</v>
      </c>
      <c r="B323" t="s">
        <v>23</v>
      </c>
      <c r="C323" t="s">
        <v>14</v>
      </c>
      <c r="D323">
        <v>41</v>
      </c>
      <c r="E323" t="s">
        <v>42</v>
      </c>
      <c r="F323" t="s">
        <v>11</v>
      </c>
      <c r="G323" t="s">
        <v>12</v>
      </c>
      <c r="H323">
        <f t="shared" ref="H323:H386" si="5">ROUND(D323, 3 - LEN(INT(ABS(D323))))</f>
        <v>41</v>
      </c>
    </row>
    <row r="324" spans="1:8" x14ac:dyDescent="0.3">
      <c r="A324" t="s">
        <v>33</v>
      </c>
      <c r="B324" t="s">
        <v>23</v>
      </c>
      <c r="C324" t="s">
        <v>15</v>
      </c>
      <c r="D324">
        <v>0</v>
      </c>
      <c r="E324" t="s">
        <v>42</v>
      </c>
      <c r="F324" t="s">
        <v>11</v>
      </c>
      <c r="G324" t="s">
        <v>12</v>
      </c>
      <c r="H324">
        <f t="shared" si="5"/>
        <v>0</v>
      </c>
    </row>
    <row r="325" spans="1:8" x14ac:dyDescent="0.3">
      <c r="A325" t="s">
        <v>33</v>
      </c>
      <c r="B325" t="s">
        <v>23</v>
      </c>
      <c r="C325" t="s">
        <v>16</v>
      </c>
      <c r="D325">
        <v>1248</v>
      </c>
      <c r="E325" t="s">
        <v>42</v>
      </c>
      <c r="F325" t="s">
        <v>11</v>
      </c>
      <c r="G325" t="s">
        <v>12</v>
      </c>
      <c r="H325">
        <f t="shared" si="5"/>
        <v>1250</v>
      </c>
    </row>
    <row r="326" spans="1:8" x14ac:dyDescent="0.3">
      <c r="A326" t="s">
        <v>33</v>
      </c>
      <c r="B326" t="s">
        <v>23</v>
      </c>
      <c r="C326" t="s">
        <v>17</v>
      </c>
      <c r="D326">
        <v>4</v>
      </c>
      <c r="E326" t="s">
        <v>42</v>
      </c>
      <c r="F326" t="s">
        <v>11</v>
      </c>
      <c r="G326" t="s">
        <v>12</v>
      </c>
      <c r="H326">
        <f t="shared" si="5"/>
        <v>4</v>
      </c>
    </row>
    <row r="327" spans="1:8" x14ac:dyDescent="0.3">
      <c r="A327" t="s">
        <v>33</v>
      </c>
      <c r="B327" t="s">
        <v>23</v>
      </c>
      <c r="C327" t="s">
        <v>18</v>
      </c>
      <c r="D327">
        <v>0</v>
      </c>
      <c r="E327" t="s">
        <v>42</v>
      </c>
      <c r="F327" t="s">
        <v>11</v>
      </c>
      <c r="G327" t="s">
        <v>12</v>
      </c>
      <c r="H327">
        <f t="shared" si="5"/>
        <v>0</v>
      </c>
    </row>
    <row r="328" spans="1:8" x14ac:dyDescent="0.3">
      <c r="A328" t="s">
        <v>33</v>
      </c>
      <c r="B328" t="s">
        <v>23</v>
      </c>
      <c r="C328" t="s">
        <v>19</v>
      </c>
      <c r="D328">
        <v>2</v>
      </c>
      <c r="E328" t="s">
        <v>42</v>
      </c>
      <c r="F328" t="s">
        <v>11</v>
      </c>
      <c r="G328" t="s">
        <v>12</v>
      </c>
      <c r="H328">
        <f t="shared" si="5"/>
        <v>2</v>
      </c>
    </row>
    <row r="329" spans="1:8" x14ac:dyDescent="0.3">
      <c r="A329" t="s">
        <v>33</v>
      </c>
      <c r="B329" t="s">
        <v>23</v>
      </c>
      <c r="C329" t="s">
        <v>20</v>
      </c>
      <c r="D329">
        <v>15</v>
      </c>
      <c r="E329" t="s">
        <v>42</v>
      </c>
      <c r="F329" t="s">
        <v>11</v>
      </c>
      <c r="G329" t="s">
        <v>12</v>
      </c>
      <c r="H329">
        <f t="shared" si="5"/>
        <v>15</v>
      </c>
    </row>
    <row r="330" spans="1:8" x14ac:dyDescent="0.3">
      <c r="A330" t="s">
        <v>33</v>
      </c>
      <c r="B330" t="s">
        <v>23</v>
      </c>
      <c r="C330" t="s">
        <v>21</v>
      </c>
      <c r="D330">
        <v>1</v>
      </c>
      <c r="E330" t="s">
        <v>42</v>
      </c>
      <c r="F330" t="s">
        <v>11</v>
      </c>
      <c r="G330" t="s">
        <v>12</v>
      </c>
      <c r="H330">
        <f t="shared" si="5"/>
        <v>1</v>
      </c>
    </row>
    <row r="331" spans="1:8" x14ac:dyDescent="0.3">
      <c r="A331" t="s">
        <v>33</v>
      </c>
      <c r="B331" t="s">
        <v>23</v>
      </c>
      <c r="C331" t="s">
        <v>22</v>
      </c>
      <c r="D331">
        <v>2</v>
      </c>
      <c r="E331" t="s">
        <v>42</v>
      </c>
      <c r="F331" t="s">
        <v>11</v>
      </c>
      <c r="G331" t="s">
        <v>12</v>
      </c>
      <c r="H331">
        <f t="shared" si="5"/>
        <v>2</v>
      </c>
    </row>
    <row r="332" spans="1:8" x14ac:dyDescent="0.3">
      <c r="A332" t="s">
        <v>54</v>
      </c>
      <c r="B332" t="s">
        <v>8</v>
      </c>
      <c r="C332" t="s">
        <v>9</v>
      </c>
      <c r="D332">
        <v>15</v>
      </c>
      <c r="E332" t="s">
        <v>42</v>
      </c>
      <c r="F332" t="s">
        <v>11</v>
      </c>
      <c r="G332" t="s">
        <v>12</v>
      </c>
      <c r="H332">
        <f t="shared" si="5"/>
        <v>15</v>
      </c>
    </row>
    <row r="333" spans="1:8" x14ac:dyDescent="0.3">
      <c r="A333" t="s">
        <v>54</v>
      </c>
      <c r="B333" t="s">
        <v>8</v>
      </c>
      <c r="C333" t="s">
        <v>13</v>
      </c>
      <c r="D333">
        <v>2</v>
      </c>
      <c r="E333" t="s">
        <v>42</v>
      </c>
      <c r="F333" t="s">
        <v>11</v>
      </c>
      <c r="G333" t="s">
        <v>12</v>
      </c>
      <c r="H333">
        <f t="shared" si="5"/>
        <v>2</v>
      </c>
    </row>
    <row r="334" spans="1:8" x14ac:dyDescent="0.3">
      <c r="A334" t="s">
        <v>54</v>
      </c>
      <c r="B334" t="s">
        <v>8</v>
      </c>
      <c r="C334" t="s">
        <v>14</v>
      </c>
      <c r="D334">
        <v>2</v>
      </c>
      <c r="E334" t="s">
        <v>42</v>
      </c>
      <c r="F334" t="s">
        <v>11</v>
      </c>
      <c r="G334" t="s">
        <v>12</v>
      </c>
      <c r="H334">
        <f t="shared" si="5"/>
        <v>2</v>
      </c>
    </row>
    <row r="335" spans="1:8" x14ac:dyDescent="0.3">
      <c r="A335" t="s">
        <v>54</v>
      </c>
      <c r="B335" t="s">
        <v>8</v>
      </c>
      <c r="C335" t="s">
        <v>15</v>
      </c>
      <c r="D335">
        <v>0</v>
      </c>
      <c r="E335" t="s">
        <v>42</v>
      </c>
      <c r="F335" t="s">
        <v>11</v>
      </c>
      <c r="G335" t="s">
        <v>12</v>
      </c>
      <c r="H335">
        <f t="shared" si="5"/>
        <v>0</v>
      </c>
    </row>
    <row r="336" spans="1:8" x14ac:dyDescent="0.3">
      <c r="A336" t="s">
        <v>54</v>
      </c>
      <c r="B336" t="s">
        <v>8</v>
      </c>
      <c r="C336" t="s">
        <v>16</v>
      </c>
      <c r="D336">
        <v>4</v>
      </c>
      <c r="E336" t="s">
        <v>42</v>
      </c>
      <c r="F336" t="s">
        <v>11</v>
      </c>
      <c r="G336" t="s">
        <v>12</v>
      </c>
      <c r="H336">
        <f t="shared" si="5"/>
        <v>4</v>
      </c>
    </row>
    <row r="337" spans="1:8" x14ac:dyDescent="0.3">
      <c r="A337" t="s">
        <v>54</v>
      </c>
      <c r="B337" t="s">
        <v>8</v>
      </c>
      <c r="C337" t="s">
        <v>17</v>
      </c>
      <c r="D337">
        <v>15</v>
      </c>
      <c r="E337" t="s">
        <v>42</v>
      </c>
      <c r="F337" t="s">
        <v>11</v>
      </c>
      <c r="G337" t="s">
        <v>12</v>
      </c>
      <c r="H337">
        <f t="shared" si="5"/>
        <v>15</v>
      </c>
    </row>
    <row r="338" spans="1:8" x14ac:dyDescent="0.3">
      <c r="A338" t="s">
        <v>54</v>
      </c>
      <c r="B338" t="s">
        <v>8</v>
      </c>
      <c r="C338" t="s">
        <v>18</v>
      </c>
      <c r="D338">
        <v>0</v>
      </c>
      <c r="E338" t="s">
        <v>42</v>
      </c>
      <c r="F338" t="s">
        <v>11</v>
      </c>
      <c r="G338" t="s">
        <v>12</v>
      </c>
      <c r="H338">
        <f t="shared" si="5"/>
        <v>0</v>
      </c>
    </row>
    <row r="339" spans="1:8" x14ac:dyDescent="0.3">
      <c r="A339" t="s">
        <v>54</v>
      </c>
      <c r="B339" t="s">
        <v>8</v>
      </c>
      <c r="C339" t="s">
        <v>19</v>
      </c>
      <c r="D339">
        <v>1</v>
      </c>
      <c r="E339" t="s">
        <v>42</v>
      </c>
      <c r="F339" t="s">
        <v>11</v>
      </c>
      <c r="G339" t="s">
        <v>12</v>
      </c>
      <c r="H339">
        <f t="shared" si="5"/>
        <v>1</v>
      </c>
    </row>
    <row r="340" spans="1:8" x14ac:dyDescent="0.3">
      <c r="A340" t="s">
        <v>54</v>
      </c>
      <c r="B340" t="s">
        <v>8</v>
      </c>
      <c r="C340" t="s">
        <v>20</v>
      </c>
      <c r="D340">
        <v>0</v>
      </c>
      <c r="E340" t="s">
        <v>42</v>
      </c>
      <c r="F340" t="s">
        <v>11</v>
      </c>
      <c r="G340" t="s">
        <v>12</v>
      </c>
      <c r="H340">
        <f t="shared" si="5"/>
        <v>0</v>
      </c>
    </row>
    <row r="341" spans="1:8" x14ac:dyDescent="0.3">
      <c r="A341" t="s">
        <v>54</v>
      </c>
      <c r="B341" t="s">
        <v>8</v>
      </c>
      <c r="C341" t="s">
        <v>21</v>
      </c>
      <c r="D341">
        <v>2</v>
      </c>
      <c r="E341" t="s">
        <v>42</v>
      </c>
      <c r="F341" t="s">
        <v>11</v>
      </c>
      <c r="G341" t="s">
        <v>12</v>
      </c>
      <c r="H341">
        <f t="shared" si="5"/>
        <v>2</v>
      </c>
    </row>
    <row r="342" spans="1:8" x14ac:dyDescent="0.3">
      <c r="A342" t="s">
        <v>54</v>
      </c>
      <c r="B342" t="s">
        <v>8</v>
      </c>
      <c r="C342" t="s">
        <v>22</v>
      </c>
      <c r="D342">
        <v>5</v>
      </c>
      <c r="E342" t="s">
        <v>42</v>
      </c>
      <c r="F342" t="s">
        <v>11</v>
      </c>
      <c r="G342" t="s">
        <v>12</v>
      </c>
      <c r="H342">
        <f t="shared" si="5"/>
        <v>5</v>
      </c>
    </row>
    <row r="343" spans="1:8" x14ac:dyDescent="0.3">
      <c r="A343" t="s">
        <v>54</v>
      </c>
      <c r="B343" t="s">
        <v>23</v>
      </c>
      <c r="C343" t="s">
        <v>9</v>
      </c>
      <c r="D343">
        <v>253</v>
      </c>
      <c r="E343" t="s">
        <v>42</v>
      </c>
      <c r="F343" t="s">
        <v>11</v>
      </c>
      <c r="G343" t="s">
        <v>12</v>
      </c>
      <c r="H343">
        <f t="shared" si="5"/>
        <v>253</v>
      </c>
    </row>
    <row r="344" spans="1:8" x14ac:dyDescent="0.3">
      <c r="A344" t="s">
        <v>54</v>
      </c>
      <c r="B344" t="s">
        <v>23</v>
      </c>
      <c r="C344" t="s">
        <v>13</v>
      </c>
      <c r="D344">
        <v>12</v>
      </c>
      <c r="E344" t="s">
        <v>42</v>
      </c>
      <c r="F344" t="s">
        <v>11</v>
      </c>
      <c r="G344" t="s">
        <v>12</v>
      </c>
      <c r="H344">
        <f t="shared" si="5"/>
        <v>12</v>
      </c>
    </row>
    <row r="345" spans="1:8" x14ac:dyDescent="0.3">
      <c r="A345" t="s">
        <v>54</v>
      </c>
      <c r="B345" t="s">
        <v>23</v>
      </c>
      <c r="C345" t="s">
        <v>14</v>
      </c>
      <c r="D345">
        <v>137</v>
      </c>
      <c r="E345" t="s">
        <v>42</v>
      </c>
      <c r="F345" t="s">
        <v>11</v>
      </c>
      <c r="G345" t="s">
        <v>12</v>
      </c>
      <c r="H345">
        <f t="shared" si="5"/>
        <v>137</v>
      </c>
    </row>
    <row r="346" spans="1:8" x14ac:dyDescent="0.3">
      <c r="A346" t="s">
        <v>54</v>
      </c>
      <c r="B346" t="s">
        <v>23</v>
      </c>
      <c r="C346" t="s">
        <v>15</v>
      </c>
      <c r="D346">
        <v>2</v>
      </c>
      <c r="E346" t="s">
        <v>42</v>
      </c>
      <c r="F346" t="s">
        <v>11</v>
      </c>
      <c r="G346" t="s">
        <v>12</v>
      </c>
      <c r="H346">
        <f t="shared" si="5"/>
        <v>2</v>
      </c>
    </row>
    <row r="347" spans="1:8" x14ac:dyDescent="0.3">
      <c r="A347" t="s">
        <v>54</v>
      </c>
      <c r="B347" t="s">
        <v>23</v>
      </c>
      <c r="C347" t="s">
        <v>16</v>
      </c>
      <c r="D347">
        <v>71</v>
      </c>
      <c r="E347" t="s">
        <v>42</v>
      </c>
      <c r="F347" t="s">
        <v>11</v>
      </c>
      <c r="G347" t="s">
        <v>12</v>
      </c>
      <c r="H347">
        <f t="shared" si="5"/>
        <v>71</v>
      </c>
    </row>
    <row r="348" spans="1:8" x14ac:dyDescent="0.3">
      <c r="A348" t="s">
        <v>54</v>
      </c>
      <c r="B348" t="s">
        <v>23</v>
      </c>
      <c r="C348" t="s">
        <v>17</v>
      </c>
      <c r="D348">
        <v>13</v>
      </c>
      <c r="E348" t="s">
        <v>42</v>
      </c>
      <c r="F348" t="s">
        <v>11</v>
      </c>
      <c r="G348" t="s">
        <v>12</v>
      </c>
      <c r="H348">
        <f t="shared" si="5"/>
        <v>13</v>
      </c>
    </row>
    <row r="349" spans="1:8" x14ac:dyDescent="0.3">
      <c r="A349" t="s">
        <v>54</v>
      </c>
      <c r="B349" t="s">
        <v>23</v>
      </c>
      <c r="C349" t="s">
        <v>18</v>
      </c>
      <c r="D349">
        <v>0</v>
      </c>
      <c r="E349" t="s">
        <v>42</v>
      </c>
      <c r="F349" t="s">
        <v>11</v>
      </c>
      <c r="G349" t="s">
        <v>12</v>
      </c>
      <c r="H349">
        <f t="shared" si="5"/>
        <v>0</v>
      </c>
    </row>
    <row r="350" spans="1:8" x14ac:dyDescent="0.3">
      <c r="A350" t="s">
        <v>54</v>
      </c>
      <c r="B350" t="s">
        <v>23</v>
      </c>
      <c r="C350" t="s">
        <v>19</v>
      </c>
      <c r="D350">
        <v>5</v>
      </c>
      <c r="E350" t="s">
        <v>42</v>
      </c>
      <c r="F350" t="s">
        <v>11</v>
      </c>
      <c r="G350" t="s">
        <v>12</v>
      </c>
      <c r="H350">
        <f t="shared" si="5"/>
        <v>5</v>
      </c>
    </row>
    <row r="351" spans="1:8" x14ac:dyDescent="0.3">
      <c r="A351" t="s">
        <v>54</v>
      </c>
      <c r="B351" t="s">
        <v>23</v>
      </c>
      <c r="C351" t="s">
        <v>20</v>
      </c>
      <c r="D351">
        <v>8</v>
      </c>
      <c r="E351" t="s">
        <v>42</v>
      </c>
      <c r="F351" t="s">
        <v>11</v>
      </c>
      <c r="G351" t="s">
        <v>12</v>
      </c>
      <c r="H351">
        <f t="shared" si="5"/>
        <v>8</v>
      </c>
    </row>
    <row r="352" spans="1:8" x14ac:dyDescent="0.3">
      <c r="A352" t="s">
        <v>54</v>
      </c>
      <c r="B352" t="s">
        <v>23</v>
      </c>
      <c r="C352" t="s">
        <v>21</v>
      </c>
      <c r="D352">
        <v>2</v>
      </c>
      <c r="E352" t="s">
        <v>42</v>
      </c>
      <c r="F352" t="s">
        <v>11</v>
      </c>
      <c r="G352" t="s">
        <v>12</v>
      </c>
      <c r="H352">
        <f t="shared" si="5"/>
        <v>2</v>
      </c>
    </row>
    <row r="353" spans="1:8" x14ac:dyDescent="0.3">
      <c r="A353" t="s">
        <v>54</v>
      </c>
      <c r="B353" t="s">
        <v>23</v>
      </c>
      <c r="C353" t="s">
        <v>22</v>
      </c>
      <c r="D353">
        <v>3</v>
      </c>
      <c r="E353" t="s">
        <v>42</v>
      </c>
      <c r="F353" t="s">
        <v>11</v>
      </c>
      <c r="G353" t="s">
        <v>12</v>
      </c>
      <c r="H353">
        <f t="shared" si="5"/>
        <v>3</v>
      </c>
    </row>
    <row r="354" spans="1:8" x14ac:dyDescent="0.3">
      <c r="A354" t="s">
        <v>55</v>
      </c>
      <c r="B354" t="s">
        <v>8</v>
      </c>
      <c r="C354" t="s">
        <v>9</v>
      </c>
      <c r="D354">
        <v>23</v>
      </c>
      <c r="E354" t="s">
        <v>42</v>
      </c>
      <c r="F354" t="s">
        <v>11</v>
      </c>
      <c r="G354" t="s">
        <v>12</v>
      </c>
      <c r="H354">
        <f t="shared" si="5"/>
        <v>23</v>
      </c>
    </row>
    <row r="355" spans="1:8" x14ac:dyDescent="0.3">
      <c r="A355" t="s">
        <v>55</v>
      </c>
      <c r="B355" t="s">
        <v>8</v>
      </c>
      <c r="C355" t="s">
        <v>13</v>
      </c>
      <c r="D355">
        <v>3</v>
      </c>
      <c r="E355" t="s">
        <v>42</v>
      </c>
      <c r="F355" t="s">
        <v>11</v>
      </c>
      <c r="G355" t="s">
        <v>12</v>
      </c>
      <c r="H355">
        <f t="shared" si="5"/>
        <v>3</v>
      </c>
    </row>
    <row r="356" spans="1:8" x14ac:dyDescent="0.3">
      <c r="A356" t="s">
        <v>55</v>
      </c>
      <c r="B356" t="s">
        <v>8</v>
      </c>
      <c r="C356" t="s">
        <v>14</v>
      </c>
      <c r="D356">
        <v>3</v>
      </c>
      <c r="E356" t="s">
        <v>42</v>
      </c>
      <c r="F356" t="s">
        <v>11</v>
      </c>
      <c r="G356" t="s">
        <v>12</v>
      </c>
      <c r="H356">
        <f t="shared" si="5"/>
        <v>3</v>
      </c>
    </row>
    <row r="357" spans="1:8" x14ac:dyDescent="0.3">
      <c r="A357" t="s">
        <v>55</v>
      </c>
      <c r="B357" t="s">
        <v>8</v>
      </c>
      <c r="C357" t="s">
        <v>15</v>
      </c>
      <c r="D357">
        <v>0</v>
      </c>
      <c r="E357" t="s">
        <v>42</v>
      </c>
      <c r="F357" t="s">
        <v>11</v>
      </c>
      <c r="G357" t="s">
        <v>12</v>
      </c>
      <c r="H357">
        <f t="shared" si="5"/>
        <v>0</v>
      </c>
    </row>
    <row r="358" spans="1:8" x14ac:dyDescent="0.3">
      <c r="A358" t="s">
        <v>55</v>
      </c>
      <c r="B358" t="s">
        <v>8</v>
      </c>
      <c r="C358" t="s">
        <v>16</v>
      </c>
      <c r="D358">
        <v>5</v>
      </c>
      <c r="E358" t="s">
        <v>42</v>
      </c>
      <c r="F358" t="s">
        <v>11</v>
      </c>
      <c r="G358" t="s">
        <v>12</v>
      </c>
      <c r="H358">
        <f t="shared" si="5"/>
        <v>5</v>
      </c>
    </row>
    <row r="359" spans="1:8" x14ac:dyDescent="0.3">
      <c r="A359" t="s">
        <v>55</v>
      </c>
      <c r="B359" t="s">
        <v>8</v>
      </c>
      <c r="C359" t="s">
        <v>17</v>
      </c>
      <c r="D359">
        <v>23</v>
      </c>
      <c r="E359" t="s">
        <v>42</v>
      </c>
      <c r="F359" t="s">
        <v>11</v>
      </c>
      <c r="G359" t="s">
        <v>12</v>
      </c>
      <c r="H359">
        <f t="shared" si="5"/>
        <v>23</v>
      </c>
    </row>
    <row r="360" spans="1:8" x14ac:dyDescent="0.3">
      <c r="A360" t="s">
        <v>55</v>
      </c>
      <c r="B360" t="s">
        <v>8</v>
      </c>
      <c r="C360" t="s">
        <v>18</v>
      </c>
      <c r="D360">
        <v>0</v>
      </c>
      <c r="E360" t="s">
        <v>42</v>
      </c>
      <c r="F360" t="s">
        <v>11</v>
      </c>
      <c r="G360" t="s">
        <v>12</v>
      </c>
      <c r="H360">
        <f t="shared" si="5"/>
        <v>0</v>
      </c>
    </row>
    <row r="361" spans="1:8" x14ac:dyDescent="0.3">
      <c r="A361" t="s">
        <v>55</v>
      </c>
      <c r="B361" t="s">
        <v>8</v>
      </c>
      <c r="C361" t="s">
        <v>19</v>
      </c>
      <c r="D361">
        <v>2</v>
      </c>
      <c r="E361" t="s">
        <v>42</v>
      </c>
      <c r="F361" t="s">
        <v>11</v>
      </c>
      <c r="G361" t="s">
        <v>12</v>
      </c>
      <c r="H361">
        <f t="shared" si="5"/>
        <v>2</v>
      </c>
    </row>
    <row r="362" spans="1:8" x14ac:dyDescent="0.3">
      <c r="A362" t="s">
        <v>55</v>
      </c>
      <c r="B362" t="s">
        <v>8</v>
      </c>
      <c r="C362" t="s">
        <v>20</v>
      </c>
      <c r="D362">
        <v>0</v>
      </c>
      <c r="E362" t="s">
        <v>42</v>
      </c>
      <c r="F362" t="s">
        <v>11</v>
      </c>
      <c r="G362" t="s">
        <v>12</v>
      </c>
      <c r="H362">
        <f t="shared" si="5"/>
        <v>0</v>
      </c>
    </row>
    <row r="363" spans="1:8" x14ac:dyDescent="0.3">
      <c r="A363" t="s">
        <v>55</v>
      </c>
      <c r="B363" t="s">
        <v>8</v>
      </c>
      <c r="C363" t="s">
        <v>21</v>
      </c>
      <c r="D363">
        <v>3</v>
      </c>
      <c r="E363" t="s">
        <v>42</v>
      </c>
      <c r="F363" t="s">
        <v>11</v>
      </c>
      <c r="G363" t="s">
        <v>12</v>
      </c>
      <c r="H363">
        <f t="shared" si="5"/>
        <v>3</v>
      </c>
    </row>
    <row r="364" spans="1:8" x14ac:dyDescent="0.3">
      <c r="A364" t="s">
        <v>55</v>
      </c>
      <c r="B364" t="s">
        <v>8</v>
      </c>
      <c r="C364" t="s">
        <v>22</v>
      </c>
      <c r="D364">
        <v>8</v>
      </c>
      <c r="E364" t="s">
        <v>42</v>
      </c>
      <c r="F364" t="s">
        <v>11</v>
      </c>
      <c r="G364" t="s">
        <v>12</v>
      </c>
      <c r="H364">
        <f t="shared" si="5"/>
        <v>8</v>
      </c>
    </row>
    <row r="365" spans="1:8" x14ac:dyDescent="0.3">
      <c r="A365" t="s">
        <v>55</v>
      </c>
      <c r="B365" t="s">
        <v>23</v>
      </c>
      <c r="C365" t="s">
        <v>9</v>
      </c>
      <c r="D365">
        <v>370</v>
      </c>
      <c r="E365" t="s">
        <v>42</v>
      </c>
      <c r="F365" t="s">
        <v>11</v>
      </c>
      <c r="G365" t="s">
        <v>12</v>
      </c>
      <c r="H365">
        <f t="shared" si="5"/>
        <v>370</v>
      </c>
    </row>
    <row r="366" spans="1:8" x14ac:dyDescent="0.3">
      <c r="A366" t="s">
        <v>55</v>
      </c>
      <c r="B366" t="s">
        <v>23</v>
      </c>
      <c r="C366" t="s">
        <v>13</v>
      </c>
      <c r="D366">
        <v>17</v>
      </c>
      <c r="E366" t="s">
        <v>42</v>
      </c>
      <c r="F366" t="s">
        <v>11</v>
      </c>
      <c r="G366" t="s">
        <v>12</v>
      </c>
      <c r="H366">
        <f t="shared" si="5"/>
        <v>17</v>
      </c>
    </row>
    <row r="367" spans="1:8" x14ac:dyDescent="0.3">
      <c r="A367" t="s">
        <v>55</v>
      </c>
      <c r="B367" t="s">
        <v>23</v>
      </c>
      <c r="C367" t="s">
        <v>14</v>
      </c>
      <c r="D367">
        <v>201</v>
      </c>
      <c r="E367" t="s">
        <v>42</v>
      </c>
      <c r="F367" t="s">
        <v>11</v>
      </c>
      <c r="G367" t="s">
        <v>12</v>
      </c>
      <c r="H367">
        <f t="shared" si="5"/>
        <v>201</v>
      </c>
    </row>
    <row r="368" spans="1:8" x14ac:dyDescent="0.3">
      <c r="A368" t="s">
        <v>55</v>
      </c>
      <c r="B368" t="s">
        <v>23</v>
      </c>
      <c r="C368" t="s">
        <v>15</v>
      </c>
      <c r="D368">
        <v>4</v>
      </c>
      <c r="E368" t="s">
        <v>42</v>
      </c>
      <c r="F368" t="s">
        <v>11</v>
      </c>
      <c r="G368" t="s">
        <v>12</v>
      </c>
      <c r="H368">
        <f t="shared" si="5"/>
        <v>4</v>
      </c>
    </row>
    <row r="369" spans="1:8" x14ac:dyDescent="0.3">
      <c r="A369" t="s">
        <v>55</v>
      </c>
      <c r="B369" t="s">
        <v>23</v>
      </c>
      <c r="C369" t="s">
        <v>16</v>
      </c>
      <c r="D369">
        <v>104</v>
      </c>
      <c r="E369" t="s">
        <v>42</v>
      </c>
      <c r="F369" t="s">
        <v>11</v>
      </c>
      <c r="G369" t="s">
        <v>12</v>
      </c>
      <c r="H369">
        <f t="shared" si="5"/>
        <v>104</v>
      </c>
    </row>
    <row r="370" spans="1:8" x14ac:dyDescent="0.3">
      <c r="A370" t="s">
        <v>55</v>
      </c>
      <c r="B370" t="s">
        <v>23</v>
      </c>
      <c r="C370" t="s">
        <v>17</v>
      </c>
      <c r="D370">
        <v>18</v>
      </c>
      <c r="E370" t="s">
        <v>42</v>
      </c>
      <c r="F370" t="s">
        <v>11</v>
      </c>
      <c r="G370" t="s">
        <v>12</v>
      </c>
      <c r="H370">
        <f t="shared" si="5"/>
        <v>18</v>
      </c>
    </row>
    <row r="371" spans="1:8" x14ac:dyDescent="0.3">
      <c r="A371" t="s">
        <v>55</v>
      </c>
      <c r="B371" t="s">
        <v>23</v>
      </c>
      <c r="C371" t="s">
        <v>18</v>
      </c>
      <c r="D371">
        <v>0</v>
      </c>
      <c r="E371" t="s">
        <v>42</v>
      </c>
      <c r="F371" t="s">
        <v>11</v>
      </c>
      <c r="G371" t="s">
        <v>12</v>
      </c>
      <c r="H371">
        <f t="shared" si="5"/>
        <v>0</v>
      </c>
    </row>
    <row r="372" spans="1:8" x14ac:dyDescent="0.3">
      <c r="A372" t="s">
        <v>55</v>
      </c>
      <c r="B372" t="s">
        <v>23</v>
      </c>
      <c r="C372" t="s">
        <v>19</v>
      </c>
      <c r="D372">
        <v>7</v>
      </c>
      <c r="E372" t="s">
        <v>42</v>
      </c>
      <c r="F372" t="s">
        <v>11</v>
      </c>
      <c r="G372" t="s">
        <v>12</v>
      </c>
      <c r="H372">
        <f t="shared" si="5"/>
        <v>7</v>
      </c>
    </row>
    <row r="373" spans="1:8" x14ac:dyDescent="0.3">
      <c r="A373" t="s">
        <v>55</v>
      </c>
      <c r="B373" t="s">
        <v>23</v>
      </c>
      <c r="C373" t="s">
        <v>20</v>
      </c>
      <c r="D373">
        <v>12</v>
      </c>
      <c r="E373" t="s">
        <v>42</v>
      </c>
      <c r="F373" t="s">
        <v>11</v>
      </c>
      <c r="G373" t="s">
        <v>12</v>
      </c>
      <c r="H373">
        <f t="shared" si="5"/>
        <v>12</v>
      </c>
    </row>
    <row r="374" spans="1:8" x14ac:dyDescent="0.3">
      <c r="A374" t="s">
        <v>55</v>
      </c>
      <c r="B374" t="s">
        <v>23</v>
      </c>
      <c r="C374" t="s">
        <v>21</v>
      </c>
      <c r="D374">
        <v>3</v>
      </c>
      <c r="E374" t="s">
        <v>42</v>
      </c>
      <c r="F374" t="s">
        <v>11</v>
      </c>
      <c r="G374" t="s">
        <v>12</v>
      </c>
      <c r="H374">
        <f t="shared" si="5"/>
        <v>3</v>
      </c>
    </row>
    <row r="375" spans="1:8" x14ac:dyDescent="0.3">
      <c r="A375" t="s">
        <v>55</v>
      </c>
      <c r="B375" t="s">
        <v>23</v>
      </c>
      <c r="C375" t="s">
        <v>22</v>
      </c>
      <c r="D375">
        <v>5</v>
      </c>
      <c r="E375" t="s">
        <v>42</v>
      </c>
      <c r="F375" t="s">
        <v>11</v>
      </c>
      <c r="G375" t="s">
        <v>12</v>
      </c>
      <c r="H375">
        <f t="shared" si="5"/>
        <v>5</v>
      </c>
    </row>
    <row r="376" spans="1:8" x14ac:dyDescent="0.3">
      <c r="A376" t="s">
        <v>56</v>
      </c>
      <c r="B376" t="s">
        <v>8</v>
      </c>
      <c r="C376" t="s">
        <v>9</v>
      </c>
      <c r="D376">
        <v>4</v>
      </c>
      <c r="E376" t="s">
        <v>42</v>
      </c>
      <c r="F376" t="s">
        <v>11</v>
      </c>
      <c r="G376" t="s">
        <v>12</v>
      </c>
      <c r="H376">
        <f t="shared" si="5"/>
        <v>4</v>
      </c>
    </row>
    <row r="377" spans="1:8" x14ac:dyDescent="0.3">
      <c r="A377" t="s">
        <v>56</v>
      </c>
      <c r="B377" t="s">
        <v>8</v>
      </c>
      <c r="C377" t="s">
        <v>13</v>
      </c>
      <c r="D377">
        <v>5</v>
      </c>
      <c r="E377" t="s">
        <v>42</v>
      </c>
      <c r="F377" t="s">
        <v>11</v>
      </c>
      <c r="G377" t="s">
        <v>12</v>
      </c>
      <c r="H377">
        <f t="shared" si="5"/>
        <v>5</v>
      </c>
    </row>
    <row r="378" spans="1:8" x14ac:dyDescent="0.3">
      <c r="A378" t="s">
        <v>56</v>
      </c>
      <c r="B378" t="s">
        <v>8</v>
      </c>
      <c r="C378" t="s">
        <v>14</v>
      </c>
      <c r="D378">
        <v>0</v>
      </c>
      <c r="E378" t="s">
        <v>42</v>
      </c>
      <c r="F378" t="s">
        <v>11</v>
      </c>
      <c r="G378" t="s">
        <v>12</v>
      </c>
      <c r="H378">
        <f t="shared" si="5"/>
        <v>0</v>
      </c>
    </row>
    <row r="379" spans="1:8" x14ac:dyDescent="0.3">
      <c r="A379" t="s">
        <v>56</v>
      </c>
      <c r="B379" t="s">
        <v>8</v>
      </c>
      <c r="C379" t="s">
        <v>15</v>
      </c>
      <c r="D379">
        <v>0</v>
      </c>
      <c r="E379" t="s">
        <v>42</v>
      </c>
      <c r="F379" t="s">
        <v>11</v>
      </c>
      <c r="G379" t="s">
        <v>12</v>
      </c>
      <c r="H379">
        <f t="shared" si="5"/>
        <v>0</v>
      </c>
    </row>
    <row r="380" spans="1:8" x14ac:dyDescent="0.3">
      <c r="A380" t="s">
        <v>56</v>
      </c>
      <c r="B380" t="s">
        <v>8</v>
      </c>
      <c r="C380" t="s">
        <v>16</v>
      </c>
      <c r="D380">
        <v>0</v>
      </c>
      <c r="E380" t="s">
        <v>42</v>
      </c>
      <c r="F380" t="s">
        <v>11</v>
      </c>
      <c r="G380" t="s">
        <v>12</v>
      </c>
      <c r="H380">
        <f t="shared" si="5"/>
        <v>0</v>
      </c>
    </row>
    <row r="381" spans="1:8" x14ac:dyDescent="0.3">
      <c r="A381" t="s">
        <v>56</v>
      </c>
      <c r="B381" t="s">
        <v>8</v>
      </c>
      <c r="C381" t="s">
        <v>17</v>
      </c>
      <c r="D381">
        <v>4</v>
      </c>
      <c r="E381" t="s">
        <v>42</v>
      </c>
      <c r="F381" t="s">
        <v>11</v>
      </c>
      <c r="G381" t="s">
        <v>12</v>
      </c>
      <c r="H381">
        <f t="shared" si="5"/>
        <v>4</v>
      </c>
    </row>
    <row r="382" spans="1:8" x14ac:dyDescent="0.3">
      <c r="A382" t="s">
        <v>56</v>
      </c>
      <c r="B382" t="s">
        <v>8</v>
      </c>
      <c r="C382" t="s">
        <v>18</v>
      </c>
      <c r="D382">
        <v>0</v>
      </c>
      <c r="E382" t="s">
        <v>42</v>
      </c>
      <c r="F382" t="s">
        <v>11</v>
      </c>
      <c r="G382" t="s">
        <v>12</v>
      </c>
      <c r="H382">
        <f t="shared" si="5"/>
        <v>0</v>
      </c>
    </row>
    <row r="383" spans="1:8" x14ac:dyDescent="0.3">
      <c r="A383" t="s">
        <v>56</v>
      </c>
      <c r="B383" t="s">
        <v>8</v>
      </c>
      <c r="C383" t="s">
        <v>19</v>
      </c>
      <c r="D383">
        <v>0</v>
      </c>
      <c r="E383" t="s">
        <v>42</v>
      </c>
      <c r="F383" t="s">
        <v>11</v>
      </c>
      <c r="G383" t="s">
        <v>12</v>
      </c>
      <c r="H383">
        <f t="shared" si="5"/>
        <v>0</v>
      </c>
    </row>
    <row r="384" spans="1:8" x14ac:dyDescent="0.3">
      <c r="A384" t="s">
        <v>56</v>
      </c>
      <c r="B384" t="s">
        <v>8</v>
      </c>
      <c r="C384" t="s">
        <v>20</v>
      </c>
      <c r="D384">
        <v>0</v>
      </c>
      <c r="E384" t="s">
        <v>42</v>
      </c>
      <c r="F384" t="s">
        <v>11</v>
      </c>
      <c r="G384" t="s">
        <v>12</v>
      </c>
      <c r="H384">
        <f t="shared" si="5"/>
        <v>0</v>
      </c>
    </row>
    <row r="385" spans="1:8" x14ac:dyDescent="0.3">
      <c r="A385" t="s">
        <v>56</v>
      </c>
      <c r="B385" t="s">
        <v>8</v>
      </c>
      <c r="C385" t="s">
        <v>21</v>
      </c>
      <c r="D385">
        <v>0</v>
      </c>
      <c r="E385" t="s">
        <v>42</v>
      </c>
      <c r="F385" t="s">
        <v>11</v>
      </c>
      <c r="G385" t="s">
        <v>12</v>
      </c>
      <c r="H385">
        <f t="shared" si="5"/>
        <v>0</v>
      </c>
    </row>
    <row r="386" spans="1:8" x14ac:dyDescent="0.3">
      <c r="A386" t="s">
        <v>56</v>
      </c>
      <c r="B386" t="s">
        <v>8</v>
      </c>
      <c r="C386" t="s">
        <v>22</v>
      </c>
      <c r="D386">
        <v>2</v>
      </c>
      <c r="E386" t="s">
        <v>42</v>
      </c>
      <c r="F386" t="s">
        <v>11</v>
      </c>
      <c r="G386" t="s">
        <v>12</v>
      </c>
      <c r="H386">
        <f t="shared" si="5"/>
        <v>2</v>
      </c>
    </row>
    <row r="387" spans="1:8" x14ac:dyDescent="0.3">
      <c r="A387" t="s">
        <v>56</v>
      </c>
      <c r="B387" t="s">
        <v>23</v>
      </c>
      <c r="C387" t="s">
        <v>9</v>
      </c>
      <c r="D387">
        <v>66</v>
      </c>
      <c r="E387" t="s">
        <v>42</v>
      </c>
      <c r="F387" t="s">
        <v>11</v>
      </c>
      <c r="G387" t="s">
        <v>12</v>
      </c>
      <c r="H387">
        <f t="shared" ref="H387:H450" si="6">ROUND(D387, 3 - LEN(INT(ABS(D387))))</f>
        <v>66</v>
      </c>
    </row>
    <row r="388" spans="1:8" x14ac:dyDescent="0.3">
      <c r="A388" t="s">
        <v>56</v>
      </c>
      <c r="B388" t="s">
        <v>23</v>
      </c>
      <c r="C388" t="s">
        <v>13</v>
      </c>
      <c r="D388">
        <v>112</v>
      </c>
      <c r="E388" t="s">
        <v>42</v>
      </c>
      <c r="F388" t="s">
        <v>11</v>
      </c>
      <c r="G388" t="s">
        <v>12</v>
      </c>
      <c r="H388">
        <f t="shared" si="6"/>
        <v>112</v>
      </c>
    </row>
    <row r="389" spans="1:8" x14ac:dyDescent="0.3">
      <c r="A389" t="s">
        <v>56</v>
      </c>
      <c r="B389" t="s">
        <v>23</v>
      </c>
      <c r="C389" t="s">
        <v>14</v>
      </c>
      <c r="D389">
        <v>42</v>
      </c>
      <c r="E389" t="s">
        <v>42</v>
      </c>
      <c r="F389" t="s">
        <v>11</v>
      </c>
      <c r="G389" t="s">
        <v>12</v>
      </c>
      <c r="H389">
        <f t="shared" si="6"/>
        <v>42</v>
      </c>
    </row>
    <row r="390" spans="1:8" x14ac:dyDescent="0.3">
      <c r="A390" t="s">
        <v>56</v>
      </c>
      <c r="B390" t="s">
        <v>23</v>
      </c>
      <c r="C390" t="s">
        <v>15</v>
      </c>
      <c r="D390">
        <v>0</v>
      </c>
      <c r="E390" t="s">
        <v>42</v>
      </c>
      <c r="F390" t="s">
        <v>11</v>
      </c>
      <c r="G390" t="s">
        <v>12</v>
      </c>
      <c r="H390">
        <f t="shared" si="6"/>
        <v>0</v>
      </c>
    </row>
    <row r="391" spans="1:8" x14ac:dyDescent="0.3">
      <c r="A391" t="s">
        <v>56</v>
      </c>
      <c r="B391" t="s">
        <v>23</v>
      </c>
      <c r="C391" t="s">
        <v>16</v>
      </c>
      <c r="D391">
        <v>19</v>
      </c>
      <c r="E391" t="s">
        <v>42</v>
      </c>
      <c r="F391" t="s">
        <v>11</v>
      </c>
      <c r="G391" t="s">
        <v>12</v>
      </c>
      <c r="H391">
        <f t="shared" si="6"/>
        <v>19</v>
      </c>
    </row>
    <row r="392" spans="1:8" x14ac:dyDescent="0.3">
      <c r="A392" t="s">
        <v>56</v>
      </c>
      <c r="B392" t="s">
        <v>23</v>
      </c>
      <c r="C392" t="s">
        <v>17</v>
      </c>
      <c r="D392">
        <v>3</v>
      </c>
      <c r="E392" t="s">
        <v>42</v>
      </c>
      <c r="F392" t="s">
        <v>11</v>
      </c>
      <c r="G392" t="s">
        <v>12</v>
      </c>
      <c r="H392">
        <f t="shared" si="6"/>
        <v>3</v>
      </c>
    </row>
    <row r="393" spans="1:8" x14ac:dyDescent="0.3">
      <c r="A393" t="s">
        <v>56</v>
      </c>
      <c r="B393" t="s">
        <v>23</v>
      </c>
      <c r="C393" t="s">
        <v>18</v>
      </c>
      <c r="D393">
        <v>0</v>
      </c>
      <c r="E393" t="s">
        <v>42</v>
      </c>
      <c r="F393" t="s">
        <v>11</v>
      </c>
      <c r="G393" t="s">
        <v>12</v>
      </c>
      <c r="H393">
        <f t="shared" si="6"/>
        <v>0</v>
      </c>
    </row>
    <row r="394" spans="1:8" x14ac:dyDescent="0.3">
      <c r="A394" t="s">
        <v>56</v>
      </c>
      <c r="B394" t="s">
        <v>23</v>
      </c>
      <c r="C394" t="s">
        <v>19</v>
      </c>
      <c r="D394">
        <v>3</v>
      </c>
      <c r="E394" t="s">
        <v>42</v>
      </c>
      <c r="F394" t="s">
        <v>11</v>
      </c>
      <c r="G394" t="s">
        <v>12</v>
      </c>
      <c r="H394">
        <f t="shared" si="6"/>
        <v>3</v>
      </c>
    </row>
    <row r="395" spans="1:8" x14ac:dyDescent="0.3">
      <c r="A395" t="s">
        <v>56</v>
      </c>
      <c r="B395" t="s">
        <v>23</v>
      </c>
      <c r="C395" t="s">
        <v>20</v>
      </c>
      <c r="D395">
        <v>2</v>
      </c>
      <c r="E395" t="s">
        <v>42</v>
      </c>
      <c r="F395" t="s">
        <v>11</v>
      </c>
      <c r="G395" t="s">
        <v>12</v>
      </c>
      <c r="H395">
        <f t="shared" si="6"/>
        <v>2</v>
      </c>
    </row>
    <row r="396" spans="1:8" x14ac:dyDescent="0.3">
      <c r="A396" t="s">
        <v>56</v>
      </c>
      <c r="B396" t="s">
        <v>23</v>
      </c>
      <c r="C396" t="s">
        <v>21</v>
      </c>
      <c r="D396">
        <v>0</v>
      </c>
      <c r="E396" t="s">
        <v>42</v>
      </c>
      <c r="F396" t="s">
        <v>11</v>
      </c>
      <c r="G396" t="s">
        <v>12</v>
      </c>
      <c r="H396">
        <f t="shared" si="6"/>
        <v>0</v>
      </c>
    </row>
    <row r="397" spans="1:8" x14ac:dyDescent="0.3">
      <c r="A397" t="s">
        <v>56</v>
      </c>
      <c r="B397" t="s">
        <v>23</v>
      </c>
      <c r="C397" t="s">
        <v>22</v>
      </c>
      <c r="D397">
        <v>4</v>
      </c>
      <c r="E397" t="s">
        <v>42</v>
      </c>
      <c r="F397" t="s">
        <v>11</v>
      </c>
      <c r="G397" t="s">
        <v>12</v>
      </c>
      <c r="H397">
        <f t="shared" si="6"/>
        <v>4</v>
      </c>
    </row>
    <row r="398" spans="1:8" x14ac:dyDescent="0.3">
      <c r="A398" t="s">
        <v>41</v>
      </c>
      <c r="B398" t="s">
        <v>8</v>
      </c>
      <c r="C398" t="s">
        <v>9</v>
      </c>
      <c r="D398">
        <v>0</v>
      </c>
      <c r="E398" t="s">
        <v>42</v>
      </c>
      <c r="F398" t="s">
        <v>36</v>
      </c>
      <c r="G398" t="s">
        <v>37</v>
      </c>
      <c r="H398">
        <f t="shared" si="6"/>
        <v>0</v>
      </c>
    </row>
    <row r="399" spans="1:8" x14ac:dyDescent="0.3">
      <c r="A399" t="s">
        <v>41</v>
      </c>
      <c r="B399" t="s">
        <v>8</v>
      </c>
      <c r="C399" t="s">
        <v>13</v>
      </c>
      <c r="D399">
        <v>0</v>
      </c>
      <c r="E399" t="s">
        <v>42</v>
      </c>
      <c r="F399" t="s">
        <v>36</v>
      </c>
      <c r="G399" t="s">
        <v>37</v>
      </c>
      <c r="H399">
        <f t="shared" si="6"/>
        <v>0</v>
      </c>
    </row>
    <row r="400" spans="1:8" x14ac:dyDescent="0.3">
      <c r="A400" t="s">
        <v>41</v>
      </c>
      <c r="B400" t="s">
        <v>8</v>
      </c>
      <c r="C400" t="s">
        <v>14</v>
      </c>
      <c r="D400">
        <v>0</v>
      </c>
      <c r="E400" t="s">
        <v>42</v>
      </c>
      <c r="F400" t="s">
        <v>36</v>
      </c>
      <c r="G400" t="s">
        <v>37</v>
      </c>
      <c r="H400">
        <f t="shared" si="6"/>
        <v>0</v>
      </c>
    </row>
    <row r="401" spans="1:8" x14ac:dyDescent="0.3">
      <c r="A401" t="s">
        <v>41</v>
      </c>
      <c r="B401" t="s">
        <v>8</v>
      </c>
      <c r="C401" t="s">
        <v>15</v>
      </c>
      <c r="D401">
        <v>0</v>
      </c>
      <c r="E401" t="s">
        <v>42</v>
      </c>
      <c r="F401" t="s">
        <v>36</v>
      </c>
      <c r="G401" t="s">
        <v>37</v>
      </c>
      <c r="H401">
        <f t="shared" si="6"/>
        <v>0</v>
      </c>
    </row>
    <row r="402" spans="1:8" x14ac:dyDescent="0.3">
      <c r="A402" t="s">
        <v>41</v>
      </c>
      <c r="B402" t="s">
        <v>8</v>
      </c>
      <c r="C402" t="s">
        <v>16</v>
      </c>
      <c r="D402">
        <v>0</v>
      </c>
      <c r="E402" t="s">
        <v>42</v>
      </c>
      <c r="F402" t="s">
        <v>36</v>
      </c>
      <c r="G402" t="s">
        <v>37</v>
      </c>
      <c r="H402">
        <f t="shared" si="6"/>
        <v>0</v>
      </c>
    </row>
    <row r="403" spans="1:8" x14ac:dyDescent="0.3">
      <c r="A403" t="s">
        <v>41</v>
      </c>
      <c r="B403" t="s">
        <v>8</v>
      </c>
      <c r="C403" t="s">
        <v>17</v>
      </c>
      <c r="D403">
        <v>0</v>
      </c>
      <c r="E403" t="s">
        <v>42</v>
      </c>
      <c r="F403" t="s">
        <v>36</v>
      </c>
      <c r="G403" t="s">
        <v>37</v>
      </c>
      <c r="H403">
        <f t="shared" si="6"/>
        <v>0</v>
      </c>
    </row>
    <row r="404" spans="1:8" x14ac:dyDescent="0.3">
      <c r="A404" t="s">
        <v>41</v>
      </c>
      <c r="B404" t="s">
        <v>8</v>
      </c>
      <c r="C404" t="s">
        <v>18</v>
      </c>
      <c r="D404">
        <v>0</v>
      </c>
      <c r="E404" t="s">
        <v>42</v>
      </c>
      <c r="F404" t="s">
        <v>36</v>
      </c>
      <c r="G404" t="s">
        <v>37</v>
      </c>
      <c r="H404">
        <f t="shared" si="6"/>
        <v>0</v>
      </c>
    </row>
    <row r="405" spans="1:8" x14ac:dyDescent="0.3">
      <c r="A405" t="s">
        <v>41</v>
      </c>
      <c r="B405" t="s">
        <v>8</v>
      </c>
      <c r="C405" t="s">
        <v>19</v>
      </c>
      <c r="D405">
        <v>0</v>
      </c>
      <c r="E405" t="s">
        <v>42</v>
      </c>
      <c r="F405" t="s">
        <v>36</v>
      </c>
      <c r="G405" t="s">
        <v>37</v>
      </c>
      <c r="H405">
        <f t="shared" si="6"/>
        <v>0</v>
      </c>
    </row>
    <row r="406" spans="1:8" x14ac:dyDescent="0.3">
      <c r="A406" t="s">
        <v>41</v>
      </c>
      <c r="B406" t="s">
        <v>8</v>
      </c>
      <c r="C406" t="s">
        <v>20</v>
      </c>
      <c r="D406">
        <v>0</v>
      </c>
      <c r="E406" t="s">
        <v>42</v>
      </c>
      <c r="F406" t="s">
        <v>36</v>
      </c>
      <c r="G406" t="s">
        <v>37</v>
      </c>
      <c r="H406">
        <f t="shared" si="6"/>
        <v>0</v>
      </c>
    </row>
    <row r="407" spans="1:8" x14ac:dyDescent="0.3">
      <c r="A407" t="s">
        <v>41</v>
      </c>
      <c r="B407" t="s">
        <v>8</v>
      </c>
      <c r="C407" t="s">
        <v>21</v>
      </c>
      <c r="D407">
        <v>0</v>
      </c>
      <c r="E407" t="s">
        <v>42</v>
      </c>
      <c r="F407" t="s">
        <v>36</v>
      </c>
      <c r="G407" t="s">
        <v>37</v>
      </c>
      <c r="H407">
        <f t="shared" si="6"/>
        <v>0</v>
      </c>
    </row>
    <row r="408" spans="1:8" x14ac:dyDescent="0.3">
      <c r="A408" t="s">
        <v>41</v>
      </c>
      <c r="B408" t="s">
        <v>8</v>
      </c>
      <c r="C408" t="s">
        <v>22</v>
      </c>
      <c r="D408">
        <v>0</v>
      </c>
      <c r="E408" t="s">
        <v>42</v>
      </c>
      <c r="F408" t="s">
        <v>36</v>
      </c>
      <c r="G408" t="s">
        <v>37</v>
      </c>
      <c r="H408">
        <f t="shared" si="6"/>
        <v>0</v>
      </c>
    </row>
    <row r="409" spans="1:8" x14ac:dyDescent="0.3">
      <c r="A409" t="s">
        <v>41</v>
      </c>
      <c r="B409" t="s">
        <v>23</v>
      </c>
      <c r="C409" t="s">
        <v>9</v>
      </c>
      <c r="D409">
        <v>2065</v>
      </c>
      <c r="E409" t="s">
        <v>42</v>
      </c>
      <c r="F409" t="s">
        <v>36</v>
      </c>
      <c r="G409" t="s">
        <v>37</v>
      </c>
      <c r="H409">
        <f t="shared" si="6"/>
        <v>2070</v>
      </c>
    </row>
    <row r="410" spans="1:8" x14ac:dyDescent="0.3">
      <c r="A410" t="s">
        <v>41</v>
      </c>
      <c r="B410" t="s">
        <v>23</v>
      </c>
      <c r="C410" t="s">
        <v>13</v>
      </c>
      <c r="D410">
        <v>25816</v>
      </c>
      <c r="E410" t="s">
        <v>42</v>
      </c>
      <c r="F410" t="s">
        <v>36</v>
      </c>
      <c r="G410" t="s">
        <v>37</v>
      </c>
      <c r="H410">
        <f t="shared" si="6"/>
        <v>25800</v>
      </c>
    </row>
    <row r="411" spans="1:8" x14ac:dyDescent="0.3">
      <c r="A411" t="s">
        <v>41</v>
      </c>
      <c r="B411" t="s">
        <v>23</v>
      </c>
      <c r="C411" t="s">
        <v>14</v>
      </c>
      <c r="D411">
        <v>7562</v>
      </c>
      <c r="E411" t="s">
        <v>42</v>
      </c>
      <c r="F411" t="s">
        <v>36</v>
      </c>
      <c r="G411" t="s">
        <v>37</v>
      </c>
      <c r="H411">
        <f t="shared" si="6"/>
        <v>7560</v>
      </c>
    </row>
    <row r="412" spans="1:8" x14ac:dyDescent="0.3">
      <c r="A412" t="s">
        <v>41</v>
      </c>
      <c r="B412" t="s">
        <v>23</v>
      </c>
      <c r="C412" t="s">
        <v>15</v>
      </c>
      <c r="D412">
        <v>1157095</v>
      </c>
      <c r="E412" t="s">
        <v>42</v>
      </c>
      <c r="F412" t="s">
        <v>36</v>
      </c>
      <c r="G412" t="s">
        <v>37</v>
      </c>
      <c r="H412">
        <f t="shared" si="6"/>
        <v>1160000</v>
      </c>
    </row>
    <row r="413" spans="1:8" x14ac:dyDescent="0.3">
      <c r="A413" t="s">
        <v>41</v>
      </c>
      <c r="B413" t="s">
        <v>23</v>
      </c>
      <c r="C413" t="s">
        <v>16</v>
      </c>
      <c r="D413">
        <v>18140</v>
      </c>
      <c r="E413" t="s">
        <v>42</v>
      </c>
      <c r="F413" t="s">
        <v>36</v>
      </c>
      <c r="G413" t="s">
        <v>37</v>
      </c>
      <c r="H413">
        <f t="shared" si="6"/>
        <v>18100</v>
      </c>
    </row>
    <row r="414" spans="1:8" x14ac:dyDescent="0.3">
      <c r="A414" t="s">
        <v>41</v>
      </c>
      <c r="B414" t="s">
        <v>23</v>
      </c>
      <c r="C414" t="s">
        <v>17</v>
      </c>
      <c r="D414">
        <v>571</v>
      </c>
      <c r="E414" t="s">
        <v>42</v>
      </c>
      <c r="F414" t="s">
        <v>36</v>
      </c>
      <c r="G414" t="s">
        <v>37</v>
      </c>
      <c r="H414">
        <f t="shared" si="6"/>
        <v>571</v>
      </c>
    </row>
    <row r="415" spans="1:8" x14ac:dyDescent="0.3">
      <c r="A415" t="s">
        <v>41</v>
      </c>
      <c r="B415" t="s">
        <v>23</v>
      </c>
      <c r="C415" t="s">
        <v>18</v>
      </c>
      <c r="D415">
        <v>11</v>
      </c>
      <c r="E415" t="s">
        <v>42</v>
      </c>
      <c r="F415" t="s">
        <v>36</v>
      </c>
      <c r="G415" t="s">
        <v>37</v>
      </c>
      <c r="H415">
        <f t="shared" si="6"/>
        <v>11</v>
      </c>
    </row>
    <row r="416" spans="1:8" x14ac:dyDescent="0.3">
      <c r="A416" t="s">
        <v>41</v>
      </c>
      <c r="B416" t="s">
        <v>23</v>
      </c>
      <c r="C416" t="s">
        <v>19</v>
      </c>
      <c r="D416">
        <v>37983</v>
      </c>
      <c r="E416" t="s">
        <v>42</v>
      </c>
      <c r="F416" t="s">
        <v>36</v>
      </c>
      <c r="G416" t="s">
        <v>37</v>
      </c>
      <c r="H416">
        <f t="shared" si="6"/>
        <v>38000</v>
      </c>
    </row>
    <row r="417" spans="1:8" x14ac:dyDescent="0.3">
      <c r="A417" t="s">
        <v>41</v>
      </c>
      <c r="B417" t="s">
        <v>23</v>
      </c>
      <c r="C417" t="s">
        <v>20</v>
      </c>
      <c r="D417">
        <v>17748</v>
      </c>
      <c r="E417" t="s">
        <v>42</v>
      </c>
      <c r="F417" t="s">
        <v>36</v>
      </c>
      <c r="G417" t="s">
        <v>37</v>
      </c>
      <c r="H417">
        <f t="shared" si="6"/>
        <v>17700</v>
      </c>
    </row>
    <row r="418" spans="1:8" x14ac:dyDescent="0.3">
      <c r="A418" t="s">
        <v>41</v>
      </c>
      <c r="B418" t="s">
        <v>23</v>
      </c>
      <c r="C418" t="s">
        <v>21</v>
      </c>
      <c r="D418">
        <v>800</v>
      </c>
      <c r="E418" t="s">
        <v>42</v>
      </c>
      <c r="F418" t="s">
        <v>36</v>
      </c>
      <c r="G418" t="s">
        <v>37</v>
      </c>
      <c r="H418">
        <f t="shared" si="6"/>
        <v>800</v>
      </c>
    </row>
    <row r="419" spans="1:8" x14ac:dyDescent="0.3">
      <c r="A419" t="s">
        <v>41</v>
      </c>
      <c r="B419" t="s">
        <v>23</v>
      </c>
      <c r="C419" t="s">
        <v>22</v>
      </c>
      <c r="D419">
        <v>5224</v>
      </c>
      <c r="E419" t="s">
        <v>42</v>
      </c>
      <c r="F419" t="s">
        <v>36</v>
      </c>
      <c r="G419" t="s">
        <v>37</v>
      </c>
      <c r="H419">
        <f t="shared" si="6"/>
        <v>5220</v>
      </c>
    </row>
    <row r="420" spans="1:8" x14ac:dyDescent="0.3">
      <c r="A420" t="s">
        <v>43</v>
      </c>
      <c r="B420" t="s">
        <v>8</v>
      </c>
      <c r="C420" t="s">
        <v>9</v>
      </c>
      <c r="D420">
        <v>0</v>
      </c>
      <c r="E420" t="s">
        <v>42</v>
      </c>
      <c r="F420" t="s">
        <v>36</v>
      </c>
      <c r="G420" t="s">
        <v>37</v>
      </c>
      <c r="H420">
        <f t="shared" si="6"/>
        <v>0</v>
      </c>
    </row>
    <row r="421" spans="1:8" x14ac:dyDescent="0.3">
      <c r="A421" t="s">
        <v>43</v>
      </c>
      <c r="B421" t="s">
        <v>8</v>
      </c>
      <c r="C421" t="s">
        <v>13</v>
      </c>
      <c r="D421">
        <v>0</v>
      </c>
      <c r="E421" t="s">
        <v>42</v>
      </c>
      <c r="F421" t="s">
        <v>36</v>
      </c>
      <c r="G421" t="s">
        <v>37</v>
      </c>
      <c r="H421">
        <f t="shared" si="6"/>
        <v>0</v>
      </c>
    </row>
    <row r="422" spans="1:8" x14ac:dyDescent="0.3">
      <c r="A422" t="s">
        <v>43</v>
      </c>
      <c r="B422" t="s">
        <v>8</v>
      </c>
      <c r="C422" t="s">
        <v>14</v>
      </c>
      <c r="D422">
        <v>0</v>
      </c>
      <c r="E422" t="s">
        <v>42</v>
      </c>
      <c r="F422" t="s">
        <v>36</v>
      </c>
      <c r="G422" t="s">
        <v>37</v>
      </c>
      <c r="H422">
        <f t="shared" si="6"/>
        <v>0</v>
      </c>
    </row>
    <row r="423" spans="1:8" x14ac:dyDescent="0.3">
      <c r="A423" t="s">
        <v>43</v>
      </c>
      <c r="B423" t="s">
        <v>8</v>
      </c>
      <c r="C423" t="s">
        <v>15</v>
      </c>
      <c r="D423">
        <v>0</v>
      </c>
      <c r="E423" t="s">
        <v>42</v>
      </c>
      <c r="F423" t="s">
        <v>36</v>
      </c>
      <c r="G423" t="s">
        <v>37</v>
      </c>
      <c r="H423">
        <f t="shared" si="6"/>
        <v>0</v>
      </c>
    </row>
    <row r="424" spans="1:8" x14ac:dyDescent="0.3">
      <c r="A424" t="s">
        <v>43</v>
      </c>
      <c r="B424" t="s">
        <v>8</v>
      </c>
      <c r="C424" t="s">
        <v>16</v>
      </c>
      <c r="D424">
        <v>0</v>
      </c>
      <c r="E424" t="s">
        <v>42</v>
      </c>
      <c r="F424" t="s">
        <v>36</v>
      </c>
      <c r="G424" t="s">
        <v>37</v>
      </c>
      <c r="H424">
        <f t="shared" si="6"/>
        <v>0</v>
      </c>
    </row>
    <row r="425" spans="1:8" x14ac:dyDescent="0.3">
      <c r="A425" t="s">
        <v>43</v>
      </c>
      <c r="B425" t="s">
        <v>8</v>
      </c>
      <c r="C425" t="s">
        <v>17</v>
      </c>
      <c r="D425">
        <v>0</v>
      </c>
      <c r="E425" t="s">
        <v>42</v>
      </c>
      <c r="F425" t="s">
        <v>36</v>
      </c>
      <c r="G425" t="s">
        <v>37</v>
      </c>
      <c r="H425">
        <f t="shared" si="6"/>
        <v>0</v>
      </c>
    </row>
    <row r="426" spans="1:8" x14ac:dyDescent="0.3">
      <c r="A426" t="s">
        <v>43</v>
      </c>
      <c r="B426" t="s">
        <v>8</v>
      </c>
      <c r="C426" t="s">
        <v>18</v>
      </c>
      <c r="D426">
        <v>0</v>
      </c>
      <c r="E426" t="s">
        <v>42</v>
      </c>
      <c r="F426" t="s">
        <v>36</v>
      </c>
      <c r="G426" t="s">
        <v>37</v>
      </c>
      <c r="H426">
        <f t="shared" si="6"/>
        <v>0</v>
      </c>
    </row>
    <row r="427" spans="1:8" x14ac:dyDescent="0.3">
      <c r="A427" t="s">
        <v>43</v>
      </c>
      <c r="B427" t="s">
        <v>8</v>
      </c>
      <c r="C427" t="s">
        <v>19</v>
      </c>
      <c r="D427">
        <v>0</v>
      </c>
      <c r="E427" t="s">
        <v>42</v>
      </c>
      <c r="F427" t="s">
        <v>36</v>
      </c>
      <c r="G427" t="s">
        <v>37</v>
      </c>
      <c r="H427">
        <f t="shared" si="6"/>
        <v>0</v>
      </c>
    </row>
    <row r="428" spans="1:8" x14ac:dyDescent="0.3">
      <c r="A428" t="s">
        <v>43</v>
      </c>
      <c r="B428" t="s">
        <v>8</v>
      </c>
      <c r="C428" t="s">
        <v>20</v>
      </c>
      <c r="D428">
        <v>0</v>
      </c>
      <c r="E428" t="s">
        <v>42</v>
      </c>
      <c r="F428" t="s">
        <v>36</v>
      </c>
      <c r="G428" t="s">
        <v>37</v>
      </c>
      <c r="H428">
        <f t="shared" si="6"/>
        <v>0</v>
      </c>
    </row>
    <row r="429" spans="1:8" x14ac:dyDescent="0.3">
      <c r="A429" t="s">
        <v>43</v>
      </c>
      <c r="B429" t="s">
        <v>8</v>
      </c>
      <c r="C429" t="s">
        <v>21</v>
      </c>
      <c r="D429">
        <v>0</v>
      </c>
      <c r="E429" t="s">
        <v>42</v>
      </c>
      <c r="F429" t="s">
        <v>36</v>
      </c>
      <c r="G429" t="s">
        <v>37</v>
      </c>
      <c r="H429">
        <f t="shared" si="6"/>
        <v>0</v>
      </c>
    </row>
    <row r="430" spans="1:8" x14ac:dyDescent="0.3">
      <c r="A430" t="s">
        <v>43</v>
      </c>
      <c r="B430" t="s">
        <v>8</v>
      </c>
      <c r="C430" t="s">
        <v>22</v>
      </c>
      <c r="D430">
        <v>0</v>
      </c>
      <c r="E430" t="s">
        <v>42</v>
      </c>
      <c r="F430" t="s">
        <v>36</v>
      </c>
      <c r="G430" t="s">
        <v>37</v>
      </c>
      <c r="H430">
        <f t="shared" si="6"/>
        <v>0</v>
      </c>
    </row>
    <row r="431" spans="1:8" x14ac:dyDescent="0.3">
      <c r="A431" t="s">
        <v>43</v>
      </c>
      <c r="B431" t="s">
        <v>23</v>
      </c>
      <c r="C431" t="s">
        <v>9</v>
      </c>
      <c r="D431">
        <v>90</v>
      </c>
      <c r="E431" t="s">
        <v>42</v>
      </c>
      <c r="F431" t="s">
        <v>36</v>
      </c>
      <c r="G431" t="s">
        <v>37</v>
      </c>
      <c r="H431">
        <f t="shared" si="6"/>
        <v>90</v>
      </c>
    </row>
    <row r="432" spans="1:8" x14ac:dyDescent="0.3">
      <c r="A432" t="s">
        <v>43</v>
      </c>
      <c r="B432" t="s">
        <v>23</v>
      </c>
      <c r="C432" t="s">
        <v>13</v>
      </c>
      <c r="D432">
        <v>20</v>
      </c>
      <c r="E432" t="s">
        <v>42</v>
      </c>
      <c r="F432" t="s">
        <v>36</v>
      </c>
      <c r="G432" t="s">
        <v>37</v>
      </c>
      <c r="H432">
        <f t="shared" si="6"/>
        <v>20</v>
      </c>
    </row>
    <row r="433" spans="1:8" x14ac:dyDescent="0.3">
      <c r="A433" t="s">
        <v>43</v>
      </c>
      <c r="B433" t="s">
        <v>23</v>
      </c>
      <c r="C433" t="s">
        <v>14</v>
      </c>
      <c r="D433">
        <v>54225</v>
      </c>
      <c r="E433" t="s">
        <v>42</v>
      </c>
      <c r="F433" t="s">
        <v>36</v>
      </c>
      <c r="G433" t="s">
        <v>37</v>
      </c>
      <c r="H433">
        <f t="shared" si="6"/>
        <v>54200</v>
      </c>
    </row>
    <row r="434" spans="1:8" x14ac:dyDescent="0.3">
      <c r="A434" t="s">
        <v>43</v>
      </c>
      <c r="B434" t="s">
        <v>23</v>
      </c>
      <c r="C434" t="s">
        <v>15</v>
      </c>
      <c r="D434">
        <v>2143</v>
      </c>
      <c r="E434" t="s">
        <v>42</v>
      </c>
      <c r="F434" t="s">
        <v>36</v>
      </c>
      <c r="G434" t="s">
        <v>37</v>
      </c>
      <c r="H434">
        <f t="shared" si="6"/>
        <v>2140</v>
      </c>
    </row>
    <row r="435" spans="1:8" x14ac:dyDescent="0.3">
      <c r="A435" t="s">
        <v>43</v>
      </c>
      <c r="B435" t="s">
        <v>23</v>
      </c>
      <c r="C435" t="s">
        <v>16</v>
      </c>
      <c r="D435">
        <v>14211</v>
      </c>
      <c r="E435" t="s">
        <v>42</v>
      </c>
      <c r="F435" t="s">
        <v>36</v>
      </c>
      <c r="G435" t="s">
        <v>37</v>
      </c>
      <c r="H435">
        <f t="shared" si="6"/>
        <v>14200</v>
      </c>
    </row>
    <row r="436" spans="1:8" x14ac:dyDescent="0.3">
      <c r="A436" t="s">
        <v>43</v>
      </c>
      <c r="B436" t="s">
        <v>23</v>
      </c>
      <c r="C436" t="s">
        <v>17</v>
      </c>
      <c r="D436">
        <v>11</v>
      </c>
      <c r="E436" t="s">
        <v>42</v>
      </c>
      <c r="F436" t="s">
        <v>36</v>
      </c>
      <c r="G436" t="s">
        <v>37</v>
      </c>
      <c r="H436">
        <f t="shared" si="6"/>
        <v>11</v>
      </c>
    </row>
    <row r="437" spans="1:8" x14ac:dyDescent="0.3">
      <c r="A437" t="s">
        <v>43</v>
      </c>
      <c r="B437" t="s">
        <v>23</v>
      </c>
      <c r="C437" t="s">
        <v>18</v>
      </c>
      <c r="D437">
        <v>0</v>
      </c>
      <c r="E437" t="s">
        <v>42</v>
      </c>
      <c r="F437" t="s">
        <v>36</v>
      </c>
      <c r="G437" t="s">
        <v>37</v>
      </c>
      <c r="H437">
        <f t="shared" si="6"/>
        <v>0</v>
      </c>
    </row>
    <row r="438" spans="1:8" x14ac:dyDescent="0.3">
      <c r="A438" t="s">
        <v>43</v>
      </c>
      <c r="B438" t="s">
        <v>23</v>
      </c>
      <c r="C438" t="s">
        <v>19</v>
      </c>
      <c r="D438">
        <v>96</v>
      </c>
      <c r="E438" t="s">
        <v>42</v>
      </c>
      <c r="F438" t="s">
        <v>36</v>
      </c>
      <c r="G438" t="s">
        <v>37</v>
      </c>
      <c r="H438">
        <f t="shared" si="6"/>
        <v>96</v>
      </c>
    </row>
    <row r="439" spans="1:8" x14ac:dyDescent="0.3">
      <c r="A439" t="s">
        <v>43</v>
      </c>
      <c r="B439" t="s">
        <v>23</v>
      </c>
      <c r="C439" t="s">
        <v>20</v>
      </c>
      <c r="D439">
        <v>312</v>
      </c>
      <c r="E439" t="s">
        <v>42</v>
      </c>
      <c r="F439" t="s">
        <v>36</v>
      </c>
      <c r="G439" t="s">
        <v>37</v>
      </c>
      <c r="H439">
        <f t="shared" si="6"/>
        <v>312</v>
      </c>
    </row>
    <row r="440" spans="1:8" x14ac:dyDescent="0.3">
      <c r="A440" t="s">
        <v>43</v>
      </c>
      <c r="B440" t="s">
        <v>23</v>
      </c>
      <c r="C440" t="s">
        <v>21</v>
      </c>
      <c r="D440">
        <v>81</v>
      </c>
      <c r="E440" t="s">
        <v>42</v>
      </c>
      <c r="F440" t="s">
        <v>36</v>
      </c>
      <c r="G440" t="s">
        <v>37</v>
      </c>
      <c r="H440">
        <f t="shared" si="6"/>
        <v>81</v>
      </c>
    </row>
    <row r="441" spans="1:8" x14ac:dyDescent="0.3">
      <c r="A441" t="s">
        <v>43</v>
      </c>
      <c r="B441" t="s">
        <v>23</v>
      </c>
      <c r="C441" t="s">
        <v>22</v>
      </c>
      <c r="D441">
        <v>86</v>
      </c>
      <c r="E441" t="s">
        <v>42</v>
      </c>
      <c r="F441" t="s">
        <v>36</v>
      </c>
      <c r="G441" t="s">
        <v>37</v>
      </c>
      <c r="H441">
        <f t="shared" si="6"/>
        <v>86</v>
      </c>
    </row>
    <row r="442" spans="1:8" x14ac:dyDescent="0.3">
      <c r="A442" t="s">
        <v>44</v>
      </c>
      <c r="B442" t="s">
        <v>8</v>
      </c>
      <c r="C442" t="s">
        <v>9</v>
      </c>
      <c r="D442">
        <v>0</v>
      </c>
      <c r="E442" t="s">
        <v>42</v>
      </c>
      <c r="F442" t="s">
        <v>36</v>
      </c>
      <c r="G442" t="s">
        <v>37</v>
      </c>
      <c r="H442">
        <f t="shared" si="6"/>
        <v>0</v>
      </c>
    </row>
    <row r="443" spans="1:8" x14ac:dyDescent="0.3">
      <c r="A443" t="s">
        <v>44</v>
      </c>
      <c r="B443" t="s">
        <v>8</v>
      </c>
      <c r="C443" t="s">
        <v>13</v>
      </c>
      <c r="D443">
        <v>0</v>
      </c>
      <c r="E443" t="s">
        <v>42</v>
      </c>
      <c r="F443" t="s">
        <v>36</v>
      </c>
      <c r="G443" t="s">
        <v>37</v>
      </c>
      <c r="H443">
        <f t="shared" si="6"/>
        <v>0</v>
      </c>
    </row>
    <row r="444" spans="1:8" x14ac:dyDescent="0.3">
      <c r="A444" t="s">
        <v>44</v>
      </c>
      <c r="B444" t="s">
        <v>8</v>
      </c>
      <c r="C444" t="s">
        <v>14</v>
      </c>
      <c r="D444">
        <v>0</v>
      </c>
      <c r="E444" t="s">
        <v>42</v>
      </c>
      <c r="F444" t="s">
        <v>36</v>
      </c>
      <c r="G444" t="s">
        <v>37</v>
      </c>
      <c r="H444">
        <f t="shared" si="6"/>
        <v>0</v>
      </c>
    </row>
    <row r="445" spans="1:8" x14ac:dyDescent="0.3">
      <c r="A445" t="s">
        <v>44</v>
      </c>
      <c r="B445" t="s">
        <v>8</v>
      </c>
      <c r="C445" t="s">
        <v>15</v>
      </c>
      <c r="D445">
        <v>0</v>
      </c>
      <c r="E445" t="s">
        <v>42</v>
      </c>
      <c r="F445" t="s">
        <v>36</v>
      </c>
      <c r="G445" t="s">
        <v>37</v>
      </c>
      <c r="H445">
        <f t="shared" si="6"/>
        <v>0</v>
      </c>
    </row>
    <row r="446" spans="1:8" x14ac:dyDescent="0.3">
      <c r="A446" t="s">
        <v>44</v>
      </c>
      <c r="B446" t="s">
        <v>8</v>
      </c>
      <c r="C446" t="s">
        <v>16</v>
      </c>
      <c r="D446">
        <v>0</v>
      </c>
      <c r="E446" t="s">
        <v>42</v>
      </c>
      <c r="F446" t="s">
        <v>36</v>
      </c>
      <c r="G446" t="s">
        <v>37</v>
      </c>
      <c r="H446">
        <f t="shared" si="6"/>
        <v>0</v>
      </c>
    </row>
    <row r="447" spans="1:8" x14ac:dyDescent="0.3">
      <c r="A447" t="s">
        <v>44</v>
      </c>
      <c r="B447" t="s">
        <v>8</v>
      </c>
      <c r="C447" t="s">
        <v>17</v>
      </c>
      <c r="D447">
        <v>0</v>
      </c>
      <c r="E447" t="s">
        <v>42</v>
      </c>
      <c r="F447" t="s">
        <v>36</v>
      </c>
      <c r="G447" t="s">
        <v>37</v>
      </c>
      <c r="H447">
        <f t="shared" si="6"/>
        <v>0</v>
      </c>
    </row>
    <row r="448" spans="1:8" x14ac:dyDescent="0.3">
      <c r="A448" t="s">
        <v>44</v>
      </c>
      <c r="B448" t="s">
        <v>8</v>
      </c>
      <c r="C448" t="s">
        <v>18</v>
      </c>
      <c r="D448">
        <v>0</v>
      </c>
      <c r="E448" t="s">
        <v>42</v>
      </c>
      <c r="F448" t="s">
        <v>36</v>
      </c>
      <c r="G448" t="s">
        <v>37</v>
      </c>
      <c r="H448">
        <f t="shared" si="6"/>
        <v>0</v>
      </c>
    </row>
    <row r="449" spans="1:8" x14ac:dyDescent="0.3">
      <c r="A449" t="s">
        <v>44</v>
      </c>
      <c r="B449" t="s">
        <v>8</v>
      </c>
      <c r="C449" t="s">
        <v>19</v>
      </c>
      <c r="D449">
        <v>0</v>
      </c>
      <c r="E449" t="s">
        <v>42</v>
      </c>
      <c r="F449" t="s">
        <v>36</v>
      </c>
      <c r="G449" t="s">
        <v>37</v>
      </c>
      <c r="H449">
        <f t="shared" si="6"/>
        <v>0</v>
      </c>
    </row>
    <row r="450" spans="1:8" x14ac:dyDescent="0.3">
      <c r="A450" t="s">
        <v>44</v>
      </c>
      <c r="B450" t="s">
        <v>8</v>
      </c>
      <c r="C450" t="s">
        <v>20</v>
      </c>
      <c r="D450">
        <v>0</v>
      </c>
      <c r="E450" t="s">
        <v>42</v>
      </c>
      <c r="F450" t="s">
        <v>36</v>
      </c>
      <c r="G450" t="s">
        <v>37</v>
      </c>
      <c r="H450">
        <f t="shared" si="6"/>
        <v>0</v>
      </c>
    </row>
    <row r="451" spans="1:8" x14ac:dyDescent="0.3">
      <c r="A451" t="s">
        <v>44</v>
      </c>
      <c r="B451" t="s">
        <v>8</v>
      </c>
      <c r="C451" t="s">
        <v>21</v>
      </c>
      <c r="D451">
        <v>0</v>
      </c>
      <c r="E451" t="s">
        <v>42</v>
      </c>
      <c r="F451" t="s">
        <v>36</v>
      </c>
      <c r="G451" t="s">
        <v>37</v>
      </c>
      <c r="H451">
        <f t="shared" ref="H451:H514" si="7">ROUND(D451, 3 - LEN(INT(ABS(D451))))</f>
        <v>0</v>
      </c>
    </row>
    <row r="452" spans="1:8" x14ac:dyDescent="0.3">
      <c r="A452" t="s">
        <v>44</v>
      </c>
      <c r="B452" t="s">
        <v>8</v>
      </c>
      <c r="C452" t="s">
        <v>22</v>
      </c>
      <c r="D452">
        <v>0</v>
      </c>
      <c r="E452" t="s">
        <v>42</v>
      </c>
      <c r="F452" t="s">
        <v>36</v>
      </c>
      <c r="G452" t="s">
        <v>37</v>
      </c>
      <c r="H452">
        <f t="shared" si="7"/>
        <v>0</v>
      </c>
    </row>
    <row r="453" spans="1:8" x14ac:dyDescent="0.3">
      <c r="A453" t="s">
        <v>44</v>
      </c>
      <c r="B453" t="s">
        <v>23</v>
      </c>
      <c r="C453" t="s">
        <v>9</v>
      </c>
      <c r="D453">
        <v>454</v>
      </c>
      <c r="E453" t="s">
        <v>42</v>
      </c>
      <c r="F453" t="s">
        <v>36</v>
      </c>
      <c r="G453" t="s">
        <v>37</v>
      </c>
      <c r="H453">
        <f t="shared" si="7"/>
        <v>454</v>
      </c>
    </row>
    <row r="454" spans="1:8" x14ac:dyDescent="0.3">
      <c r="A454" t="s">
        <v>44</v>
      </c>
      <c r="B454" t="s">
        <v>23</v>
      </c>
      <c r="C454" t="s">
        <v>13</v>
      </c>
      <c r="D454">
        <v>100</v>
      </c>
      <c r="E454" t="s">
        <v>42</v>
      </c>
      <c r="F454" t="s">
        <v>36</v>
      </c>
      <c r="G454" t="s">
        <v>37</v>
      </c>
      <c r="H454">
        <f t="shared" si="7"/>
        <v>100</v>
      </c>
    </row>
    <row r="455" spans="1:8" x14ac:dyDescent="0.3">
      <c r="A455" t="s">
        <v>44</v>
      </c>
      <c r="B455" t="s">
        <v>23</v>
      </c>
      <c r="C455" t="s">
        <v>14</v>
      </c>
      <c r="D455">
        <v>272503</v>
      </c>
      <c r="E455" t="s">
        <v>42</v>
      </c>
      <c r="F455" t="s">
        <v>36</v>
      </c>
      <c r="G455" t="s">
        <v>37</v>
      </c>
      <c r="H455">
        <f t="shared" si="7"/>
        <v>273000</v>
      </c>
    </row>
    <row r="456" spans="1:8" x14ac:dyDescent="0.3">
      <c r="A456" t="s">
        <v>44</v>
      </c>
      <c r="B456" t="s">
        <v>23</v>
      </c>
      <c r="C456" t="s">
        <v>15</v>
      </c>
      <c r="D456">
        <v>10772</v>
      </c>
      <c r="E456" t="s">
        <v>42</v>
      </c>
      <c r="F456" t="s">
        <v>36</v>
      </c>
      <c r="G456" t="s">
        <v>37</v>
      </c>
      <c r="H456">
        <f t="shared" si="7"/>
        <v>10800</v>
      </c>
    </row>
    <row r="457" spans="1:8" x14ac:dyDescent="0.3">
      <c r="A457" t="s">
        <v>44</v>
      </c>
      <c r="B457" t="s">
        <v>23</v>
      </c>
      <c r="C457" t="s">
        <v>16</v>
      </c>
      <c r="D457">
        <v>71416</v>
      </c>
      <c r="E457" t="s">
        <v>42</v>
      </c>
      <c r="F457" t="s">
        <v>36</v>
      </c>
      <c r="G457" t="s">
        <v>37</v>
      </c>
      <c r="H457">
        <f t="shared" si="7"/>
        <v>71400</v>
      </c>
    </row>
    <row r="458" spans="1:8" x14ac:dyDescent="0.3">
      <c r="A458" t="s">
        <v>44</v>
      </c>
      <c r="B458" t="s">
        <v>23</v>
      </c>
      <c r="C458" t="s">
        <v>17</v>
      </c>
      <c r="D458">
        <v>55</v>
      </c>
      <c r="E458" t="s">
        <v>42</v>
      </c>
      <c r="F458" t="s">
        <v>36</v>
      </c>
      <c r="G458" t="s">
        <v>37</v>
      </c>
      <c r="H458">
        <f t="shared" si="7"/>
        <v>55</v>
      </c>
    </row>
    <row r="459" spans="1:8" x14ac:dyDescent="0.3">
      <c r="A459" t="s">
        <v>44</v>
      </c>
      <c r="B459" t="s">
        <v>23</v>
      </c>
      <c r="C459" t="s">
        <v>18</v>
      </c>
      <c r="D459">
        <v>0</v>
      </c>
      <c r="E459" t="s">
        <v>42</v>
      </c>
      <c r="F459" t="s">
        <v>36</v>
      </c>
      <c r="G459" t="s">
        <v>37</v>
      </c>
      <c r="H459">
        <f t="shared" si="7"/>
        <v>0</v>
      </c>
    </row>
    <row r="460" spans="1:8" x14ac:dyDescent="0.3">
      <c r="A460" t="s">
        <v>44</v>
      </c>
      <c r="B460" t="s">
        <v>23</v>
      </c>
      <c r="C460" t="s">
        <v>19</v>
      </c>
      <c r="D460">
        <v>483</v>
      </c>
      <c r="E460" t="s">
        <v>42</v>
      </c>
      <c r="F460" t="s">
        <v>36</v>
      </c>
      <c r="G460" t="s">
        <v>37</v>
      </c>
      <c r="H460">
        <f t="shared" si="7"/>
        <v>483</v>
      </c>
    </row>
    <row r="461" spans="1:8" x14ac:dyDescent="0.3">
      <c r="A461" t="s">
        <v>44</v>
      </c>
      <c r="B461" t="s">
        <v>23</v>
      </c>
      <c r="C461" t="s">
        <v>20</v>
      </c>
      <c r="D461">
        <v>1569</v>
      </c>
      <c r="E461" t="s">
        <v>42</v>
      </c>
      <c r="F461" t="s">
        <v>36</v>
      </c>
      <c r="G461" t="s">
        <v>37</v>
      </c>
      <c r="H461">
        <f t="shared" si="7"/>
        <v>1570</v>
      </c>
    </row>
    <row r="462" spans="1:8" x14ac:dyDescent="0.3">
      <c r="A462" t="s">
        <v>44</v>
      </c>
      <c r="B462" t="s">
        <v>23</v>
      </c>
      <c r="C462" t="s">
        <v>21</v>
      </c>
      <c r="D462">
        <v>407</v>
      </c>
      <c r="E462" t="s">
        <v>42</v>
      </c>
      <c r="F462" t="s">
        <v>36</v>
      </c>
      <c r="G462" t="s">
        <v>37</v>
      </c>
      <c r="H462">
        <f t="shared" si="7"/>
        <v>407</v>
      </c>
    </row>
    <row r="463" spans="1:8" x14ac:dyDescent="0.3">
      <c r="A463" t="s">
        <v>44</v>
      </c>
      <c r="B463" t="s">
        <v>23</v>
      </c>
      <c r="C463" t="s">
        <v>22</v>
      </c>
      <c r="D463">
        <v>433</v>
      </c>
      <c r="E463" t="s">
        <v>42</v>
      </c>
      <c r="F463" t="s">
        <v>36</v>
      </c>
      <c r="G463" t="s">
        <v>37</v>
      </c>
      <c r="H463">
        <f t="shared" si="7"/>
        <v>433</v>
      </c>
    </row>
    <row r="464" spans="1:8" x14ac:dyDescent="0.3">
      <c r="A464" t="s">
        <v>24</v>
      </c>
      <c r="B464" t="s">
        <v>8</v>
      </c>
      <c r="C464" t="s">
        <v>9</v>
      </c>
      <c r="D464">
        <v>0</v>
      </c>
      <c r="E464" t="s">
        <v>42</v>
      </c>
      <c r="F464" t="s">
        <v>36</v>
      </c>
      <c r="G464" t="s">
        <v>37</v>
      </c>
      <c r="H464">
        <f t="shared" si="7"/>
        <v>0</v>
      </c>
    </row>
    <row r="465" spans="1:8" x14ac:dyDescent="0.3">
      <c r="A465" t="s">
        <v>24</v>
      </c>
      <c r="B465" t="s">
        <v>8</v>
      </c>
      <c r="C465" t="s">
        <v>13</v>
      </c>
      <c r="D465">
        <v>0</v>
      </c>
      <c r="E465" t="s">
        <v>42</v>
      </c>
      <c r="F465" t="s">
        <v>36</v>
      </c>
      <c r="G465" t="s">
        <v>37</v>
      </c>
      <c r="H465">
        <f t="shared" si="7"/>
        <v>0</v>
      </c>
    </row>
    <row r="466" spans="1:8" x14ac:dyDescent="0.3">
      <c r="A466" t="s">
        <v>24</v>
      </c>
      <c r="B466" t="s">
        <v>8</v>
      </c>
      <c r="C466" t="s">
        <v>14</v>
      </c>
      <c r="D466">
        <v>0</v>
      </c>
      <c r="E466" t="s">
        <v>42</v>
      </c>
      <c r="F466" t="s">
        <v>36</v>
      </c>
      <c r="G466" t="s">
        <v>37</v>
      </c>
      <c r="H466">
        <f t="shared" si="7"/>
        <v>0</v>
      </c>
    </row>
    <row r="467" spans="1:8" x14ac:dyDescent="0.3">
      <c r="A467" t="s">
        <v>24</v>
      </c>
      <c r="B467" t="s">
        <v>8</v>
      </c>
      <c r="C467" t="s">
        <v>15</v>
      </c>
      <c r="D467">
        <v>0</v>
      </c>
      <c r="E467" t="s">
        <v>42</v>
      </c>
      <c r="F467" t="s">
        <v>36</v>
      </c>
      <c r="G467" t="s">
        <v>37</v>
      </c>
      <c r="H467">
        <f t="shared" si="7"/>
        <v>0</v>
      </c>
    </row>
    <row r="468" spans="1:8" x14ac:dyDescent="0.3">
      <c r="A468" t="s">
        <v>24</v>
      </c>
      <c r="B468" t="s">
        <v>8</v>
      </c>
      <c r="C468" t="s">
        <v>16</v>
      </c>
      <c r="D468">
        <v>0</v>
      </c>
      <c r="E468" t="s">
        <v>42</v>
      </c>
      <c r="F468" t="s">
        <v>36</v>
      </c>
      <c r="G468" t="s">
        <v>37</v>
      </c>
      <c r="H468">
        <f t="shared" si="7"/>
        <v>0</v>
      </c>
    </row>
    <row r="469" spans="1:8" x14ac:dyDescent="0.3">
      <c r="A469" t="s">
        <v>24</v>
      </c>
      <c r="B469" t="s">
        <v>8</v>
      </c>
      <c r="C469" t="s">
        <v>17</v>
      </c>
      <c r="D469">
        <v>0</v>
      </c>
      <c r="E469" t="s">
        <v>42</v>
      </c>
      <c r="F469" t="s">
        <v>36</v>
      </c>
      <c r="G469" t="s">
        <v>37</v>
      </c>
      <c r="H469">
        <f t="shared" si="7"/>
        <v>0</v>
      </c>
    </row>
    <row r="470" spans="1:8" x14ac:dyDescent="0.3">
      <c r="A470" t="s">
        <v>24</v>
      </c>
      <c r="B470" t="s">
        <v>8</v>
      </c>
      <c r="C470" t="s">
        <v>18</v>
      </c>
      <c r="D470">
        <v>0</v>
      </c>
      <c r="E470" t="s">
        <v>42</v>
      </c>
      <c r="F470" t="s">
        <v>36</v>
      </c>
      <c r="G470" t="s">
        <v>37</v>
      </c>
      <c r="H470">
        <f t="shared" si="7"/>
        <v>0</v>
      </c>
    </row>
    <row r="471" spans="1:8" x14ac:dyDescent="0.3">
      <c r="A471" t="s">
        <v>24</v>
      </c>
      <c r="B471" t="s">
        <v>8</v>
      </c>
      <c r="C471" t="s">
        <v>19</v>
      </c>
      <c r="D471">
        <v>0</v>
      </c>
      <c r="E471" t="s">
        <v>42</v>
      </c>
      <c r="F471" t="s">
        <v>36</v>
      </c>
      <c r="G471" t="s">
        <v>37</v>
      </c>
      <c r="H471">
        <f t="shared" si="7"/>
        <v>0</v>
      </c>
    </row>
    <row r="472" spans="1:8" x14ac:dyDescent="0.3">
      <c r="A472" t="s">
        <v>24</v>
      </c>
      <c r="B472" t="s">
        <v>8</v>
      </c>
      <c r="C472" t="s">
        <v>20</v>
      </c>
      <c r="D472">
        <v>0</v>
      </c>
      <c r="E472" t="s">
        <v>42</v>
      </c>
      <c r="F472" t="s">
        <v>36</v>
      </c>
      <c r="G472" t="s">
        <v>37</v>
      </c>
      <c r="H472">
        <f t="shared" si="7"/>
        <v>0</v>
      </c>
    </row>
    <row r="473" spans="1:8" x14ac:dyDescent="0.3">
      <c r="A473" t="s">
        <v>24</v>
      </c>
      <c r="B473" t="s">
        <v>8</v>
      </c>
      <c r="C473" t="s">
        <v>21</v>
      </c>
      <c r="D473">
        <v>0</v>
      </c>
      <c r="E473" t="s">
        <v>42</v>
      </c>
      <c r="F473" t="s">
        <v>36</v>
      </c>
      <c r="G473" t="s">
        <v>37</v>
      </c>
      <c r="H473">
        <f t="shared" si="7"/>
        <v>0</v>
      </c>
    </row>
    <row r="474" spans="1:8" x14ac:dyDescent="0.3">
      <c r="A474" t="s">
        <v>24</v>
      </c>
      <c r="B474" t="s">
        <v>8</v>
      </c>
      <c r="C474" t="s">
        <v>22</v>
      </c>
      <c r="D474">
        <v>0</v>
      </c>
      <c r="E474" t="s">
        <v>42</v>
      </c>
      <c r="F474" t="s">
        <v>36</v>
      </c>
      <c r="G474" t="s">
        <v>37</v>
      </c>
      <c r="H474">
        <f t="shared" si="7"/>
        <v>0</v>
      </c>
    </row>
    <row r="475" spans="1:8" x14ac:dyDescent="0.3">
      <c r="A475" t="s">
        <v>24</v>
      </c>
      <c r="B475" t="s">
        <v>23</v>
      </c>
      <c r="C475" t="s">
        <v>9</v>
      </c>
      <c r="D475">
        <v>34847</v>
      </c>
      <c r="E475" t="s">
        <v>42</v>
      </c>
      <c r="F475" t="s">
        <v>36</v>
      </c>
      <c r="G475" t="s">
        <v>37</v>
      </c>
      <c r="H475">
        <f t="shared" si="7"/>
        <v>34800</v>
      </c>
    </row>
    <row r="476" spans="1:8" x14ac:dyDescent="0.3">
      <c r="A476" t="s">
        <v>24</v>
      </c>
      <c r="B476" t="s">
        <v>23</v>
      </c>
      <c r="C476" t="s">
        <v>13</v>
      </c>
      <c r="D476">
        <v>3568</v>
      </c>
      <c r="E476" t="s">
        <v>42</v>
      </c>
      <c r="F476" t="s">
        <v>36</v>
      </c>
      <c r="G476" t="s">
        <v>37</v>
      </c>
      <c r="H476">
        <f t="shared" si="7"/>
        <v>3570</v>
      </c>
    </row>
    <row r="477" spans="1:8" x14ac:dyDescent="0.3">
      <c r="A477" t="s">
        <v>24</v>
      </c>
      <c r="B477" t="s">
        <v>23</v>
      </c>
      <c r="C477" t="s">
        <v>14</v>
      </c>
      <c r="D477">
        <v>46830</v>
      </c>
      <c r="E477" t="s">
        <v>42</v>
      </c>
      <c r="F477" t="s">
        <v>36</v>
      </c>
      <c r="G477" t="s">
        <v>37</v>
      </c>
      <c r="H477">
        <f t="shared" si="7"/>
        <v>46800</v>
      </c>
    </row>
    <row r="478" spans="1:8" x14ac:dyDescent="0.3">
      <c r="A478" t="s">
        <v>24</v>
      </c>
      <c r="B478" t="s">
        <v>23</v>
      </c>
      <c r="C478" t="s">
        <v>15</v>
      </c>
      <c r="D478">
        <v>4233</v>
      </c>
      <c r="E478" t="s">
        <v>42</v>
      </c>
      <c r="F478" t="s">
        <v>36</v>
      </c>
      <c r="G478" t="s">
        <v>37</v>
      </c>
      <c r="H478">
        <f t="shared" si="7"/>
        <v>4230</v>
      </c>
    </row>
    <row r="479" spans="1:8" x14ac:dyDescent="0.3">
      <c r="A479" t="s">
        <v>24</v>
      </c>
      <c r="B479" t="s">
        <v>23</v>
      </c>
      <c r="C479" t="s">
        <v>16</v>
      </c>
      <c r="D479">
        <v>244861</v>
      </c>
      <c r="E479" t="s">
        <v>42</v>
      </c>
      <c r="F479" t="s">
        <v>36</v>
      </c>
      <c r="G479" t="s">
        <v>37</v>
      </c>
      <c r="H479">
        <f t="shared" si="7"/>
        <v>245000</v>
      </c>
    </row>
    <row r="480" spans="1:8" x14ac:dyDescent="0.3">
      <c r="A480" t="s">
        <v>24</v>
      </c>
      <c r="B480" t="s">
        <v>23</v>
      </c>
      <c r="C480" t="s">
        <v>17</v>
      </c>
      <c r="D480">
        <v>238</v>
      </c>
      <c r="E480" t="s">
        <v>42</v>
      </c>
      <c r="F480" t="s">
        <v>36</v>
      </c>
      <c r="G480" t="s">
        <v>37</v>
      </c>
      <c r="H480">
        <f t="shared" si="7"/>
        <v>238</v>
      </c>
    </row>
    <row r="481" spans="1:8" x14ac:dyDescent="0.3">
      <c r="A481" t="s">
        <v>24</v>
      </c>
      <c r="B481" t="s">
        <v>23</v>
      </c>
      <c r="C481" t="s">
        <v>18</v>
      </c>
      <c r="D481">
        <v>0</v>
      </c>
      <c r="E481" t="s">
        <v>42</v>
      </c>
      <c r="F481" t="s">
        <v>36</v>
      </c>
      <c r="G481" t="s">
        <v>37</v>
      </c>
      <c r="H481">
        <f t="shared" si="7"/>
        <v>0</v>
      </c>
    </row>
    <row r="482" spans="1:8" x14ac:dyDescent="0.3">
      <c r="A482" t="s">
        <v>24</v>
      </c>
      <c r="B482" t="s">
        <v>23</v>
      </c>
      <c r="C482" t="s">
        <v>19</v>
      </c>
      <c r="D482">
        <v>1363</v>
      </c>
      <c r="E482" t="s">
        <v>42</v>
      </c>
      <c r="F482" t="s">
        <v>36</v>
      </c>
      <c r="G482" t="s">
        <v>37</v>
      </c>
      <c r="H482">
        <f t="shared" si="7"/>
        <v>1360</v>
      </c>
    </row>
    <row r="483" spans="1:8" x14ac:dyDescent="0.3">
      <c r="A483" t="s">
        <v>24</v>
      </c>
      <c r="B483" t="s">
        <v>23</v>
      </c>
      <c r="C483" t="s">
        <v>20</v>
      </c>
      <c r="D483">
        <v>4390</v>
      </c>
      <c r="E483" t="s">
        <v>42</v>
      </c>
      <c r="F483" t="s">
        <v>36</v>
      </c>
      <c r="G483" t="s">
        <v>37</v>
      </c>
      <c r="H483">
        <f t="shared" si="7"/>
        <v>4390</v>
      </c>
    </row>
    <row r="484" spans="1:8" x14ac:dyDescent="0.3">
      <c r="A484" t="s">
        <v>24</v>
      </c>
      <c r="B484" t="s">
        <v>23</v>
      </c>
      <c r="C484" t="s">
        <v>21</v>
      </c>
      <c r="D484">
        <v>422</v>
      </c>
      <c r="E484" t="s">
        <v>42</v>
      </c>
      <c r="F484" t="s">
        <v>36</v>
      </c>
      <c r="G484" t="s">
        <v>37</v>
      </c>
      <c r="H484">
        <f t="shared" si="7"/>
        <v>422</v>
      </c>
    </row>
    <row r="485" spans="1:8" x14ac:dyDescent="0.3">
      <c r="A485" t="s">
        <v>24</v>
      </c>
      <c r="B485" t="s">
        <v>23</v>
      </c>
      <c r="C485" t="s">
        <v>22</v>
      </c>
      <c r="D485">
        <v>35208</v>
      </c>
      <c r="E485" t="s">
        <v>42</v>
      </c>
      <c r="F485" t="s">
        <v>36</v>
      </c>
      <c r="G485" t="s">
        <v>37</v>
      </c>
      <c r="H485">
        <f t="shared" si="7"/>
        <v>35200</v>
      </c>
    </row>
    <row r="486" spans="1:8" x14ac:dyDescent="0.3">
      <c r="A486" t="s">
        <v>45</v>
      </c>
      <c r="B486" t="s">
        <v>8</v>
      </c>
      <c r="C486" t="s">
        <v>9</v>
      </c>
      <c r="D486">
        <v>0</v>
      </c>
      <c r="E486" t="s">
        <v>42</v>
      </c>
      <c r="F486" t="s">
        <v>36</v>
      </c>
      <c r="G486" t="s">
        <v>37</v>
      </c>
      <c r="H486">
        <f t="shared" si="7"/>
        <v>0</v>
      </c>
    </row>
    <row r="487" spans="1:8" x14ac:dyDescent="0.3">
      <c r="A487" t="s">
        <v>45</v>
      </c>
      <c r="B487" t="s">
        <v>8</v>
      </c>
      <c r="C487" t="s">
        <v>13</v>
      </c>
      <c r="D487">
        <v>0</v>
      </c>
      <c r="E487" t="s">
        <v>42</v>
      </c>
      <c r="F487" t="s">
        <v>36</v>
      </c>
      <c r="G487" t="s">
        <v>37</v>
      </c>
      <c r="H487">
        <f t="shared" si="7"/>
        <v>0</v>
      </c>
    </row>
    <row r="488" spans="1:8" x14ac:dyDescent="0.3">
      <c r="A488" t="s">
        <v>45</v>
      </c>
      <c r="B488" t="s">
        <v>8</v>
      </c>
      <c r="C488" t="s">
        <v>14</v>
      </c>
      <c r="D488">
        <v>0</v>
      </c>
      <c r="E488" t="s">
        <v>42</v>
      </c>
      <c r="F488" t="s">
        <v>36</v>
      </c>
      <c r="G488" t="s">
        <v>37</v>
      </c>
      <c r="H488">
        <f t="shared" si="7"/>
        <v>0</v>
      </c>
    </row>
    <row r="489" spans="1:8" x14ac:dyDescent="0.3">
      <c r="A489" t="s">
        <v>45</v>
      </c>
      <c r="B489" t="s">
        <v>8</v>
      </c>
      <c r="C489" t="s">
        <v>15</v>
      </c>
      <c r="D489">
        <v>0</v>
      </c>
      <c r="E489" t="s">
        <v>42</v>
      </c>
      <c r="F489" t="s">
        <v>36</v>
      </c>
      <c r="G489" t="s">
        <v>37</v>
      </c>
      <c r="H489">
        <f t="shared" si="7"/>
        <v>0</v>
      </c>
    </row>
    <row r="490" spans="1:8" x14ac:dyDescent="0.3">
      <c r="A490" t="s">
        <v>45</v>
      </c>
      <c r="B490" t="s">
        <v>8</v>
      </c>
      <c r="C490" t="s">
        <v>16</v>
      </c>
      <c r="D490">
        <v>0</v>
      </c>
      <c r="E490" t="s">
        <v>42</v>
      </c>
      <c r="F490" t="s">
        <v>36</v>
      </c>
      <c r="G490" t="s">
        <v>37</v>
      </c>
      <c r="H490">
        <f t="shared" si="7"/>
        <v>0</v>
      </c>
    </row>
    <row r="491" spans="1:8" x14ac:dyDescent="0.3">
      <c r="A491" t="s">
        <v>45</v>
      </c>
      <c r="B491" t="s">
        <v>8</v>
      </c>
      <c r="C491" t="s">
        <v>17</v>
      </c>
      <c r="D491">
        <v>0</v>
      </c>
      <c r="E491" t="s">
        <v>42</v>
      </c>
      <c r="F491" t="s">
        <v>36</v>
      </c>
      <c r="G491" t="s">
        <v>37</v>
      </c>
      <c r="H491">
        <f t="shared" si="7"/>
        <v>0</v>
      </c>
    </row>
    <row r="492" spans="1:8" x14ac:dyDescent="0.3">
      <c r="A492" t="s">
        <v>45</v>
      </c>
      <c r="B492" t="s">
        <v>8</v>
      </c>
      <c r="C492" t="s">
        <v>18</v>
      </c>
      <c r="D492">
        <v>0</v>
      </c>
      <c r="E492" t="s">
        <v>42</v>
      </c>
      <c r="F492" t="s">
        <v>36</v>
      </c>
      <c r="G492" t="s">
        <v>37</v>
      </c>
      <c r="H492">
        <f t="shared" si="7"/>
        <v>0</v>
      </c>
    </row>
    <row r="493" spans="1:8" x14ac:dyDescent="0.3">
      <c r="A493" t="s">
        <v>45</v>
      </c>
      <c r="B493" t="s">
        <v>8</v>
      </c>
      <c r="C493" t="s">
        <v>19</v>
      </c>
      <c r="D493">
        <v>0</v>
      </c>
      <c r="E493" t="s">
        <v>42</v>
      </c>
      <c r="F493" t="s">
        <v>36</v>
      </c>
      <c r="G493" t="s">
        <v>37</v>
      </c>
      <c r="H493">
        <f t="shared" si="7"/>
        <v>0</v>
      </c>
    </row>
    <row r="494" spans="1:8" x14ac:dyDescent="0.3">
      <c r="A494" t="s">
        <v>45</v>
      </c>
      <c r="B494" t="s">
        <v>8</v>
      </c>
      <c r="C494" t="s">
        <v>20</v>
      </c>
      <c r="D494">
        <v>0</v>
      </c>
      <c r="E494" t="s">
        <v>42</v>
      </c>
      <c r="F494" t="s">
        <v>36</v>
      </c>
      <c r="G494" t="s">
        <v>37</v>
      </c>
      <c r="H494">
        <f t="shared" si="7"/>
        <v>0</v>
      </c>
    </row>
    <row r="495" spans="1:8" x14ac:dyDescent="0.3">
      <c r="A495" t="s">
        <v>45</v>
      </c>
      <c r="B495" t="s">
        <v>8</v>
      </c>
      <c r="C495" t="s">
        <v>21</v>
      </c>
      <c r="D495">
        <v>0</v>
      </c>
      <c r="E495" t="s">
        <v>42</v>
      </c>
      <c r="F495" t="s">
        <v>36</v>
      </c>
      <c r="G495" t="s">
        <v>37</v>
      </c>
      <c r="H495">
        <f t="shared" si="7"/>
        <v>0</v>
      </c>
    </row>
    <row r="496" spans="1:8" x14ac:dyDescent="0.3">
      <c r="A496" t="s">
        <v>45</v>
      </c>
      <c r="B496" t="s">
        <v>8</v>
      </c>
      <c r="C496" t="s">
        <v>22</v>
      </c>
      <c r="D496">
        <v>0</v>
      </c>
      <c r="E496" t="s">
        <v>42</v>
      </c>
      <c r="F496" t="s">
        <v>36</v>
      </c>
      <c r="G496" t="s">
        <v>37</v>
      </c>
      <c r="H496">
        <f t="shared" si="7"/>
        <v>0</v>
      </c>
    </row>
    <row r="497" spans="1:8" x14ac:dyDescent="0.3">
      <c r="A497" t="s">
        <v>45</v>
      </c>
      <c r="B497" t="s">
        <v>23</v>
      </c>
      <c r="C497" t="s">
        <v>9</v>
      </c>
      <c r="D497">
        <v>130608</v>
      </c>
      <c r="E497" t="s">
        <v>42</v>
      </c>
      <c r="F497" t="s">
        <v>36</v>
      </c>
      <c r="G497" t="s">
        <v>37</v>
      </c>
      <c r="H497">
        <f t="shared" si="7"/>
        <v>131000</v>
      </c>
    </row>
    <row r="498" spans="1:8" x14ac:dyDescent="0.3">
      <c r="A498" t="s">
        <v>45</v>
      </c>
      <c r="B498" t="s">
        <v>23</v>
      </c>
      <c r="C498" t="s">
        <v>13</v>
      </c>
      <c r="D498">
        <v>1685</v>
      </c>
      <c r="E498" t="s">
        <v>42</v>
      </c>
      <c r="F498" t="s">
        <v>36</v>
      </c>
      <c r="G498" t="s">
        <v>37</v>
      </c>
      <c r="H498">
        <f t="shared" si="7"/>
        <v>1690</v>
      </c>
    </row>
    <row r="499" spans="1:8" x14ac:dyDescent="0.3">
      <c r="A499" t="s">
        <v>45</v>
      </c>
      <c r="B499" t="s">
        <v>23</v>
      </c>
      <c r="C499" t="s">
        <v>14</v>
      </c>
      <c r="D499">
        <v>2206</v>
      </c>
      <c r="E499" t="s">
        <v>42</v>
      </c>
      <c r="F499" t="s">
        <v>36</v>
      </c>
      <c r="G499" t="s">
        <v>37</v>
      </c>
      <c r="H499">
        <f t="shared" si="7"/>
        <v>2210</v>
      </c>
    </row>
    <row r="500" spans="1:8" x14ac:dyDescent="0.3">
      <c r="A500" t="s">
        <v>45</v>
      </c>
      <c r="B500" t="s">
        <v>23</v>
      </c>
      <c r="C500" t="s">
        <v>15</v>
      </c>
      <c r="D500">
        <v>2036</v>
      </c>
      <c r="E500" t="s">
        <v>42</v>
      </c>
      <c r="F500" t="s">
        <v>36</v>
      </c>
      <c r="G500" t="s">
        <v>37</v>
      </c>
      <c r="H500">
        <f t="shared" si="7"/>
        <v>2040</v>
      </c>
    </row>
    <row r="501" spans="1:8" x14ac:dyDescent="0.3">
      <c r="A501" t="s">
        <v>45</v>
      </c>
      <c r="B501" t="s">
        <v>23</v>
      </c>
      <c r="C501" t="s">
        <v>16</v>
      </c>
      <c r="D501">
        <v>19866</v>
      </c>
      <c r="E501" t="s">
        <v>42</v>
      </c>
      <c r="F501" t="s">
        <v>36</v>
      </c>
      <c r="G501" t="s">
        <v>37</v>
      </c>
      <c r="H501">
        <f t="shared" si="7"/>
        <v>19900</v>
      </c>
    </row>
    <row r="502" spans="1:8" x14ac:dyDescent="0.3">
      <c r="A502" t="s">
        <v>45</v>
      </c>
      <c r="B502" t="s">
        <v>23</v>
      </c>
      <c r="C502" t="s">
        <v>17</v>
      </c>
      <c r="D502">
        <v>677</v>
      </c>
      <c r="E502" t="s">
        <v>42</v>
      </c>
      <c r="F502" t="s">
        <v>36</v>
      </c>
      <c r="G502" t="s">
        <v>37</v>
      </c>
      <c r="H502">
        <f t="shared" si="7"/>
        <v>677</v>
      </c>
    </row>
    <row r="503" spans="1:8" x14ac:dyDescent="0.3">
      <c r="A503" t="s">
        <v>45</v>
      </c>
      <c r="B503" t="s">
        <v>23</v>
      </c>
      <c r="C503" t="s">
        <v>18</v>
      </c>
      <c r="D503">
        <v>0</v>
      </c>
      <c r="E503" t="s">
        <v>42</v>
      </c>
      <c r="F503" t="s">
        <v>36</v>
      </c>
      <c r="G503" t="s">
        <v>37</v>
      </c>
      <c r="H503">
        <f t="shared" si="7"/>
        <v>0</v>
      </c>
    </row>
    <row r="504" spans="1:8" x14ac:dyDescent="0.3">
      <c r="A504" t="s">
        <v>45</v>
      </c>
      <c r="B504" t="s">
        <v>23</v>
      </c>
      <c r="C504" t="s">
        <v>19</v>
      </c>
      <c r="D504">
        <v>41343</v>
      </c>
      <c r="E504" t="s">
        <v>42</v>
      </c>
      <c r="F504" t="s">
        <v>36</v>
      </c>
      <c r="G504" t="s">
        <v>37</v>
      </c>
      <c r="H504">
        <f t="shared" si="7"/>
        <v>41300</v>
      </c>
    </row>
    <row r="505" spans="1:8" x14ac:dyDescent="0.3">
      <c r="A505" t="s">
        <v>45</v>
      </c>
      <c r="B505" t="s">
        <v>23</v>
      </c>
      <c r="C505" t="s">
        <v>20</v>
      </c>
      <c r="D505">
        <v>9789</v>
      </c>
      <c r="E505" t="s">
        <v>42</v>
      </c>
      <c r="F505" t="s">
        <v>36</v>
      </c>
      <c r="G505" t="s">
        <v>37</v>
      </c>
      <c r="H505">
        <f t="shared" si="7"/>
        <v>9790</v>
      </c>
    </row>
    <row r="506" spans="1:8" x14ac:dyDescent="0.3">
      <c r="A506" t="s">
        <v>45</v>
      </c>
      <c r="B506" t="s">
        <v>23</v>
      </c>
      <c r="C506" t="s">
        <v>21</v>
      </c>
      <c r="D506">
        <v>342</v>
      </c>
      <c r="E506" t="s">
        <v>42</v>
      </c>
      <c r="F506" t="s">
        <v>36</v>
      </c>
      <c r="G506" t="s">
        <v>37</v>
      </c>
      <c r="H506">
        <f t="shared" si="7"/>
        <v>342</v>
      </c>
    </row>
    <row r="507" spans="1:8" x14ac:dyDescent="0.3">
      <c r="A507" t="s">
        <v>45</v>
      </c>
      <c r="B507" t="s">
        <v>23</v>
      </c>
      <c r="C507" t="s">
        <v>22</v>
      </c>
      <c r="D507">
        <v>509</v>
      </c>
      <c r="E507" t="s">
        <v>42</v>
      </c>
      <c r="F507" t="s">
        <v>36</v>
      </c>
      <c r="G507" t="s">
        <v>37</v>
      </c>
      <c r="H507">
        <f t="shared" si="7"/>
        <v>509</v>
      </c>
    </row>
    <row r="508" spans="1:8" x14ac:dyDescent="0.3">
      <c r="A508" t="s">
        <v>46</v>
      </c>
      <c r="B508" t="s">
        <v>8</v>
      </c>
      <c r="C508" t="s">
        <v>9</v>
      </c>
      <c r="D508">
        <v>0</v>
      </c>
      <c r="E508" t="s">
        <v>42</v>
      </c>
      <c r="F508" t="s">
        <v>36</v>
      </c>
      <c r="G508" t="s">
        <v>37</v>
      </c>
      <c r="H508">
        <f t="shared" si="7"/>
        <v>0</v>
      </c>
    </row>
    <row r="509" spans="1:8" x14ac:dyDescent="0.3">
      <c r="A509" t="s">
        <v>46</v>
      </c>
      <c r="B509" t="s">
        <v>8</v>
      </c>
      <c r="C509" t="s">
        <v>13</v>
      </c>
      <c r="D509">
        <v>0</v>
      </c>
      <c r="E509" t="s">
        <v>42</v>
      </c>
      <c r="F509" t="s">
        <v>36</v>
      </c>
      <c r="G509" t="s">
        <v>37</v>
      </c>
      <c r="H509">
        <f t="shared" si="7"/>
        <v>0</v>
      </c>
    </row>
    <row r="510" spans="1:8" x14ac:dyDescent="0.3">
      <c r="A510" t="s">
        <v>46</v>
      </c>
      <c r="B510" t="s">
        <v>8</v>
      </c>
      <c r="C510" t="s">
        <v>14</v>
      </c>
      <c r="D510">
        <v>0</v>
      </c>
      <c r="E510" t="s">
        <v>42</v>
      </c>
      <c r="F510" t="s">
        <v>36</v>
      </c>
      <c r="G510" t="s">
        <v>37</v>
      </c>
      <c r="H510">
        <f t="shared" si="7"/>
        <v>0</v>
      </c>
    </row>
    <row r="511" spans="1:8" x14ac:dyDescent="0.3">
      <c r="A511" t="s">
        <v>46</v>
      </c>
      <c r="B511" t="s">
        <v>8</v>
      </c>
      <c r="C511" t="s">
        <v>15</v>
      </c>
      <c r="D511">
        <v>0</v>
      </c>
      <c r="E511" t="s">
        <v>42</v>
      </c>
      <c r="F511" t="s">
        <v>36</v>
      </c>
      <c r="G511" t="s">
        <v>37</v>
      </c>
      <c r="H511">
        <f t="shared" si="7"/>
        <v>0</v>
      </c>
    </row>
    <row r="512" spans="1:8" x14ac:dyDescent="0.3">
      <c r="A512" t="s">
        <v>46</v>
      </c>
      <c r="B512" t="s">
        <v>8</v>
      </c>
      <c r="C512" t="s">
        <v>16</v>
      </c>
      <c r="D512">
        <v>0</v>
      </c>
      <c r="E512" t="s">
        <v>42</v>
      </c>
      <c r="F512" t="s">
        <v>36</v>
      </c>
      <c r="G512" t="s">
        <v>37</v>
      </c>
      <c r="H512">
        <f t="shared" si="7"/>
        <v>0</v>
      </c>
    </row>
    <row r="513" spans="1:8" x14ac:dyDescent="0.3">
      <c r="A513" t="s">
        <v>46</v>
      </c>
      <c r="B513" t="s">
        <v>8</v>
      </c>
      <c r="C513" t="s">
        <v>17</v>
      </c>
      <c r="D513">
        <v>0</v>
      </c>
      <c r="E513" t="s">
        <v>42</v>
      </c>
      <c r="F513" t="s">
        <v>36</v>
      </c>
      <c r="G513" t="s">
        <v>37</v>
      </c>
      <c r="H513">
        <f t="shared" si="7"/>
        <v>0</v>
      </c>
    </row>
    <row r="514" spans="1:8" x14ac:dyDescent="0.3">
      <c r="A514" t="s">
        <v>46</v>
      </c>
      <c r="B514" t="s">
        <v>8</v>
      </c>
      <c r="C514" t="s">
        <v>18</v>
      </c>
      <c r="D514">
        <v>0</v>
      </c>
      <c r="E514" t="s">
        <v>42</v>
      </c>
      <c r="F514" t="s">
        <v>36</v>
      </c>
      <c r="G514" t="s">
        <v>37</v>
      </c>
      <c r="H514">
        <f t="shared" si="7"/>
        <v>0</v>
      </c>
    </row>
    <row r="515" spans="1:8" x14ac:dyDescent="0.3">
      <c r="A515" t="s">
        <v>46</v>
      </c>
      <c r="B515" t="s">
        <v>8</v>
      </c>
      <c r="C515" t="s">
        <v>19</v>
      </c>
      <c r="D515">
        <v>0</v>
      </c>
      <c r="E515" t="s">
        <v>42</v>
      </c>
      <c r="F515" t="s">
        <v>36</v>
      </c>
      <c r="G515" t="s">
        <v>37</v>
      </c>
      <c r="H515">
        <f t="shared" ref="H515:H578" si="8">ROUND(D515, 3 - LEN(INT(ABS(D515))))</f>
        <v>0</v>
      </c>
    </row>
    <row r="516" spans="1:8" x14ac:dyDescent="0.3">
      <c r="A516" t="s">
        <v>46</v>
      </c>
      <c r="B516" t="s">
        <v>8</v>
      </c>
      <c r="C516" t="s">
        <v>20</v>
      </c>
      <c r="D516">
        <v>0</v>
      </c>
      <c r="E516" t="s">
        <v>42</v>
      </c>
      <c r="F516" t="s">
        <v>36</v>
      </c>
      <c r="G516" t="s">
        <v>37</v>
      </c>
      <c r="H516">
        <f t="shared" si="8"/>
        <v>0</v>
      </c>
    </row>
    <row r="517" spans="1:8" x14ac:dyDescent="0.3">
      <c r="A517" t="s">
        <v>46</v>
      </c>
      <c r="B517" t="s">
        <v>8</v>
      </c>
      <c r="C517" t="s">
        <v>21</v>
      </c>
      <c r="D517">
        <v>0</v>
      </c>
      <c r="E517" t="s">
        <v>42</v>
      </c>
      <c r="F517" t="s">
        <v>36</v>
      </c>
      <c r="G517" t="s">
        <v>37</v>
      </c>
      <c r="H517">
        <f t="shared" si="8"/>
        <v>0</v>
      </c>
    </row>
    <row r="518" spans="1:8" x14ac:dyDescent="0.3">
      <c r="A518" t="s">
        <v>46</v>
      </c>
      <c r="B518" t="s">
        <v>8</v>
      </c>
      <c r="C518" t="s">
        <v>22</v>
      </c>
      <c r="D518">
        <v>0</v>
      </c>
      <c r="E518" t="s">
        <v>42</v>
      </c>
      <c r="F518" t="s">
        <v>36</v>
      </c>
      <c r="G518" t="s">
        <v>37</v>
      </c>
      <c r="H518">
        <f t="shared" si="8"/>
        <v>0</v>
      </c>
    </row>
    <row r="519" spans="1:8" x14ac:dyDescent="0.3">
      <c r="A519" t="s">
        <v>46</v>
      </c>
      <c r="B519" t="s">
        <v>23</v>
      </c>
      <c r="C519" t="s">
        <v>9</v>
      </c>
      <c r="D519">
        <v>180</v>
      </c>
      <c r="E519" t="s">
        <v>42</v>
      </c>
      <c r="F519" t="s">
        <v>36</v>
      </c>
      <c r="G519" t="s">
        <v>37</v>
      </c>
      <c r="H519">
        <f t="shared" si="8"/>
        <v>180</v>
      </c>
    </row>
    <row r="520" spans="1:8" x14ac:dyDescent="0.3">
      <c r="A520" t="s">
        <v>46</v>
      </c>
      <c r="B520" t="s">
        <v>23</v>
      </c>
      <c r="C520" t="s">
        <v>13</v>
      </c>
      <c r="D520">
        <v>29</v>
      </c>
      <c r="E520" t="s">
        <v>42</v>
      </c>
      <c r="F520" t="s">
        <v>36</v>
      </c>
      <c r="G520" t="s">
        <v>37</v>
      </c>
      <c r="H520">
        <f t="shared" si="8"/>
        <v>29</v>
      </c>
    </row>
    <row r="521" spans="1:8" x14ac:dyDescent="0.3">
      <c r="A521" t="s">
        <v>46</v>
      </c>
      <c r="B521" t="s">
        <v>23</v>
      </c>
      <c r="C521" t="s">
        <v>14</v>
      </c>
      <c r="D521">
        <v>535</v>
      </c>
      <c r="E521" t="s">
        <v>42</v>
      </c>
      <c r="F521" t="s">
        <v>36</v>
      </c>
      <c r="G521" t="s">
        <v>37</v>
      </c>
      <c r="H521">
        <f t="shared" si="8"/>
        <v>535</v>
      </c>
    </row>
    <row r="522" spans="1:8" x14ac:dyDescent="0.3">
      <c r="A522" t="s">
        <v>46</v>
      </c>
      <c r="B522" t="s">
        <v>23</v>
      </c>
      <c r="C522" t="s">
        <v>15</v>
      </c>
      <c r="D522">
        <v>82</v>
      </c>
      <c r="E522" t="s">
        <v>42</v>
      </c>
      <c r="F522" t="s">
        <v>36</v>
      </c>
      <c r="G522" t="s">
        <v>37</v>
      </c>
      <c r="H522">
        <f t="shared" si="8"/>
        <v>82</v>
      </c>
    </row>
    <row r="523" spans="1:8" x14ac:dyDescent="0.3">
      <c r="A523" t="s">
        <v>46</v>
      </c>
      <c r="B523" t="s">
        <v>23</v>
      </c>
      <c r="C523" t="s">
        <v>16</v>
      </c>
      <c r="D523">
        <v>226660</v>
      </c>
      <c r="E523" t="s">
        <v>42</v>
      </c>
      <c r="F523" t="s">
        <v>36</v>
      </c>
      <c r="G523" t="s">
        <v>37</v>
      </c>
      <c r="H523">
        <f t="shared" si="8"/>
        <v>227000</v>
      </c>
    </row>
    <row r="524" spans="1:8" x14ac:dyDescent="0.3">
      <c r="A524" t="s">
        <v>46</v>
      </c>
      <c r="B524" t="s">
        <v>23</v>
      </c>
      <c r="C524" t="s">
        <v>17</v>
      </c>
      <c r="D524">
        <v>43</v>
      </c>
      <c r="E524" t="s">
        <v>42</v>
      </c>
      <c r="F524" t="s">
        <v>36</v>
      </c>
      <c r="G524" t="s">
        <v>37</v>
      </c>
      <c r="H524">
        <f t="shared" si="8"/>
        <v>43</v>
      </c>
    </row>
    <row r="525" spans="1:8" x14ac:dyDescent="0.3">
      <c r="A525" t="s">
        <v>46</v>
      </c>
      <c r="B525" t="s">
        <v>23</v>
      </c>
      <c r="C525" t="s">
        <v>18</v>
      </c>
      <c r="D525">
        <v>0</v>
      </c>
      <c r="E525" t="s">
        <v>42</v>
      </c>
      <c r="F525" t="s">
        <v>36</v>
      </c>
      <c r="G525" t="s">
        <v>37</v>
      </c>
      <c r="H525">
        <f t="shared" si="8"/>
        <v>0</v>
      </c>
    </row>
    <row r="526" spans="1:8" x14ac:dyDescent="0.3">
      <c r="A526" t="s">
        <v>46</v>
      </c>
      <c r="B526" t="s">
        <v>23</v>
      </c>
      <c r="C526" t="s">
        <v>19</v>
      </c>
      <c r="D526">
        <v>76</v>
      </c>
      <c r="E526" t="s">
        <v>42</v>
      </c>
      <c r="F526" t="s">
        <v>36</v>
      </c>
      <c r="G526" t="s">
        <v>37</v>
      </c>
      <c r="H526">
        <f t="shared" si="8"/>
        <v>76</v>
      </c>
    </row>
    <row r="527" spans="1:8" x14ac:dyDescent="0.3">
      <c r="A527" t="s">
        <v>46</v>
      </c>
      <c r="B527" t="s">
        <v>23</v>
      </c>
      <c r="C527" t="s">
        <v>20</v>
      </c>
      <c r="D527">
        <v>511</v>
      </c>
      <c r="E527" t="s">
        <v>42</v>
      </c>
      <c r="F527" t="s">
        <v>36</v>
      </c>
      <c r="G527" t="s">
        <v>37</v>
      </c>
      <c r="H527">
        <f t="shared" si="8"/>
        <v>511</v>
      </c>
    </row>
    <row r="528" spans="1:8" x14ac:dyDescent="0.3">
      <c r="A528" t="s">
        <v>46</v>
      </c>
      <c r="B528" t="s">
        <v>23</v>
      </c>
      <c r="C528" t="s">
        <v>21</v>
      </c>
      <c r="D528">
        <v>186</v>
      </c>
      <c r="E528" t="s">
        <v>42</v>
      </c>
      <c r="F528" t="s">
        <v>36</v>
      </c>
      <c r="G528" t="s">
        <v>37</v>
      </c>
      <c r="H528">
        <f t="shared" si="8"/>
        <v>186</v>
      </c>
    </row>
    <row r="529" spans="1:8" x14ac:dyDescent="0.3">
      <c r="A529" t="s">
        <v>46</v>
      </c>
      <c r="B529" t="s">
        <v>23</v>
      </c>
      <c r="C529" t="s">
        <v>22</v>
      </c>
      <c r="D529">
        <v>100</v>
      </c>
      <c r="E529" t="s">
        <v>42</v>
      </c>
      <c r="F529" t="s">
        <v>36</v>
      </c>
      <c r="G529" t="s">
        <v>37</v>
      </c>
      <c r="H529">
        <f t="shared" si="8"/>
        <v>100</v>
      </c>
    </row>
    <row r="530" spans="1:8" x14ac:dyDescent="0.3">
      <c r="A530" t="s">
        <v>47</v>
      </c>
      <c r="B530" t="s">
        <v>8</v>
      </c>
      <c r="C530" t="s">
        <v>9</v>
      </c>
      <c r="D530">
        <v>0</v>
      </c>
      <c r="E530" t="s">
        <v>42</v>
      </c>
      <c r="F530" t="s">
        <v>36</v>
      </c>
      <c r="G530" t="s">
        <v>37</v>
      </c>
      <c r="H530">
        <f t="shared" si="8"/>
        <v>0</v>
      </c>
    </row>
    <row r="531" spans="1:8" x14ac:dyDescent="0.3">
      <c r="A531" t="s">
        <v>47</v>
      </c>
      <c r="B531" t="s">
        <v>8</v>
      </c>
      <c r="C531" t="s">
        <v>13</v>
      </c>
      <c r="D531">
        <v>0</v>
      </c>
      <c r="E531" t="s">
        <v>42</v>
      </c>
      <c r="F531" t="s">
        <v>36</v>
      </c>
      <c r="G531" t="s">
        <v>37</v>
      </c>
      <c r="H531">
        <f t="shared" si="8"/>
        <v>0</v>
      </c>
    </row>
    <row r="532" spans="1:8" x14ac:dyDescent="0.3">
      <c r="A532" t="s">
        <v>47</v>
      </c>
      <c r="B532" t="s">
        <v>8</v>
      </c>
      <c r="C532" t="s">
        <v>14</v>
      </c>
      <c r="D532">
        <v>0</v>
      </c>
      <c r="E532" t="s">
        <v>42</v>
      </c>
      <c r="F532" t="s">
        <v>36</v>
      </c>
      <c r="G532" t="s">
        <v>37</v>
      </c>
      <c r="H532">
        <f t="shared" si="8"/>
        <v>0</v>
      </c>
    </row>
    <row r="533" spans="1:8" x14ac:dyDescent="0.3">
      <c r="A533" t="s">
        <v>47</v>
      </c>
      <c r="B533" t="s">
        <v>8</v>
      </c>
      <c r="C533" t="s">
        <v>15</v>
      </c>
      <c r="D533">
        <v>0</v>
      </c>
      <c r="E533" t="s">
        <v>42</v>
      </c>
      <c r="F533" t="s">
        <v>36</v>
      </c>
      <c r="G533" t="s">
        <v>37</v>
      </c>
      <c r="H533">
        <f t="shared" si="8"/>
        <v>0</v>
      </c>
    </row>
    <row r="534" spans="1:8" x14ac:dyDescent="0.3">
      <c r="A534" t="s">
        <v>47</v>
      </c>
      <c r="B534" t="s">
        <v>8</v>
      </c>
      <c r="C534" t="s">
        <v>16</v>
      </c>
      <c r="D534">
        <v>0</v>
      </c>
      <c r="E534" t="s">
        <v>42</v>
      </c>
      <c r="F534" t="s">
        <v>36</v>
      </c>
      <c r="G534" t="s">
        <v>37</v>
      </c>
      <c r="H534">
        <f t="shared" si="8"/>
        <v>0</v>
      </c>
    </row>
    <row r="535" spans="1:8" x14ac:dyDescent="0.3">
      <c r="A535" t="s">
        <v>47</v>
      </c>
      <c r="B535" t="s">
        <v>8</v>
      </c>
      <c r="C535" t="s">
        <v>17</v>
      </c>
      <c r="D535">
        <v>0</v>
      </c>
      <c r="E535" t="s">
        <v>42</v>
      </c>
      <c r="F535" t="s">
        <v>36</v>
      </c>
      <c r="G535" t="s">
        <v>37</v>
      </c>
      <c r="H535">
        <f t="shared" si="8"/>
        <v>0</v>
      </c>
    </row>
    <row r="536" spans="1:8" x14ac:dyDescent="0.3">
      <c r="A536" t="s">
        <v>47</v>
      </c>
      <c r="B536" t="s">
        <v>8</v>
      </c>
      <c r="C536" t="s">
        <v>18</v>
      </c>
      <c r="D536">
        <v>0</v>
      </c>
      <c r="E536" t="s">
        <v>42</v>
      </c>
      <c r="F536" t="s">
        <v>36</v>
      </c>
      <c r="G536" t="s">
        <v>37</v>
      </c>
      <c r="H536">
        <f t="shared" si="8"/>
        <v>0</v>
      </c>
    </row>
    <row r="537" spans="1:8" x14ac:dyDescent="0.3">
      <c r="A537" t="s">
        <v>47</v>
      </c>
      <c r="B537" t="s">
        <v>8</v>
      </c>
      <c r="C537" t="s">
        <v>19</v>
      </c>
      <c r="D537">
        <v>0</v>
      </c>
      <c r="E537" t="s">
        <v>42</v>
      </c>
      <c r="F537" t="s">
        <v>36</v>
      </c>
      <c r="G537" t="s">
        <v>37</v>
      </c>
      <c r="H537">
        <f t="shared" si="8"/>
        <v>0</v>
      </c>
    </row>
    <row r="538" spans="1:8" x14ac:dyDescent="0.3">
      <c r="A538" t="s">
        <v>47</v>
      </c>
      <c r="B538" t="s">
        <v>8</v>
      </c>
      <c r="C538" t="s">
        <v>20</v>
      </c>
      <c r="D538">
        <v>0</v>
      </c>
      <c r="E538" t="s">
        <v>42</v>
      </c>
      <c r="F538" t="s">
        <v>36</v>
      </c>
      <c r="G538" t="s">
        <v>37</v>
      </c>
      <c r="H538">
        <f t="shared" si="8"/>
        <v>0</v>
      </c>
    </row>
    <row r="539" spans="1:8" x14ac:dyDescent="0.3">
      <c r="A539" t="s">
        <v>47</v>
      </c>
      <c r="B539" t="s">
        <v>8</v>
      </c>
      <c r="C539" t="s">
        <v>21</v>
      </c>
      <c r="D539">
        <v>0</v>
      </c>
      <c r="E539" t="s">
        <v>42</v>
      </c>
      <c r="F539" t="s">
        <v>36</v>
      </c>
      <c r="G539" t="s">
        <v>37</v>
      </c>
      <c r="H539">
        <f t="shared" si="8"/>
        <v>0</v>
      </c>
    </row>
    <row r="540" spans="1:8" x14ac:dyDescent="0.3">
      <c r="A540" t="s">
        <v>47</v>
      </c>
      <c r="B540" t="s">
        <v>8</v>
      </c>
      <c r="C540" t="s">
        <v>22</v>
      </c>
      <c r="D540">
        <v>0</v>
      </c>
      <c r="E540" t="s">
        <v>42</v>
      </c>
      <c r="F540" t="s">
        <v>36</v>
      </c>
      <c r="G540" t="s">
        <v>37</v>
      </c>
      <c r="H540">
        <f t="shared" si="8"/>
        <v>0</v>
      </c>
    </row>
    <row r="541" spans="1:8" x14ac:dyDescent="0.3">
      <c r="A541" t="s">
        <v>47</v>
      </c>
      <c r="B541" t="s">
        <v>23</v>
      </c>
      <c r="C541" t="s">
        <v>9</v>
      </c>
      <c r="D541">
        <v>129641</v>
      </c>
      <c r="E541" t="s">
        <v>42</v>
      </c>
      <c r="F541" t="s">
        <v>36</v>
      </c>
      <c r="G541" t="s">
        <v>37</v>
      </c>
      <c r="H541">
        <f t="shared" si="8"/>
        <v>130000</v>
      </c>
    </row>
    <row r="542" spans="1:8" x14ac:dyDescent="0.3">
      <c r="A542" t="s">
        <v>47</v>
      </c>
      <c r="B542" t="s">
        <v>23</v>
      </c>
      <c r="C542" t="s">
        <v>13</v>
      </c>
      <c r="D542">
        <v>1629</v>
      </c>
      <c r="E542" t="s">
        <v>42</v>
      </c>
      <c r="F542" t="s">
        <v>36</v>
      </c>
      <c r="G542" t="s">
        <v>37</v>
      </c>
      <c r="H542">
        <f t="shared" si="8"/>
        <v>1630</v>
      </c>
    </row>
    <row r="543" spans="1:8" x14ac:dyDescent="0.3">
      <c r="A543" t="s">
        <v>47</v>
      </c>
      <c r="B543" t="s">
        <v>23</v>
      </c>
      <c r="C543" t="s">
        <v>14</v>
      </c>
      <c r="D543">
        <v>2180</v>
      </c>
      <c r="E543" t="s">
        <v>42</v>
      </c>
      <c r="F543" t="s">
        <v>36</v>
      </c>
      <c r="G543" t="s">
        <v>37</v>
      </c>
      <c r="H543">
        <f t="shared" si="8"/>
        <v>2180</v>
      </c>
    </row>
    <row r="544" spans="1:8" x14ac:dyDescent="0.3">
      <c r="A544" t="s">
        <v>47</v>
      </c>
      <c r="B544" t="s">
        <v>23</v>
      </c>
      <c r="C544" t="s">
        <v>15</v>
      </c>
      <c r="D544">
        <v>1591</v>
      </c>
      <c r="E544" t="s">
        <v>42</v>
      </c>
      <c r="F544" t="s">
        <v>36</v>
      </c>
      <c r="G544" t="s">
        <v>37</v>
      </c>
      <c r="H544">
        <f t="shared" si="8"/>
        <v>1590</v>
      </c>
    </row>
    <row r="545" spans="1:8" x14ac:dyDescent="0.3">
      <c r="A545" t="s">
        <v>47</v>
      </c>
      <c r="B545" t="s">
        <v>23</v>
      </c>
      <c r="C545" t="s">
        <v>16</v>
      </c>
      <c r="D545">
        <v>19717</v>
      </c>
      <c r="E545" t="s">
        <v>42</v>
      </c>
      <c r="F545" t="s">
        <v>36</v>
      </c>
      <c r="G545" t="s">
        <v>37</v>
      </c>
      <c r="H545">
        <f t="shared" si="8"/>
        <v>19700</v>
      </c>
    </row>
    <row r="546" spans="1:8" x14ac:dyDescent="0.3">
      <c r="A546" t="s">
        <v>47</v>
      </c>
      <c r="B546" t="s">
        <v>23</v>
      </c>
      <c r="C546" t="s">
        <v>17</v>
      </c>
      <c r="D546">
        <v>672</v>
      </c>
      <c r="E546" t="s">
        <v>42</v>
      </c>
      <c r="F546" t="s">
        <v>36</v>
      </c>
      <c r="G546" t="s">
        <v>37</v>
      </c>
      <c r="H546">
        <f t="shared" si="8"/>
        <v>672</v>
      </c>
    </row>
    <row r="547" spans="1:8" x14ac:dyDescent="0.3">
      <c r="A547" t="s">
        <v>47</v>
      </c>
      <c r="B547" t="s">
        <v>23</v>
      </c>
      <c r="C547" t="s">
        <v>18</v>
      </c>
      <c r="D547">
        <v>0</v>
      </c>
      <c r="E547" t="s">
        <v>42</v>
      </c>
      <c r="F547" t="s">
        <v>36</v>
      </c>
      <c r="G547" t="s">
        <v>37</v>
      </c>
      <c r="H547">
        <f t="shared" si="8"/>
        <v>0</v>
      </c>
    </row>
    <row r="548" spans="1:8" x14ac:dyDescent="0.3">
      <c r="A548" t="s">
        <v>47</v>
      </c>
      <c r="B548" t="s">
        <v>23</v>
      </c>
      <c r="C548" t="s">
        <v>19</v>
      </c>
      <c r="D548">
        <v>1725</v>
      </c>
      <c r="E548" t="s">
        <v>42</v>
      </c>
      <c r="F548" t="s">
        <v>36</v>
      </c>
      <c r="G548" t="s">
        <v>37</v>
      </c>
      <c r="H548">
        <f t="shared" si="8"/>
        <v>1730</v>
      </c>
    </row>
    <row r="549" spans="1:8" x14ac:dyDescent="0.3">
      <c r="A549" t="s">
        <v>47</v>
      </c>
      <c r="B549" t="s">
        <v>23</v>
      </c>
      <c r="C549" t="s">
        <v>20</v>
      </c>
      <c r="D549">
        <v>9686</v>
      </c>
      <c r="E549" t="s">
        <v>42</v>
      </c>
      <c r="F549" t="s">
        <v>36</v>
      </c>
      <c r="G549" t="s">
        <v>37</v>
      </c>
      <c r="H549">
        <f t="shared" si="8"/>
        <v>9690</v>
      </c>
    </row>
    <row r="550" spans="1:8" x14ac:dyDescent="0.3">
      <c r="A550" t="s">
        <v>47</v>
      </c>
      <c r="B550" t="s">
        <v>23</v>
      </c>
      <c r="C550" t="s">
        <v>21</v>
      </c>
      <c r="D550">
        <v>339</v>
      </c>
      <c r="E550" t="s">
        <v>42</v>
      </c>
      <c r="F550" t="s">
        <v>36</v>
      </c>
      <c r="G550" t="s">
        <v>37</v>
      </c>
      <c r="H550">
        <f t="shared" si="8"/>
        <v>339</v>
      </c>
    </row>
    <row r="551" spans="1:8" x14ac:dyDescent="0.3">
      <c r="A551" t="s">
        <v>47</v>
      </c>
      <c r="B551" t="s">
        <v>23</v>
      </c>
      <c r="C551" t="s">
        <v>22</v>
      </c>
      <c r="D551">
        <v>489</v>
      </c>
      <c r="E551" t="s">
        <v>42</v>
      </c>
      <c r="F551" t="s">
        <v>36</v>
      </c>
      <c r="G551" t="s">
        <v>37</v>
      </c>
      <c r="H551">
        <f t="shared" si="8"/>
        <v>489</v>
      </c>
    </row>
    <row r="552" spans="1:8" x14ac:dyDescent="0.3">
      <c r="A552" t="s">
        <v>48</v>
      </c>
      <c r="B552" t="s">
        <v>8</v>
      </c>
      <c r="C552" t="s">
        <v>9</v>
      </c>
      <c r="D552">
        <v>0</v>
      </c>
      <c r="E552" t="s">
        <v>42</v>
      </c>
      <c r="F552" t="s">
        <v>36</v>
      </c>
      <c r="G552" t="s">
        <v>37</v>
      </c>
      <c r="H552">
        <f t="shared" si="8"/>
        <v>0</v>
      </c>
    </row>
    <row r="553" spans="1:8" x14ac:dyDescent="0.3">
      <c r="A553" t="s">
        <v>48</v>
      </c>
      <c r="B553" t="s">
        <v>8</v>
      </c>
      <c r="C553" t="s">
        <v>13</v>
      </c>
      <c r="D553">
        <v>0</v>
      </c>
      <c r="E553" t="s">
        <v>42</v>
      </c>
      <c r="F553" t="s">
        <v>36</v>
      </c>
      <c r="G553" t="s">
        <v>37</v>
      </c>
      <c r="H553">
        <f t="shared" si="8"/>
        <v>0</v>
      </c>
    </row>
    <row r="554" spans="1:8" x14ac:dyDescent="0.3">
      <c r="A554" t="s">
        <v>48</v>
      </c>
      <c r="B554" t="s">
        <v>8</v>
      </c>
      <c r="C554" t="s">
        <v>14</v>
      </c>
      <c r="D554">
        <v>0</v>
      </c>
      <c r="E554" t="s">
        <v>42</v>
      </c>
      <c r="F554" t="s">
        <v>36</v>
      </c>
      <c r="G554" t="s">
        <v>37</v>
      </c>
      <c r="H554">
        <f t="shared" si="8"/>
        <v>0</v>
      </c>
    </row>
    <row r="555" spans="1:8" x14ac:dyDescent="0.3">
      <c r="A555" t="s">
        <v>48</v>
      </c>
      <c r="B555" t="s">
        <v>8</v>
      </c>
      <c r="C555" t="s">
        <v>15</v>
      </c>
      <c r="D555">
        <v>0</v>
      </c>
      <c r="E555" t="s">
        <v>42</v>
      </c>
      <c r="F555" t="s">
        <v>36</v>
      </c>
      <c r="G555" t="s">
        <v>37</v>
      </c>
      <c r="H555">
        <f t="shared" si="8"/>
        <v>0</v>
      </c>
    </row>
    <row r="556" spans="1:8" x14ac:dyDescent="0.3">
      <c r="A556" t="s">
        <v>48</v>
      </c>
      <c r="B556" t="s">
        <v>8</v>
      </c>
      <c r="C556" t="s">
        <v>16</v>
      </c>
      <c r="D556">
        <v>0</v>
      </c>
      <c r="E556" t="s">
        <v>42</v>
      </c>
      <c r="F556" t="s">
        <v>36</v>
      </c>
      <c r="G556" t="s">
        <v>37</v>
      </c>
      <c r="H556">
        <f t="shared" si="8"/>
        <v>0</v>
      </c>
    </row>
    <row r="557" spans="1:8" x14ac:dyDescent="0.3">
      <c r="A557" t="s">
        <v>48</v>
      </c>
      <c r="B557" t="s">
        <v>8</v>
      </c>
      <c r="C557" t="s">
        <v>17</v>
      </c>
      <c r="D557">
        <v>0</v>
      </c>
      <c r="E557" t="s">
        <v>42</v>
      </c>
      <c r="F557" t="s">
        <v>36</v>
      </c>
      <c r="G557" t="s">
        <v>37</v>
      </c>
      <c r="H557">
        <f t="shared" si="8"/>
        <v>0</v>
      </c>
    </row>
    <row r="558" spans="1:8" x14ac:dyDescent="0.3">
      <c r="A558" t="s">
        <v>48</v>
      </c>
      <c r="B558" t="s">
        <v>8</v>
      </c>
      <c r="C558" t="s">
        <v>18</v>
      </c>
      <c r="D558">
        <v>0</v>
      </c>
      <c r="E558" t="s">
        <v>42</v>
      </c>
      <c r="F558" t="s">
        <v>36</v>
      </c>
      <c r="G558" t="s">
        <v>37</v>
      </c>
      <c r="H558">
        <f t="shared" si="8"/>
        <v>0</v>
      </c>
    </row>
    <row r="559" spans="1:8" x14ac:dyDescent="0.3">
      <c r="A559" t="s">
        <v>48</v>
      </c>
      <c r="B559" t="s">
        <v>8</v>
      </c>
      <c r="C559" t="s">
        <v>19</v>
      </c>
      <c r="D559">
        <v>0</v>
      </c>
      <c r="E559" t="s">
        <v>42</v>
      </c>
      <c r="F559" t="s">
        <v>36</v>
      </c>
      <c r="G559" t="s">
        <v>37</v>
      </c>
      <c r="H559">
        <f t="shared" si="8"/>
        <v>0</v>
      </c>
    </row>
    <row r="560" spans="1:8" x14ac:dyDescent="0.3">
      <c r="A560" t="s">
        <v>48</v>
      </c>
      <c r="B560" t="s">
        <v>8</v>
      </c>
      <c r="C560" t="s">
        <v>20</v>
      </c>
      <c r="D560">
        <v>0</v>
      </c>
      <c r="E560" t="s">
        <v>42</v>
      </c>
      <c r="F560" t="s">
        <v>36</v>
      </c>
      <c r="G560" t="s">
        <v>37</v>
      </c>
      <c r="H560">
        <f t="shared" si="8"/>
        <v>0</v>
      </c>
    </row>
    <row r="561" spans="1:8" x14ac:dyDescent="0.3">
      <c r="A561" t="s">
        <v>48</v>
      </c>
      <c r="B561" t="s">
        <v>8</v>
      </c>
      <c r="C561" t="s">
        <v>21</v>
      </c>
      <c r="D561">
        <v>0</v>
      </c>
      <c r="E561" t="s">
        <v>42</v>
      </c>
      <c r="F561" t="s">
        <v>36</v>
      </c>
      <c r="G561" t="s">
        <v>37</v>
      </c>
      <c r="H561">
        <f t="shared" si="8"/>
        <v>0</v>
      </c>
    </row>
    <row r="562" spans="1:8" x14ac:dyDescent="0.3">
      <c r="A562" t="s">
        <v>48</v>
      </c>
      <c r="B562" t="s">
        <v>8</v>
      </c>
      <c r="C562" t="s">
        <v>22</v>
      </c>
      <c r="D562">
        <v>0</v>
      </c>
      <c r="E562" t="s">
        <v>42</v>
      </c>
      <c r="F562" t="s">
        <v>36</v>
      </c>
      <c r="G562" t="s">
        <v>37</v>
      </c>
      <c r="H562">
        <f t="shared" si="8"/>
        <v>0</v>
      </c>
    </row>
    <row r="563" spans="1:8" x14ac:dyDescent="0.3">
      <c r="A563" t="s">
        <v>48</v>
      </c>
      <c r="B563" t="s">
        <v>23</v>
      </c>
      <c r="C563" t="s">
        <v>9</v>
      </c>
      <c r="D563">
        <v>188</v>
      </c>
      <c r="E563" t="s">
        <v>42</v>
      </c>
      <c r="F563" t="s">
        <v>36</v>
      </c>
      <c r="G563" t="s">
        <v>37</v>
      </c>
      <c r="H563">
        <f t="shared" si="8"/>
        <v>188</v>
      </c>
    </row>
    <row r="564" spans="1:8" x14ac:dyDescent="0.3">
      <c r="A564" t="s">
        <v>48</v>
      </c>
      <c r="B564" t="s">
        <v>23</v>
      </c>
      <c r="C564" t="s">
        <v>13</v>
      </c>
      <c r="D564">
        <v>39</v>
      </c>
      <c r="E564" t="s">
        <v>42</v>
      </c>
      <c r="F564" t="s">
        <v>36</v>
      </c>
      <c r="G564" t="s">
        <v>37</v>
      </c>
      <c r="H564">
        <f t="shared" si="8"/>
        <v>39</v>
      </c>
    </row>
    <row r="565" spans="1:8" x14ac:dyDescent="0.3">
      <c r="A565" t="s">
        <v>48</v>
      </c>
      <c r="B565" t="s">
        <v>23</v>
      </c>
      <c r="C565" t="s">
        <v>14</v>
      </c>
      <c r="D565">
        <v>85496</v>
      </c>
      <c r="E565" t="s">
        <v>42</v>
      </c>
      <c r="F565" t="s">
        <v>36</v>
      </c>
      <c r="G565" t="s">
        <v>37</v>
      </c>
      <c r="H565">
        <f t="shared" si="8"/>
        <v>85500</v>
      </c>
    </row>
    <row r="566" spans="1:8" x14ac:dyDescent="0.3">
      <c r="A566" t="s">
        <v>48</v>
      </c>
      <c r="B566" t="s">
        <v>23</v>
      </c>
      <c r="C566" t="s">
        <v>15</v>
      </c>
      <c r="D566">
        <v>3395</v>
      </c>
      <c r="E566" t="s">
        <v>42</v>
      </c>
      <c r="F566" t="s">
        <v>36</v>
      </c>
      <c r="G566" t="s">
        <v>37</v>
      </c>
      <c r="H566">
        <f t="shared" si="8"/>
        <v>3400</v>
      </c>
    </row>
    <row r="567" spans="1:8" x14ac:dyDescent="0.3">
      <c r="A567" t="s">
        <v>48</v>
      </c>
      <c r="B567" t="s">
        <v>23</v>
      </c>
      <c r="C567" t="s">
        <v>16</v>
      </c>
      <c r="D567">
        <v>79501</v>
      </c>
      <c r="E567" t="s">
        <v>42</v>
      </c>
      <c r="F567" t="s">
        <v>36</v>
      </c>
      <c r="G567" t="s">
        <v>37</v>
      </c>
      <c r="H567">
        <f t="shared" si="8"/>
        <v>79500</v>
      </c>
    </row>
    <row r="568" spans="1:8" x14ac:dyDescent="0.3">
      <c r="A568" t="s">
        <v>48</v>
      </c>
      <c r="B568" t="s">
        <v>23</v>
      </c>
      <c r="C568" t="s">
        <v>17</v>
      </c>
      <c r="D568">
        <v>28</v>
      </c>
      <c r="E568" t="s">
        <v>42</v>
      </c>
      <c r="F568" t="s">
        <v>36</v>
      </c>
      <c r="G568" t="s">
        <v>37</v>
      </c>
      <c r="H568">
        <f t="shared" si="8"/>
        <v>28</v>
      </c>
    </row>
    <row r="569" spans="1:8" x14ac:dyDescent="0.3">
      <c r="A569" t="s">
        <v>48</v>
      </c>
      <c r="B569" t="s">
        <v>23</v>
      </c>
      <c r="C569" t="s">
        <v>18</v>
      </c>
      <c r="D569">
        <v>0</v>
      </c>
      <c r="E569" t="s">
        <v>42</v>
      </c>
      <c r="F569" t="s">
        <v>36</v>
      </c>
      <c r="G569" t="s">
        <v>37</v>
      </c>
      <c r="H569">
        <f t="shared" si="8"/>
        <v>0</v>
      </c>
    </row>
    <row r="570" spans="1:8" x14ac:dyDescent="0.3">
      <c r="A570" t="s">
        <v>48</v>
      </c>
      <c r="B570" t="s">
        <v>23</v>
      </c>
      <c r="C570" t="s">
        <v>19</v>
      </c>
      <c r="D570">
        <v>171</v>
      </c>
      <c r="E570" t="s">
        <v>42</v>
      </c>
      <c r="F570" t="s">
        <v>36</v>
      </c>
      <c r="G570" t="s">
        <v>37</v>
      </c>
      <c r="H570">
        <f t="shared" si="8"/>
        <v>171</v>
      </c>
    </row>
    <row r="571" spans="1:8" x14ac:dyDescent="0.3">
      <c r="A571" t="s">
        <v>48</v>
      </c>
      <c r="B571" t="s">
        <v>23</v>
      </c>
      <c r="C571" t="s">
        <v>20</v>
      </c>
      <c r="D571">
        <v>620</v>
      </c>
      <c r="E571" t="s">
        <v>42</v>
      </c>
      <c r="F571" t="s">
        <v>36</v>
      </c>
      <c r="G571" t="s">
        <v>37</v>
      </c>
      <c r="H571">
        <f t="shared" si="8"/>
        <v>620</v>
      </c>
    </row>
    <row r="572" spans="1:8" x14ac:dyDescent="0.3">
      <c r="A572" t="s">
        <v>48</v>
      </c>
      <c r="B572" t="s">
        <v>23</v>
      </c>
      <c r="C572" t="s">
        <v>21</v>
      </c>
      <c r="D572">
        <v>174</v>
      </c>
      <c r="E572" t="s">
        <v>42</v>
      </c>
      <c r="F572" t="s">
        <v>36</v>
      </c>
      <c r="G572" t="s">
        <v>37</v>
      </c>
      <c r="H572">
        <f t="shared" si="8"/>
        <v>174</v>
      </c>
    </row>
    <row r="573" spans="1:8" x14ac:dyDescent="0.3">
      <c r="A573" t="s">
        <v>48</v>
      </c>
      <c r="B573" t="s">
        <v>23</v>
      </c>
      <c r="C573" t="s">
        <v>22</v>
      </c>
      <c r="D573">
        <v>161</v>
      </c>
      <c r="E573" t="s">
        <v>42</v>
      </c>
      <c r="F573" t="s">
        <v>36</v>
      </c>
      <c r="G573" t="s">
        <v>37</v>
      </c>
      <c r="H573">
        <f t="shared" si="8"/>
        <v>161</v>
      </c>
    </row>
    <row r="574" spans="1:8" x14ac:dyDescent="0.3">
      <c r="A574" t="s">
        <v>49</v>
      </c>
      <c r="B574" t="s">
        <v>8</v>
      </c>
      <c r="C574" t="s">
        <v>9</v>
      </c>
      <c r="D574">
        <v>0</v>
      </c>
      <c r="E574" t="s">
        <v>42</v>
      </c>
      <c r="F574" t="s">
        <v>36</v>
      </c>
      <c r="G574" t="s">
        <v>37</v>
      </c>
      <c r="H574">
        <f t="shared" si="8"/>
        <v>0</v>
      </c>
    </row>
    <row r="575" spans="1:8" x14ac:dyDescent="0.3">
      <c r="A575" t="s">
        <v>49</v>
      </c>
      <c r="B575" t="s">
        <v>8</v>
      </c>
      <c r="C575" t="s">
        <v>13</v>
      </c>
      <c r="D575">
        <v>0</v>
      </c>
      <c r="E575" t="s">
        <v>42</v>
      </c>
      <c r="F575" t="s">
        <v>36</v>
      </c>
      <c r="G575" t="s">
        <v>37</v>
      </c>
      <c r="H575">
        <f t="shared" si="8"/>
        <v>0</v>
      </c>
    </row>
    <row r="576" spans="1:8" x14ac:dyDescent="0.3">
      <c r="A576" t="s">
        <v>49</v>
      </c>
      <c r="B576" t="s">
        <v>8</v>
      </c>
      <c r="C576" t="s">
        <v>14</v>
      </c>
      <c r="D576">
        <v>0</v>
      </c>
      <c r="E576" t="s">
        <v>42</v>
      </c>
      <c r="F576" t="s">
        <v>36</v>
      </c>
      <c r="G576" t="s">
        <v>37</v>
      </c>
      <c r="H576">
        <f t="shared" si="8"/>
        <v>0</v>
      </c>
    </row>
    <row r="577" spans="1:8" x14ac:dyDescent="0.3">
      <c r="A577" t="s">
        <v>49</v>
      </c>
      <c r="B577" t="s">
        <v>8</v>
      </c>
      <c r="C577" t="s">
        <v>15</v>
      </c>
      <c r="D577">
        <v>0</v>
      </c>
      <c r="E577" t="s">
        <v>42</v>
      </c>
      <c r="F577" t="s">
        <v>36</v>
      </c>
      <c r="G577" t="s">
        <v>37</v>
      </c>
      <c r="H577">
        <f t="shared" si="8"/>
        <v>0</v>
      </c>
    </row>
    <row r="578" spans="1:8" x14ac:dyDescent="0.3">
      <c r="A578" t="s">
        <v>49</v>
      </c>
      <c r="B578" t="s">
        <v>8</v>
      </c>
      <c r="C578" t="s">
        <v>16</v>
      </c>
      <c r="D578">
        <v>0</v>
      </c>
      <c r="E578" t="s">
        <v>42</v>
      </c>
      <c r="F578" t="s">
        <v>36</v>
      </c>
      <c r="G578" t="s">
        <v>37</v>
      </c>
      <c r="H578">
        <f t="shared" si="8"/>
        <v>0</v>
      </c>
    </row>
    <row r="579" spans="1:8" x14ac:dyDescent="0.3">
      <c r="A579" t="s">
        <v>49</v>
      </c>
      <c r="B579" t="s">
        <v>8</v>
      </c>
      <c r="C579" t="s">
        <v>17</v>
      </c>
      <c r="D579">
        <v>0</v>
      </c>
      <c r="E579" t="s">
        <v>42</v>
      </c>
      <c r="F579" t="s">
        <v>36</v>
      </c>
      <c r="G579" t="s">
        <v>37</v>
      </c>
      <c r="H579">
        <f t="shared" ref="H579:H642" si="9">ROUND(D579, 3 - LEN(INT(ABS(D579))))</f>
        <v>0</v>
      </c>
    </row>
    <row r="580" spans="1:8" x14ac:dyDescent="0.3">
      <c r="A580" t="s">
        <v>49</v>
      </c>
      <c r="B580" t="s">
        <v>8</v>
      </c>
      <c r="C580" t="s">
        <v>18</v>
      </c>
      <c r="D580">
        <v>0</v>
      </c>
      <c r="E580" t="s">
        <v>42</v>
      </c>
      <c r="F580" t="s">
        <v>36</v>
      </c>
      <c r="G580" t="s">
        <v>37</v>
      </c>
      <c r="H580">
        <f t="shared" si="9"/>
        <v>0</v>
      </c>
    </row>
    <row r="581" spans="1:8" x14ac:dyDescent="0.3">
      <c r="A581" t="s">
        <v>49</v>
      </c>
      <c r="B581" t="s">
        <v>8</v>
      </c>
      <c r="C581" t="s">
        <v>19</v>
      </c>
      <c r="D581">
        <v>0</v>
      </c>
      <c r="E581" t="s">
        <v>42</v>
      </c>
      <c r="F581" t="s">
        <v>36</v>
      </c>
      <c r="G581" t="s">
        <v>37</v>
      </c>
      <c r="H581">
        <f t="shared" si="9"/>
        <v>0</v>
      </c>
    </row>
    <row r="582" spans="1:8" x14ac:dyDescent="0.3">
      <c r="A582" t="s">
        <v>49</v>
      </c>
      <c r="B582" t="s">
        <v>8</v>
      </c>
      <c r="C582" t="s">
        <v>20</v>
      </c>
      <c r="D582">
        <v>0</v>
      </c>
      <c r="E582" t="s">
        <v>42</v>
      </c>
      <c r="F582" t="s">
        <v>36</v>
      </c>
      <c r="G582" t="s">
        <v>37</v>
      </c>
      <c r="H582">
        <f t="shared" si="9"/>
        <v>0</v>
      </c>
    </row>
    <row r="583" spans="1:8" x14ac:dyDescent="0.3">
      <c r="A583" t="s">
        <v>49</v>
      </c>
      <c r="B583" t="s">
        <v>8</v>
      </c>
      <c r="C583" t="s">
        <v>21</v>
      </c>
      <c r="D583">
        <v>0</v>
      </c>
      <c r="E583" t="s">
        <v>42</v>
      </c>
      <c r="F583" t="s">
        <v>36</v>
      </c>
      <c r="G583" t="s">
        <v>37</v>
      </c>
      <c r="H583">
        <f t="shared" si="9"/>
        <v>0</v>
      </c>
    </row>
    <row r="584" spans="1:8" x14ac:dyDescent="0.3">
      <c r="A584" t="s">
        <v>49</v>
      </c>
      <c r="B584" t="s">
        <v>8</v>
      </c>
      <c r="C584" t="s">
        <v>22</v>
      </c>
      <c r="D584">
        <v>0</v>
      </c>
      <c r="E584" t="s">
        <v>42</v>
      </c>
      <c r="F584" t="s">
        <v>36</v>
      </c>
      <c r="G584" t="s">
        <v>37</v>
      </c>
      <c r="H584">
        <f t="shared" si="9"/>
        <v>0</v>
      </c>
    </row>
    <row r="585" spans="1:8" x14ac:dyDescent="0.3">
      <c r="A585" t="s">
        <v>49</v>
      </c>
      <c r="B585" t="s">
        <v>23</v>
      </c>
      <c r="C585" t="s">
        <v>9</v>
      </c>
      <c r="D585">
        <v>187026</v>
      </c>
      <c r="E585" t="s">
        <v>42</v>
      </c>
      <c r="F585" t="s">
        <v>36</v>
      </c>
      <c r="G585" t="s">
        <v>37</v>
      </c>
      <c r="H585">
        <f t="shared" si="9"/>
        <v>187000</v>
      </c>
    </row>
    <row r="586" spans="1:8" x14ac:dyDescent="0.3">
      <c r="A586" t="s">
        <v>49</v>
      </c>
      <c r="B586" t="s">
        <v>23</v>
      </c>
      <c r="C586" t="s">
        <v>13</v>
      </c>
      <c r="D586">
        <v>2350</v>
      </c>
      <c r="E586" t="s">
        <v>42</v>
      </c>
      <c r="F586" t="s">
        <v>36</v>
      </c>
      <c r="G586" t="s">
        <v>37</v>
      </c>
      <c r="H586">
        <f t="shared" si="9"/>
        <v>2350</v>
      </c>
    </row>
    <row r="587" spans="1:8" x14ac:dyDescent="0.3">
      <c r="A587" t="s">
        <v>49</v>
      </c>
      <c r="B587" t="s">
        <v>23</v>
      </c>
      <c r="C587" t="s">
        <v>14</v>
      </c>
      <c r="D587">
        <v>3144</v>
      </c>
      <c r="E587" t="s">
        <v>42</v>
      </c>
      <c r="F587" t="s">
        <v>36</v>
      </c>
      <c r="G587" t="s">
        <v>37</v>
      </c>
      <c r="H587">
        <f t="shared" si="9"/>
        <v>3140</v>
      </c>
    </row>
    <row r="588" spans="1:8" x14ac:dyDescent="0.3">
      <c r="A588" t="s">
        <v>49</v>
      </c>
      <c r="B588" t="s">
        <v>23</v>
      </c>
      <c r="C588" t="s">
        <v>15</v>
      </c>
      <c r="D588">
        <v>2296</v>
      </c>
      <c r="E588" t="s">
        <v>42</v>
      </c>
      <c r="F588" t="s">
        <v>36</v>
      </c>
      <c r="G588" t="s">
        <v>37</v>
      </c>
      <c r="H588">
        <f t="shared" si="9"/>
        <v>2300</v>
      </c>
    </row>
    <row r="589" spans="1:8" x14ac:dyDescent="0.3">
      <c r="A589" t="s">
        <v>49</v>
      </c>
      <c r="B589" t="s">
        <v>23</v>
      </c>
      <c r="C589" t="s">
        <v>16</v>
      </c>
      <c r="D589">
        <v>28444</v>
      </c>
      <c r="E589" t="s">
        <v>42</v>
      </c>
      <c r="F589" t="s">
        <v>36</v>
      </c>
      <c r="G589" t="s">
        <v>37</v>
      </c>
      <c r="H589">
        <f t="shared" si="9"/>
        <v>28400</v>
      </c>
    </row>
    <row r="590" spans="1:8" x14ac:dyDescent="0.3">
      <c r="A590" t="s">
        <v>49</v>
      </c>
      <c r="B590" t="s">
        <v>23</v>
      </c>
      <c r="C590" t="s">
        <v>17</v>
      </c>
      <c r="D590">
        <v>970</v>
      </c>
      <c r="E590" t="s">
        <v>42</v>
      </c>
      <c r="F590" t="s">
        <v>36</v>
      </c>
      <c r="G590" t="s">
        <v>37</v>
      </c>
      <c r="H590">
        <f t="shared" si="9"/>
        <v>970</v>
      </c>
    </row>
    <row r="591" spans="1:8" x14ac:dyDescent="0.3">
      <c r="A591" t="s">
        <v>49</v>
      </c>
      <c r="B591" t="s">
        <v>23</v>
      </c>
      <c r="C591" t="s">
        <v>18</v>
      </c>
      <c r="D591">
        <v>0</v>
      </c>
      <c r="E591" t="s">
        <v>42</v>
      </c>
      <c r="F591" t="s">
        <v>36</v>
      </c>
      <c r="G591" t="s">
        <v>37</v>
      </c>
      <c r="H591">
        <f t="shared" si="9"/>
        <v>0</v>
      </c>
    </row>
    <row r="592" spans="1:8" x14ac:dyDescent="0.3">
      <c r="A592" t="s">
        <v>49</v>
      </c>
      <c r="B592" t="s">
        <v>23</v>
      </c>
      <c r="C592" t="s">
        <v>19</v>
      </c>
      <c r="D592">
        <v>2488</v>
      </c>
      <c r="E592" t="s">
        <v>42</v>
      </c>
      <c r="F592" t="s">
        <v>36</v>
      </c>
      <c r="G592" t="s">
        <v>37</v>
      </c>
      <c r="H592">
        <f t="shared" si="9"/>
        <v>2490</v>
      </c>
    </row>
    <row r="593" spans="1:8" x14ac:dyDescent="0.3">
      <c r="A593" t="s">
        <v>49</v>
      </c>
      <c r="B593" t="s">
        <v>23</v>
      </c>
      <c r="C593" t="s">
        <v>20</v>
      </c>
      <c r="D593">
        <v>13974</v>
      </c>
      <c r="E593" t="s">
        <v>42</v>
      </c>
      <c r="F593" t="s">
        <v>36</v>
      </c>
      <c r="G593" t="s">
        <v>37</v>
      </c>
      <c r="H593">
        <f t="shared" si="9"/>
        <v>14000</v>
      </c>
    </row>
    <row r="594" spans="1:8" x14ac:dyDescent="0.3">
      <c r="A594" t="s">
        <v>49</v>
      </c>
      <c r="B594" t="s">
        <v>23</v>
      </c>
      <c r="C594" t="s">
        <v>21</v>
      </c>
      <c r="D594">
        <v>489</v>
      </c>
      <c r="E594" t="s">
        <v>42</v>
      </c>
      <c r="F594" t="s">
        <v>36</v>
      </c>
      <c r="G594" t="s">
        <v>37</v>
      </c>
      <c r="H594">
        <f t="shared" si="9"/>
        <v>489</v>
      </c>
    </row>
    <row r="595" spans="1:8" x14ac:dyDescent="0.3">
      <c r="A595" t="s">
        <v>49</v>
      </c>
      <c r="B595" t="s">
        <v>23</v>
      </c>
      <c r="C595" t="s">
        <v>22</v>
      </c>
      <c r="D595">
        <v>706</v>
      </c>
      <c r="E595" t="s">
        <v>42</v>
      </c>
      <c r="F595" t="s">
        <v>36</v>
      </c>
      <c r="G595" t="s">
        <v>37</v>
      </c>
      <c r="H595">
        <f t="shared" si="9"/>
        <v>706</v>
      </c>
    </row>
    <row r="596" spans="1:8" x14ac:dyDescent="0.3">
      <c r="A596" t="s">
        <v>27</v>
      </c>
      <c r="B596" t="s">
        <v>8</v>
      </c>
      <c r="C596" t="s">
        <v>9</v>
      </c>
      <c r="D596">
        <v>0</v>
      </c>
      <c r="E596" t="s">
        <v>42</v>
      </c>
      <c r="F596" t="s">
        <v>36</v>
      </c>
      <c r="G596" t="s">
        <v>37</v>
      </c>
      <c r="H596">
        <f t="shared" si="9"/>
        <v>0</v>
      </c>
    </row>
    <row r="597" spans="1:8" x14ac:dyDescent="0.3">
      <c r="A597" t="s">
        <v>27</v>
      </c>
      <c r="B597" t="s">
        <v>8</v>
      </c>
      <c r="C597" t="s">
        <v>13</v>
      </c>
      <c r="D597">
        <v>0</v>
      </c>
      <c r="E597" t="s">
        <v>42</v>
      </c>
      <c r="F597" t="s">
        <v>36</v>
      </c>
      <c r="G597" t="s">
        <v>37</v>
      </c>
      <c r="H597">
        <f t="shared" si="9"/>
        <v>0</v>
      </c>
    </row>
    <row r="598" spans="1:8" x14ac:dyDescent="0.3">
      <c r="A598" t="s">
        <v>27</v>
      </c>
      <c r="B598" t="s">
        <v>8</v>
      </c>
      <c r="C598" t="s">
        <v>14</v>
      </c>
      <c r="D598">
        <v>0</v>
      </c>
      <c r="E598" t="s">
        <v>42</v>
      </c>
      <c r="F598" t="s">
        <v>36</v>
      </c>
      <c r="G598" t="s">
        <v>37</v>
      </c>
      <c r="H598">
        <f t="shared" si="9"/>
        <v>0</v>
      </c>
    </row>
    <row r="599" spans="1:8" x14ac:dyDescent="0.3">
      <c r="A599" t="s">
        <v>27</v>
      </c>
      <c r="B599" t="s">
        <v>8</v>
      </c>
      <c r="C599" t="s">
        <v>15</v>
      </c>
      <c r="D599">
        <v>0</v>
      </c>
      <c r="E599" t="s">
        <v>42</v>
      </c>
      <c r="F599" t="s">
        <v>36</v>
      </c>
      <c r="G599" t="s">
        <v>37</v>
      </c>
      <c r="H599">
        <f t="shared" si="9"/>
        <v>0</v>
      </c>
    </row>
    <row r="600" spans="1:8" x14ac:dyDescent="0.3">
      <c r="A600" t="s">
        <v>27</v>
      </c>
      <c r="B600" t="s">
        <v>8</v>
      </c>
      <c r="C600" t="s">
        <v>16</v>
      </c>
      <c r="D600">
        <v>0</v>
      </c>
      <c r="E600" t="s">
        <v>42</v>
      </c>
      <c r="F600" t="s">
        <v>36</v>
      </c>
      <c r="G600" t="s">
        <v>37</v>
      </c>
      <c r="H600">
        <f t="shared" si="9"/>
        <v>0</v>
      </c>
    </row>
    <row r="601" spans="1:8" x14ac:dyDescent="0.3">
      <c r="A601" t="s">
        <v>27</v>
      </c>
      <c r="B601" t="s">
        <v>8</v>
      </c>
      <c r="C601" t="s">
        <v>17</v>
      </c>
      <c r="D601">
        <v>0</v>
      </c>
      <c r="E601" t="s">
        <v>42</v>
      </c>
      <c r="F601" t="s">
        <v>36</v>
      </c>
      <c r="G601" t="s">
        <v>37</v>
      </c>
      <c r="H601">
        <f t="shared" si="9"/>
        <v>0</v>
      </c>
    </row>
    <row r="602" spans="1:8" x14ac:dyDescent="0.3">
      <c r="A602" t="s">
        <v>27</v>
      </c>
      <c r="B602" t="s">
        <v>8</v>
      </c>
      <c r="C602" t="s">
        <v>18</v>
      </c>
      <c r="D602">
        <v>0</v>
      </c>
      <c r="E602" t="s">
        <v>42</v>
      </c>
      <c r="F602" t="s">
        <v>36</v>
      </c>
      <c r="G602" t="s">
        <v>37</v>
      </c>
      <c r="H602">
        <f t="shared" si="9"/>
        <v>0</v>
      </c>
    </row>
    <row r="603" spans="1:8" x14ac:dyDescent="0.3">
      <c r="A603" t="s">
        <v>27</v>
      </c>
      <c r="B603" t="s">
        <v>8</v>
      </c>
      <c r="C603" t="s">
        <v>19</v>
      </c>
      <c r="D603">
        <v>0</v>
      </c>
      <c r="E603" t="s">
        <v>42</v>
      </c>
      <c r="F603" t="s">
        <v>36</v>
      </c>
      <c r="G603" t="s">
        <v>37</v>
      </c>
      <c r="H603">
        <f t="shared" si="9"/>
        <v>0</v>
      </c>
    </row>
    <row r="604" spans="1:8" x14ac:dyDescent="0.3">
      <c r="A604" t="s">
        <v>27</v>
      </c>
      <c r="B604" t="s">
        <v>8</v>
      </c>
      <c r="C604" t="s">
        <v>20</v>
      </c>
      <c r="D604">
        <v>0</v>
      </c>
      <c r="E604" t="s">
        <v>42</v>
      </c>
      <c r="F604" t="s">
        <v>36</v>
      </c>
      <c r="G604" t="s">
        <v>37</v>
      </c>
      <c r="H604">
        <f t="shared" si="9"/>
        <v>0</v>
      </c>
    </row>
    <row r="605" spans="1:8" x14ac:dyDescent="0.3">
      <c r="A605" t="s">
        <v>27</v>
      </c>
      <c r="B605" t="s">
        <v>8</v>
      </c>
      <c r="C605" t="s">
        <v>21</v>
      </c>
      <c r="D605">
        <v>0</v>
      </c>
      <c r="E605" t="s">
        <v>42</v>
      </c>
      <c r="F605" t="s">
        <v>36</v>
      </c>
      <c r="G605" t="s">
        <v>37</v>
      </c>
      <c r="H605">
        <f t="shared" si="9"/>
        <v>0</v>
      </c>
    </row>
    <row r="606" spans="1:8" x14ac:dyDescent="0.3">
      <c r="A606" t="s">
        <v>27</v>
      </c>
      <c r="B606" t="s">
        <v>8</v>
      </c>
      <c r="C606" t="s">
        <v>22</v>
      </c>
      <c r="D606">
        <v>0</v>
      </c>
      <c r="E606" t="s">
        <v>42</v>
      </c>
      <c r="F606" t="s">
        <v>36</v>
      </c>
      <c r="G606" t="s">
        <v>37</v>
      </c>
      <c r="H606">
        <f t="shared" si="9"/>
        <v>0</v>
      </c>
    </row>
    <row r="607" spans="1:8" x14ac:dyDescent="0.3">
      <c r="A607" t="s">
        <v>27</v>
      </c>
      <c r="B607" t="s">
        <v>23</v>
      </c>
      <c r="C607" t="s">
        <v>9</v>
      </c>
      <c r="D607">
        <v>1756</v>
      </c>
      <c r="E607" t="s">
        <v>42</v>
      </c>
      <c r="F607" t="s">
        <v>36</v>
      </c>
      <c r="G607" t="s">
        <v>37</v>
      </c>
      <c r="H607">
        <f t="shared" si="9"/>
        <v>1760</v>
      </c>
    </row>
    <row r="608" spans="1:8" x14ac:dyDescent="0.3">
      <c r="A608" t="s">
        <v>27</v>
      </c>
      <c r="B608" t="s">
        <v>23</v>
      </c>
      <c r="C608" t="s">
        <v>13</v>
      </c>
      <c r="D608">
        <v>8651</v>
      </c>
      <c r="E608" t="s">
        <v>42</v>
      </c>
      <c r="F608" t="s">
        <v>36</v>
      </c>
      <c r="G608" t="s">
        <v>37</v>
      </c>
      <c r="H608">
        <f t="shared" si="9"/>
        <v>8650</v>
      </c>
    </row>
    <row r="609" spans="1:8" x14ac:dyDescent="0.3">
      <c r="A609" t="s">
        <v>27</v>
      </c>
      <c r="B609" t="s">
        <v>23</v>
      </c>
      <c r="C609" t="s">
        <v>14</v>
      </c>
      <c r="D609">
        <v>241201</v>
      </c>
      <c r="E609" t="s">
        <v>42</v>
      </c>
      <c r="F609" t="s">
        <v>36</v>
      </c>
      <c r="G609" t="s">
        <v>37</v>
      </c>
      <c r="H609">
        <f t="shared" si="9"/>
        <v>241000</v>
      </c>
    </row>
    <row r="610" spans="1:8" x14ac:dyDescent="0.3">
      <c r="A610" t="s">
        <v>27</v>
      </c>
      <c r="B610" t="s">
        <v>23</v>
      </c>
      <c r="C610" t="s">
        <v>15</v>
      </c>
      <c r="D610">
        <v>15003</v>
      </c>
      <c r="E610" t="s">
        <v>42</v>
      </c>
      <c r="F610" t="s">
        <v>36</v>
      </c>
      <c r="G610" t="s">
        <v>37</v>
      </c>
      <c r="H610">
        <f t="shared" si="9"/>
        <v>15000</v>
      </c>
    </row>
    <row r="611" spans="1:8" x14ac:dyDescent="0.3">
      <c r="A611" t="s">
        <v>27</v>
      </c>
      <c r="B611" t="s">
        <v>23</v>
      </c>
      <c r="C611" t="s">
        <v>16</v>
      </c>
      <c r="D611">
        <v>828303</v>
      </c>
      <c r="E611" t="s">
        <v>42</v>
      </c>
      <c r="F611" t="s">
        <v>36</v>
      </c>
      <c r="G611" t="s">
        <v>37</v>
      </c>
      <c r="H611">
        <f t="shared" si="9"/>
        <v>828000</v>
      </c>
    </row>
    <row r="612" spans="1:8" x14ac:dyDescent="0.3">
      <c r="A612" t="s">
        <v>27</v>
      </c>
      <c r="B612" t="s">
        <v>23</v>
      </c>
      <c r="C612" t="s">
        <v>17</v>
      </c>
      <c r="D612">
        <v>214</v>
      </c>
      <c r="E612" t="s">
        <v>42</v>
      </c>
      <c r="F612" t="s">
        <v>36</v>
      </c>
      <c r="G612" t="s">
        <v>37</v>
      </c>
      <c r="H612">
        <f t="shared" si="9"/>
        <v>214</v>
      </c>
    </row>
    <row r="613" spans="1:8" x14ac:dyDescent="0.3">
      <c r="A613" t="s">
        <v>27</v>
      </c>
      <c r="B613" t="s">
        <v>23</v>
      </c>
      <c r="C613" t="s">
        <v>18</v>
      </c>
      <c r="D613">
        <v>0</v>
      </c>
      <c r="E613" t="s">
        <v>42</v>
      </c>
      <c r="F613" t="s">
        <v>36</v>
      </c>
      <c r="G613" t="s">
        <v>37</v>
      </c>
      <c r="H613">
        <f t="shared" si="9"/>
        <v>0</v>
      </c>
    </row>
    <row r="614" spans="1:8" x14ac:dyDescent="0.3">
      <c r="A614" t="s">
        <v>27</v>
      </c>
      <c r="B614" t="s">
        <v>23</v>
      </c>
      <c r="C614" t="s">
        <v>19</v>
      </c>
      <c r="D614">
        <v>2731</v>
      </c>
      <c r="E614" t="s">
        <v>42</v>
      </c>
      <c r="F614" t="s">
        <v>36</v>
      </c>
      <c r="G614" t="s">
        <v>37</v>
      </c>
      <c r="H614">
        <f t="shared" si="9"/>
        <v>2730</v>
      </c>
    </row>
    <row r="615" spans="1:8" x14ac:dyDescent="0.3">
      <c r="A615" t="s">
        <v>27</v>
      </c>
      <c r="B615" t="s">
        <v>23</v>
      </c>
      <c r="C615" t="s">
        <v>20</v>
      </c>
      <c r="D615">
        <v>5978</v>
      </c>
      <c r="E615" t="s">
        <v>42</v>
      </c>
      <c r="F615" t="s">
        <v>36</v>
      </c>
      <c r="G615" t="s">
        <v>37</v>
      </c>
      <c r="H615">
        <f t="shared" si="9"/>
        <v>5980</v>
      </c>
    </row>
    <row r="616" spans="1:8" x14ac:dyDescent="0.3">
      <c r="A616" t="s">
        <v>27</v>
      </c>
      <c r="B616" t="s">
        <v>23</v>
      </c>
      <c r="C616" t="s">
        <v>21</v>
      </c>
      <c r="D616">
        <v>1197</v>
      </c>
      <c r="E616" t="s">
        <v>42</v>
      </c>
      <c r="F616" t="s">
        <v>36</v>
      </c>
      <c r="G616" t="s">
        <v>37</v>
      </c>
      <c r="H616">
        <f t="shared" si="9"/>
        <v>1200</v>
      </c>
    </row>
    <row r="617" spans="1:8" x14ac:dyDescent="0.3">
      <c r="A617" t="s">
        <v>27</v>
      </c>
      <c r="B617" t="s">
        <v>23</v>
      </c>
      <c r="C617" t="s">
        <v>22</v>
      </c>
      <c r="D617">
        <v>96298</v>
      </c>
      <c r="E617" t="s">
        <v>42</v>
      </c>
      <c r="F617" t="s">
        <v>36</v>
      </c>
      <c r="G617" t="s">
        <v>37</v>
      </c>
      <c r="H617">
        <f t="shared" si="9"/>
        <v>96300</v>
      </c>
    </row>
    <row r="618" spans="1:8" x14ac:dyDescent="0.3">
      <c r="A618" t="s">
        <v>50</v>
      </c>
      <c r="B618" t="s">
        <v>8</v>
      </c>
      <c r="C618" t="s">
        <v>9</v>
      </c>
      <c r="D618">
        <v>0</v>
      </c>
      <c r="E618" t="s">
        <v>42</v>
      </c>
      <c r="F618" t="s">
        <v>36</v>
      </c>
      <c r="G618" t="s">
        <v>37</v>
      </c>
      <c r="H618">
        <f t="shared" si="9"/>
        <v>0</v>
      </c>
    </row>
    <row r="619" spans="1:8" x14ac:dyDescent="0.3">
      <c r="A619" t="s">
        <v>50</v>
      </c>
      <c r="B619" t="s">
        <v>8</v>
      </c>
      <c r="C619" t="s">
        <v>13</v>
      </c>
      <c r="D619">
        <v>0</v>
      </c>
      <c r="E619" t="s">
        <v>42</v>
      </c>
      <c r="F619" t="s">
        <v>36</v>
      </c>
      <c r="G619" t="s">
        <v>37</v>
      </c>
      <c r="H619">
        <f t="shared" si="9"/>
        <v>0</v>
      </c>
    </row>
    <row r="620" spans="1:8" x14ac:dyDescent="0.3">
      <c r="A620" t="s">
        <v>50</v>
      </c>
      <c r="B620" t="s">
        <v>8</v>
      </c>
      <c r="C620" t="s">
        <v>14</v>
      </c>
      <c r="D620">
        <v>0</v>
      </c>
      <c r="E620" t="s">
        <v>42</v>
      </c>
      <c r="F620" t="s">
        <v>36</v>
      </c>
      <c r="G620" t="s">
        <v>37</v>
      </c>
      <c r="H620">
        <f t="shared" si="9"/>
        <v>0</v>
      </c>
    </row>
    <row r="621" spans="1:8" x14ac:dyDescent="0.3">
      <c r="A621" t="s">
        <v>50</v>
      </c>
      <c r="B621" t="s">
        <v>8</v>
      </c>
      <c r="C621" t="s">
        <v>15</v>
      </c>
      <c r="D621">
        <v>0</v>
      </c>
      <c r="E621" t="s">
        <v>42</v>
      </c>
      <c r="F621" t="s">
        <v>36</v>
      </c>
      <c r="G621" t="s">
        <v>37</v>
      </c>
      <c r="H621">
        <f t="shared" si="9"/>
        <v>0</v>
      </c>
    </row>
    <row r="622" spans="1:8" x14ac:dyDescent="0.3">
      <c r="A622" t="s">
        <v>50</v>
      </c>
      <c r="B622" t="s">
        <v>8</v>
      </c>
      <c r="C622" t="s">
        <v>16</v>
      </c>
      <c r="D622">
        <v>0</v>
      </c>
      <c r="E622" t="s">
        <v>42</v>
      </c>
      <c r="F622" t="s">
        <v>36</v>
      </c>
      <c r="G622" t="s">
        <v>37</v>
      </c>
      <c r="H622">
        <f t="shared" si="9"/>
        <v>0</v>
      </c>
    </row>
    <row r="623" spans="1:8" x14ac:dyDescent="0.3">
      <c r="A623" t="s">
        <v>50</v>
      </c>
      <c r="B623" t="s">
        <v>8</v>
      </c>
      <c r="C623" t="s">
        <v>17</v>
      </c>
      <c r="D623">
        <v>0</v>
      </c>
      <c r="E623" t="s">
        <v>42</v>
      </c>
      <c r="F623" t="s">
        <v>36</v>
      </c>
      <c r="G623" t="s">
        <v>37</v>
      </c>
      <c r="H623">
        <f t="shared" si="9"/>
        <v>0</v>
      </c>
    </row>
    <row r="624" spans="1:8" x14ac:dyDescent="0.3">
      <c r="A624" t="s">
        <v>50</v>
      </c>
      <c r="B624" t="s">
        <v>8</v>
      </c>
      <c r="C624" t="s">
        <v>18</v>
      </c>
      <c r="D624">
        <v>0</v>
      </c>
      <c r="E624" t="s">
        <v>42</v>
      </c>
      <c r="F624" t="s">
        <v>36</v>
      </c>
      <c r="G624" t="s">
        <v>37</v>
      </c>
      <c r="H624">
        <f t="shared" si="9"/>
        <v>0</v>
      </c>
    </row>
    <row r="625" spans="1:8" x14ac:dyDescent="0.3">
      <c r="A625" t="s">
        <v>50</v>
      </c>
      <c r="B625" t="s">
        <v>8</v>
      </c>
      <c r="C625" t="s">
        <v>19</v>
      </c>
      <c r="D625">
        <v>0</v>
      </c>
      <c r="E625" t="s">
        <v>42</v>
      </c>
      <c r="F625" t="s">
        <v>36</v>
      </c>
      <c r="G625" t="s">
        <v>37</v>
      </c>
      <c r="H625">
        <f t="shared" si="9"/>
        <v>0</v>
      </c>
    </row>
    <row r="626" spans="1:8" x14ac:dyDescent="0.3">
      <c r="A626" t="s">
        <v>50</v>
      </c>
      <c r="B626" t="s">
        <v>8</v>
      </c>
      <c r="C626" t="s">
        <v>20</v>
      </c>
      <c r="D626">
        <v>0</v>
      </c>
      <c r="E626" t="s">
        <v>42</v>
      </c>
      <c r="F626" t="s">
        <v>36</v>
      </c>
      <c r="G626" t="s">
        <v>37</v>
      </c>
      <c r="H626">
        <f t="shared" si="9"/>
        <v>0</v>
      </c>
    </row>
    <row r="627" spans="1:8" x14ac:dyDescent="0.3">
      <c r="A627" t="s">
        <v>50</v>
      </c>
      <c r="B627" t="s">
        <v>8</v>
      </c>
      <c r="C627" t="s">
        <v>21</v>
      </c>
      <c r="D627">
        <v>0</v>
      </c>
      <c r="E627" t="s">
        <v>42</v>
      </c>
      <c r="F627" t="s">
        <v>36</v>
      </c>
      <c r="G627" t="s">
        <v>37</v>
      </c>
      <c r="H627">
        <f t="shared" si="9"/>
        <v>0</v>
      </c>
    </row>
    <row r="628" spans="1:8" x14ac:dyDescent="0.3">
      <c r="A628" t="s">
        <v>50</v>
      </c>
      <c r="B628" t="s">
        <v>8</v>
      </c>
      <c r="C628" t="s">
        <v>22</v>
      </c>
      <c r="D628">
        <v>0</v>
      </c>
      <c r="E628" t="s">
        <v>42</v>
      </c>
      <c r="F628" t="s">
        <v>36</v>
      </c>
      <c r="G628" t="s">
        <v>37</v>
      </c>
      <c r="H628">
        <f t="shared" si="9"/>
        <v>0</v>
      </c>
    </row>
    <row r="629" spans="1:8" x14ac:dyDescent="0.3">
      <c r="A629" t="s">
        <v>50</v>
      </c>
      <c r="B629" t="s">
        <v>23</v>
      </c>
      <c r="C629" t="s">
        <v>9</v>
      </c>
      <c r="D629">
        <v>225</v>
      </c>
      <c r="E629" t="s">
        <v>42</v>
      </c>
      <c r="F629" t="s">
        <v>36</v>
      </c>
      <c r="G629" t="s">
        <v>37</v>
      </c>
      <c r="H629">
        <f t="shared" si="9"/>
        <v>225</v>
      </c>
    </row>
    <row r="630" spans="1:8" x14ac:dyDescent="0.3">
      <c r="A630" t="s">
        <v>50</v>
      </c>
      <c r="B630" t="s">
        <v>23</v>
      </c>
      <c r="C630" t="s">
        <v>13</v>
      </c>
      <c r="D630">
        <v>36</v>
      </c>
      <c r="E630" t="s">
        <v>42</v>
      </c>
      <c r="F630" t="s">
        <v>36</v>
      </c>
      <c r="G630" t="s">
        <v>37</v>
      </c>
      <c r="H630">
        <f t="shared" si="9"/>
        <v>36</v>
      </c>
    </row>
    <row r="631" spans="1:8" x14ac:dyDescent="0.3">
      <c r="A631" t="s">
        <v>50</v>
      </c>
      <c r="B631" t="s">
        <v>23</v>
      </c>
      <c r="C631" t="s">
        <v>14</v>
      </c>
      <c r="D631">
        <v>669</v>
      </c>
      <c r="E631" t="s">
        <v>42</v>
      </c>
      <c r="F631" t="s">
        <v>36</v>
      </c>
      <c r="G631" t="s">
        <v>37</v>
      </c>
      <c r="H631">
        <f t="shared" si="9"/>
        <v>669</v>
      </c>
    </row>
    <row r="632" spans="1:8" x14ac:dyDescent="0.3">
      <c r="A632" t="s">
        <v>50</v>
      </c>
      <c r="B632" t="s">
        <v>23</v>
      </c>
      <c r="C632" t="s">
        <v>15</v>
      </c>
      <c r="D632">
        <v>103</v>
      </c>
      <c r="E632" t="s">
        <v>42</v>
      </c>
      <c r="F632" t="s">
        <v>36</v>
      </c>
      <c r="G632" t="s">
        <v>37</v>
      </c>
      <c r="H632">
        <f t="shared" si="9"/>
        <v>103</v>
      </c>
    </row>
    <row r="633" spans="1:8" x14ac:dyDescent="0.3">
      <c r="A633" t="s">
        <v>50</v>
      </c>
      <c r="B633" t="s">
        <v>23</v>
      </c>
      <c r="C633" t="s">
        <v>16</v>
      </c>
      <c r="D633">
        <v>283536</v>
      </c>
      <c r="E633" t="s">
        <v>42</v>
      </c>
      <c r="F633" t="s">
        <v>36</v>
      </c>
      <c r="G633" t="s">
        <v>37</v>
      </c>
      <c r="H633">
        <f t="shared" si="9"/>
        <v>284000</v>
      </c>
    </row>
    <row r="634" spans="1:8" x14ac:dyDescent="0.3">
      <c r="A634" t="s">
        <v>50</v>
      </c>
      <c r="B634" t="s">
        <v>23</v>
      </c>
      <c r="C634" t="s">
        <v>17</v>
      </c>
      <c r="D634">
        <v>53</v>
      </c>
      <c r="E634" t="s">
        <v>42</v>
      </c>
      <c r="F634" t="s">
        <v>36</v>
      </c>
      <c r="G634" t="s">
        <v>37</v>
      </c>
      <c r="H634">
        <f t="shared" si="9"/>
        <v>53</v>
      </c>
    </row>
    <row r="635" spans="1:8" x14ac:dyDescent="0.3">
      <c r="A635" t="s">
        <v>50</v>
      </c>
      <c r="B635" t="s">
        <v>23</v>
      </c>
      <c r="C635" t="s">
        <v>18</v>
      </c>
      <c r="D635">
        <v>0</v>
      </c>
      <c r="E635" t="s">
        <v>42</v>
      </c>
      <c r="F635" t="s">
        <v>36</v>
      </c>
      <c r="G635" t="s">
        <v>37</v>
      </c>
      <c r="H635">
        <f t="shared" si="9"/>
        <v>0</v>
      </c>
    </row>
    <row r="636" spans="1:8" x14ac:dyDescent="0.3">
      <c r="A636" t="s">
        <v>50</v>
      </c>
      <c r="B636" t="s">
        <v>23</v>
      </c>
      <c r="C636" t="s">
        <v>19</v>
      </c>
      <c r="D636">
        <v>96</v>
      </c>
      <c r="E636" t="s">
        <v>42</v>
      </c>
      <c r="F636" t="s">
        <v>36</v>
      </c>
      <c r="G636" t="s">
        <v>37</v>
      </c>
      <c r="H636">
        <f t="shared" si="9"/>
        <v>96</v>
      </c>
    </row>
    <row r="637" spans="1:8" x14ac:dyDescent="0.3">
      <c r="A637" t="s">
        <v>50</v>
      </c>
      <c r="B637" t="s">
        <v>23</v>
      </c>
      <c r="C637" t="s">
        <v>20</v>
      </c>
      <c r="D637">
        <v>640</v>
      </c>
      <c r="E637" t="s">
        <v>42</v>
      </c>
      <c r="F637" t="s">
        <v>36</v>
      </c>
      <c r="G637" t="s">
        <v>37</v>
      </c>
      <c r="H637">
        <f t="shared" si="9"/>
        <v>640</v>
      </c>
    </row>
    <row r="638" spans="1:8" x14ac:dyDescent="0.3">
      <c r="A638" t="s">
        <v>50</v>
      </c>
      <c r="B638" t="s">
        <v>23</v>
      </c>
      <c r="C638" t="s">
        <v>21</v>
      </c>
      <c r="D638">
        <v>232</v>
      </c>
      <c r="E638" t="s">
        <v>42</v>
      </c>
      <c r="F638" t="s">
        <v>36</v>
      </c>
      <c r="G638" t="s">
        <v>37</v>
      </c>
      <c r="H638">
        <f t="shared" si="9"/>
        <v>232</v>
      </c>
    </row>
    <row r="639" spans="1:8" x14ac:dyDescent="0.3">
      <c r="A639" t="s">
        <v>50</v>
      </c>
      <c r="B639" t="s">
        <v>23</v>
      </c>
      <c r="C639" t="s">
        <v>22</v>
      </c>
      <c r="D639">
        <v>125</v>
      </c>
      <c r="E639" t="s">
        <v>42</v>
      </c>
      <c r="F639" t="s">
        <v>36</v>
      </c>
      <c r="G639" t="s">
        <v>37</v>
      </c>
      <c r="H639">
        <f t="shared" si="9"/>
        <v>125</v>
      </c>
    </row>
    <row r="640" spans="1:8" x14ac:dyDescent="0.3">
      <c r="A640" t="s">
        <v>51</v>
      </c>
      <c r="B640" t="s">
        <v>8</v>
      </c>
      <c r="C640" t="s">
        <v>9</v>
      </c>
      <c r="D640">
        <v>0</v>
      </c>
      <c r="E640" t="s">
        <v>42</v>
      </c>
      <c r="F640" t="s">
        <v>36</v>
      </c>
      <c r="G640" t="s">
        <v>37</v>
      </c>
      <c r="H640">
        <f t="shared" si="9"/>
        <v>0</v>
      </c>
    </row>
    <row r="641" spans="1:8" x14ac:dyDescent="0.3">
      <c r="A641" t="s">
        <v>51</v>
      </c>
      <c r="B641" t="s">
        <v>8</v>
      </c>
      <c r="C641" t="s">
        <v>13</v>
      </c>
      <c r="D641">
        <v>0</v>
      </c>
      <c r="E641" t="s">
        <v>42</v>
      </c>
      <c r="F641" t="s">
        <v>36</v>
      </c>
      <c r="G641" t="s">
        <v>37</v>
      </c>
      <c r="H641">
        <f t="shared" si="9"/>
        <v>0</v>
      </c>
    </row>
    <row r="642" spans="1:8" x14ac:dyDescent="0.3">
      <c r="A642" t="s">
        <v>51</v>
      </c>
      <c r="B642" t="s">
        <v>8</v>
      </c>
      <c r="C642" t="s">
        <v>14</v>
      </c>
      <c r="D642">
        <v>0</v>
      </c>
      <c r="E642" t="s">
        <v>42</v>
      </c>
      <c r="F642" t="s">
        <v>36</v>
      </c>
      <c r="G642" t="s">
        <v>37</v>
      </c>
      <c r="H642">
        <f t="shared" si="9"/>
        <v>0</v>
      </c>
    </row>
    <row r="643" spans="1:8" x14ac:dyDescent="0.3">
      <c r="A643" t="s">
        <v>51</v>
      </c>
      <c r="B643" t="s">
        <v>8</v>
      </c>
      <c r="C643" t="s">
        <v>15</v>
      </c>
      <c r="D643">
        <v>0</v>
      </c>
      <c r="E643" t="s">
        <v>42</v>
      </c>
      <c r="F643" t="s">
        <v>36</v>
      </c>
      <c r="G643" t="s">
        <v>37</v>
      </c>
      <c r="H643">
        <f t="shared" ref="H643:H706" si="10">ROUND(D643, 3 - LEN(INT(ABS(D643))))</f>
        <v>0</v>
      </c>
    </row>
    <row r="644" spans="1:8" x14ac:dyDescent="0.3">
      <c r="A644" t="s">
        <v>51</v>
      </c>
      <c r="B644" t="s">
        <v>8</v>
      </c>
      <c r="C644" t="s">
        <v>16</v>
      </c>
      <c r="D644">
        <v>0</v>
      </c>
      <c r="E644" t="s">
        <v>42</v>
      </c>
      <c r="F644" t="s">
        <v>36</v>
      </c>
      <c r="G644" t="s">
        <v>37</v>
      </c>
      <c r="H644">
        <f t="shared" si="10"/>
        <v>0</v>
      </c>
    </row>
    <row r="645" spans="1:8" x14ac:dyDescent="0.3">
      <c r="A645" t="s">
        <v>51</v>
      </c>
      <c r="B645" t="s">
        <v>8</v>
      </c>
      <c r="C645" t="s">
        <v>17</v>
      </c>
      <c r="D645">
        <v>0</v>
      </c>
      <c r="E645" t="s">
        <v>42</v>
      </c>
      <c r="F645" t="s">
        <v>36</v>
      </c>
      <c r="G645" t="s">
        <v>37</v>
      </c>
      <c r="H645">
        <f t="shared" si="10"/>
        <v>0</v>
      </c>
    </row>
    <row r="646" spans="1:8" x14ac:dyDescent="0.3">
      <c r="A646" t="s">
        <v>51</v>
      </c>
      <c r="B646" t="s">
        <v>8</v>
      </c>
      <c r="C646" t="s">
        <v>18</v>
      </c>
      <c r="D646">
        <v>0</v>
      </c>
      <c r="E646" t="s">
        <v>42</v>
      </c>
      <c r="F646" t="s">
        <v>36</v>
      </c>
      <c r="G646" t="s">
        <v>37</v>
      </c>
      <c r="H646">
        <f t="shared" si="10"/>
        <v>0</v>
      </c>
    </row>
    <row r="647" spans="1:8" x14ac:dyDescent="0.3">
      <c r="A647" t="s">
        <v>51</v>
      </c>
      <c r="B647" t="s">
        <v>8</v>
      </c>
      <c r="C647" t="s">
        <v>19</v>
      </c>
      <c r="D647">
        <v>0</v>
      </c>
      <c r="E647" t="s">
        <v>42</v>
      </c>
      <c r="F647" t="s">
        <v>36</v>
      </c>
      <c r="G647" t="s">
        <v>37</v>
      </c>
      <c r="H647">
        <f t="shared" si="10"/>
        <v>0</v>
      </c>
    </row>
    <row r="648" spans="1:8" x14ac:dyDescent="0.3">
      <c r="A648" t="s">
        <v>51</v>
      </c>
      <c r="B648" t="s">
        <v>8</v>
      </c>
      <c r="C648" t="s">
        <v>20</v>
      </c>
      <c r="D648">
        <v>0</v>
      </c>
      <c r="E648" t="s">
        <v>42</v>
      </c>
      <c r="F648" t="s">
        <v>36</v>
      </c>
      <c r="G648" t="s">
        <v>37</v>
      </c>
      <c r="H648">
        <f t="shared" si="10"/>
        <v>0</v>
      </c>
    </row>
    <row r="649" spans="1:8" x14ac:dyDescent="0.3">
      <c r="A649" t="s">
        <v>51</v>
      </c>
      <c r="B649" t="s">
        <v>8</v>
      </c>
      <c r="C649" t="s">
        <v>21</v>
      </c>
      <c r="D649">
        <v>0</v>
      </c>
      <c r="E649" t="s">
        <v>42</v>
      </c>
      <c r="F649" t="s">
        <v>36</v>
      </c>
      <c r="G649" t="s">
        <v>37</v>
      </c>
      <c r="H649">
        <f t="shared" si="10"/>
        <v>0</v>
      </c>
    </row>
    <row r="650" spans="1:8" x14ac:dyDescent="0.3">
      <c r="A650" t="s">
        <v>51</v>
      </c>
      <c r="B650" t="s">
        <v>8</v>
      </c>
      <c r="C650" t="s">
        <v>22</v>
      </c>
      <c r="D650">
        <v>0</v>
      </c>
      <c r="E650" t="s">
        <v>42</v>
      </c>
      <c r="F650" t="s">
        <v>36</v>
      </c>
      <c r="G650" t="s">
        <v>37</v>
      </c>
      <c r="H650">
        <f t="shared" si="10"/>
        <v>0</v>
      </c>
    </row>
    <row r="651" spans="1:8" x14ac:dyDescent="0.3">
      <c r="A651" t="s">
        <v>51</v>
      </c>
      <c r="B651" t="s">
        <v>23</v>
      </c>
      <c r="C651" t="s">
        <v>9</v>
      </c>
      <c r="D651">
        <v>642</v>
      </c>
      <c r="E651" t="s">
        <v>42</v>
      </c>
      <c r="F651" t="s">
        <v>36</v>
      </c>
      <c r="G651" t="s">
        <v>37</v>
      </c>
      <c r="H651">
        <f t="shared" si="10"/>
        <v>642</v>
      </c>
    </row>
    <row r="652" spans="1:8" x14ac:dyDescent="0.3">
      <c r="A652" t="s">
        <v>51</v>
      </c>
      <c r="B652" t="s">
        <v>23</v>
      </c>
      <c r="C652" t="s">
        <v>13</v>
      </c>
      <c r="D652">
        <v>53216</v>
      </c>
      <c r="E652" t="s">
        <v>42</v>
      </c>
      <c r="F652" t="s">
        <v>36</v>
      </c>
      <c r="G652" t="s">
        <v>37</v>
      </c>
      <c r="H652">
        <f t="shared" si="10"/>
        <v>53200</v>
      </c>
    </row>
    <row r="653" spans="1:8" x14ac:dyDescent="0.3">
      <c r="A653" t="s">
        <v>51</v>
      </c>
      <c r="B653" t="s">
        <v>23</v>
      </c>
      <c r="C653" t="s">
        <v>14</v>
      </c>
      <c r="D653">
        <v>620</v>
      </c>
      <c r="E653" t="s">
        <v>42</v>
      </c>
      <c r="F653" t="s">
        <v>36</v>
      </c>
      <c r="G653" t="s">
        <v>37</v>
      </c>
      <c r="H653">
        <f t="shared" si="10"/>
        <v>620</v>
      </c>
    </row>
    <row r="654" spans="1:8" x14ac:dyDescent="0.3">
      <c r="A654" t="s">
        <v>51</v>
      </c>
      <c r="B654" t="s">
        <v>23</v>
      </c>
      <c r="C654" t="s">
        <v>15</v>
      </c>
      <c r="D654">
        <v>2887</v>
      </c>
      <c r="E654" t="s">
        <v>42</v>
      </c>
      <c r="F654" t="s">
        <v>36</v>
      </c>
      <c r="G654" t="s">
        <v>37</v>
      </c>
      <c r="H654">
        <f t="shared" si="10"/>
        <v>2890</v>
      </c>
    </row>
    <row r="655" spans="1:8" x14ac:dyDescent="0.3">
      <c r="A655" t="s">
        <v>51</v>
      </c>
      <c r="B655" t="s">
        <v>23</v>
      </c>
      <c r="C655" t="s">
        <v>16</v>
      </c>
      <c r="D655">
        <v>383</v>
      </c>
      <c r="E655" t="s">
        <v>42</v>
      </c>
      <c r="F655" t="s">
        <v>36</v>
      </c>
      <c r="G655" t="s">
        <v>37</v>
      </c>
      <c r="H655">
        <f t="shared" si="10"/>
        <v>383</v>
      </c>
    </row>
    <row r="656" spans="1:8" x14ac:dyDescent="0.3">
      <c r="A656" t="s">
        <v>51</v>
      </c>
      <c r="B656" t="s">
        <v>23</v>
      </c>
      <c r="C656" t="s">
        <v>17</v>
      </c>
      <c r="D656">
        <v>6</v>
      </c>
      <c r="E656" t="s">
        <v>42</v>
      </c>
      <c r="F656" t="s">
        <v>36</v>
      </c>
      <c r="G656" t="s">
        <v>37</v>
      </c>
      <c r="H656">
        <f t="shared" si="10"/>
        <v>6</v>
      </c>
    </row>
    <row r="657" spans="1:8" x14ac:dyDescent="0.3">
      <c r="A657" t="s">
        <v>51</v>
      </c>
      <c r="B657" t="s">
        <v>23</v>
      </c>
      <c r="C657" t="s">
        <v>18</v>
      </c>
      <c r="D657">
        <v>0</v>
      </c>
      <c r="E657" t="s">
        <v>42</v>
      </c>
      <c r="F657" t="s">
        <v>36</v>
      </c>
      <c r="G657" t="s">
        <v>37</v>
      </c>
      <c r="H657">
        <f t="shared" si="10"/>
        <v>0</v>
      </c>
    </row>
    <row r="658" spans="1:8" x14ac:dyDescent="0.3">
      <c r="A658" t="s">
        <v>51</v>
      </c>
      <c r="B658" t="s">
        <v>23</v>
      </c>
      <c r="C658" t="s">
        <v>19</v>
      </c>
      <c r="D658">
        <v>1152</v>
      </c>
      <c r="E658" t="s">
        <v>42</v>
      </c>
      <c r="F658" t="s">
        <v>36</v>
      </c>
      <c r="G658" t="s">
        <v>37</v>
      </c>
      <c r="H658">
        <f t="shared" si="10"/>
        <v>1150</v>
      </c>
    </row>
    <row r="659" spans="1:8" x14ac:dyDescent="0.3">
      <c r="A659" t="s">
        <v>51</v>
      </c>
      <c r="B659" t="s">
        <v>23</v>
      </c>
      <c r="C659" t="s">
        <v>20</v>
      </c>
      <c r="D659">
        <v>1716</v>
      </c>
      <c r="E659" t="s">
        <v>42</v>
      </c>
      <c r="F659" t="s">
        <v>36</v>
      </c>
      <c r="G659" t="s">
        <v>37</v>
      </c>
      <c r="H659">
        <f t="shared" si="10"/>
        <v>1720</v>
      </c>
    </row>
    <row r="660" spans="1:8" x14ac:dyDescent="0.3">
      <c r="A660" t="s">
        <v>51</v>
      </c>
      <c r="B660" t="s">
        <v>23</v>
      </c>
      <c r="C660" t="s">
        <v>21</v>
      </c>
      <c r="D660">
        <v>53</v>
      </c>
      <c r="E660" t="s">
        <v>42</v>
      </c>
      <c r="F660" t="s">
        <v>36</v>
      </c>
      <c r="G660" t="s">
        <v>37</v>
      </c>
      <c r="H660">
        <f t="shared" si="10"/>
        <v>53</v>
      </c>
    </row>
    <row r="661" spans="1:8" x14ac:dyDescent="0.3">
      <c r="A661" t="s">
        <v>51</v>
      </c>
      <c r="B661" t="s">
        <v>23</v>
      </c>
      <c r="C661" t="s">
        <v>22</v>
      </c>
      <c r="D661">
        <v>2760</v>
      </c>
      <c r="E661" t="s">
        <v>42</v>
      </c>
      <c r="F661" t="s">
        <v>36</v>
      </c>
      <c r="G661" t="s">
        <v>37</v>
      </c>
      <c r="H661">
        <f t="shared" si="10"/>
        <v>2760</v>
      </c>
    </row>
    <row r="662" spans="1:8" x14ac:dyDescent="0.3">
      <c r="A662" t="s">
        <v>52</v>
      </c>
      <c r="B662" t="s">
        <v>8</v>
      </c>
      <c r="C662" t="s">
        <v>9</v>
      </c>
      <c r="D662">
        <v>0</v>
      </c>
      <c r="E662" t="s">
        <v>42</v>
      </c>
      <c r="F662" t="s">
        <v>36</v>
      </c>
      <c r="G662" t="s">
        <v>37</v>
      </c>
      <c r="H662">
        <f t="shared" si="10"/>
        <v>0</v>
      </c>
    </row>
    <row r="663" spans="1:8" x14ac:dyDescent="0.3">
      <c r="A663" t="s">
        <v>52</v>
      </c>
      <c r="B663" t="s">
        <v>8</v>
      </c>
      <c r="C663" t="s">
        <v>13</v>
      </c>
      <c r="D663">
        <v>0</v>
      </c>
      <c r="E663" t="s">
        <v>42</v>
      </c>
      <c r="F663" t="s">
        <v>36</v>
      </c>
      <c r="G663" t="s">
        <v>37</v>
      </c>
      <c r="H663">
        <f t="shared" si="10"/>
        <v>0</v>
      </c>
    </row>
    <row r="664" spans="1:8" x14ac:dyDescent="0.3">
      <c r="A664" t="s">
        <v>52</v>
      </c>
      <c r="B664" t="s">
        <v>8</v>
      </c>
      <c r="C664" t="s">
        <v>14</v>
      </c>
      <c r="D664">
        <v>0</v>
      </c>
      <c r="E664" t="s">
        <v>42</v>
      </c>
      <c r="F664" t="s">
        <v>36</v>
      </c>
      <c r="G664" t="s">
        <v>37</v>
      </c>
      <c r="H664">
        <f t="shared" si="10"/>
        <v>0</v>
      </c>
    </row>
    <row r="665" spans="1:8" x14ac:dyDescent="0.3">
      <c r="A665" t="s">
        <v>52</v>
      </c>
      <c r="B665" t="s">
        <v>8</v>
      </c>
      <c r="C665" t="s">
        <v>15</v>
      </c>
      <c r="D665">
        <v>0</v>
      </c>
      <c r="E665" t="s">
        <v>42</v>
      </c>
      <c r="F665" t="s">
        <v>36</v>
      </c>
      <c r="G665" t="s">
        <v>37</v>
      </c>
      <c r="H665">
        <f t="shared" si="10"/>
        <v>0</v>
      </c>
    </row>
    <row r="666" spans="1:8" x14ac:dyDescent="0.3">
      <c r="A666" t="s">
        <v>52</v>
      </c>
      <c r="B666" t="s">
        <v>8</v>
      </c>
      <c r="C666" t="s">
        <v>16</v>
      </c>
      <c r="D666">
        <v>0</v>
      </c>
      <c r="E666" t="s">
        <v>42</v>
      </c>
      <c r="F666" t="s">
        <v>36</v>
      </c>
      <c r="G666" t="s">
        <v>37</v>
      </c>
      <c r="H666">
        <f t="shared" si="10"/>
        <v>0</v>
      </c>
    </row>
    <row r="667" spans="1:8" x14ac:dyDescent="0.3">
      <c r="A667" t="s">
        <v>52</v>
      </c>
      <c r="B667" t="s">
        <v>8</v>
      </c>
      <c r="C667" t="s">
        <v>17</v>
      </c>
      <c r="D667">
        <v>0</v>
      </c>
      <c r="E667" t="s">
        <v>42</v>
      </c>
      <c r="F667" t="s">
        <v>36</v>
      </c>
      <c r="G667" t="s">
        <v>37</v>
      </c>
      <c r="H667">
        <f t="shared" si="10"/>
        <v>0</v>
      </c>
    </row>
    <row r="668" spans="1:8" x14ac:dyDescent="0.3">
      <c r="A668" t="s">
        <v>52</v>
      </c>
      <c r="B668" t="s">
        <v>8</v>
      </c>
      <c r="C668" t="s">
        <v>18</v>
      </c>
      <c r="D668">
        <v>0</v>
      </c>
      <c r="E668" t="s">
        <v>42</v>
      </c>
      <c r="F668" t="s">
        <v>36</v>
      </c>
      <c r="G668" t="s">
        <v>37</v>
      </c>
      <c r="H668">
        <f t="shared" si="10"/>
        <v>0</v>
      </c>
    </row>
    <row r="669" spans="1:8" x14ac:dyDescent="0.3">
      <c r="A669" t="s">
        <v>52</v>
      </c>
      <c r="B669" t="s">
        <v>8</v>
      </c>
      <c r="C669" t="s">
        <v>19</v>
      </c>
      <c r="D669">
        <v>0</v>
      </c>
      <c r="E669" t="s">
        <v>42</v>
      </c>
      <c r="F669" t="s">
        <v>36</v>
      </c>
      <c r="G669" t="s">
        <v>37</v>
      </c>
      <c r="H669">
        <f t="shared" si="10"/>
        <v>0</v>
      </c>
    </row>
    <row r="670" spans="1:8" x14ac:dyDescent="0.3">
      <c r="A670" t="s">
        <v>52</v>
      </c>
      <c r="B670" t="s">
        <v>8</v>
      </c>
      <c r="C670" t="s">
        <v>20</v>
      </c>
      <c r="D670">
        <v>0</v>
      </c>
      <c r="E670" t="s">
        <v>42</v>
      </c>
      <c r="F670" t="s">
        <v>36</v>
      </c>
      <c r="G670" t="s">
        <v>37</v>
      </c>
      <c r="H670">
        <f t="shared" si="10"/>
        <v>0</v>
      </c>
    </row>
    <row r="671" spans="1:8" x14ac:dyDescent="0.3">
      <c r="A671" t="s">
        <v>52</v>
      </c>
      <c r="B671" t="s">
        <v>8</v>
      </c>
      <c r="C671" t="s">
        <v>21</v>
      </c>
      <c r="D671">
        <v>0</v>
      </c>
      <c r="E671" t="s">
        <v>42</v>
      </c>
      <c r="F671" t="s">
        <v>36</v>
      </c>
      <c r="G671" t="s">
        <v>37</v>
      </c>
      <c r="H671">
        <f t="shared" si="10"/>
        <v>0</v>
      </c>
    </row>
    <row r="672" spans="1:8" x14ac:dyDescent="0.3">
      <c r="A672" t="s">
        <v>52</v>
      </c>
      <c r="B672" t="s">
        <v>8</v>
      </c>
      <c r="C672" t="s">
        <v>22</v>
      </c>
      <c r="D672">
        <v>0</v>
      </c>
      <c r="E672" t="s">
        <v>42</v>
      </c>
      <c r="F672" t="s">
        <v>36</v>
      </c>
      <c r="G672" t="s">
        <v>37</v>
      </c>
      <c r="H672">
        <f t="shared" si="10"/>
        <v>0</v>
      </c>
    </row>
    <row r="673" spans="1:8" x14ac:dyDescent="0.3">
      <c r="A673" t="s">
        <v>52</v>
      </c>
      <c r="B673" t="s">
        <v>23</v>
      </c>
      <c r="C673" t="s">
        <v>9</v>
      </c>
      <c r="D673">
        <v>125405</v>
      </c>
      <c r="E673" t="s">
        <v>42</v>
      </c>
      <c r="F673" t="s">
        <v>36</v>
      </c>
      <c r="G673" t="s">
        <v>37</v>
      </c>
      <c r="H673">
        <f t="shared" si="10"/>
        <v>125000</v>
      </c>
    </row>
    <row r="674" spans="1:8" x14ac:dyDescent="0.3">
      <c r="A674" t="s">
        <v>52</v>
      </c>
      <c r="B674" t="s">
        <v>23</v>
      </c>
      <c r="C674" t="s">
        <v>13</v>
      </c>
      <c r="D674">
        <v>1576</v>
      </c>
      <c r="E674" t="s">
        <v>42</v>
      </c>
      <c r="F674" t="s">
        <v>36</v>
      </c>
      <c r="G674" t="s">
        <v>37</v>
      </c>
      <c r="H674">
        <f t="shared" si="10"/>
        <v>1580</v>
      </c>
    </row>
    <row r="675" spans="1:8" x14ac:dyDescent="0.3">
      <c r="A675" t="s">
        <v>52</v>
      </c>
      <c r="B675" t="s">
        <v>23</v>
      </c>
      <c r="C675" t="s">
        <v>14</v>
      </c>
      <c r="D675">
        <v>2108</v>
      </c>
      <c r="E675" t="s">
        <v>42</v>
      </c>
      <c r="F675" t="s">
        <v>36</v>
      </c>
      <c r="G675" t="s">
        <v>37</v>
      </c>
      <c r="H675">
        <f t="shared" si="10"/>
        <v>2110</v>
      </c>
    </row>
    <row r="676" spans="1:8" x14ac:dyDescent="0.3">
      <c r="A676" t="s">
        <v>52</v>
      </c>
      <c r="B676" t="s">
        <v>23</v>
      </c>
      <c r="C676" t="s">
        <v>15</v>
      </c>
      <c r="D676">
        <v>1539</v>
      </c>
      <c r="E676" t="s">
        <v>42</v>
      </c>
      <c r="F676" t="s">
        <v>36</v>
      </c>
      <c r="G676" t="s">
        <v>37</v>
      </c>
      <c r="H676">
        <f t="shared" si="10"/>
        <v>1540</v>
      </c>
    </row>
    <row r="677" spans="1:8" x14ac:dyDescent="0.3">
      <c r="A677" t="s">
        <v>52</v>
      </c>
      <c r="B677" t="s">
        <v>23</v>
      </c>
      <c r="C677" t="s">
        <v>16</v>
      </c>
      <c r="D677">
        <v>19073</v>
      </c>
      <c r="E677" t="s">
        <v>42</v>
      </c>
      <c r="F677" t="s">
        <v>36</v>
      </c>
      <c r="G677" t="s">
        <v>37</v>
      </c>
      <c r="H677">
        <f t="shared" si="10"/>
        <v>19100</v>
      </c>
    </row>
    <row r="678" spans="1:8" x14ac:dyDescent="0.3">
      <c r="A678" t="s">
        <v>52</v>
      </c>
      <c r="B678" t="s">
        <v>23</v>
      </c>
      <c r="C678" t="s">
        <v>17</v>
      </c>
      <c r="D678">
        <v>650</v>
      </c>
      <c r="E678" t="s">
        <v>42</v>
      </c>
      <c r="F678" t="s">
        <v>36</v>
      </c>
      <c r="G678" t="s">
        <v>37</v>
      </c>
      <c r="H678">
        <f t="shared" si="10"/>
        <v>650</v>
      </c>
    </row>
    <row r="679" spans="1:8" x14ac:dyDescent="0.3">
      <c r="A679" t="s">
        <v>52</v>
      </c>
      <c r="B679" t="s">
        <v>23</v>
      </c>
      <c r="C679" t="s">
        <v>18</v>
      </c>
      <c r="D679">
        <v>0</v>
      </c>
      <c r="E679" t="s">
        <v>42</v>
      </c>
      <c r="F679" t="s">
        <v>36</v>
      </c>
      <c r="G679" t="s">
        <v>37</v>
      </c>
      <c r="H679">
        <f t="shared" si="10"/>
        <v>0</v>
      </c>
    </row>
    <row r="680" spans="1:8" x14ac:dyDescent="0.3">
      <c r="A680" t="s">
        <v>52</v>
      </c>
      <c r="B680" t="s">
        <v>23</v>
      </c>
      <c r="C680" t="s">
        <v>19</v>
      </c>
      <c r="D680">
        <v>1669</v>
      </c>
      <c r="E680" t="s">
        <v>42</v>
      </c>
      <c r="F680" t="s">
        <v>36</v>
      </c>
      <c r="G680" t="s">
        <v>37</v>
      </c>
      <c r="H680">
        <f t="shared" si="10"/>
        <v>1670</v>
      </c>
    </row>
    <row r="681" spans="1:8" x14ac:dyDescent="0.3">
      <c r="A681" t="s">
        <v>52</v>
      </c>
      <c r="B681" t="s">
        <v>23</v>
      </c>
      <c r="C681" t="s">
        <v>20</v>
      </c>
      <c r="D681">
        <v>9370</v>
      </c>
      <c r="E681" t="s">
        <v>42</v>
      </c>
      <c r="F681" t="s">
        <v>36</v>
      </c>
      <c r="G681" t="s">
        <v>37</v>
      </c>
      <c r="H681">
        <f t="shared" si="10"/>
        <v>9370</v>
      </c>
    </row>
    <row r="682" spans="1:8" x14ac:dyDescent="0.3">
      <c r="A682" t="s">
        <v>52</v>
      </c>
      <c r="B682" t="s">
        <v>23</v>
      </c>
      <c r="C682" t="s">
        <v>21</v>
      </c>
      <c r="D682">
        <v>328</v>
      </c>
      <c r="E682" t="s">
        <v>42</v>
      </c>
      <c r="F682" t="s">
        <v>36</v>
      </c>
      <c r="G682" t="s">
        <v>37</v>
      </c>
      <c r="H682">
        <f t="shared" si="10"/>
        <v>328</v>
      </c>
    </row>
    <row r="683" spans="1:8" x14ac:dyDescent="0.3">
      <c r="A683" t="s">
        <v>52</v>
      </c>
      <c r="B683" t="s">
        <v>23</v>
      </c>
      <c r="C683" t="s">
        <v>22</v>
      </c>
      <c r="D683">
        <v>473</v>
      </c>
      <c r="E683" t="s">
        <v>42</v>
      </c>
      <c r="F683" t="s">
        <v>36</v>
      </c>
      <c r="G683" t="s">
        <v>37</v>
      </c>
      <c r="H683">
        <f t="shared" si="10"/>
        <v>473</v>
      </c>
    </row>
    <row r="684" spans="1:8" x14ac:dyDescent="0.3">
      <c r="A684" t="s">
        <v>53</v>
      </c>
      <c r="B684" t="s">
        <v>8</v>
      </c>
      <c r="C684" t="s">
        <v>9</v>
      </c>
      <c r="D684">
        <v>0</v>
      </c>
      <c r="E684" t="s">
        <v>42</v>
      </c>
      <c r="F684" t="s">
        <v>36</v>
      </c>
      <c r="G684" t="s">
        <v>37</v>
      </c>
      <c r="H684">
        <f t="shared" si="10"/>
        <v>0</v>
      </c>
    </row>
    <row r="685" spans="1:8" x14ac:dyDescent="0.3">
      <c r="A685" t="s">
        <v>53</v>
      </c>
      <c r="B685" t="s">
        <v>8</v>
      </c>
      <c r="C685" t="s">
        <v>13</v>
      </c>
      <c r="D685">
        <v>0</v>
      </c>
      <c r="E685" t="s">
        <v>42</v>
      </c>
      <c r="F685" t="s">
        <v>36</v>
      </c>
      <c r="G685" t="s">
        <v>37</v>
      </c>
      <c r="H685">
        <f t="shared" si="10"/>
        <v>0</v>
      </c>
    </row>
    <row r="686" spans="1:8" x14ac:dyDescent="0.3">
      <c r="A686" t="s">
        <v>53</v>
      </c>
      <c r="B686" t="s">
        <v>8</v>
      </c>
      <c r="C686" t="s">
        <v>14</v>
      </c>
      <c r="D686">
        <v>0</v>
      </c>
      <c r="E686" t="s">
        <v>42</v>
      </c>
      <c r="F686" t="s">
        <v>36</v>
      </c>
      <c r="G686" t="s">
        <v>37</v>
      </c>
      <c r="H686">
        <f t="shared" si="10"/>
        <v>0</v>
      </c>
    </row>
    <row r="687" spans="1:8" x14ac:dyDescent="0.3">
      <c r="A687" t="s">
        <v>53</v>
      </c>
      <c r="B687" t="s">
        <v>8</v>
      </c>
      <c r="C687" t="s">
        <v>15</v>
      </c>
      <c r="D687">
        <v>0</v>
      </c>
      <c r="E687" t="s">
        <v>42</v>
      </c>
      <c r="F687" t="s">
        <v>36</v>
      </c>
      <c r="G687" t="s">
        <v>37</v>
      </c>
      <c r="H687">
        <f t="shared" si="10"/>
        <v>0</v>
      </c>
    </row>
    <row r="688" spans="1:8" x14ac:dyDescent="0.3">
      <c r="A688" t="s">
        <v>53</v>
      </c>
      <c r="B688" t="s">
        <v>8</v>
      </c>
      <c r="C688" t="s">
        <v>16</v>
      </c>
      <c r="D688">
        <v>0</v>
      </c>
      <c r="E688" t="s">
        <v>42</v>
      </c>
      <c r="F688" t="s">
        <v>36</v>
      </c>
      <c r="G688" t="s">
        <v>37</v>
      </c>
      <c r="H688">
        <f t="shared" si="10"/>
        <v>0</v>
      </c>
    </row>
    <row r="689" spans="1:8" x14ac:dyDescent="0.3">
      <c r="A689" t="s">
        <v>53</v>
      </c>
      <c r="B689" t="s">
        <v>8</v>
      </c>
      <c r="C689" t="s">
        <v>17</v>
      </c>
      <c r="D689">
        <v>0</v>
      </c>
      <c r="E689" t="s">
        <v>42</v>
      </c>
      <c r="F689" t="s">
        <v>36</v>
      </c>
      <c r="G689" t="s">
        <v>37</v>
      </c>
      <c r="H689">
        <f t="shared" si="10"/>
        <v>0</v>
      </c>
    </row>
    <row r="690" spans="1:8" x14ac:dyDescent="0.3">
      <c r="A690" t="s">
        <v>53</v>
      </c>
      <c r="B690" t="s">
        <v>8</v>
      </c>
      <c r="C690" t="s">
        <v>18</v>
      </c>
      <c r="D690">
        <v>0</v>
      </c>
      <c r="E690" t="s">
        <v>42</v>
      </c>
      <c r="F690" t="s">
        <v>36</v>
      </c>
      <c r="G690" t="s">
        <v>37</v>
      </c>
      <c r="H690">
        <f t="shared" si="10"/>
        <v>0</v>
      </c>
    </row>
    <row r="691" spans="1:8" x14ac:dyDescent="0.3">
      <c r="A691" t="s">
        <v>53</v>
      </c>
      <c r="B691" t="s">
        <v>8</v>
      </c>
      <c r="C691" t="s">
        <v>19</v>
      </c>
      <c r="D691">
        <v>0</v>
      </c>
      <c r="E691" t="s">
        <v>42</v>
      </c>
      <c r="F691" t="s">
        <v>36</v>
      </c>
      <c r="G691" t="s">
        <v>37</v>
      </c>
      <c r="H691">
        <f t="shared" si="10"/>
        <v>0</v>
      </c>
    </row>
    <row r="692" spans="1:8" x14ac:dyDescent="0.3">
      <c r="A692" t="s">
        <v>53</v>
      </c>
      <c r="B692" t="s">
        <v>8</v>
      </c>
      <c r="C692" t="s">
        <v>20</v>
      </c>
      <c r="D692">
        <v>0</v>
      </c>
      <c r="E692" t="s">
        <v>42</v>
      </c>
      <c r="F692" t="s">
        <v>36</v>
      </c>
      <c r="G692" t="s">
        <v>37</v>
      </c>
      <c r="H692">
        <f t="shared" si="10"/>
        <v>0</v>
      </c>
    </row>
    <row r="693" spans="1:8" x14ac:dyDescent="0.3">
      <c r="A693" t="s">
        <v>53</v>
      </c>
      <c r="B693" t="s">
        <v>8</v>
      </c>
      <c r="C693" t="s">
        <v>21</v>
      </c>
      <c r="D693">
        <v>0</v>
      </c>
      <c r="E693" t="s">
        <v>42</v>
      </c>
      <c r="F693" t="s">
        <v>36</v>
      </c>
      <c r="G693" t="s">
        <v>37</v>
      </c>
      <c r="H693">
        <f t="shared" si="10"/>
        <v>0</v>
      </c>
    </row>
    <row r="694" spans="1:8" x14ac:dyDescent="0.3">
      <c r="A694" t="s">
        <v>53</v>
      </c>
      <c r="B694" t="s">
        <v>8</v>
      </c>
      <c r="C694" t="s">
        <v>22</v>
      </c>
      <c r="D694">
        <v>0</v>
      </c>
      <c r="E694" t="s">
        <v>42</v>
      </c>
      <c r="F694" t="s">
        <v>36</v>
      </c>
      <c r="G694" t="s">
        <v>37</v>
      </c>
      <c r="H694">
        <f t="shared" si="10"/>
        <v>0</v>
      </c>
    </row>
    <row r="695" spans="1:8" x14ac:dyDescent="0.3">
      <c r="A695" t="s">
        <v>53</v>
      </c>
      <c r="B695" t="s">
        <v>23</v>
      </c>
      <c r="C695" t="s">
        <v>9</v>
      </c>
      <c r="D695">
        <v>206</v>
      </c>
      <c r="E695" t="s">
        <v>42</v>
      </c>
      <c r="F695" t="s">
        <v>36</v>
      </c>
      <c r="G695" t="s">
        <v>37</v>
      </c>
      <c r="H695">
        <f t="shared" si="10"/>
        <v>206</v>
      </c>
    </row>
    <row r="696" spans="1:8" x14ac:dyDescent="0.3">
      <c r="A696" t="s">
        <v>53</v>
      </c>
      <c r="B696" t="s">
        <v>23</v>
      </c>
      <c r="C696" t="s">
        <v>13</v>
      </c>
      <c r="D696">
        <v>33</v>
      </c>
      <c r="E696" t="s">
        <v>42</v>
      </c>
      <c r="F696" t="s">
        <v>36</v>
      </c>
      <c r="G696" t="s">
        <v>37</v>
      </c>
      <c r="H696">
        <f t="shared" si="10"/>
        <v>33</v>
      </c>
    </row>
    <row r="697" spans="1:8" x14ac:dyDescent="0.3">
      <c r="A697" t="s">
        <v>53</v>
      </c>
      <c r="B697" t="s">
        <v>23</v>
      </c>
      <c r="C697" t="s">
        <v>14</v>
      </c>
      <c r="D697">
        <v>614</v>
      </c>
      <c r="E697" t="s">
        <v>42</v>
      </c>
      <c r="F697" t="s">
        <v>36</v>
      </c>
      <c r="G697" t="s">
        <v>37</v>
      </c>
      <c r="H697">
        <f t="shared" si="10"/>
        <v>614</v>
      </c>
    </row>
    <row r="698" spans="1:8" x14ac:dyDescent="0.3">
      <c r="A698" t="s">
        <v>53</v>
      </c>
      <c r="B698" t="s">
        <v>23</v>
      </c>
      <c r="C698" t="s">
        <v>15</v>
      </c>
      <c r="D698">
        <v>95</v>
      </c>
      <c r="E698" t="s">
        <v>42</v>
      </c>
      <c r="F698" t="s">
        <v>36</v>
      </c>
      <c r="G698" t="s">
        <v>37</v>
      </c>
      <c r="H698">
        <f t="shared" si="10"/>
        <v>95</v>
      </c>
    </row>
    <row r="699" spans="1:8" x14ac:dyDescent="0.3">
      <c r="A699" t="s">
        <v>53</v>
      </c>
      <c r="B699" t="s">
        <v>23</v>
      </c>
      <c r="C699" t="s">
        <v>16</v>
      </c>
      <c r="D699">
        <v>260261</v>
      </c>
      <c r="E699" t="s">
        <v>42</v>
      </c>
      <c r="F699" t="s">
        <v>36</v>
      </c>
      <c r="G699" t="s">
        <v>37</v>
      </c>
      <c r="H699">
        <f t="shared" si="10"/>
        <v>260000</v>
      </c>
    </row>
    <row r="700" spans="1:8" x14ac:dyDescent="0.3">
      <c r="A700" t="s">
        <v>53</v>
      </c>
      <c r="B700" t="s">
        <v>23</v>
      </c>
      <c r="C700" t="s">
        <v>17</v>
      </c>
      <c r="D700">
        <v>49</v>
      </c>
      <c r="E700" t="s">
        <v>42</v>
      </c>
      <c r="F700" t="s">
        <v>36</v>
      </c>
      <c r="G700" t="s">
        <v>37</v>
      </c>
      <c r="H700">
        <f t="shared" si="10"/>
        <v>49</v>
      </c>
    </row>
    <row r="701" spans="1:8" x14ac:dyDescent="0.3">
      <c r="A701" t="s">
        <v>53</v>
      </c>
      <c r="B701" t="s">
        <v>23</v>
      </c>
      <c r="C701" t="s">
        <v>18</v>
      </c>
      <c r="D701">
        <v>0</v>
      </c>
      <c r="E701" t="s">
        <v>42</v>
      </c>
      <c r="F701" t="s">
        <v>36</v>
      </c>
      <c r="G701" t="s">
        <v>37</v>
      </c>
      <c r="H701">
        <f t="shared" si="10"/>
        <v>0</v>
      </c>
    </row>
    <row r="702" spans="1:8" x14ac:dyDescent="0.3">
      <c r="A702" t="s">
        <v>53</v>
      </c>
      <c r="B702" t="s">
        <v>23</v>
      </c>
      <c r="C702" t="s">
        <v>19</v>
      </c>
      <c r="D702">
        <v>88</v>
      </c>
      <c r="E702" t="s">
        <v>42</v>
      </c>
      <c r="F702" t="s">
        <v>36</v>
      </c>
      <c r="G702" t="s">
        <v>37</v>
      </c>
      <c r="H702">
        <f t="shared" si="10"/>
        <v>88</v>
      </c>
    </row>
    <row r="703" spans="1:8" x14ac:dyDescent="0.3">
      <c r="A703" t="s">
        <v>53</v>
      </c>
      <c r="B703" t="s">
        <v>23</v>
      </c>
      <c r="C703" t="s">
        <v>20</v>
      </c>
      <c r="D703">
        <v>587</v>
      </c>
      <c r="E703" t="s">
        <v>42</v>
      </c>
      <c r="F703" t="s">
        <v>36</v>
      </c>
      <c r="G703" t="s">
        <v>37</v>
      </c>
      <c r="H703">
        <f t="shared" si="10"/>
        <v>587</v>
      </c>
    </row>
    <row r="704" spans="1:8" x14ac:dyDescent="0.3">
      <c r="A704" t="s">
        <v>53</v>
      </c>
      <c r="B704" t="s">
        <v>23</v>
      </c>
      <c r="C704" t="s">
        <v>21</v>
      </c>
      <c r="D704">
        <v>213</v>
      </c>
      <c r="E704" t="s">
        <v>42</v>
      </c>
      <c r="F704" t="s">
        <v>36</v>
      </c>
      <c r="G704" t="s">
        <v>37</v>
      </c>
      <c r="H704">
        <f t="shared" si="10"/>
        <v>213</v>
      </c>
    </row>
    <row r="705" spans="1:8" x14ac:dyDescent="0.3">
      <c r="A705" t="s">
        <v>53</v>
      </c>
      <c r="B705" t="s">
        <v>23</v>
      </c>
      <c r="C705" t="s">
        <v>22</v>
      </c>
      <c r="D705">
        <v>115</v>
      </c>
      <c r="E705" t="s">
        <v>42</v>
      </c>
      <c r="F705" t="s">
        <v>36</v>
      </c>
      <c r="G705" t="s">
        <v>37</v>
      </c>
      <c r="H705">
        <f t="shared" si="10"/>
        <v>115</v>
      </c>
    </row>
    <row r="706" spans="1:8" x14ac:dyDescent="0.3">
      <c r="A706" t="s">
        <v>33</v>
      </c>
      <c r="B706" t="s">
        <v>8</v>
      </c>
      <c r="C706" t="s">
        <v>9</v>
      </c>
      <c r="D706">
        <v>0</v>
      </c>
      <c r="E706" t="s">
        <v>42</v>
      </c>
      <c r="F706" t="s">
        <v>36</v>
      </c>
      <c r="G706" t="s">
        <v>37</v>
      </c>
      <c r="H706">
        <f t="shared" si="10"/>
        <v>0</v>
      </c>
    </row>
    <row r="707" spans="1:8" x14ac:dyDescent="0.3">
      <c r="A707" t="s">
        <v>33</v>
      </c>
      <c r="B707" t="s">
        <v>8</v>
      </c>
      <c r="C707" t="s">
        <v>13</v>
      </c>
      <c r="D707">
        <v>0</v>
      </c>
      <c r="E707" t="s">
        <v>42</v>
      </c>
      <c r="F707" t="s">
        <v>36</v>
      </c>
      <c r="G707" t="s">
        <v>37</v>
      </c>
      <c r="H707">
        <f t="shared" ref="H707:H770" si="11">ROUND(D707, 3 - LEN(INT(ABS(D707))))</f>
        <v>0</v>
      </c>
    </row>
    <row r="708" spans="1:8" x14ac:dyDescent="0.3">
      <c r="A708" t="s">
        <v>33</v>
      </c>
      <c r="B708" t="s">
        <v>8</v>
      </c>
      <c r="C708" t="s">
        <v>14</v>
      </c>
      <c r="D708">
        <v>0</v>
      </c>
      <c r="E708" t="s">
        <v>42</v>
      </c>
      <c r="F708" t="s">
        <v>36</v>
      </c>
      <c r="G708" t="s">
        <v>37</v>
      </c>
      <c r="H708">
        <f t="shared" si="11"/>
        <v>0</v>
      </c>
    </row>
    <row r="709" spans="1:8" x14ac:dyDescent="0.3">
      <c r="A709" t="s">
        <v>33</v>
      </c>
      <c r="B709" t="s">
        <v>8</v>
      </c>
      <c r="C709" t="s">
        <v>15</v>
      </c>
      <c r="D709">
        <v>0</v>
      </c>
      <c r="E709" t="s">
        <v>42</v>
      </c>
      <c r="F709" t="s">
        <v>36</v>
      </c>
      <c r="G709" t="s">
        <v>37</v>
      </c>
      <c r="H709">
        <f t="shared" si="11"/>
        <v>0</v>
      </c>
    </row>
    <row r="710" spans="1:8" x14ac:dyDescent="0.3">
      <c r="A710" t="s">
        <v>33</v>
      </c>
      <c r="B710" t="s">
        <v>8</v>
      </c>
      <c r="C710" t="s">
        <v>16</v>
      </c>
      <c r="D710">
        <v>0</v>
      </c>
      <c r="E710" t="s">
        <v>42</v>
      </c>
      <c r="F710" t="s">
        <v>36</v>
      </c>
      <c r="G710" t="s">
        <v>37</v>
      </c>
      <c r="H710">
        <f t="shared" si="11"/>
        <v>0</v>
      </c>
    </row>
    <row r="711" spans="1:8" x14ac:dyDescent="0.3">
      <c r="A711" t="s">
        <v>33</v>
      </c>
      <c r="B711" t="s">
        <v>8</v>
      </c>
      <c r="C711" t="s">
        <v>17</v>
      </c>
      <c r="D711">
        <v>0</v>
      </c>
      <c r="E711" t="s">
        <v>42</v>
      </c>
      <c r="F711" t="s">
        <v>36</v>
      </c>
      <c r="G711" t="s">
        <v>37</v>
      </c>
      <c r="H711">
        <f t="shared" si="11"/>
        <v>0</v>
      </c>
    </row>
    <row r="712" spans="1:8" x14ac:dyDescent="0.3">
      <c r="A712" t="s">
        <v>33</v>
      </c>
      <c r="B712" t="s">
        <v>8</v>
      </c>
      <c r="C712" t="s">
        <v>18</v>
      </c>
      <c r="D712">
        <v>0</v>
      </c>
      <c r="E712" t="s">
        <v>42</v>
      </c>
      <c r="F712" t="s">
        <v>36</v>
      </c>
      <c r="G712" t="s">
        <v>37</v>
      </c>
      <c r="H712">
        <f t="shared" si="11"/>
        <v>0</v>
      </c>
    </row>
    <row r="713" spans="1:8" x14ac:dyDescent="0.3">
      <c r="A713" t="s">
        <v>33</v>
      </c>
      <c r="B713" t="s">
        <v>8</v>
      </c>
      <c r="C713" t="s">
        <v>19</v>
      </c>
      <c r="D713">
        <v>0</v>
      </c>
      <c r="E713" t="s">
        <v>42</v>
      </c>
      <c r="F713" t="s">
        <v>36</v>
      </c>
      <c r="G713" t="s">
        <v>37</v>
      </c>
      <c r="H713">
        <f t="shared" si="11"/>
        <v>0</v>
      </c>
    </row>
    <row r="714" spans="1:8" x14ac:dyDescent="0.3">
      <c r="A714" t="s">
        <v>33</v>
      </c>
      <c r="B714" t="s">
        <v>8</v>
      </c>
      <c r="C714" t="s">
        <v>20</v>
      </c>
      <c r="D714">
        <v>0</v>
      </c>
      <c r="E714" t="s">
        <v>42</v>
      </c>
      <c r="F714" t="s">
        <v>36</v>
      </c>
      <c r="G714" t="s">
        <v>37</v>
      </c>
      <c r="H714">
        <f t="shared" si="11"/>
        <v>0</v>
      </c>
    </row>
    <row r="715" spans="1:8" x14ac:dyDescent="0.3">
      <c r="A715" t="s">
        <v>33</v>
      </c>
      <c r="B715" t="s">
        <v>8</v>
      </c>
      <c r="C715" t="s">
        <v>21</v>
      </c>
      <c r="D715">
        <v>0</v>
      </c>
      <c r="E715" t="s">
        <v>42</v>
      </c>
      <c r="F715" t="s">
        <v>36</v>
      </c>
      <c r="G715" t="s">
        <v>37</v>
      </c>
      <c r="H715">
        <f t="shared" si="11"/>
        <v>0</v>
      </c>
    </row>
    <row r="716" spans="1:8" x14ac:dyDescent="0.3">
      <c r="A716" t="s">
        <v>33</v>
      </c>
      <c r="B716" t="s">
        <v>8</v>
      </c>
      <c r="C716" t="s">
        <v>22</v>
      </c>
      <c r="D716">
        <v>0</v>
      </c>
      <c r="E716" t="s">
        <v>42</v>
      </c>
      <c r="F716" t="s">
        <v>36</v>
      </c>
      <c r="G716" t="s">
        <v>37</v>
      </c>
      <c r="H716">
        <f t="shared" si="11"/>
        <v>0</v>
      </c>
    </row>
    <row r="717" spans="1:8" x14ac:dyDescent="0.3">
      <c r="A717" t="s">
        <v>33</v>
      </c>
      <c r="B717" t="s">
        <v>23</v>
      </c>
      <c r="C717" t="s">
        <v>9</v>
      </c>
      <c r="D717">
        <v>40396</v>
      </c>
      <c r="E717" t="s">
        <v>42</v>
      </c>
      <c r="F717" t="s">
        <v>36</v>
      </c>
      <c r="G717" t="s">
        <v>37</v>
      </c>
      <c r="H717">
        <f t="shared" si="11"/>
        <v>40400</v>
      </c>
    </row>
    <row r="718" spans="1:8" x14ac:dyDescent="0.3">
      <c r="A718" t="s">
        <v>33</v>
      </c>
      <c r="B718" t="s">
        <v>23</v>
      </c>
      <c r="C718" t="s">
        <v>13</v>
      </c>
      <c r="D718">
        <v>593</v>
      </c>
      <c r="E718" t="s">
        <v>42</v>
      </c>
      <c r="F718" t="s">
        <v>36</v>
      </c>
      <c r="G718" t="s">
        <v>37</v>
      </c>
      <c r="H718">
        <f t="shared" si="11"/>
        <v>593</v>
      </c>
    </row>
    <row r="719" spans="1:8" x14ac:dyDescent="0.3">
      <c r="A719" t="s">
        <v>33</v>
      </c>
      <c r="B719" t="s">
        <v>23</v>
      </c>
      <c r="C719" t="s">
        <v>14</v>
      </c>
      <c r="D719">
        <v>2401</v>
      </c>
      <c r="E719" t="s">
        <v>42</v>
      </c>
      <c r="F719" t="s">
        <v>36</v>
      </c>
      <c r="G719" t="s">
        <v>37</v>
      </c>
      <c r="H719">
        <f t="shared" si="11"/>
        <v>2400</v>
      </c>
    </row>
    <row r="720" spans="1:8" x14ac:dyDescent="0.3">
      <c r="A720" t="s">
        <v>33</v>
      </c>
      <c r="B720" t="s">
        <v>23</v>
      </c>
      <c r="C720" t="s">
        <v>15</v>
      </c>
      <c r="D720">
        <v>755</v>
      </c>
      <c r="E720" t="s">
        <v>42</v>
      </c>
      <c r="F720" t="s">
        <v>36</v>
      </c>
      <c r="G720" t="s">
        <v>37</v>
      </c>
      <c r="H720">
        <f t="shared" si="11"/>
        <v>755</v>
      </c>
    </row>
    <row r="721" spans="1:8" x14ac:dyDescent="0.3">
      <c r="A721" t="s">
        <v>33</v>
      </c>
      <c r="B721" t="s">
        <v>23</v>
      </c>
      <c r="C721" t="s">
        <v>16</v>
      </c>
      <c r="D721">
        <v>739594</v>
      </c>
      <c r="E721" t="s">
        <v>42</v>
      </c>
      <c r="F721" t="s">
        <v>36</v>
      </c>
      <c r="G721" t="s">
        <v>37</v>
      </c>
      <c r="H721">
        <f t="shared" si="11"/>
        <v>740000</v>
      </c>
    </row>
    <row r="722" spans="1:8" x14ac:dyDescent="0.3">
      <c r="A722" t="s">
        <v>33</v>
      </c>
      <c r="B722" t="s">
        <v>23</v>
      </c>
      <c r="C722" t="s">
        <v>17</v>
      </c>
      <c r="D722">
        <v>344</v>
      </c>
      <c r="E722" t="s">
        <v>42</v>
      </c>
      <c r="F722" t="s">
        <v>36</v>
      </c>
      <c r="G722" t="s">
        <v>37</v>
      </c>
      <c r="H722">
        <f t="shared" si="11"/>
        <v>344</v>
      </c>
    </row>
    <row r="723" spans="1:8" x14ac:dyDescent="0.3">
      <c r="A723" t="s">
        <v>33</v>
      </c>
      <c r="B723" t="s">
        <v>23</v>
      </c>
      <c r="C723" t="s">
        <v>18</v>
      </c>
      <c r="D723">
        <v>0</v>
      </c>
      <c r="E723" t="s">
        <v>42</v>
      </c>
      <c r="F723" t="s">
        <v>36</v>
      </c>
      <c r="G723" t="s">
        <v>37</v>
      </c>
      <c r="H723">
        <f t="shared" si="11"/>
        <v>0</v>
      </c>
    </row>
    <row r="724" spans="1:8" x14ac:dyDescent="0.3">
      <c r="A724" t="s">
        <v>33</v>
      </c>
      <c r="B724" t="s">
        <v>23</v>
      </c>
      <c r="C724" t="s">
        <v>19</v>
      </c>
      <c r="D724">
        <v>777</v>
      </c>
      <c r="E724" t="s">
        <v>42</v>
      </c>
      <c r="F724" t="s">
        <v>36</v>
      </c>
      <c r="G724" t="s">
        <v>37</v>
      </c>
      <c r="H724">
        <f t="shared" si="11"/>
        <v>777</v>
      </c>
    </row>
    <row r="725" spans="1:8" x14ac:dyDescent="0.3">
      <c r="A725" t="s">
        <v>33</v>
      </c>
      <c r="B725" t="s">
        <v>23</v>
      </c>
      <c r="C725" t="s">
        <v>20</v>
      </c>
      <c r="D725">
        <v>4630</v>
      </c>
      <c r="E725" t="s">
        <v>42</v>
      </c>
      <c r="F725" t="s">
        <v>36</v>
      </c>
      <c r="G725" t="s">
        <v>37</v>
      </c>
      <c r="H725">
        <f t="shared" si="11"/>
        <v>4630</v>
      </c>
    </row>
    <row r="726" spans="1:8" x14ac:dyDescent="0.3">
      <c r="A726" t="s">
        <v>33</v>
      </c>
      <c r="B726" t="s">
        <v>23</v>
      </c>
      <c r="C726" t="s">
        <v>21</v>
      </c>
      <c r="D726">
        <v>706</v>
      </c>
      <c r="E726" t="s">
        <v>42</v>
      </c>
      <c r="F726" t="s">
        <v>36</v>
      </c>
      <c r="G726" t="s">
        <v>37</v>
      </c>
      <c r="H726">
        <f t="shared" si="11"/>
        <v>706</v>
      </c>
    </row>
    <row r="727" spans="1:8" x14ac:dyDescent="0.3">
      <c r="A727" t="s">
        <v>33</v>
      </c>
      <c r="B727" t="s">
        <v>23</v>
      </c>
      <c r="C727" t="s">
        <v>22</v>
      </c>
      <c r="D727">
        <v>474</v>
      </c>
      <c r="E727" t="s">
        <v>42</v>
      </c>
      <c r="F727" t="s">
        <v>36</v>
      </c>
      <c r="G727" t="s">
        <v>37</v>
      </c>
      <c r="H727">
        <f t="shared" si="11"/>
        <v>474</v>
      </c>
    </row>
    <row r="728" spans="1:8" x14ac:dyDescent="0.3">
      <c r="A728" t="s">
        <v>54</v>
      </c>
      <c r="B728" t="s">
        <v>8</v>
      </c>
      <c r="C728" t="s">
        <v>9</v>
      </c>
      <c r="D728">
        <v>0</v>
      </c>
      <c r="E728" t="s">
        <v>42</v>
      </c>
      <c r="F728" t="s">
        <v>36</v>
      </c>
      <c r="G728" t="s">
        <v>37</v>
      </c>
      <c r="H728">
        <f t="shared" si="11"/>
        <v>0</v>
      </c>
    </row>
    <row r="729" spans="1:8" x14ac:dyDescent="0.3">
      <c r="A729" t="s">
        <v>54</v>
      </c>
      <c r="B729" t="s">
        <v>8</v>
      </c>
      <c r="C729" t="s">
        <v>13</v>
      </c>
      <c r="D729">
        <v>0</v>
      </c>
      <c r="E729" t="s">
        <v>42</v>
      </c>
      <c r="F729" t="s">
        <v>36</v>
      </c>
      <c r="G729" t="s">
        <v>37</v>
      </c>
      <c r="H729">
        <f t="shared" si="11"/>
        <v>0</v>
      </c>
    </row>
    <row r="730" spans="1:8" x14ac:dyDescent="0.3">
      <c r="A730" t="s">
        <v>54</v>
      </c>
      <c r="B730" t="s">
        <v>8</v>
      </c>
      <c r="C730" t="s">
        <v>14</v>
      </c>
      <c r="D730">
        <v>0</v>
      </c>
      <c r="E730" t="s">
        <v>42</v>
      </c>
      <c r="F730" t="s">
        <v>36</v>
      </c>
      <c r="G730" t="s">
        <v>37</v>
      </c>
      <c r="H730">
        <f t="shared" si="11"/>
        <v>0</v>
      </c>
    </row>
    <row r="731" spans="1:8" x14ac:dyDescent="0.3">
      <c r="A731" t="s">
        <v>54</v>
      </c>
      <c r="B731" t="s">
        <v>8</v>
      </c>
      <c r="C731" t="s">
        <v>15</v>
      </c>
      <c r="D731">
        <v>0</v>
      </c>
      <c r="E731" t="s">
        <v>42</v>
      </c>
      <c r="F731" t="s">
        <v>36</v>
      </c>
      <c r="G731" t="s">
        <v>37</v>
      </c>
      <c r="H731">
        <f t="shared" si="11"/>
        <v>0</v>
      </c>
    </row>
    <row r="732" spans="1:8" x14ac:dyDescent="0.3">
      <c r="A732" t="s">
        <v>54</v>
      </c>
      <c r="B732" t="s">
        <v>8</v>
      </c>
      <c r="C732" t="s">
        <v>16</v>
      </c>
      <c r="D732">
        <v>0</v>
      </c>
      <c r="E732" t="s">
        <v>42</v>
      </c>
      <c r="F732" t="s">
        <v>36</v>
      </c>
      <c r="G732" t="s">
        <v>37</v>
      </c>
      <c r="H732">
        <f t="shared" si="11"/>
        <v>0</v>
      </c>
    </row>
    <row r="733" spans="1:8" x14ac:dyDescent="0.3">
      <c r="A733" t="s">
        <v>54</v>
      </c>
      <c r="B733" t="s">
        <v>8</v>
      </c>
      <c r="C733" t="s">
        <v>17</v>
      </c>
      <c r="D733">
        <v>0</v>
      </c>
      <c r="E733" t="s">
        <v>42</v>
      </c>
      <c r="F733" t="s">
        <v>36</v>
      </c>
      <c r="G733" t="s">
        <v>37</v>
      </c>
      <c r="H733">
        <f t="shared" si="11"/>
        <v>0</v>
      </c>
    </row>
    <row r="734" spans="1:8" x14ac:dyDescent="0.3">
      <c r="A734" t="s">
        <v>54</v>
      </c>
      <c r="B734" t="s">
        <v>8</v>
      </c>
      <c r="C734" t="s">
        <v>18</v>
      </c>
      <c r="D734">
        <v>0</v>
      </c>
      <c r="E734" t="s">
        <v>42</v>
      </c>
      <c r="F734" t="s">
        <v>36</v>
      </c>
      <c r="G734" t="s">
        <v>37</v>
      </c>
      <c r="H734">
        <f t="shared" si="11"/>
        <v>0</v>
      </c>
    </row>
    <row r="735" spans="1:8" x14ac:dyDescent="0.3">
      <c r="A735" t="s">
        <v>54</v>
      </c>
      <c r="B735" t="s">
        <v>8</v>
      </c>
      <c r="C735" t="s">
        <v>19</v>
      </c>
      <c r="D735">
        <v>0</v>
      </c>
      <c r="E735" t="s">
        <v>42</v>
      </c>
      <c r="F735" t="s">
        <v>36</v>
      </c>
      <c r="G735" t="s">
        <v>37</v>
      </c>
      <c r="H735">
        <f t="shared" si="11"/>
        <v>0</v>
      </c>
    </row>
    <row r="736" spans="1:8" x14ac:dyDescent="0.3">
      <c r="A736" t="s">
        <v>54</v>
      </c>
      <c r="B736" t="s">
        <v>8</v>
      </c>
      <c r="C736" t="s">
        <v>20</v>
      </c>
      <c r="D736">
        <v>0</v>
      </c>
      <c r="E736" t="s">
        <v>42</v>
      </c>
      <c r="F736" t="s">
        <v>36</v>
      </c>
      <c r="G736" t="s">
        <v>37</v>
      </c>
      <c r="H736">
        <f t="shared" si="11"/>
        <v>0</v>
      </c>
    </row>
    <row r="737" spans="1:8" x14ac:dyDescent="0.3">
      <c r="A737" t="s">
        <v>54</v>
      </c>
      <c r="B737" t="s">
        <v>8</v>
      </c>
      <c r="C737" t="s">
        <v>21</v>
      </c>
      <c r="D737">
        <v>0</v>
      </c>
      <c r="E737" t="s">
        <v>42</v>
      </c>
      <c r="F737" t="s">
        <v>36</v>
      </c>
      <c r="G737" t="s">
        <v>37</v>
      </c>
      <c r="H737">
        <f t="shared" si="11"/>
        <v>0</v>
      </c>
    </row>
    <row r="738" spans="1:8" x14ac:dyDescent="0.3">
      <c r="A738" t="s">
        <v>54</v>
      </c>
      <c r="B738" t="s">
        <v>8</v>
      </c>
      <c r="C738" t="s">
        <v>22</v>
      </c>
      <c r="D738">
        <v>0</v>
      </c>
      <c r="E738" t="s">
        <v>42</v>
      </c>
      <c r="F738" t="s">
        <v>36</v>
      </c>
      <c r="G738" t="s">
        <v>37</v>
      </c>
      <c r="H738">
        <f t="shared" si="11"/>
        <v>0</v>
      </c>
    </row>
    <row r="739" spans="1:8" x14ac:dyDescent="0.3">
      <c r="A739" t="s">
        <v>54</v>
      </c>
      <c r="B739" t="s">
        <v>23</v>
      </c>
      <c r="C739" t="s">
        <v>9</v>
      </c>
      <c r="D739">
        <v>154425</v>
      </c>
      <c r="E739" t="s">
        <v>42</v>
      </c>
      <c r="F739" t="s">
        <v>36</v>
      </c>
      <c r="G739" t="s">
        <v>37</v>
      </c>
      <c r="H739">
        <f t="shared" si="11"/>
        <v>154000</v>
      </c>
    </row>
    <row r="740" spans="1:8" x14ac:dyDescent="0.3">
      <c r="A740" t="s">
        <v>54</v>
      </c>
      <c r="B740" t="s">
        <v>23</v>
      </c>
      <c r="C740" t="s">
        <v>13</v>
      </c>
      <c r="D740">
        <v>1940</v>
      </c>
      <c r="E740" t="s">
        <v>42</v>
      </c>
      <c r="F740" t="s">
        <v>36</v>
      </c>
      <c r="G740" t="s">
        <v>37</v>
      </c>
      <c r="H740">
        <f t="shared" si="11"/>
        <v>1940</v>
      </c>
    </row>
    <row r="741" spans="1:8" x14ac:dyDescent="0.3">
      <c r="A741" t="s">
        <v>54</v>
      </c>
      <c r="B741" t="s">
        <v>23</v>
      </c>
      <c r="C741" t="s">
        <v>14</v>
      </c>
      <c r="D741">
        <v>2596</v>
      </c>
      <c r="E741" t="s">
        <v>42</v>
      </c>
      <c r="F741" t="s">
        <v>36</v>
      </c>
      <c r="G741" t="s">
        <v>37</v>
      </c>
      <c r="H741">
        <f t="shared" si="11"/>
        <v>2600</v>
      </c>
    </row>
    <row r="742" spans="1:8" x14ac:dyDescent="0.3">
      <c r="A742" t="s">
        <v>54</v>
      </c>
      <c r="B742" t="s">
        <v>23</v>
      </c>
      <c r="C742" t="s">
        <v>15</v>
      </c>
      <c r="D742">
        <v>1896</v>
      </c>
      <c r="E742" t="s">
        <v>42</v>
      </c>
      <c r="F742" t="s">
        <v>36</v>
      </c>
      <c r="G742" t="s">
        <v>37</v>
      </c>
      <c r="H742">
        <f t="shared" si="11"/>
        <v>1900</v>
      </c>
    </row>
    <row r="743" spans="1:8" x14ac:dyDescent="0.3">
      <c r="A743" t="s">
        <v>54</v>
      </c>
      <c r="B743" t="s">
        <v>23</v>
      </c>
      <c r="C743" t="s">
        <v>16</v>
      </c>
      <c r="D743">
        <v>23486</v>
      </c>
      <c r="E743" t="s">
        <v>42</v>
      </c>
      <c r="F743" t="s">
        <v>36</v>
      </c>
      <c r="G743" t="s">
        <v>37</v>
      </c>
      <c r="H743">
        <f t="shared" si="11"/>
        <v>23500</v>
      </c>
    </row>
    <row r="744" spans="1:8" x14ac:dyDescent="0.3">
      <c r="A744" t="s">
        <v>54</v>
      </c>
      <c r="B744" t="s">
        <v>23</v>
      </c>
      <c r="C744" t="s">
        <v>17</v>
      </c>
      <c r="D744">
        <v>801</v>
      </c>
      <c r="E744" t="s">
        <v>42</v>
      </c>
      <c r="F744" t="s">
        <v>36</v>
      </c>
      <c r="G744" t="s">
        <v>37</v>
      </c>
      <c r="H744">
        <f t="shared" si="11"/>
        <v>801</v>
      </c>
    </row>
    <row r="745" spans="1:8" x14ac:dyDescent="0.3">
      <c r="A745" t="s">
        <v>54</v>
      </c>
      <c r="B745" t="s">
        <v>23</v>
      </c>
      <c r="C745" t="s">
        <v>18</v>
      </c>
      <c r="D745">
        <v>0</v>
      </c>
      <c r="E745" t="s">
        <v>42</v>
      </c>
      <c r="F745" t="s">
        <v>36</v>
      </c>
      <c r="G745" t="s">
        <v>37</v>
      </c>
      <c r="H745">
        <f t="shared" si="11"/>
        <v>0</v>
      </c>
    </row>
    <row r="746" spans="1:8" x14ac:dyDescent="0.3">
      <c r="A746" t="s">
        <v>54</v>
      </c>
      <c r="B746" t="s">
        <v>23</v>
      </c>
      <c r="C746" t="s">
        <v>19</v>
      </c>
      <c r="D746">
        <v>2055</v>
      </c>
      <c r="E746" t="s">
        <v>42</v>
      </c>
      <c r="F746" t="s">
        <v>36</v>
      </c>
      <c r="G746" t="s">
        <v>37</v>
      </c>
      <c r="H746">
        <f t="shared" si="11"/>
        <v>2060</v>
      </c>
    </row>
    <row r="747" spans="1:8" x14ac:dyDescent="0.3">
      <c r="A747" t="s">
        <v>54</v>
      </c>
      <c r="B747" t="s">
        <v>23</v>
      </c>
      <c r="C747" t="s">
        <v>20</v>
      </c>
      <c r="D747">
        <v>11538</v>
      </c>
      <c r="E747" t="s">
        <v>42</v>
      </c>
      <c r="F747" t="s">
        <v>36</v>
      </c>
      <c r="G747" t="s">
        <v>37</v>
      </c>
      <c r="H747">
        <f t="shared" si="11"/>
        <v>11500</v>
      </c>
    </row>
    <row r="748" spans="1:8" x14ac:dyDescent="0.3">
      <c r="A748" t="s">
        <v>54</v>
      </c>
      <c r="B748" t="s">
        <v>23</v>
      </c>
      <c r="C748" t="s">
        <v>21</v>
      </c>
      <c r="D748">
        <v>404</v>
      </c>
      <c r="E748" t="s">
        <v>42</v>
      </c>
      <c r="F748" t="s">
        <v>36</v>
      </c>
      <c r="G748" t="s">
        <v>37</v>
      </c>
      <c r="H748">
        <f t="shared" si="11"/>
        <v>404</v>
      </c>
    </row>
    <row r="749" spans="1:8" x14ac:dyDescent="0.3">
      <c r="A749" t="s">
        <v>54</v>
      </c>
      <c r="B749" t="s">
        <v>23</v>
      </c>
      <c r="C749" t="s">
        <v>22</v>
      </c>
      <c r="D749">
        <v>583</v>
      </c>
      <c r="E749" t="s">
        <v>42</v>
      </c>
      <c r="F749" t="s">
        <v>36</v>
      </c>
      <c r="G749" t="s">
        <v>37</v>
      </c>
      <c r="H749">
        <f t="shared" si="11"/>
        <v>583</v>
      </c>
    </row>
    <row r="750" spans="1:8" x14ac:dyDescent="0.3">
      <c r="A750" t="s">
        <v>55</v>
      </c>
      <c r="B750" t="s">
        <v>8</v>
      </c>
      <c r="C750" t="s">
        <v>9</v>
      </c>
      <c r="D750">
        <v>0</v>
      </c>
      <c r="E750" t="s">
        <v>42</v>
      </c>
      <c r="F750" t="s">
        <v>36</v>
      </c>
      <c r="G750" t="s">
        <v>37</v>
      </c>
      <c r="H750">
        <f t="shared" si="11"/>
        <v>0</v>
      </c>
    </row>
    <row r="751" spans="1:8" x14ac:dyDescent="0.3">
      <c r="A751" t="s">
        <v>55</v>
      </c>
      <c r="B751" t="s">
        <v>8</v>
      </c>
      <c r="C751" t="s">
        <v>13</v>
      </c>
      <c r="D751">
        <v>0</v>
      </c>
      <c r="E751" t="s">
        <v>42</v>
      </c>
      <c r="F751" t="s">
        <v>36</v>
      </c>
      <c r="G751" t="s">
        <v>37</v>
      </c>
      <c r="H751">
        <f t="shared" si="11"/>
        <v>0</v>
      </c>
    </row>
    <row r="752" spans="1:8" x14ac:dyDescent="0.3">
      <c r="A752" t="s">
        <v>55</v>
      </c>
      <c r="B752" t="s">
        <v>8</v>
      </c>
      <c r="C752" t="s">
        <v>14</v>
      </c>
      <c r="D752">
        <v>0</v>
      </c>
      <c r="E752" t="s">
        <v>42</v>
      </c>
      <c r="F752" t="s">
        <v>36</v>
      </c>
      <c r="G752" t="s">
        <v>37</v>
      </c>
      <c r="H752">
        <f t="shared" si="11"/>
        <v>0</v>
      </c>
    </row>
    <row r="753" spans="1:8" x14ac:dyDescent="0.3">
      <c r="A753" t="s">
        <v>55</v>
      </c>
      <c r="B753" t="s">
        <v>8</v>
      </c>
      <c r="C753" t="s">
        <v>15</v>
      </c>
      <c r="D753">
        <v>0</v>
      </c>
      <c r="E753" t="s">
        <v>42</v>
      </c>
      <c r="F753" t="s">
        <v>36</v>
      </c>
      <c r="G753" t="s">
        <v>37</v>
      </c>
      <c r="H753">
        <f t="shared" si="11"/>
        <v>0</v>
      </c>
    </row>
    <row r="754" spans="1:8" x14ac:dyDescent="0.3">
      <c r="A754" t="s">
        <v>55</v>
      </c>
      <c r="B754" t="s">
        <v>8</v>
      </c>
      <c r="C754" t="s">
        <v>16</v>
      </c>
      <c r="D754">
        <v>0</v>
      </c>
      <c r="E754" t="s">
        <v>42</v>
      </c>
      <c r="F754" t="s">
        <v>36</v>
      </c>
      <c r="G754" t="s">
        <v>37</v>
      </c>
      <c r="H754">
        <f t="shared" si="11"/>
        <v>0</v>
      </c>
    </row>
    <row r="755" spans="1:8" x14ac:dyDescent="0.3">
      <c r="A755" t="s">
        <v>55</v>
      </c>
      <c r="B755" t="s">
        <v>8</v>
      </c>
      <c r="C755" t="s">
        <v>17</v>
      </c>
      <c r="D755">
        <v>0</v>
      </c>
      <c r="E755" t="s">
        <v>42</v>
      </c>
      <c r="F755" t="s">
        <v>36</v>
      </c>
      <c r="G755" t="s">
        <v>37</v>
      </c>
      <c r="H755">
        <f t="shared" si="11"/>
        <v>0</v>
      </c>
    </row>
    <row r="756" spans="1:8" x14ac:dyDescent="0.3">
      <c r="A756" t="s">
        <v>55</v>
      </c>
      <c r="B756" t="s">
        <v>8</v>
      </c>
      <c r="C756" t="s">
        <v>18</v>
      </c>
      <c r="D756">
        <v>0</v>
      </c>
      <c r="E756" t="s">
        <v>42</v>
      </c>
      <c r="F756" t="s">
        <v>36</v>
      </c>
      <c r="G756" t="s">
        <v>37</v>
      </c>
      <c r="H756">
        <f t="shared" si="11"/>
        <v>0</v>
      </c>
    </row>
    <row r="757" spans="1:8" x14ac:dyDescent="0.3">
      <c r="A757" t="s">
        <v>55</v>
      </c>
      <c r="B757" t="s">
        <v>8</v>
      </c>
      <c r="C757" t="s">
        <v>19</v>
      </c>
      <c r="D757">
        <v>0</v>
      </c>
      <c r="E757" t="s">
        <v>42</v>
      </c>
      <c r="F757" t="s">
        <v>36</v>
      </c>
      <c r="G757" t="s">
        <v>37</v>
      </c>
      <c r="H757">
        <f t="shared" si="11"/>
        <v>0</v>
      </c>
    </row>
    <row r="758" spans="1:8" x14ac:dyDescent="0.3">
      <c r="A758" t="s">
        <v>55</v>
      </c>
      <c r="B758" t="s">
        <v>8</v>
      </c>
      <c r="C758" t="s">
        <v>20</v>
      </c>
      <c r="D758">
        <v>0</v>
      </c>
      <c r="E758" t="s">
        <v>42</v>
      </c>
      <c r="F758" t="s">
        <v>36</v>
      </c>
      <c r="G758" t="s">
        <v>37</v>
      </c>
      <c r="H758">
        <f t="shared" si="11"/>
        <v>0</v>
      </c>
    </row>
    <row r="759" spans="1:8" x14ac:dyDescent="0.3">
      <c r="A759" t="s">
        <v>55</v>
      </c>
      <c r="B759" t="s">
        <v>8</v>
      </c>
      <c r="C759" t="s">
        <v>21</v>
      </c>
      <c r="D759">
        <v>0</v>
      </c>
      <c r="E759" t="s">
        <v>42</v>
      </c>
      <c r="F759" t="s">
        <v>36</v>
      </c>
      <c r="G759" t="s">
        <v>37</v>
      </c>
      <c r="H759">
        <f t="shared" si="11"/>
        <v>0</v>
      </c>
    </row>
    <row r="760" spans="1:8" x14ac:dyDescent="0.3">
      <c r="A760" t="s">
        <v>55</v>
      </c>
      <c r="B760" t="s">
        <v>8</v>
      </c>
      <c r="C760" t="s">
        <v>22</v>
      </c>
      <c r="D760">
        <v>0</v>
      </c>
      <c r="E760" t="s">
        <v>42</v>
      </c>
      <c r="F760" t="s">
        <v>36</v>
      </c>
      <c r="G760" t="s">
        <v>37</v>
      </c>
      <c r="H760">
        <f t="shared" si="11"/>
        <v>0</v>
      </c>
    </row>
    <row r="761" spans="1:8" x14ac:dyDescent="0.3">
      <c r="A761" t="s">
        <v>55</v>
      </c>
      <c r="B761" t="s">
        <v>23</v>
      </c>
      <c r="C761" t="s">
        <v>9</v>
      </c>
      <c r="D761">
        <v>225537</v>
      </c>
      <c r="E761" t="s">
        <v>42</v>
      </c>
      <c r="F761" t="s">
        <v>36</v>
      </c>
      <c r="G761" t="s">
        <v>37</v>
      </c>
      <c r="H761">
        <f t="shared" si="11"/>
        <v>226000</v>
      </c>
    </row>
    <row r="762" spans="1:8" x14ac:dyDescent="0.3">
      <c r="A762" t="s">
        <v>55</v>
      </c>
      <c r="B762" t="s">
        <v>23</v>
      </c>
      <c r="C762" t="s">
        <v>13</v>
      </c>
      <c r="D762">
        <v>2834</v>
      </c>
      <c r="E762" t="s">
        <v>42</v>
      </c>
      <c r="F762" t="s">
        <v>36</v>
      </c>
      <c r="G762" t="s">
        <v>37</v>
      </c>
      <c r="H762">
        <f t="shared" si="11"/>
        <v>2830</v>
      </c>
    </row>
    <row r="763" spans="1:8" x14ac:dyDescent="0.3">
      <c r="A763" t="s">
        <v>55</v>
      </c>
      <c r="B763" t="s">
        <v>23</v>
      </c>
      <c r="C763" t="s">
        <v>14</v>
      </c>
      <c r="D763">
        <v>3792</v>
      </c>
      <c r="E763" t="s">
        <v>42</v>
      </c>
      <c r="F763" t="s">
        <v>36</v>
      </c>
      <c r="G763" t="s">
        <v>37</v>
      </c>
      <c r="H763">
        <f t="shared" si="11"/>
        <v>3790</v>
      </c>
    </row>
    <row r="764" spans="1:8" x14ac:dyDescent="0.3">
      <c r="A764" t="s">
        <v>55</v>
      </c>
      <c r="B764" t="s">
        <v>23</v>
      </c>
      <c r="C764" t="s">
        <v>15</v>
      </c>
      <c r="D764">
        <v>2769</v>
      </c>
      <c r="E764" t="s">
        <v>42</v>
      </c>
      <c r="F764" t="s">
        <v>36</v>
      </c>
      <c r="G764" t="s">
        <v>37</v>
      </c>
      <c r="H764">
        <f t="shared" si="11"/>
        <v>2770</v>
      </c>
    </row>
    <row r="765" spans="1:8" x14ac:dyDescent="0.3">
      <c r="A765" t="s">
        <v>55</v>
      </c>
      <c r="B765" t="s">
        <v>23</v>
      </c>
      <c r="C765" t="s">
        <v>16</v>
      </c>
      <c r="D765">
        <v>34301</v>
      </c>
      <c r="E765" t="s">
        <v>42</v>
      </c>
      <c r="F765" t="s">
        <v>36</v>
      </c>
      <c r="G765" t="s">
        <v>37</v>
      </c>
      <c r="H765">
        <f t="shared" si="11"/>
        <v>34300</v>
      </c>
    </row>
    <row r="766" spans="1:8" x14ac:dyDescent="0.3">
      <c r="A766" t="s">
        <v>55</v>
      </c>
      <c r="B766" t="s">
        <v>23</v>
      </c>
      <c r="C766" t="s">
        <v>17</v>
      </c>
      <c r="D766">
        <v>1169</v>
      </c>
      <c r="E766" t="s">
        <v>42</v>
      </c>
      <c r="F766" t="s">
        <v>36</v>
      </c>
      <c r="G766" t="s">
        <v>37</v>
      </c>
      <c r="H766">
        <f t="shared" si="11"/>
        <v>1170</v>
      </c>
    </row>
    <row r="767" spans="1:8" x14ac:dyDescent="0.3">
      <c r="A767" t="s">
        <v>55</v>
      </c>
      <c r="B767" t="s">
        <v>23</v>
      </c>
      <c r="C767" t="s">
        <v>18</v>
      </c>
      <c r="D767">
        <v>0</v>
      </c>
      <c r="E767" t="s">
        <v>42</v>
      </c>
      <c r="F767" t="s">
        <v>36</v>
      </c>
      <c r="G767" t="s">
        <v>37</v>
      </c>
      <c r="H767">
        <f t="shared" si="11"/>
        <v>0</v>
      </c>
    </row>
    <row r="768" spans="1:8" x14ac:dyDescent="0.3">
      <c r="A768" t="s">
        <v>55</v>
      </c>
      <c r="B768" t="s">
        <v>23</v>
      </c>
      <c r="C768" t="s">
        <v>19</v>
      </c>
      <c r="D768">
        <v>3001</v>
      </c>
      <c r="E768" t="s">
        <v>42</v>
      </c>
      <c r="F768" t="s">
        <v>36</v>
      </c>
      <c r="G768" t="s">
        <v>37</v>
      </c>
      <c r="H768">
        <f t="shared" si="11"/>
        <v>3000</v>
      </c>
    </row>
    <row r="769" spans="1:8" x14ac:dyDescent="0.3">
      <c r="A769" t="s">
        <v>55</v>
      </c>
      <c r="B769" t="s">
        <v>23</v>
      </c>
      <c r="C769" t="s">
        <v>20</v>
      </c>
      <c r="D769">
        <v>16852</v>
      </c>
      <c r="E769" t="s">
        <v>42</v>
      </c>
      <c r="F769" t="s">
        <v>36</v>
      </c>
      <c r="G769" t="s">
        <v>37</v>
      </c>
      <c r="H769">
        <f t="shared" si="11"/>
        <v>16900</v>
      </c>
    </row>
    <row r="770" spans="1:8" x14ac:dyDescent="0.3">
      <c r="A770" t="s">
        <v>55</v>
      </c>
      <c r="B770" t="s">
        <v>23</v>
      </c>
      <c r="C770" t="s">
        <v>21</v>
      </c>
      <c r="D770">
        <v>590</v>
      </c>
      <c r="E770" t="s">
        <v>42</v>
      </c>
      <c r="F770" t="s">
        <v>36</v>
      </c>
      <c r="G770" t="s">
        <v>37</v>
      </c>
      <c r="H770">
        <f t="shared" si="11"/>
        <v>590</v>
      </c>
    </row>
    <row r="771" spans="1:8" x14ac:dyDescent="0.3">
      <c r="A771" t="s">
        <v>55</v>
      </c>
      <c r="B771" t="s">
        <v>23</v>
      </c>
      <c r="C771" t="s">
        <v>22</v>
      </c>
      <c r="D771">
        <v>851</v>
      </c>
      <c r="E771" t="s">
        <v>42</v>
      </c>
      <c r="F771" t="s">
        <v>36</v>
      </c>
      <c r="G771" t="s">
        <v>37</v>
      </c>
      <c r="H771">
        <f t="shared" ref="H771:H834" si="12">ROUND(D771, 3 - LEN(INT(ABS(D771))))</f>
        <v>851</v>
      </c>
    </row>
    <row r="772" spans="1:8" x14ac:dyDescent="0.3">
      <c r="A772" t="s">
        <v>56</v>
      </c>
      <c r="B772" t="s">
        <v>8</v>
      </c>
      <c r="C772" t="s">
        <v>9</v>
      </c>
      <c r="D772">
        <v>0</v>
      </c>
      <c r="E772" t="s">
        <v>42</v>
      </c>
      <c r="F772" t="s">
        <v>36</v>
      </c>
      <c r="G772" t="s">
        <v>37</v>
      </c>
      <c r="H772">
        <f t="shared" si="12"/>
        <v>0</v>
      </c>
    </row>
    <row r="773" spans="1:8" x14ac:dyDescent="0.3">
      <c r="A773" t="s">
        <v>56</v>
      </c>
      <c r="B773" t="s">
        <v>8</v>
      </c>
      <c r="C773" t="s">
        <v>13</v>
      </c>
      <c r="D773">
        <v>0</v>
      </c>
      <c r="E773" t="s">
        <v>42</v>
      </c>
      <c r="F773" t="s">
        <v>36</v>
      </c>
      <c r="G773" t="s">
        <v>37</v>
      </c>
      <c r="H773">
        <f t="shared" si="12"/>
        <v>0</v>
      </c>
    </row>
    <row r="774" spans="1:8" x14ac:dyDescent="0.3">
      <c r="A774" t="s">
        <v>56</v>
      </c>
      <c r="B774" t="s">
        <v>8</v>
      </c>
      <c r="C774" t="s">
        <v>14</v>
      </c>
      <c r="D774">
        <v>0</v>
      </c>
      <c r="E774" t="s">
        <v>42</v>
      </c>
      <c r="F774" t="s">
        <v>36</v>
      </c>
      <c r="G774" t="s">
        <v>37</v>
      </c>
      <c r="H774">
        <f t="shared" si="12"/>
        <v>0</v>
      </c>
    </row>
    <row r="775" spans="1:8" x14ac:dyDescent="0.3">
      <c r="A775" t="s">
        <v>56</v>
      </c>
      <c r="B775" t="s">
        <v>8</v>
      </c>
      <c r="C775" t="s">
        <v>15</v>
      </c>
      <c r="D775">
        <v>0</v>
      </c>
      <c r="E775" t="s">
        <v>42</v>
      </c>
      <c r="F775" t="s">
        <v>36</v>
      </c>
      <c r="G775" t="s">
        <v>37</v>
      </c>
      <c r="H775">
        <f t="shared" si="12"/>
        <v>0</v>
      </c>
    </row>
    <row r="776" spans="1:8" x14ac:dyDescent="0.3">
      <c r="A776" t="s">
        <v>56</v>
      </c>
      <c r="B776" t="s">
        <v>8</v>
      </c>
      <c r="C776" t="s">
        <v>16</v>
      </c>
      <c r="D776">
        <v>0</v>
      </c>
      <c r="E776" t="s">
        <v>42</v>
      </c>
      <c r="F776" t="s">
        <v>36</v>
      </c>
      <c r="G776" t="s">
        <v>37</v>
      </c>
      <c r="H776">
        <f t="shared" si="12"/>
        <v>0</v>
      </c>
    </row>
    <row r="777" spans="1:8" x14ac:dyDescent="0.3">
      <c r="A777" t="s">
        <v>56</v>
      </c>
      <c r="B777" t="s">
        <v>8</v>
      </c>
      <c r="C777" t="s">
        <v>17</v>
      </c>
      <c r="D777">
        <v>0</v>
      </c>
      <c r="E777" t="s">
        <v>42</v>
      </c>
      <c r="F777" t="s">
        <v>36</v>
      </c>
      <c r="G777" t="s">
        <v>37</v>
      </c>
      <c r="H777">
        <f t="shared" si="12"/>
        <v>0</v>
      </c>
    </row>
    <row r="778" spans="1:8" x14ac:dyDescent="0.3">
      <c r="A778" t="s">
        <v>56</v>
      </c>
      <c r="B778" t="s">
        <v>8</v>
      </c>
      <c r="C778" t="s">
        <v>18</v>
      </c>
      <c r="D778">
        <v>0</v>
      </c>
      <c r="E778" t="s">
        <v>42</v>
      </c>
      <c r="F778" t="s">
        <v>36</v>
      </c>
      <c r="G778" t="s">
        <v>37</v>
      </c>
      <c r="H778">
        <f t="shared" si="12"/>
        <v>0</v>
      </c>
    </row>
    <row r="779" spans="1:8" x14ac:dyDescent="0.3">
      <c r="A779" t="s">
        <v>56</v>
      </c>
      <c r="B779" t="s">
        <v>8</v>
      </c>
      <c r="C779" t="s">
        <v>19</v>
      </c>
      <c r="D779">
        <v>0</v>
      </c>
      <c r="E779" t="s">
        <v>42</v>
      </c>
      <c r="F779" t="s">
        <v>36</v>
      </c>
      <c r="G779" t="s">
        <v>37</v>
      </c>
      <c r="H779">
        <f t="shared" si="12"/>
        <v>0</v>
      </c>
    </row>
    <row r="780" spans="1:8" x14ac:dyDescent="0.3">
      <c r="A780" t="s">
        <v>56</v>
      </c>
      <c r="B780" t="s">
        <v>8</v>
      </c>
      <c r="C780" t="s">
        <v>20</v>
      </c>
      <c r="D780">
        <v>0</v>
      </c>
      <c r="E780" t="s">
        <v>42</v>
      </c>
      <c r="F780" t="s">
        <v>36</v>
      </c>
      <c r="G780" t="s">
        <v>37</v>
      </c>
      <c r="H780">
        <f t="shared" si="12"/>
        <v>0</v>
      </c>
    </row>
    <row r="781" spans="1:8" x14ac:dyDescent="0.3">
      <c r="A781" t="s">
        <v>56</v>
      </c>
      <c r="B781" t="s">
        <v>8</v>
      </c>
      <c r="C781" t="s">
        <v>21</v>
      </c>
      <c r="D781">
        <v>0</v>
      </c>
      <c r="E781" t="s">
        <v>42</v>
      </c>
      <c r="F781" t="s">
        <v>36</v>
      </c>
      <c r="G781" t="s">
        <v>37</v>
      </c>
      <c r="H781">
        <f t="shared" si="12"/>
        <v>0</v>
      </c>
    </row>
    <row r="782" spans="1:8" x14ac:dyDescent="0.3">
      <c r="A782" t="s">
        <v>56</v>
      </c>
      <c r="B782" t="s">
        <v>8</v>
      </c>
      <c r="C782" t="s">
        <v>22</v>
      </c>
      <c r="D782">
        <v>0</v>
      </c>
      <c r="E782" t="s">
        <v>42</v>
      </c>
      <c r="F782" t="s">
        <v>36</v>
      </c>
      <c r="G782" t="s">
        <v>37</v>
      </c>
      <c r="H782">
        <f t="shared" si="12"/>
        <v>0</v>
      </c>
    </row>
    <row r="783" spans="1:8" x14ac:dyDescent="0.3">
      <c r="A783" t="s">
        <v>56</v>
      </c>
      <c r="B783" t="s">
        <v>23</v>
      </c>
      <c r="C783" t="s">
        <v>9</v>
      </c>
      <c r="D783">
        <v>40062</v>
      </c>
      <c r="E783" t="s">
        <v>42</v>
      </c>
      <c r="F783" t="s">
        <v>36</v>
      </c>
      <c r="G783" t="s">
        <v>37</v>
      </c>
      <c r="H783">
        <f t="shared" si="12"/>
        <v>40100</v>
      </c>
    </row>
    <row r="784" spans="1:8" x14ac:dyDescent="0.3">
      <c r="A784" t="s">
        <v>56</v>
      </c>
      <c r="B784" t="s">
        <v>23</v>
      </c>
      <c r="C784" t="s">
        <v>13</v>
      </c>
      <c r="D784">
        <v>13205</v>
      </c>
      <c r="E784" t="s">
        <v>42</v>
      </c>
      <c r="F784" t="s">
        <v>36</v>
      </c>
      <c r="G784" t="s">
        <v>37</v>
      </c>
      <c r="H784">
        <f t="shared" si="12"/>
        <v>13200</v>
      </c>
    </row>
    <row r="785" spans="1:8" x14ac:dyDescent="0.3">
      <c r="A785" t="s">
        <v>56</v>
      </c>
      <c r="B785" t="s">
        <v>23</v>
      </c>
      <c r="C785" t="s">
        <v>14</v>
      </c>
      <c r="D785">
        <v>819</v>
      </c>
      <c r="E785" t="s">
        <v>42</v>
      </c>
      <c r="F785" t="s">
        <v>36</v>
      </c>
      <c r="G785" t="s">
        <v>37</v>
      </c>
      <c r="H785">
        <f t="shared" si="12"/>
        <v>819</v>
      </c>
    </row>
    <row r="786" spans="1:8" x14ac:dyDescent="0.3">
      <c r="A786" t="s">
        <v>56</v>
      </c>
      <c r="B786" t="s">
        <v>23</v>
      </c>
      <c r="C786" t="s">
        <v>15</v>
      </c>
      <c r="D786">
        <v>1179</v>
      </c>
      <c r="E786" t="s">
        <v>42</v>
      </c>
      <c r="F786" t="s">
        <v>36</v>
      </c>
      <c r="G786" t="s">
        <v>37</v>
      </c>
      <c r="H786">
        <f t="shared" si="12"/>
        <v>1180</v>
      </c>
    </row>
    <row r="787" spans="1:8" x14ac:dyDescent="0.3">
      <c r="A787" t="s">
        <v>56</v>
      </c>
      <c r="B787" t="s">
        <v>23</v>
      </c>
      <c r="C787" t="s">
        <v>16</v>
      </c>
      <c r="D787">
        <v>6161</v>
      </c>
      <c r="E787" t="s">
        <v>42</v>
      </c>
      <c r="F787" t="s">
        <v>36</v>
      </c>
      <c r="G787" t="s">
        <v>37</v>
      </c>
      <c r="H787">
        <f t="shared" si="12"/>
        <v>6160</v>
      </c>
    </row>
    <row r="788" spans="1:8" x14ac:dyDescent="0.3">
      <c r="A788" t="s">
        <v>56</v>
      </c>
      <c r="B788" t="s">
        <v>23</v>
      </c>
      <c r="C788" t="s">
        <v>17</v>
      </c>
      <c r="D788">
        <v>208</v>
      </c>
      <c r="E788" t="s">
        <v>42</v>
      </c>
      <c r="F788" t="s">
        <v>36</v>
      </c>
      <c r="G788" t="s">
        <v>37</v>
      </c>
      <c r="H788">
        <f t="shared" si="12"/>
        <v>208</v>
      </c>
    </row>
    <row r="789" spans="1:8" x14ac:dyDescent="0.3">
      <c r="A789" t="s">
        <v>56</v>
      </c>
      <c r="B789" t="s">
        <v>23</v>
      </c>
      <c r="C789" t="s">
        <v>18</v>
      </c>
      <c r="D789">
        <v>0</v>
      </c>
      <c r="E789" t="s">
        <v>42</v>
      </c>
      <c r="F789" t="s">
        <v>36</v>
      </c>
      <c r="G789" t="s">
        <v>37</v>
      </c>
      <c r="H789">
        <f t="shared" si="12"/>
        <v>0</v>
      </c>
    </row>
    <row r="790" spans="1:8" x14ac:dyDescent="0.3">
      <c r="A790" t="s">
        <v>56</v>
      </c>
      <c r="B790" t="s">
        <v>23</v>
      </c>
      <c r="C790" t="s">
        <v>19</v>
      </c>
      <c r="D790">
        <v>806</v>
      </c>
      <c r="E790" t="s">
        <v>42</v>
      </c>
      <c r="F790" t="s">
        <v>36</v>
      </c>
      <c r="G790" t="s">
        <v>37</v>
      </c>
      <c r="H790">
        <f t="shared" si="12"/>
        <v>806</v>
      </c>
    </row>
    <row r="791" spans="1:8" x14ac:dyDescent="0.3">
      <c r="A791" t="s">
        <v>56</v>
      </c>
      <c r="B791" t="s">
        <v>23</v>
      </c>
      <c r="C791" t="s">
        <v>20</v>
      </c>
      <c r="D791">
        <v>3391</v>
      </c>
      <c r="E791" t="s">
        <v>42</v>
      </c>
      <c r="F791" t="s">
        <v>36</v>
      </c>
      <c r="G791" t="s">
        <v>37</v>
      </c>
      <c r="H791">
        <f t="shared" si="12"/>
        <v>3390</v>
      </c>
    </row>
    <row r="792" spans="1:8" x14ac:dyDescent="0.3">
      <c r="A792" t="s">
        <v>56</v>
      </c>
      <c r="B792" t="s">
        <v>23</v>
      </c>
      <c r="C792" t="s">
        <v>21</v>
      </c>
      <c r="D792">
        <v>117</v>
      </c>
      <c r="E792" t="s">
        <v>42</v>
      </c>
      <c r="F792" t="s">
        <v>36</v>
      </c>
      <c r="G792" t="s">
        <v>37</v>
      </c>
      <c r="H792">
        <f t="shared" si="12"/>
        <v>117</v>
      </c>
    </row>
    <row r="793" spans="1:8" x14ac:dyDescent="0.3">
      <c r="A793" t="s">
        <v>56</v>
      </c>
      <c r="B793" t="s">
        <v>23</v>
      </c>
      <c r="C793" t="s">
        <v>22</v>
      </c>
      <c r="D793">
        <v>810</v>
      </c>
      <c r="E793" t="s">
        <v>42</v>
      </c>
      <c r="F793" t="s">
        <v>36</v>
      </c>
      <c r="G793" t="s">
        <v>37</v>
      </c>
      <c r="H793">
        <f t="shared" si="12"/>
        <v>810</v>
      </c>
    </row>
    <row r="794" spans="1:8" x14ac:dyDescent="0.3">
      <c r="A794" t="s">
        <v>41</v>
      </c>
      <c r="B794" t="s">
        <v>8</v>
      </c>
      <c r="C794" t="s">
        <v>9</v>
      </c>
      <c r="D794">
        <v>11</v>
      </c>
      <c r="E794" t="s">
        <v>42</v>
      </c>
      <c r="F794" t="s">
        <v>38</v>
      </c>
      <c r="G794" t="s">
        <v>37</v>
      </c>
      <c r="H794">
        <f t="shared" si="12"/>
        <v>11</v>
      </c>
    </row>
    <row r="795" spans="1:8" x14ac:dyDescent="0.3">
      <c r="A795" t="s">
        <v>41</v>
      </c>
      <c r="B795" t="s">
        <v>8</v>
      </c>
      <c r="C795" t="s">
        <v>13</v>
      </c>
      <c r="D795">
        <v>241</v>
      </c>
      <c r="E795" t="s">
        <v>42</v>
      </c>
      <c r="F795" t="s">
        <v>38</v>
      </c>
      <c r="G795" t="s">
        <v>37</v>
      </c>
      <c r="H795">
        <f t="shared" si="12"/>
        <v>241</v>
      </c>
    </row>
    <row r="796" spans="1:8" x14ac:dyDescent="0.3">
      <c r="A796" t="s">
        <v>41</v>
      </c>
      <c r="B796" t="s">
        <v>8</v>
      </c>
      <c r="C796" t="s">
        <v>14</v>
      </c>
      <c r="D796">
        <v>348</v>
      </c>
      <c r="E796" t="s">
        <v>42</v>
      </c>
      <c r="F796" t="s">
        <v>38</v>
      </c>
      <c r="G796" t="s">
        <v>37</v>
      </c>
      <c r="H796">
        <f t="shared" si="12"/>
        <v>348</v>
      </c>
    </row>
    <row r="797" spans="1:8" x14ac:dyDescent="0.3">
      <c r="A797" t="s">
        <v>41</v>
      </c>
      <c r="B797" t="s">
        <v>8</v>
      </c>
      <c r="C797" t="s">
        <v>15</v>
      </c>
      <c r="D797">
        <v>80962</v>
      </c>
      <c r="E797" t="s">
        <v>42</v>
      </c>
      <c r="F797" t="s">
        <v>38</v>
      </c>
      <c r="G797" t="s">
        <v>37</v>
      </c>
      <c r="H797">
        <f t="shared" si="12"/>
        <v>81000</v>
      </c>
    </row>
    <row r="798" spans="1:8" x14ac:dyDescent="0.3">
      <c r="A798" t="s">
        <v>41</v>
      </c>
      <c r="B798" t="s">
        <v>8</v>
      </c>
      <c r="C798" t="s">
        <v>16</v>
      </c>
      <c r="D798">
        <v>135</v>
      </c>
      <c r="E798" t="s">
        <v>42</v>
      </c>
      <c r="F798" t="s">
        <v>38</v>
      </c>
      <c r="G798" t="s">
        <v>37</v>
      </c>
      <c r="H798">
        <f t="shared" si="12"/>
        <v>135</v>
      </c>
    </row>
    <row r="799" spans="1:8" x14ac:dyDescent="0.3">
      <c r="A799" t="s">
        <v>41</v>
      </c>
      <c r="B799" t="s">
        <v>8</v>
      </c>
      <c r="C799" t="s">
        <v>17</v>
      </c>
      <c r="D799">
        <v>417</v>
      </c>
      <c r="E799" t="s">
        <v>42</v>
      </c>
      <c r="F799" t="s">
        <v>38</v>
      </c>
      <c r="G799" t="s">
        <v>37</v>
      </c>
      <c r="H799">
        <f t="shared" si="12"/>
        <v>417</v>
      </c>
    </row>
    <row r="800" spans="1:8" x14ac:dyDescent="0.3">
      <c r="A800" t="s">
        <v>41</v>
      </c>
      <c r="B800" t="s">
        <v>8</v>
      </c>
      <c r="C800" t="s">
        <v>18</v>
      </c>
      <c r="D800">
        <v>0</v>
      </c>
      <c r="E800" t="s">
        <v>42</v>
      </c>
      <c r="F800" t="s">
        <v>38</v>
      </c>
      <c r="G800" t="s">
        <v>37</v>
      </c>
      <c r="H800">
        <f t="shared" si="12"/>
        <v>0</v>
      </c>
    </row>
    <row r="801" spans="1:8" x14ac:dyDescent="0.3">
      <c r="A801" t="s">
        <v>41</v>
      </c>
      <c r="B801" t="s">
        <v>8</v>
      </c>
      <c r="C801" t="s">
        <v>19</v>
      </c>
      <c r="D801">
        <v>71</v>
      </c>
      <c r="E801" t="s">
        <v>42</v>
      </c>
      <c r="F801" t="s">
        <v>38</v>
      </c>
      <c r="G801" t="s">
        <v>37</v>
      </c>
      <c r="H801">
        <f t="shared" si="12"/>
        <v>71</v>
      </c>
    </row>
    <row r="802" spans="1:8" x14ac:dyDescent="0.3">
      <c r="A802" t="s">
        <v>41</v>
      </c>
      <c r="B802" t="s">
        <v>8</v>
      </c>
      <c r="C802" t="s">
        <v>20</v>
      </c>
      <c r="D802">
        <v>141</v>
      </c>
      <c r="E802" t="s">
        <v>42</v>
      </c>
      <c r="F802" t="s">
        <v>38</v>
      </c>
      <c r="G802" t="s">
        <v>37</v>
      </c>
      <c r="H802">
        <f t="shared" si="12"/>
        <v>141</v>
      </c>
    </row>
    <row r="803" spans="1:8" x14ac:dyDescent="0.3">
      <c r="A803" t="s">
        <v>41</v>
      </c>
      <c r="B803" t="s">
        <v>8</v>
      </c>
      <c r="C803" t="s">
        <v>21</v>
      </c>
      <c r="D803">
        <v>145</v>
      </c>
      <c r="E803" t="s">
        <v>42</v>
      </c>
      <c r="F803" t="s">
        <v>38</v>
      </c>
      <c r="G803" t="s">
        <v>37</v>
      </c>
      <c r="H803">
        <f t="shared" si="12"/>
        <v>145</v>
      </c>
    </row>
    <row r="804" spans="1:8" x14ac:dyDescent="0.3">
      <c r="A804" t="s">
        <v>41</v>
      </c>
      <c r="B804" t="s">
        <v>8</v>
      </c>
      <c r="C804" t="s">
        <v>22</v>
      </c>
      <c r="D804">
        <v>1177</v>
      </c>
      <c r="E804" t="s">
        <v>42</v>
      </c>
      <c r="F804" t="s">
        <v>38</v>
      </c>
      <c r="G804" t="s">
        <v>37</v>
      </c>
      <c r="H804">
        <f t="shared" si="12"/>
        <v>1180</v>
      </c>
    </row>
    <row r="805" spans="1:8" x14ac:dyDescent="0.3">
      <c r="A805" t="s">
        <v>41</v>
      </c>
      <c r="B805" t="s">
        <v>23</v>
      </c>
      <c r="C805" t="s">
        <v>9</v>
      </c>
      <c r="D805">
        <v>51848</v>
      </c>
      <c r="E805" t="s">
        <v>42</v>
      </c>
      <c r="F805" t="s">
        <v>38</v>
      </c>
      <c r="G805" t="s">
        <v>37</v>
      </c>
      <c r="H805">
        <f t="shared" si="12"/>
        <v>51800</v>
      </c>
    </row>
    <row r="806" spans="1:8" x14ac:dyDescent="0.3">
      <c r="A806" t="s">
        <v>41</v>
      </c>
      <c r="B806" t="s">
        <v>23</v>
      </c>
      <c r="C806" t="s">
        <v>13</v>
      </c>
      <c r="D806">
        <v>902299</v>
      </c>
      <c r="E806" t="s">
        <v>42</v>
      </c>
      <c r="F806" t="s">
        <v>38</v>
      </c>
      <c r="G806" t="s">
        <v>37</v>
      </c>
      <c r="H806">
        <f t="shared" si="12"/>
        <v>902000</v>
      </c>
    </row>
    <row r="807" spans="1:8" x14ac:dyDescent="0.3">
      <c r="A807" t="s">
        <v>41</v>
      </c>
      <c r="B807" t="s">
        <v>23</v>
      </c>
      <c r="C807" t="s">
        <v>14</v>
      </c>
      <c r="D807">
        <v>1180100</v>
      </c>
      <c r="E807" t="s">
        <v>42</v>
      </c>
      <c r="F807" t="s">
        <v>38</v>
      </c>
      <c r="G807" t="s">
        <v>37</v>
      </c>
      <c r="H807">
        <f t="shared" si="12"/>
        <v>1180000</v>
      </c>
    </row>
    <row r="808" spans="1:8" x14ac:dyDescent="0.3">
      <c r="A808" t="s">
        <v>41</v>
      </c>
      <c r="B808" t="s">
        <v>23</v>
      </c>
      <c r="C808" t="s">
        <v>15</v>
      </c>
      <c r="D808">
        <v>2201726</v>
      </c>
      <c r="E808" t="s">
        <v>42</v>
      </c>
      <c r="F808" t="s">
        <v>38</v>
      </c>
      <c r="G808" t="s">
        <v>37</v>
      </c>
      <c r="H808">
        <f t="shared" si="12"/>
        <v>2200000</v>
      </c>
    </row>
    <row r="809" spans="1:8" x14ac:dyDescent="0.3">
      <c r="A809" t="s">
        <v>41</v>
      </c>
      <c r="B809" t="s">
        <v>23</v>
      </c>
      <c r="C809" t="s">
        <v>16</v>
      </c>
      <c r="D809">
        <v>304168</v>
      </c>
      <c r="E809" t="s">
        <v>42</v>
      </c>
      <c r="F809" t="s">
        <v>38</v>
      </c>
      <c r="G809" t="s">
        <v>37</v>
      </c>
      <c r="H809">
        <f t="shared" si="12"/>
        <v>304000</v>
      </c>
    </row>
    <row r="810" spans="1:8" x14ac:dyDescent="0.3">
      <c r="A810" t="s">
        <v>41</v>
      </c>
      <c r="B810" t="s">
        <v>23</v>
      </c>
      <c r="C810" t="s">
        <v>17</v>
      </c>
      <c r="D810">
        <v>72652</v>
      </c>
      <c r="E810" t="s">
        <v>42</v>
      </c>
      <c r="F810" t="s">
        <v>38</v>
      </c>
      <c r="G810" t="s">
        <v>37</v>
      </c>
      <c r="H810">
        <f t="shared" si="12"/>
        <v>72700</v>
      </c>
    </row>
    <row r="811" spans="1:8" x14ac:dyDescent="0.3">
      <c r="A811" t="s">
        <v>41</v>
      </c>
      <c r="B811" t="s">
        <v>23</v>
      </c>
      <c r="C811" t="s">
        <v>18</v>
      </c>
      <c r="D811">
        <v>112</v>
      </c>
      <c r="E811" t="s">
        <v>42</v>
      </c>
      <c r="F811" t="s">
        <v>38</v>
      </c>
      <c r="G811" t="s">
        <v>37</v>
      </c>
      <c r="H811">
        <f t="shared" si="12"/>
        <v>112</v>
      </c>
    </row>
    <row r="812" spans="1:8" x14ac:dyDescent="0.3">
      <c r="A812" t="s">
        <v>41</v>
      </c>
      <c r="B812" t="s">
        <v>23</v>
      </c>
      <c r="C812" t="s">
        <v>19</v>
      </c>
      <c r="D812">
        <v>1304303</v>
      </c>
      <c r="E812" t="s">
        <v>42</v>
      </c>
      <c r="F812" t="s">
        <v>38</v>
      </c>
      <c r="G812" t="s">
        <v>37</v>
      </c>
      <c r="H812">
        <f t="shared" si="12"/>
        <v>1300000</v>
      </c>
    </row>
    <row r="813" spans="1:8" x14ac:dyDescent="0.3">
      <c r="A813" t="s">
        <v>41</v>
      </c>
      <c r="B813" t="s">
        <v>23</v>
      </c>
      <c r="C813" t="s">
        <v>20</v>
      </c>
      <c r="D813">
        <v>33790</v>
      </c>
      <c r="E813" t="s">
        <v>42</v>
      </c>
      <c r="F813" t="s">
        <v>38</v>
      </c>
      <c r="G813" t="s">
        <v>37</v>
      </c>
      <c r="H813">
        <f t="shared" si="12"/>
        <v>33800</v>
      </c>
    </row>
    <row r="814" spans="1:8" x14ac:dyDescent="0.3">
      <c r="A814" t="s">
        <v>41</v>
      </c>
      <c r="B814" t="s">
        <v>23</v>
      </c>
      <c r="C814" t="s">
        <v>21</v>
      </c>
      <c r="D814">
        <v>19441</v>
      </c>
      <c r="E814" t="s">
        <v>42</v>
      </c>
      <c r="F814" t="s">
        <v>38</v>
      </c>
      <c r="G814" t="s">
        <v>37</v>
      </c>
      <c r="H814">
        <f t="shared" si="12"/>
        <v>19400</v>
      </c>
    </row>
    <row r="815" spans="1:8" x14ac:dyDescent="0.3">
      <c r="A815" t="s">
        <v>41</v>
      </c>
      <c r="B815" t="s">
        <v>23</v>
      </c>
      <c r="C815" t="s">
        <v>22</v>
      </c>
      <c r="D815">
        <v>240443</v>
      </c>
      <c r="E815" t="s">
        <v>42</v>
      </c>
      <c r="F815" t="s">
        <v>38</v>
      </c>
      <c r="G815" t="s">
        <v>37</v>
      </c>
      <c r="H815">
        <f t="shared" si="12"/>
        <v>240000</v>
      </c>
    </row>
    <row r="816" spans="1:8" x14ac:dyDescent="0.3">
      <c r="A816" t="s">
        <v>43</v>
      </c>
      <c r="B816" t="s">
        <v>8</v>
      </c>
      <c r="C816" t="s">
        <v>9</v>
      </c>
      <c r="D816">
        <v>7</v>
      </c>
      <c r="E816" t="s">
        <v>42</v>
      </c>
      <c r="F816" t="s">
        <v>38</v>
      </c>
      <c r="G816" t="s">
        <v>37</v>
      </c>
      <c r="H816">
        <f t="shared" si="12"/>
        <v>7</v>
      </c>
    </row>
    <row r="817" spans="1:8" x14ac:dyDescent="0.3">
      <c r="A817" t="s">
        <v>43</v>
      </c>
      <c r="B817" t="s">
        <v>8</v>
      </c>
      <c r="C817" t="s">
        <v>13</v>
      </c>
      <c r="D817">
        <v>14</v>
      </c>
      <c r="E817" t="s">
        <v>42</v>
      </c>
      <c r="F817" t="s">
        <v>38</v>
      </c>
      <c r="G817" t="s">
        <v>37</v>
      </c>
      <c r="H817">
        <f t="shared" si="12"/>
        <v>14</v>
      </c>
    </row>
    <row r="818" spans="1:8" x14ac:dyDescent="0.3">
      <c r="A818" t="s">
        <v>43</v>
      </c>
      <c r="B818" t="s">
        <v>8</v>
      </c>
      <c r="C818" t="s">
        <v>14</v>
      </c>
      <c r="D818">
        <v>26489</v>
      </c>
      <c r="E818" t="s">
        <v>42</v>
      </c>
      <c r="F818" t="s">
        <v>38</v>
      </c>
      <c r="G818" t="s">
        <v>37</v>
      </c>
      <c r="H818">
        <f t="shared" si="12"/>
        <v>26500</v>
      </c>
    </row>
    <row r="819" spans="1:8" x14ac:dyDescent="0.3">
      <c r="A819" t="s">
        <v>43</v>
      </c>
      <c r="B819" t="s">
        <v>8</v>
      </c>
      <c r="C819" t="s">
        <v>15</v>
      </c>
      <c r="D819">
        <v>5</v>
      </c>
      <c r="E819" t="s">
        <v>42</v>
      </c>
      <c r="F819" t="s">
        <v>38</v>
      </c>
      <c r="G819" t="s">
        <v>37</v>
      </c>
      <c r="H819">
        <f t="shared" si="12"/>
        <v>5</v>
      </c>
    </row>
    <row r="820" spans="1:8" x14ac:dyDescent="0.3">
      <c r="A820" t="s">
        <v>43</v>
      </c>
      <c r="B820" t="s">
        <v>8</v>
      </c>
      <c r="C820" t="s">
        <v>16</v>
      </c>
      <c r="D820">
        <v>235</v>
      </c>
      <c r="E820" t="s">
        <v>42</v>
      </c>
      <c r="F820" t="s">
        <v>38</v>
      </c>
      <c r="G820" t="s">
        <v>37</v>
      </c>
      <c r="H820">
        <f t="shared" si="12"/>
        <v>235</v>
      </c>
    </row>
    <row r="821" spans="1:8" x14ac:dyDescent="0.3">
      <c r="A821" t="s">
        <v>43</v>
      </c>
      <c r="B821" t="s">
        <v>8</v>
      </c>
      <c r="C821" t="s">
        <v>17</v>
      </c>
      <c r="D821">
        <v>67</v>
      </c>
      <c r="E821" t="s">
        <v>42</v>
      </c>
      <c r="F821" t="s">
        <v>38</v>
      </c>
      <c r="G821" t="s">
        <v>37</v>
      </c>
      <c r="H821">
        <f t="shared" si="12"/>
        <v>67</v>
      </c>
    </row>
    <row r="822" spans="1:8" x14ac:dyDescent="0.3">
      <c r="A822" t="s">
        <v>43</v>
      </c>
      <c r="B822" t="s">
        <v>8</v>
      </c>
      <c r="C822" t="s">
        <v>18</v>
      </c>
      <c r="D822">
        <v>0</v>
      </c>
      <c r="E822" t="s">
        <v>42</v>
      </c>
      <c r="F822" t="s">
        <v>38</v>
      </c>
      <c r="G822" t="s">
        <v>37</v>
      </c>
      <c r="H822">
        <f t="shared" si="12"/>
        <v>0</v>
      </c>
    </row>
    <row r="823" spans="1:8" x14ac:dyDescent="0.3">
      <c r="A823" t="s">
        <v>43</v>
      </c>
      <c r="B823" t="s">
        <v>8</v>
      </c>
      <c r="C823" t="s">
        <v>19</v>
      </c>
      <c r="D823">
        <v>3</v>
      </c>
      <c r="E823" t="s">
        <v>42</v>
      </c>
      <c r="F823" t="s">
        <v>38</v>
      </c>
      <c r="G823" t="s">
        <v>37</v>
      </c>
      <c r="H823">
        <f t="shared" si="12"/>
        <v>3</v>
      </c>
    </row>
    <row r="824" spans="1:8" x14ac:dyDescent="0.3">
      <c r="A824" t="s">
        <v>43</v>
      </c>
      <c r="B824" t="s">
        <v>8</v>
      </c>
      <c r="C824" t="s">
        <v>20</v>
      </c>
      <c r="D824">
        <v>4</v>
      </c>
      <c r="E824" t="s">
        <v>42</v>
      </c>
      <c r="F824" t="s">
        <v>38</v>
      </c>
      <c r="G824" t="s">
        <v>37</v>
      </c>
      <c r="H824">
        <f t="shared" si="12"/>
        <v>4</v>
      </c>
    </row>
    <row r="825" spans="1:8" x14ac:dyDescent="0.3">
      <c r="A825" t="s">
        <v>43</v>
      </c>
      <c r="B825" t="s">
        <v>8</v>
      </c>
      <c r="C825" t="s">
        <v>21</v>
      </c>
      <c r="D825">
        <v>6</v>
      </c>
      <c r="E825" t="s">
        <v>42</v>
      </c>
      <c r="F825" t="s">
        <v>38</v>
      </c>
      <c r="G825" t="s">
        <v>37</v>
      </c>
      <c r="H825">
        <f t="shared" si="12"/>
        <v>6</v>
      </c>
    </row>
    <row r="826" spans="1:8" x14ac:dyDescent="0.3">
      <c r="A826" t="s">
        <v>43</v>
      </c>
      <c r="B826" t="s">
        <v>8</v>
      </c>
      <c r="C826" t="s">
        <v>22</v>
      </c>
      <c r="D826">
        <v>77</v>
      </c>
      <c r="E826" t="s">
        <v>42</v>
      </c>
      <c r="F826" t="s">
        <v>38</v>
      </c>
      <c r="G826" t="s">
        <v>37</v>
      </c>
      <c r="H826">
        <f t="shared" si="12"/>
        <v>77</v>
      </c>
    </row>
    <row r="827" spans="1:8" x14ac:dyDescent="0.3">
      <c r="A827" t="s">
        <v>43</v>
      </c>
      <c r="B827" t="s">
        <v>23</v>
      </c>
      <c r="C827" t="s">
        <v>9</v>
      </c>
      <c r="D827">
        <v>1243</v>
      </c>
      <c r="E827" t="s">
        <v>42</v>
      </c>
      <c r="F827" t="s">
        <v>38</v>
      </c>
      <c r="G827" t="s">
        <v>37</v>
      </c>
      <c r="H827">
        <f t="shared" si="12"/>
        <v>1240</v>
      </c>
    </row>
    <row r="828" spans="1:8" x14ac:dyDescent="0.3">
      <c r="A828" t="s">
        <v>43</v>
      </c>
      <c r="B828" t="s">
        <v>23</v>
      </c>
      <c r="C828" t="s">
        <v>13</v>
      </c>
      <c r="D828">
        <v>955</v>
      </c>
      <c r="E828" t="s">
        <v>42</v>
      </c>
      <c r="F828" t="s">
        <v>38</v>
      </c>
      <c r="G828" t="s">
        <v>37</v>
      </c>
      <c r="H828">
        <f t="shared" si="12"/>
        <v>955</v>
      </c>
    </row>
    <row r="829" spans="1:8" x14ac:dyDescent="0.3">
      <c r="A829" t="s">
        <v>43</v>
      </c>
      <c r="B829" t="s">
        <v>23</v>
      </c>
      <c r="C829" t="s">
        <v>14</v>
      </c>
      <c r="D829">
        <v>2187636</v>
      </c>
      <c r="E829" t="s">
        <v>42</v>
      </c>
      <c r="F829" t="s">
        <v>38</v>
      </c>
      <c r="G829" t="s">
        <v>37</v>
      </c>
      <c r="H829">
        <f t="shared" si="12"/>
        <v>2190000</v>
      </c>
    </row>
    <row r="830" spans="1:8" x14ac:dyDescent="0.3">
      <c r="A830" t="s">
        <v>43</v>
      </c>
      <c r="B830" t="s">
        <v>23</v>
      </c>
      <c r="C830" t="s">
        <v>15</v>
      </c>
      <c r="D830">
        <v>2479</v>
      </c>
      <c r="E830" t="s">
        <v>42</v>
      </c>
      <c r="F830" t="s">
        <v>38</v>
      </c>
      <c r="G830" t="s">
        <v>37</v>
      </c>
      <c r="H830">
        <f t="shared" si="12"/>
        <v>2480</v>
      </c>
    </row>
    <row r="831" spans="1:8" x14ac:dyDescent="0.3">
      <c r="A831" t="s">
        <v>43</v>
      </c>
      <c r="B831" t="s">
        <v>23</v>
      </c>
      <c r="C831" t="s">
        <v>16</v>
      </c>
      <c r="D831">
        <v>180768</v>
      </c>
      <c r="E831" t="s">
        <v>42</v>
      </c>
      <c r="F831" t="s">
        <v>38</v>
      </c>
      <c r="G831" t="s">
        <v>37</v>
      </c>
      <c r="H831">
        <f t="shared" si="12"/>
        <v>181000</v>
      </c>
    </row>
    <row r="832" spans="1:8" x14ac:dyDescent="0.3">
      <c r="A832" t="s">
        <v>43</v>
      </c>
      <c r="B832" t="s">
        <v>23</v>
      </c>
      <c r="C832" t="s">
        <v>17</v>
      </c>
      <c r="D832">
        <v>166</v>
      </c>
      <c r="E832" t="s">
        <v>42</v>
      </c>
      <c r="F832" t="s">
        <v>38</v>
      </c>
      <c r="G832" t="s">
        <v>37</v>
      </c>
      <c r="H832">
        <f t="shared" si="12"/>
        <v>166</v>
      </c>
    </row>
    <row r="833" spans="1:8" x14ac:dyDescent="0.3">
      <c r="A833" t="s">
        <v>43</v>
      </c>
      <c r="B833" t="s">
        <v>23</v>
      </c>
      <c r="C833" t="s">
        <v>18</v>
      </c>
      <c r="D833">
        <v>0</v>
      </c>
      <c r="E833" t="s">
        <v>42</v>
      </c>
      <c r="F833" t="s">
        <v>38</v>
      </c>
      <c r="G833" t="s">
        <v>37</v>
      </c>
      <c r="H833">
        <f t="shared" si="12"/>
        <v>0</v>
      </c>
    </row>
    <row r="834" spans="1:8" x14ac:dyDescent="0.3">
      <c r="A834" t="s">
        <v>43</v>
      </c>
      <c r="B834" t="s">
        <v>23</v>
      </c>
      <c r="C834" t="s">
        <v>19</v>
      </c>
      <c r="D834">
        <v>4052</v>
      </c>
      <c r="E834" t="s">
        <v>42</v>
      </c>
      <c r="F834" t="s">
        <v>38</v>
      </c>
      <c r="G834" t="s">
        <v>37</v>
      </c>
      <c r="H834">
        <f t="shared" si="12"/>
        <v>4050</v>
      </c>
    </row>
    <row r="835" spans="1:8" x14ac:dyDescent="0.3">
      <c r="A835" t="s">
        <v>43</v>
      </c>
      <c r="B835" t="s">
        <v>23</v>
      </c>
      <c r="C835" t="s">
        <v>20</v>
      </c>
      <c r="D835">
        <v>2980</v>
      </c>
      <c r="E835" t="s">
        <v>42</v>
      </c>
      <c r="F835" t="s">
        <v>38</v>
      </c>
      <c r="G835" t="s">
        <v>37</v>
      </c>
      <c r="H835">
        <f t="shared" ref="H835:H898" si="13">ROUND(D835, 3 - LEN(INT(ABS(D835))))</f>
        <v>2980</v>
      </c>
    </row>
    <row r="836" spans="1:8" x14ac:dyDescent="0.3">
      <c r="A836" t="s">
        <v>43</v>
      </c>
      <c r="B836" t="s">
        <v>23</v>
      </c>
      <c r="C836" t="s">
        <v>21</v>
      </c>
      <c r="D836">
        <v>2987</v>
      </c>
      <c r="E836" t="s">
        <v>42</v>
      </c>
      <c r="F836" t="s">
        <v>38</v>
      </c>
      <c r="G836" t="s">
        <v>37</v>
      </c>
      <c r="H836">
        <f t="shared" si="13"/>
        <v>2990</v>
      </c>
    </row>
    <row r="837" spans="1:8" x14ac:dyDescent="0.3">
      <c r="A837" t="s">
        <v>43</v>
      </c>
      <c r="B837" t="s">
        <v>23</v>
      </c>
      <c r="C837" t="s">
        <v>22</v>
      </c>
      <c r="D837">
        <v>830</v>
      </c>
      <c r="E837" t="s">
        <v>42</v>
      </c>
      <c r="F837" t="s">
        <v>38</v>
      </c>
      <c r="G837" t="s">
        <v>37</v>
      </c>
      <c r="H837">
        <f t="shared" si="13"/>
        <v>830</v>
      </c>
    </row>
    <row r="838" spans="1:8" x14ac:dyDescent="0.3">
      <c r="A838" t="s">
        <v>44</v>
      </c>
      <c r="B838" t="s">
        <v>8</v>
      </c>
      <c r="C838" t="s">
        <v>9</v>
      </c>
      <c r="D838">
        <v>34</v>
      </c>
      <c r="E838" t="s">
        <v>42</v>
      </c>
      <c r="F838" t="s">
        <v>38</v>
      </c>
      <c r="G838" t="s">
        <v>37</v>
      </c>
      <c r="H838">
        <f t="shared" si="13"/>
        <v>34</v>
      </c>
    </row>
    <row r="839" spans="1:8" x14ac:dyDescent="0.3">
      <c r="A839" t="s">
        <v>44</v>
      </c>
      <c r="B839" t="s">
        <v>8</v>
      </c>
      <c r="C839" t="s">
        <v>13</v>
      </c>
      <c r="D839">
        <v>72</v>
      </c>
      <c r="E839" t="s">
        <v>42</v>
      </c>
      <c r="F839" t="s">
        <v>38</v>
      </c>
      <c r="G839" t="s">
        <v>37</v>
      </c>
      <c r="H839">
        <f t="shared" si="13"/>
        <v>72</v>
      </c>
    </row>
    <row r="840" spans="1:8" x14ac:dyDescent="0.3">
      <c r="A840" t="s">
        <v>44</v>
      </c>
      <c r="B840" t="s">
        <v>8</v>
      </c>
      <c r="C840" t="s">
        <v>14</v>
      </c>
      <c r="D840">
        <v>133119</v>
      </c>
      <c r="E840" t="s">
        <v>42</v>
      </c>
      <c r="F840" t="s">
        <v>38</v>
      </c>
      <c r="G840" t="s">
        <v>37</v>
      </c>
      <c r="H840">
        <f t="shared" si="13"/>
        <v>133000</v>
      </c>
    </row>
    <row r="841" spans="1:8" x14ac:dyDescent="0.3">
      <c r="A841" t="s">
        <v>44</v>
      </c>
      <c r="B841" t="s">
        <v>8</v>
      </c>
      <c r="C841" t="s">
        <v>15</v>
      </c>
      <c r="D841">
        <v>27</v>
      </c>
      <c r="E841" t="s">
        <v>42</v>
      </c>
      <c r="F841" t="s">
        <v>38</v>
      </c>
      <c r="G841" t="s">
        <v>37</v>
      </c>
      <c r="H841">
        <f t="shared" si="13"/>
        <v>27</v>
      </c>
    </row>
    <row r="842" spans="1:8" x14ac:dyDescent="0.3">
      <c r="A842" t="s">
        <v>44</v>
      </c>
      <c r="B842" t="s">
        <v>8</v>
      </c>
      <c r="C842" t="s">
        <v>16</v>
      </c>
      <c r="D842">
        <v>1179</v>
      </c>
      <c r="E842" t="s">
        <v>42</v>
      </c>
      <c r="F842" t="s">
        <v>38</v>
      </c>
      <c r="G842" t="s">
        <v>37</v>
      </c>
      <c r="H842">
        <f t="shared" si="13"/>
        <v>1180</v>
      </c>
    </row>
    <row r="843" spans="1:8" x14ac:dyDescent="0.3">
      <c r="A843" t="s">
        <v>44</v>
      </c>
      <c r="B843" t="s">
        <v>8</v>
      </c>
      <c r="C843" t="s">
        <v>17</v>
      </c>
      <c r="D843">
        <v>336</v>
      </c>
      <c r="E843" t="s">
        <v>42</v>
      </c>
      <c r="F843" t="s">
        <v>38</v>
      </c>
      <c r="G843" t="s">
        <v>37</v>
      </c>
      <c r="H843">
        <f t="shared" si="13"/>
        <v>336</v>
      </c>
    </row>
    <row r="844" spans="1:8" x14ac:dyDescent="0.3">
      <c r="A844" t="s">
        <v>44</v>
      </c>
      <c r="B844" t="s">
        <v>8</v>
      </c>
      <c r="C844" t="s">
        <v>18</v>
      </c>
      <c r="D844">
        <v>0</v>
      </c>
      <c r="E844" t="s">
        <v>42</v>
      </c>
      <c r="F844" t="s">
        <v>38</v>
      </c>
      <c r="G844" t="s">
        <v>37</v>
      </c>
      <c r="H844">
        <f t="shared" si="13"/>
        <v>0</v>
      </c>
    </row>
    <row r="845" spans="1:8" x14ac:dyDescent="0.3">
      <c r="A845" t="s">
        <v>44</v>
      </c>
      <c r="B845" t="s">
        <v>8</v>
      </c>
      <c r="C845" t="s">
        <v>19</v>
      </c>
      <c r="D845">
        <v>15</v>
      </c>
      <c r="E845" t="s">
        <v>42</v>
      </c>
      <c r="F845" t="s">
        <v>38</v>
      </c>
      <c r="G845" t="s">
        <v>37</v>
      </c>
      <c r="H845">
        <f t="shared" si="13"/>
        <v>15</v>
      </c>
    </row>
    <row r="846" spans="1:8" x14ac:dyDescent="0.3">
      <c r="A846" t="s">
        <v>44</v>
      </c>
      <c r="B846" t="s">
        <v>8</v>
      </c>
      <c r="C846" t="s">
        <v>20</v>
      </c>
      <c r="D846">
        <v>21</v>
      </c>
      <c r="E846" t="s">
        <v>42</v>
      </c>
      <c r="F846" t="s">
        <v>38</v>
      </c>
      <c r="G846" t="s">
        <v>37</v>
      </c>
      <c r="H846">
        <f t="shared" si="13"/>
        <v>21</v>
      </c>
    </row>
    <row r="847" spans="1:8" x14ac:dyDescent="0.3">
      <c r="A847" t="s">
        <v>44</v>
      </c>
      <c r="B847" t="s">
        <v>8</v>
      </c>
      <c r="C847" t="s">
        <v>21</v>
      </c>
      <c r="D847">
        <v>32</v>
      </c>
      <c r="E847" t="s">
        <v>42</v>
      </c>
      <c r="F847" t="s">
        <v>38</v>
      </c>
      <c r="G847" t="s">
        <v>37</v>
      </c>
      <c r="H847">
        <f t="shared" si="13"/>
        <v>32</v>
      </c>
    </row>
    <row r="848" spans="1:8" x14ac:dyDescent="0.3">
      <c r="A848" t="s">
        <v>44</v>
      </c>
      <c r="B848" t="s">
        <v>8</v>
      </c>
      <c r="C848" t="s">
        <v>22</v>
      </c>
      <c r="D848">
        <v>385</v>
      </c>
      <c r="E848" t="s">
        <v>42</v>
      </c>
      <c r="F848" t="s">
        <v>38</v>
      </c>
      <c r="G848" t="s">
        <v>37</v>
      </c>
      <c r="H848">
        <f t="shared" si="13"/>
        <v>385</v>
      </c>
    </row>
    <row r="849" spans="1:8" x14ac:dyDescent="0.3">
      <c r="A849" t="s">
        <v>44</v>
      </c>
      <c r="B849" t="s">
        <v>23</v>
      </c>
      <c r="C849" t="s">
        <v>9</v>
      </c>
      <c r="D849">
        <v>6247</v>
      </c>
      <c r="E849" t="s">
        <v>42</v>
      </c>
      <c r="F849" t="s">
        <v>38</v>
      </c>
      <c r="G849" t="s">
        <v>37</v>
      </c>
      <c r="H849">
        <f t="shared" si="13"/>
        <v>6250</v>
      </c>
    </row>
    <row r="850" spans="1:8" x14ac:dyDescent="0.3">
      <c r="A850" t="s">
        <v>44</v>
      </c>
      <c r="B850" t="s">
        <v>23</v>
      </c>
      <c r="C850" t="s">
        <v>13</v>
      </c>
      <c r="D850">
        <v>4801</v>
      </c>
      <c r="E850" t="s">
        <v>42</v>
      </c>
      <c r="F850" t="s">
        <v>38</v>
      </c>
      <c r="G850" t="s">
        <v>37</v>
      </c>
      <c r="H850">
        <f t="shared" si="13"/>
        <v>4800</v>
      </c>
    </row>
    <row r="851" spans="1:8" x14ac:dyDescent="0.3">
      <c r="A851" t="s">
        <v>44</v>
      </c>
      <c r="B851" t="s">
        <v>23</v>
      </c>
      <c r="C851" t="s">
        <v>14</v>
      </c>
      <c r="D851">
        <v>10993728</v>
      </c>
      <c r="E851" t="s">
        <v>42</v>
      </c>
      <c r="F851" t="s">
        <v>38</v>
      </c>
      <c r="G851" t="s">
        <v>37</v>
      </c>
      <c r="H851">
        <f t="shared" si="13"/>
        <v>11000000</v>
      </c>
    </row>
    <row r="852" spans="1:8" x14ac:dyDescent="0.3">
      <c r="A852" t="s">
        <v>44</v>
      </c>
      <c r="B852" t="s">
        <v>23</v>
      </c>
      <c r="C852" t="s">
        <v>15</v>
      </c>
      <c r="D852">
        <v>12458</v>
      </c>
      <c r="E852" t="s">
        <v>42</v>
      </c>
      <c r="F852" t="s">
        <v>38</v>
      </c>
      <c r="G852" t="s">
        <v>37</v>
      </c>
      <c r="H852">
        <f t="shared" si="13"/>
        <v>12500</v>
      </c>
    </row>
    <row r="853" spans="1:8" x14ac:dyDescent="0.3">
      <c r="A853" t="s">
        <v>44</v>
      </c>
      <c r="B853" t="s">
        <v>23</v>
      </c>
      <c r="C853" t="s">
        <v>16</v>
      </c>
      <c r="D853">
        <v>908430</v>
      </c>
      <c r="E853" t="s">
        <v>42</v>
      </c>
      <c r="F853" t="s">
        <v>38</v>
      </c>
      <c r="G853" t="s">
        <v>37</v>
      </c>
      <c r="H853">
        <f t="shared" si="13"/>
        <v>908000</v>
      </c>
    </row>
    <row r="854" spans="1:8" x14ac:dyDescent="0.3">
      <c r="A854" t="s">
        <v>44</v>
      </c>
      <c r="B854" t="s">
        <v>23</v>
      </c>
      <c r="C854" t="s">
        <v>17</v>
      </c>
      <c r="D854">
        <v>836</v>
      </c>
      <c r="E854" t="s">
        <v>42</v>
      </c>
      <c r="F854" t="s">
        <v>38</v>
      </c>
      <c r="G854" t="s">
        <v>37</v>
      </c>
      <c r="H854">
        <f t="shared" si="13"/>
        <v>836</v>
      </c>
    </row>
    <row r="855" spans="1:8" x14ac:dyDescent="0.3">
      <c r="A855" t="s">
        <v>44</v>
      </c>
      <c r="B855" t="s">
        <v>23</v>
      </c>
      <c r="C855" t="s">
        <v>18</v>
      </c>
      <c r="D855">
        <v>0</v>
      </c>
      <c r="E855" t="s">
        <v>42</v>
      </c>
      <c r="F855" t="s">
        <v>38</v>
      </c>
      <c r="G855" t="s">
        <v>37</v>
      </c>
      <c r="H855">
        <f t="shared" si="13"/>
        <v>0</v>
      </c>
    </row>
    <row r="856" spans="1:8" x14ac:dyDescent="0.3">
      <c r="A856" t="s">
        <v>44</v>
      </c>
      <c r="B856" t="s">
        <v>23</v>
      </c>
      <c r="C856" t="s">
        <v>19</v>
      </c>
      <c r="D856">
        <v>20361</v>
      </c>
      <c r="E856" t="s">
        <v>42</v>
      </c>
      <c r="F856" t="s">
        <v>38</v>
      </c>
      <c r="G856" t="s">
        <v>37</v>
      </c>
      <c r="H856">
        <f t="shared" si="13"/>
        <v>20400</v>
      </c>
    </row>
    <row r="857" spans="1:8" x14ac:dyDescent="0.3">
      <c r="A857" t="s">
        <v>44</v>
      </c>
      <c r="B857" t="s">
        <v>23</v>
      </c>
      <c r="C857" t="s">
        <v>20</v>
      </c>
      <c r="D857">
        <v>14975</v>
      </c>
      <c r="E857" t="s">
        <v>42</v>
      </c>
      <c r="F857" t="s">
        <v>38</v>
      </c>
      <c r="G857" t="s">
        <v>37</v>
      </c>
      <c r="H857">
        <f t="shared" si="13"/>
        <v>15000</v>
      </c>
    </row>
    <row r="858" spans="1:8" x14ac:dyDescent="0.3">
      <c r="A858" t="s">
        <v>44</v>
      </c>
      <c r="B858" t="s">
        <v>23</v>
      </c>
      <c r="C858" t="s">
        <v>21</v>
      </c>
      <c r="D858">
        <v>15013</v>
      </c>
      <c r="E858" t="s">
        <v>42</v>
      </c>
      <c r="F858" t="s">
        <v>38</v>
      </c>
      <c r="G858" t="s">
        <v>37</v>
      </c>
      <c r="H858">
        <f t="shared" si="13"/>
        <v>15000</v>
      </c>
    </row>
    <row r="859" spans="1:8" x14ac:dyDescent="0.3">
      <c r="A859" t="s">
        <v>44</v>
      </c>
      <c r="B859" t="s">
        <v>23</v>
      </c>
      <c r="C859" t="s">
        <v>22</v>
      </c>
      <c r="D859">
        <v>4173</v>
      </c>
      <c r="E859" t="s">
        <v>42</v>
      </c>
      <c r="F859" t="s">
        <v>38</v>
      </c>
      <c r="G859" t="s">
        <v>37</v>
      </c>
      <c r="H859">
        <f t="shared" si="13"/>
        <v>4170</v>
      </c>
    </row>
    <row r="860" spans="1:8" x14ac:dyDescent="0.3">
      <c r="A860" t="s">
        <v>24</v>
      </c>
      <c r="B860" t="s">
        <v>8</v>
      </c>
      <c r="C860" t="s">
        <v>9</v>
      </c>
      <c r="D860">
        <v>4226</v>
      </c>
      <c r="E860" t="s">
        <v>42</v>
      </c>
      <c r="F860" t="s">
        <v>38</v>
      </c>
      <c r="G860" t="s">
        <v>37</v>
      </c>
      <c r="H860">
        <f t="shared" si="13"/>
        <v>4230</v>
      </c>
    </row>
    <row r="861" spans="1:8" x14ac:dyDescent="0.3">
      <c r="A861" t="s">
        <v>24</v>
      </c>
      <c r="B861" t="s">
        <v>8</v>
      </c>
      <c r="C861" t="s">
        <v>13</v>
      </c>
      <c r="D861">
        <v>619</v>
      </c>
      <c r="E861" t="s">
        <v>42</v>
      </c>
      <c r="F861" t="s">
        <v>38</v>
      </c>
      <c r="G861" t="s">
        <v>37</v>
      </c>
      <c r="H861">
        <f t="shared" si="13"/>
        <v>619</v>
      </c>
    </row>
    <row r="862" spans="1:8" x14ac:dyDescent="0.3">
      <c r="A862" t="s">
        <v>24</v>
      </c>
      <c r="B862" t="s">
        <v>8</v>
      </c>
      <c r="C862" t="s">
        <v>14</v>
      </c>
      <c r="D862">
        <v>26122</v>
      </c>
      <c r="E862" t="s">
        <v>42</v>
      </c>
      <c r="F862" t="s">
        <v>38</v>
      </c>
      <c r="G862" t="s">
        <v>37</v>
      </c>
      <c r="H862">
        <f t="shared" si="13"/>
        <v>26100</v>
      </c>
    </row>
    <row r="863" spans="1:8" x14ac:dyDescent="0.3">
      <c r="A863" t="s">
        <v>24</v>
      </c>
      <c r="B863" t="s">
        <v>8</v>
      </c>
      <c r="C863" t="s">
        <v>15</v>
      </c>
      <c r="D863">
        <v>153</v>
      </c>
      <c r="E863" t="s">
        <v>42</v>
      </c>
      <c r="F863" t="s">
        <v>38</v>
      </c>
      <c r="G863" t="s">
        <v>37</v>
      </c>
      <c r="H863">
        <f t="shared" si="13"/>
        <v>153</v>
      </c>
    </row>
    <row r="864" spans="1:8" x14ac:dyDescent="0.3">
      <c r="A864" t="s">
        <v>24</v>
      </c>
      <c r="B864" t="s">
        <v>8</v>
      </c>
      <c r="C864" t="s">
        <v>16</v>
      </c>
      <c r="D864">
        <v>90145</v>
      </c>
      <c r="E864" t="s">
        <v>42</v>
      </c>
      <c r="F864" t="s">
        <v>38</v>
      </c>
      <c r="G864" t="s">
        <v>37</v>
      </c>
      <c r="H864">
        <f t="shared" si="13"/>
        <v>90100</v>
      </c>
    </row>
    <row r="865" spans="1:8" x14ac:dyDescent="0.3">
      <c r="A865" t="s">
        <v>24</v>
      </c>
      <c r="B865" t="s">
        <v>8</v>
      </c>
      <c r="C865" t="s">
        <v>17</v>
      </c>
      <c r="D865">
        <v>2501</v>
      </c>
      <c r="E865" t="s">
        <v>42</v>
      </c>
      <c r="F865" t="s">
        <v>38</v>
      </c>
      <c r="G865" t="s">
        <v>37</v>
      </c>
      <c r="H865">
        <f t="shared" si="13"/>
        <v>2500</v>
      </c>
    </row>
    <row r="866" spans="1:8" x14ac:dyDescent="0.3">
      <c r="A866" t="s">
        <v>24</v>
      </c>
      <c r="B866" t="s">
        <v>8</v>
      </c>
      <c r="C866" t="s">
        <v>18</v>
      </c>
      <c r="D866">
        <v>0</v>
      </c>
      <c r="E866" t="s">
        <v>42</v>
      </c>
      <c r="F866" t="s">
        <v>38</v>
      </c>
      <c r="G866" t="s">
        <v>37</v>
      </c>
      <c r="H866">
        <f t="shared" si="13"/>
        <v>0</v>
      </c>
    </row>
    <row r="867" spans="1:8" x14ac:dyDescent="0.3">
      <c r="A867" t="s">
        <v>24</v>
      </c>
      <c r="B867" t="s">
        <v>8</v>
      </c>
      <c r="C867" t="s">
        <v>19</v>
      </c>
      <c r="D867">
        <v>89</v>
      </c>
      <c r="E867" t="s">
        <v>42</v>
      </c>
      <c r="F867" t="s">
        <v>38</v>
      </c>
      <c r="G867" t="s">
        <v>37</v>
      </c>
      <c r="H867">
        <f t="shared" si="13"/>
        <v>89</v>
      </c>
    </row>
    <row r="868" spans="1:8" x14ac:dyDescent="0.3">
      <c r="A868" t="s">
        <v>24</v>
      </c>
      <c r="B868" t="s">
        <v>8</v>
      </c>
      <c r="C868" t="s">
        <v>20</v>
      </c>
      <c r="D868">
        <v>109</v>
      </c>
      <c r="E868" t="s">
        <v>42</v>
      </c>
      <c r="F868" t="s">
        <v>38</v>
      </c>
      <c r="G868" t="s">
        <v>37</v>
      </c>
      <c r="H868">
        <f t="shared" si="13"/>
        <v>109</v>
      </c>
    </row>
    <row r="869" spans="1:8" x14ac:dyDescent="0.3">
      <c r="A869" t="s">
        <v>24</v>
      </c>
      <c r="B869" t="s">
        <v>8</v>
      </c>
      <c r="C869" t="s">
        <v>21</v>
      </c>
      <c r="D869">
        <v>344</v>
      </c>
      <c r="E869" t="s">
        <v>42</v>
      </c>
      <c r="F869" t="s">
        <v>38</v>
      </c>
      <c r="G869" t="s">
        <v>37</v>
      </c>
      <c r="H869">
        <f t="shared" si="13"/>
        <v>344</v>
      </c>
    </row>
    <row r="870" spans="1:8" x14ac:dyDescent="0.3">
      <c r="A870" t="s">
        <v>24</v>
      </c>
      <c r="B870" t="s">
        <v>8</v>
      </c>
      <c r="C870" t="s">
        <v>22</v>
      </c>
      <c r="D870">
        <v>8145</v>
      </c>
      <c r="E870" t="s">
        <v>42</v>
      </c>
      <c r="F870" t="s">
        <v>38</v>
      </c>
      <c r="G870" t="s">
        <v>37</v>
      </c>
      <c r="H870">
        <f t="shared" si="13"/>
        <v>8150</v>
      </c>
    </row>
    <row r="871" spans="1:8" x14ac:dyDescent="0.3">
      <c r="A871" t="s">
        <v>24</v>
      </c>
      <c r="B871" t="s">
        <v>23</v>
      </c>
      <c r="C871" t="s">
        <v>9</v>
      </c>
      <c r="D871">
        <v>377112</v>
      </c>
      <c r="E871" t="s">
        <v>42</v>
      </c>
      <c r="F871" t="s">
        <v>38</v>
      </c>
      <c r="G871" t="s">
        <v>37</v>
      </c>
      <c r="H871">
        <f t="shared" si="13"/>
        <v>377000</v>
      </c>
    </row>
    <row r="872" spans="1:8" x14ac:dyDescent="0.3">
      <c r="A872" t="s">
        <v>24</v>
      </c>
      <c r="B872" t="s">
        <v>23</v>
      </c>
      <c r="C872" t="s">
        <v>13</v>
      </c>
      <c r="D872">
        <v>133152</v>
      </c>
      <c r="E872" t="s">
        <v>42</v>
      </c>
      <c r="F872" t="s">
        <v>38</v>
      </c>
      <c r="G872" t="s">
        <v>37</v>
      </c>
      <c r="H872">
        <f t="shared" si="13"/>
        <v>133000</v>
      </c>
    </row>
    <row r="873" spans="1:8" x14ac:dyDescent="0.3">
      <c r="A873" t="s">
        <v>24</v>
      </c>
      <c r="B873" t="s">
        <v>23</v>
      </c>
      <c r="C873" t="s">
        <v>14</v>
      </c>
      <c r="D873">
        <v>2164617</v>
      </c>
      <c r="E873" t="s">
        <v>42</v>
      </c>
      <c r="F873" t="s">
        <v>38</v>
      </c>
      <c r="G873" t="s">
        <v>37</v>
      </c>
      <c r="H873">
        <f t="shared" si="13"/>
        <v>2160000</v>
      </c>
    </row>
    <row r="874" spans="1:8" x14ac:dyDescent="0.3">
      <c r="A874" t="s">
        <v>24</v>
      </c>
      <c r="B874" t="s">
        <v>23</v>
      </c>
      <c r="C874" t="s">
        <v>15</v>
      </c>
      <c r="D874">
        <v>8896</v>
      </c>
      <c r="E874" t="s">
        <v>42</v>
      </c>
      <c r="F874" t="s">
        <v>38</v>
      </c>
      <c r="G874" t="s">
        <v>37</v>
      </c>
      <c r="H874">
        <f t="shared" si="13"/>
        <v>8900</v>
      </c>
    </row>
    <row r="875" spans="1:8" x14ac:dyDescent="0.3">
      <c r="A875" t="s">
        <v>24</v>
      </c>
      <c r="B875" t="s">
        <v>23</v>
      </c>
      <c r="C875" t="s">
        <v>16</v>
      </c>
      <c r="D875">
        <v>2337137</v>
      </c>
      <c r="E875" t="s">
        <v>42</v>
      </c>
      <c r="F875" t="s">
        <v>38</v>
      </c>
      <c r="G875" t="s">
        <v>37</v>
      </c>
      <c r="H875">
        <f t="shared" si="13"/>
        <v>2340000</v>
      </c>
    </row>
    <row r="876" spans="1:8" x14ac:dyDescent="0.3">
      <c r="A876" t="s">
        <v>24</v>
      </c>
      <c r="B876" t="s">
        <v>23</v>
      </c>
      <c r="C876" t="s">
        <v>17</v>
      </c>
      <c r="D876">
        <v>13438</v>
      </c>
      <c r="E876" t="s">
        <v>42</v>
      </c>
      <c r="F876" t="s">
        <v>38</v>
      </c>
      <c r="G876" t="s">
        <v>37</v>
      </c>
      <c r="H876">
        <f t="shared" si="13"/>
        <v>13400</v>
      </c>
    </row>
    <row r="877" spans="1:8" x14ac:dyDescent="0.3">
      <c r="A877" t="s">
        <v>24</v>
      </c>
      <c r="B877" t="s">
        <v>23</v>
      </c>
      <c r="C877" t="s">
        <v>18</v>
      </c>
      <c r="D877">
        <v>22</v>
      </c>
      <c r="E877" t="s">
        <v>42</v>
      </c>
      <c r="F877" t="s">
        <v>38</v>
      </c>
      <c r="G877" t="s">
        <v>37</v>
      </c>
      <c r="H877">
        <f t="shared" si="13"/>
        <v>22</v>
      </c>
    </row>
    <row r="878" spans="1:8" x14ac:dyDescent="0.3">
      <c r="A878" t="s">
        <v>24</v>
      </c>
      <c r="B878" t="s">
        <v>23</v>
      </c>
      <c r="C878" t="s">
        <v>19</v>
      </c>
      <c r="D878">
        <v>25576</v>
      </c>
      <c r="E878" t="s">
        <v>42</v>
      </c>
      <c r="F878" t="s">
        <v>38</v>
      </c>
      <c r="G878" t="s">
        <v>37</v>
      </c>
      <c r="H878">
        <f t="shared" si="13"/>
        <v>25600</v>
      </c>
    </row>
    <row r="879" spans="1:8" x14ac:dyDescent="0.3">
      <c r="A879" t="s">
        <v>24</v>
      </c>
      <c r="B879" t="s">
        <v>23</v>
      </c>
      <c r="C879" t="s">
        <v>20</v>
      </c>
      <c r="D879">
        <v>32671</v>
      </c>
      <c r="E879" t="s">
        <v>42</v>
      </c>
      <c r="F879" t="s">
        <v>38</v>
      </c>
      <c r="G879" t="s">
        <v>37</v>
      </c>
      <c r="H879">
        <f t="shared" si="13"/>
        <v>32700</v>
      </c>
    </row>
    <row r="880" spans="1:8" x14ac:dyDescent="0.3">
      <c r="A880" t="s">
        <v>24</v>
      </c>
      <c r="B880" t="s">
        <v>23</v>
      </c>
      <c r="C880" t="s">
        <v>21</v>
      </c>
      <c r="D880">
        <v>10378</v>
      </c>
      <c r="E880" t="s">
        <v>42</v>
      </c>
      <c r="F880" t="s">
        <v>38</v>
      </c>
      <c r="G880" t="s">
        <v>37</v>
      </c>
      <c r="H880">
        <f t="shared" si="13"/>
        <v>10400</v>
      </c>
    </row>
    <row r="881" spans="1:8" x14ac:dyDescent="0.3">
      <c r="A881" t="s">
        <v>24</v>
      </c>
      <c r="B881" t="s">
        <v>23</v>
      </c>
      <c r="C881" t="s">
        <v>22</v>
      </c>
      <c r="D881">
        <v>407918</v>
      </c>
      <c r="E881" t="s">
        <v>42</v>
      </c>
      <c r="F881" t="s">
        <v>38</v>
      </c>
      <c r="G881" t="s">
        <v>37</v>
      </c>
      <c r="H881">
        <f t="shared" si="13"/>
        <v>408000</v>
      </c>
    </row>
    <row r="882" spans="1:8" x14ac:dyDescent="0.3">
      <c r="A882" t="s">
        <v>45</v>
      </c>
      <c r="B882" t="s">
        <v>8</v>
      </c>
      <c r="C882" t="s">
        <v>9</v>
      </c>
      <c r="D882">
        <v>14019</v>
      </c>
      <c r="E882" t="s">
        <v>42</v>
      </c>
      <c r="F882" t="s">
        <v>38</v>
      </c>
      <c r="G882" t="s">
        <v>37</v>
      </c>
      <c r="H882">
        <f t="shared" si="13"/>
        <v>14000</v>
      </c>
    </row>
    <row r="883" spans="1:8" x14ac:dyDescent="0.3">
      <c r="A883" t="s">
        <v>45</v>
      </c>
      <c r="B883" t="s">
        <v>8</v>
      </c>
      <c r="C883" t="s">
        <v>13</v>
      </c>
      <c r="D883">
        <v>2273</v>
      </c>
      <c r="E883" t="s">
        <v>42</v>
      </c>
      <c r="F883" t="s">
        <v>38</v>
      </c>
      <c r="G883" t="s">
        <v>37</v>
      </c>
      <c r="H883">
        <f t="shared" si="13"/>
        <v>2270</v>
      </c>
    </row>
    <row r="884" spans="1:8" x14ac:dyDescent="0.3">
      <c r="A884" t="s">
        <v>45</v>
      </c>
      <c r="B884" t="s">
        <v>8</v>
      </c>
      <c r="C884" t="s">
        <v>14</v>
      </c>
      <c r="D884">
        <v>1852</v>
      </c>
      <c r="E884" t="s">
        <v>42</v>
      </c>
      <c r="F884" t="s">
        <v>38</v>
      </c>
      <c r="G884" t="s">
        <v>37</v>
      </c>
      <c r="H884">
        <f t="shared" si="13"/>
        <v>1850</v>
      </c>
    </row>
    <row r="885" spans="1:8" x14ac:dyDescent="0.3">
      <c r="A885" t="s">
        <v>45</v>
      </c>
      <c r="B885" t="s">
        <v>8</v>
      </c>
      <c r="C885" t="s">
        <v>15</v>
      </c>
      <c r="D885">
        <v>513</v>
      </c>
      <c r="E885" t="s">
        <v>42</v>
      </c>
      <c r="F885" t="s">
        <v>38</v>
      </c>
      <c r="G885" t="s">
        <v>37</v>
      </c>
      <c r="H885">
        <f t="shared" si="13"/>
        <v>513</v>
      </c>
    </row>
    <row r="886" spans="1:8" x14ac:dyDescent="0.3">
      <c r="A886" t="s">
        <v>45</v>
      </c>
      <c r="B886" t="s">
        <v>8</v>
      </c>
      <c r="C886" t="s">
        <v>16</v>
      </c>
      <c r="D886">
        <v>1960</v>
      </c>
      <c r="E886" t="s">
        <v>42</v>
      </c>
      <c r="F886" t="s">
        <v>38</v>
      </c>
      <c r="G886" t="s">
        <v>37</v>
      </c>
      <c r="H886">
        <f t="shared" si="13"/>
        <v>1960</v>
      </c>
    </row>
    <row r="887" spans="1:8" x14ac:dyDescent="0.3">
      <c r="A887" t="s">
        <v>45</v>
      </c>
      <c r="B887" t="s">
        <v>8</v>
      </c>
      <c r="C887" t="s">
        <v>17</v>
      </c>
      <c r="D887">
        <v>5828</v>
      </c>
      <c r="E887" t="s">
        <v>42</v>
      </c>
      <c r="F887" t="s">
        <v>38</v>
      </c>
      <c r="G887" t="s">
        <v>37</v>
      </c>
      <c r="H887">
        <f t="shared" si="13"/>
        <v>5830</v>
      </c>
    </row>
    <row r="888" spans="1:8" x14ac:dyDescent="0.3">
      <c r="A888" t="s">
        <v>45</v>
      </c>
      <c r="B888" t="s">
        <v>8</v>
      </c>
      <c r="C888" t="s">
        <v>18</v>
      </c>
      <c r="D888">
        <v>0</v>
      </c>
      <c r="E888" t="s">
        <v>42</v>
      </c>
      <c r="F888" t="s">
        <v>38</v>
      </c>
      <c r="G888" t="s">
        <v>37</v>
      </c>
      <c r="H888">
        <f t="shared" si="13"/>
        <v>0</v>
      </c>
    </row>
    <row r="889" spans="1:8" x14ac:dyDescent="0.3">
      <c r="A889" t="s">
        <v>45</v>
      </c>
      <c r="B889" t="s">
        <v>8</v>
      </c>
      <c r="C889" t="s">
        <v>19</v>
      </c>
      <c r="D889">
        <v>8116</v>
      </c>
      <c r="E889" t="s">
        <v>42</v>
      </c>
      <c r="F889" t="s">
        <v>38</v>
      </c>
      <c r="G889" t="s">
        <v>37</v>
      </c>
      <c r="H889">
        <f t="shared" si="13"/>
        <v>8120</v>
      </c>
    </row>
    <row r="890" spans="1:8" x14ac:dyDescent="0.3">
      <c r="A890" t="s">
        <v>45</v>
      </c>
      <c r="B890" t="s">
        <v>8</v>
      </c>
      <c r="C890" t="s">
        <v>20</v>
      </c>
      <c r="D890">
        <v>91</v>
      </c>
      <c r="E890" t="s">
        <v>42</v>
      </c>
      <c r="F890" t="s">
        <v>38</v>
      </c>
      <c r="G890" t="s">
        <v>37</v>
      </c>
      <c r="H890">
        <f t="shared" si="13"/>
        <v>91</v>
      </c>
    </row>
    <row r="891" spans="1:8" x14ac:dyDescent="0.3">
      <c r="A891" t="s">
        <v>45</v>
      </c>
      <c r="B891" t="s">
        <v>8</v>
      </c>
      <c r="C891" t="s">
        <v>21</v>
      </c>
      <c r="D891">
        <v>906</v>
      </c>
      <c r="E891" t="s">
        <v>42</v>
      </c>
      <c r="F891" t="s">
        <v>38</v>
      </c>
      <c r="G891" t="s">
        <v>37</v>
      </c>
      <c r="H891">
        <f t="shared" si="13"/>
        <v>906</v>
      </c>
    </row>
    <row r="892" spans="1:8" x14ac:dyDescent="0.3">
      <c r="A892" t="s">
        <v>45</v>
      </c>
      <c r="B892" t="s">
        <v>8</v>
      </c>
      <c r="C892" t="s">
        <v>22</v>
      </c>
      <c r="D892">
        <v>5204</v>
      </c>
      <c r="E892" t="s">
        <v>42</v>
      </c>
      <c r="F892" t="s">
        <v>38</v>
      </c>
      <c r="G892" t="s">
        <v>37</v>
      </c>
      <c r="H892">
        <f t="shared" si="13"/>
        <v>5200</v>
      </c>
    </row>
    <row r="893" spans="1:8" x14ac:dyDescent="0.3">
      <c r="A893" t="s">
        <v>45</v>
      </c>
      <c r="B893" t="s">
        <v>23</v>
      </c>
      <c r="C893" t="s">
        <v>9</v>
      </c>
      <c r="D893">
        <v>1378046</v>
      </c>
      <c r="E893" t="s">
        <v>42</v>
      </c>
      <c r="F893" t="s">
        <v>38</v>
      </c>
      <c r="G893" t="s">
        <v>37</v>
      </c>
      <c r="H893">
        <f t="shared" si="13"/>
        <v>1380000</v>
      </c>
    </row>
    <row r="894" spans="1:8" x14ac:dyDescent="0.3">
      <c r="A894" t="s">
        <v>45</v>
      </c>
      <c r="B894" t="s">
        <v>23</v>
      </c>
      <c r="C894" t="s">
        <v>13</v>
      </c>
      <c r="D894">
        <v>68917</v>
      </c>
      <c r="E894" t="s">
        <v>42</v>
      </c>
      <c r="F894" t="s">
        <v>38</v>
      </c>
      <c r="G894" t="s">
        <v>37</v>
      </c>
      <c r="H894">
        <f t="shared" si="13"/>
        <v>68900</v>
      </c>
    </row>
    <row r="895" spans="1:8" x14ac:dyDescent="0.3">
      <c r="A895" t="s">
        <v>45</v>
      </c>
      <c r="B895" t="s">
        <v>23</v>
      </c>
      <c r="C895" t="s">
        <v>14</v>
      </c>
      <c r="D895">
        <v>861566</v>
      </c>
      <c r="E895" t="s">
        <v>42</v>
      </c>
      <c r="F895" t="s">
        <v>38</v>
      </c>
      <c r="G895" t="s">
        <v>37</v>
      </c>
      <c r="H895">
        <f t="shared" si="13"/>
        <v>862000</v>
      </c>
    </row>
    <row r="896" spans="1:8" x14ac:dyDescent="0.3">
      <c r="A896" t="s">
        <v>45</v>
      </c>
      <c r="B896" t="s">
        <v>23</v>
      </c>
      <c r="C896" t="s">
        <v>15</v>
      </c>
      <c r="D896">
        <v>9524</v>
      </c>
      <c r="E896" t="s">
        <v>42</v>
      </c>
      <c r="F896" t="s">
        <v>38</v>
      </c>
      <c r="G896" t="s">
        <v>37</v>
      </c>
      <c r="H896">
        <f t="shared" si="13"/>
        <v>9520</v>
      </c>
    </row>
    <row r="897" spans="1:8" x14ac:dyDescent="0.3">
      <c r="A897" t="s">
        <v>45</v>
      </c>
      <c r="B897" t="s">
        <v>23</v>
      </c>
      <c r="C897" t="s">
        <v>16</v>
      </c>
      <c r="D897">
        <v>328167</v>
      </c>
      <c r="E897" t="s">
        <v>42</v>
      </c>
      <c r="F897" t="s">
        <v>38</v>
      </c>
      <c r="G897" t="s">
        <v>37</v>
      </c>
      <c r="H897">
        <f t="shared" si="13"/>
        <v>328000</v>
      </c>
    </row>
    <row r="898" spans="1:8" x14ac:dyDescent="0.3">
      <c r="A898" t="s">
        <v>45</v>
      </c>
      <c r="B898" t="s">
        <v>23</v>
      </c>
      <c r="C898" t="s">
        <v>17</v>
      </c>
      <c r="D898">
        <v>39375</v>
      </c>
      <c r="E898" t="s">
        <v>42</v>
      </c>
      <c r="F898" t="s">
        <v>38</v>
      </c>
      <c r="G898" t="s">
        <v>37</v>
      </c>
      <c r="H898">
        <f t="shared" si="13"/>
        <v>39400</v>
      </c>
    </row>
    <row r="899" spans="1:8" x14ac:dyDescent="0.3">
      <c r="A899" t="s">
        <v>45</v>
      </c>
      <c r="B899" t="s">
        <v>23</v>
      </c>
      <c r="C899" t="s">
        <v>18</v>
      </c>
      <c r="D899">
        <v>0</v>
      </c>
      <c r="E899" t="s">
        <v>42</v>
      </c>
      <c r="F899" t="s">
        <v>38</v>
      </c>
      <c r="G899" t="s">
        <v>37</v>
      </c>
      <c r="H899">
        <f t="shared" ref="H899:H962" si="14">ROUND(D899, 3 - LEN(INT(ABS(D899))))</f>
        <v>0</v>
      </c>
    </row>
    <row r="900" spans="1:8" x14ac:dyDescent="0.3">
      <c r="A900" t="s">
        <v>45</v>
      </c>
      <c r="B900" t="s">
        <v>23</v>
      </c>
      <c r="C900" t="s">
        <v>19</v>
      </c>
      <c r="D900">
        <v>608156</v>
      </c>
      <c r="E900" t="s">
        <v>42</v>
      </c>
      <c r="F900" t="s">
        <v>38</v>
      </c>
      <c r="G900" t="s">
        <v>37</v>
      </c>
      <c r="H900">
        <f t="shared" si="14"/>
        <v>608000</v>
      </c>
    </row>
    <row r="901" spans="1:8" x14ac:dyDescent="0.3">
      <c r="A901" t="s">
        <v>45</v>
      </c>
      <c r="B901" t="s">
        <v>23</v>
      </c>
      <c r="C901" t="s">
        <v>20</v>
      </c>
      <c r="D901">
        <v>26785</v>
      </c>
      <c r="E901" t="s">
        <v>42</v>
      </c>
      <c r="F901" t="s">
        <v>38</v>
      </c>
      <c r="G901" t="s">
        <v>37</v>
      </c>
      <c r="H901">
        <f t="shared" si="14"/>
        <v>26800</v>
      </c>
    </row>
    <row r="902" spans="1:8" x14ac:dyDescent="0.3">
      <c r="A902" t="s">
        <v>45</v>
      </c>
      <c r="B902" t="s">
        <v>23</v>
      </c>
      <c r="C902" t="s">
        <v>21</v>
      </c>
      <c r="D902">
        <v>14352</v>
      </c>
      <c r="E902" t="s">
        <v>42</v>
      </c>
      <c r="F902" t="s">
        <v>38</v>
      </c>
      <c r="G902" t="s">
        <v>37</v>
      </c>
      <c r="H902">
        <f t="shared" si="14"/>
        <v>14400</v>
      </c>
    </row>
    <row r="903" spans="1:8" x14ac:dyDescent="0.3">
      <c r="A903" t="s">
        <v>45</v>
      </c>
      <c r="B903" t="s">
        <v>23</v>
      </c>
      <c r="C903" t="s">
        <v>22</v>
      </c>
      <c r="D903">
        <v>20583</v>
      </c>
      <c r="E903" t="s">
        <v>42</v>
      </c>
      <c r="F903" t="s">
        <v>38</v>
      </c>
      <c r="G903" t="s">
        <v>37</v>
      </c>
      <c r="H903">
        <f t="shared" si="14"/>
        <v>20600</v>
      </c>
    </row>
    <row r="904" spans="1:8" x14ac:dyDescent="0.3">
      <c r="A904" t="s">
        <v>46</v>
      </c>
      <c r="B904" t="s">
        <v>8</v>
      </c>
      <c r="C904" t="s">
        <v>9</v>
      </c>
      <c r="D904">
        <v>504</v>
      </c>
      <c r="E904" t="s">
        <v>42</v>
      </c>
      <c r="F904" t="s">
        <v>38</v>
      </c>
      <c r="G904" t="s">
        <v>37</v>
      </c>
      <c r="H904">
        <f t="shared" si="14"/>
        <v>504</v>
      </c>
    </row>
    <row r="905" spans="1:8" x14ac:dyDescent="0.3">
      <c r="A905" t="s">
        <v>46</v>
      </c>
      <c r="B905" t="s">
        <v>8</v>
      </c>
      <c r="C905" t="s">
        <v>13</v>
      </c>
      <c r="D905">
        <v>10</v>
      </c>
      <c r="E905" t="s">
        <v>42</v>
      </c>
      <c r="F905" t="s">
        <v>38</v>
      </c>
      <c r="G905" t="s">
        <v>37</v>
      </c>
      <c r="H905">
        <f t="shared" si="14"/>
        <v>10</v>
      </c>
    </row>
    <row r="906" spans="1:8" x14ac:dyDescent="0.3">
      <c r="A906" t="s">
        <v>46</v>
      </c>
      <c r="B906" t="s">
        <v>8</v>
      </c>
      <c r="C906" t="s">
        <v>14</v>
      </c>
      <c r="D906">
        <v>3410</v>
      </c>
      <c r="E906" t="s">
        <v>42</v>
      </c>
      <c r="F906" t="s">
        <v>38</v>
      </c>
      <c r="G906" t="s">
        <v>37</v>
      </c>
      <c r="H906">
        <f t="shared" si="14"/>
        <v>3410</v>
      </c>
    </row>
    <row r="907" spans="1:8" x14ac:dyDescent="0.3">
      <c r="A907" t="s">
        <v>46</v>
      </c>
      <c r="B907" t="s">
        <v>8</v>
      </c>
      <c r="C907" t="s">
        <v>15</v>
      </c>
      <c r="D907">
        <v>13</v>
      </c>
      <c r="E907" t="s">
        <v>42</v>
      </c>
      <c r="F907" t="s">
        <v>38</v>
      </c>
      <c r="G907" t="s">
        <v>37</v>
      </c>
      <c r="H907">
        <f t="shared" si="14"/>
        <v>13</v>
      </c>
    </row>
    <row r="908" spans="1:8" x14ac:dyDescent="0.3">
      <c r="A908" t="s">
        <v>46</v>
      </c>
      <c r="B908" t="s">
        <v>8</v>
      </c>
      <c r="C908" t="s">
        <v>16</v>
      </c>
      <c r="D908">
        <v>89320</v>
      </c>
      <c r="E908" t="s">
        <v>42</v>
      </c>
      <c r="F908" t="s">
        <v>38</v>
      </c>
      <c r="G908" t="s">
        <v>37</v>
      </c>
      <c r="H908">
        <f t="shared" si="14"/>
        <v>89300</v>
      </c>
    </row>
    <row r="909" spans="1:8" x14ac:dyDescent="0.3">
      <c r="A909" t="s">
        <v>46</v>
      </c>
      <c r="B909" t="s">
        <v>8</v>
      </c>
      <c r="C909" t="s">
        <v>17</v>
      </c>
      <c r="D909">
        <v>886</v>
      </c>
      <c r="E909" t="s">
        <v>42</v>
      </c>
      <c r="F909" t="s">
        <v>38</v>
      </c>
      <c r="G909" t="s">
        <v>37</v>
      </c>
      <c r="H909">
        <f t="shared" si="14"/>
        <v>886</v>
      </c>
    </row>
    <row r="910" spans="1:8" x14ac:dyDescent="0.3">
      <c r="A910" t="s">
        <v>46</v>
      </c>
      <c r="B910" t="s">
        <v>8</v>
      </c>
      <c r="C910" t="s">
        <v>18</v>
      </c>
      <c r="D910">
        <v>0</v>
      </c>
      <c r="E910" t="s">
        <v>42</v>
      </c>
      <c r="F910" t="s">
        <v>38</v>
      </c>
      <c r="G910" t="s">
        <v>37</v>
      </c>
      <c r="H910">
        <f t="shared" si="14"/>
        <v>0</v>
      </c>
    </row>
    <row r="911" spans="1:8" x14ac:dyDescent="0.3">
      <c r="A911" t="s">
        <v>46</v>
      </c>
      <c r="B911" t="s">
        <v>8</v>
      </c>
      <c r="C911" t="s">
        <v>19</v>
      </c>
      <c r="D911">
        <v>14</v>
      </c>
      <c r="E911" t="s">
        <v>42</v>
      </c>
      <c r="F911" t="s">
        <v>38</v>
      </c>
      <c r="G911" t="s">
        <v>37</v>
      </c>
      <c r="H911">
        <f t="shared" si="14"/>
        <v>14</v>
      </c>
    </row>
    <row r="912" spans="1:8" x14ac:dyDescent="0.3">
      <c r="A912" t="s">
        <v>46</v>
      </c>
      <c r="B912" t="s">
        <v>8</v>
      </c>
      <c r="C912" t="s">
        <v>20</v>
      </c>
      <c r="D912">
        <v>66</v>
      </c>
      <c r="E912" t="s">
        <v>42</v>
      </c>
      <c r="F912" t="s">
        <v>38</v>
      </c>
      <c r="G912" t="s">
        <v>37</v>
      </c>
      <c r="H912">
        <f t="shared" si="14"/>
        <v>66</v>
      </c>
    </row>
    <row r="913" spans="1:8" x14ac:dyDescent="0.3">
      <c r="A913" t="s">
        <v>46</v>
      </c>
      <c r="B913" t="s">
        <v>8</v>
      </c>
      <c r="C913" t="s">
        <v>21</v>
      </c>
      <c r="D913">
        <v>12</v>
      </c>
      <c r="E913" t="s">
        <v>42</v>
      </c>
      <c r="F913" t="s">
        <v>38</v>
      </c>
      <c r="G913" t="s">
        <v>37</v>
      </c>
      <c r="H913">
        <f t="shared" si="14"/>
        <v>12</v>
      </c>
    </row>
    <row r="914" spans="1:8" x14ac:dyDescent="0.3">
      <c r="A914" t="s">
        <v>46</v>
      </c>
      <c r="B914" t="s">
        <v>8</v>
      </c>
      <c r="C914" t="s">
        <v>22</v>
      </c>
      <c r="D914">
        <v>107</v>
      </c>
      <c r="E914" t="s">
        <v>42</v>
      </c>
      <c r="F914" t="s">
        <v>38</v>
      </c>
      <c r="G914" t="s">
        <v>37</v>
      </c>
      <c r="H914">
        <f t="shared" si="14"/>
        <v>107</v>
      </c>
    </row>
    <row r="915" spans="1:8" x14ac:dyDescent="0.3">
      <c r="A915" t="s">
        <v>46</v>
      </c>
      <c r="B915" t="s">
        <v>23</v>
      </c>
      <c r="C915" t="s">
        <v>9</v>
      </c>
      <c r="D915">
        <v>2243</v>
      </c>
      <c r="E915" t="s">
        <v>42</v>
      </c>
      <c r="F915" t="s">
        <v>38</v>
      </c>
      <c r="G915" t="s">
        <v>37</v>
      </c>
      <c r="H915">
        <f t="shared" si="14"/>
        <v>2240</v>
      </c>
    </row>
    <row r="916" spans="1:8" x14ac:dyDescent="0.3">
      <c r="A916" t="s">
        <v>46</v>
      </c>
      <c r="B916" t="s">
        <v>23</v>
      </c>
      <c r="C916" t="s">
        <v>13</v>
      </c>
      <c r="D916">
        <v>2814</v>
      </c>
      <c r="E916" t="s">
        <v>42</v>
      </c>
      <c r="F916" t="s">
        <v>38</v>
      </c>
      <c r="G916" t="s">
        <v>37</v>
      </c>
      <c r="H916">
        <f t="shared" si="14"/>
        <v>2810</v>
      </c>
    </row>
    <row r="917" spans="1:8" x14ac:dyDescent="0.3">
      <c r="A917" t="s">
        <v>46</v>
      </c>
      <c r="B917" t="s">
        <v>23</v>
      </c>
      <c r="C917" t="s">
        <v>14</v>
      </c>
      <c r="D917">
        <v>11404</v>
      </c>
      <c r="E917" t="s">
        <v>42</v>
      </c>
      <c r="F917" t="s">
        <v>38</v>
      </c>
      <c r="G917" t="s">
        <v>37</v>
      </c>
      <c r="H917">
        <f t="shared" si="14"/>
        <v>11400</v>
      </c>
    </row>
    <row r="918" spans="1:8" x14ac:dyDescent="0.3">
      <c r="A918" t="s">
        <v>46</v>
      </c>
      <c r="B918" t="s">
        <v>23</v>
      </c>
      <c r="C918" t="s">
        <v>15</v>
      </c>
      <c r="D918">
        <v>339</v>
      </c>
      <c r="E918" t="s">
        <v>42</v>
      </c>
      <c r="F918" t="s">
        <v>38</v>
      </c>
      <c r="G918" t="s">
        <v>37</v>
      </c>
      <c r="H918">
        <f t="shared" si="14"/>
        <v>339</v>
      </c>
    </row>
    <row r="919" spans="1:8" x14ac:dyDescent="0.3">
      <c r="A919" t="s">
        <v>46</v>
      </c>
      <c r="B919" t="s">
        <v>23</v>
      </c>
      <c r="C919" t="s">
        <v>16</v>
      </c>
      <c r="D919">
        <v>2065055</v>
      </c>
      <c r="E919" t="s">
        <v>42</v>
      </c>
      <c r="F919" t="s">
        <v>38</v>
      </c>
      <c r="G919" t="s">
        <v>37</v>
      </c>
      <c r="H919">
        <f t="shared" si="14"/>
        <v>2070000</v>
      </c>
    </row>
    <row r="920" spans="1:8" x14ac:dyDescent="0.3">
      <c r="A920" t="s">
        <v>46</v>
      </c>
      <c r="B920" t="s">
        <v>23</v>
      </c>
      <c r="C920" t="s">
        <v>17</v>
      </c>
      <c r="D920">
        <v>495</v>
      </c>
      <c r="E920" t="s">
        <v>42</v>
      </c>
      <c r="F920" t="s">
        <v>38</v>
      </c>
      <c r="G920" t="s">
        <v>37</v>
      </c>
      <c r="H920">
        <f t="shared" si="14"/>
        <v>495</v>
      </c>
    </row>
    <row r="921" spans="1:8" x14ac:dyDescent="0.3">
      <c r="A921" t="s">
        <v>46</v>
      </c>
      <c r="B921" t="s">
        <v>23</v>
      </c>
      <c r="C921" t="s">
        <v>18</v>
      </c>
      <c r="D921">
        <v>22</v>
      </c>
      <c r="E921" t="s">
        <v>42</v>
      </c>
      <c r="F921" t="s">
        <v>38</v>
      </c>
      <c r="G921" t="s">
        <v>37</v>
      </c>
      <c r="H921">
        <f t="shared" si="14"/>
        <v>22</v>
      </c>
    </row>
    <row r="922" spans="1:8" x14ac:dyDescent="0.3">
      <c r="A922" t="s">
        <v>46</v>
      </c>
      <c r="B922" t="s">
        <v>23</v>
      </c>
      <c r="C922" t="s">
        <v>19</v>
      </c>
      <c r="D922">
        <v>1608</v>
      </c>
      <c r="E922" t="s">
        <v>42</v>
      </c>
      <c r="F922" t="s">
        <v>38</v>
      </c>
      <c r="G922" t="s">
        <v>37</v>
      </c>
      <c r="H922">
        <f t="shared" si="14"/>
        <v>1610</v>
      </c>
    </row>
    <row r="923" spans="1:8" x14ac:dyDescent="0.3">
      <c r="A923" t="s">
        <v>46</v>
      </c>
      <c r="B923" t="s">
        <v>23</v>
      </c>
      <c r="C923" t="s">
        <v>20</v>
      </c>
      <c r="D923">
        <v>17906</v>
      </c>
      <c r="E923" t="s">
        <v>42</v>
      </c>
      <c r="F923" t="s">
        <v>38</v>
      </c>
      <c r="G923" t="s">
        <v>37</v>
      </c>
      <c r="H923">
        <f t="shared" si="14"/>
        <v>17900</v>
      </c>
    </row>
    <row r="924" spans="1:8" x14ac:dyDescent="0.3">
      <c r="A924" t="s">
        <v>46</v>
      </c>
      <c r="B924" t="s">
        <v>23</v>
      </c>
      <c r="C924" t="s">
        <v>21</v>
      </c>
      <c r="D924">
        <v>806</v>
      </c>
      <c r="E924" t="s">
        <v>42</v>
      </c>
      <c r="F924" t="s">
        <v>38</v>
      </c>
      <c r="G924" t="s">
        <v>37</v>
      </c>
      <c r="H924">
        <f t="shared" si="14"/>
        <v>806</v>
      </c>
    </row>
    <row r="925" spans="1:8" x14ac:dyDescent="0.3">
      <c r="A925" t="s">
        <v>46</v>
      </c>
      <c r="B925" t="s">
        <v>23</v>
      </c>
      <c r="C925" t="s">
        <v>22</v>
      </c>
      <c r="D925">
        <v>1707</v>
      </c>
      <c r="E925" t="s">
        <v>42</v>
      </c>
      <c r="F925" t="s">
        <v>38</v>
      </c>
      <c r="G925" t="s">
        <v>37</v>
      </c>
      <c r="H925">
        <f t="shared" si="14"/>
        <v>1710</v>
      </c>
    </row>
    <row r="926" spans="1:8" x14ac:dyDescent="0.3">
      <c r="A926" t="s">
        <v>47</v>
      </c>
      <c r="B926" t="s">
        <v>8</v>
      </c>
      <c r="C926" t="s">
        <v>9</v>
      </c>
      <c r="D926">
        <v>13916</v>
      </c>
      <c r="E926" t="s">
        <v>42</v>
      </c>
      <c r="F926" t="s">
        <v>38</v>
      </c>
      <c r="G926" t="s">
        <v>37</v>
      </c>
      <c r="H926">
        <f t="shared" si="14"/>
        <v>13900</v>
      </c>
    </row>
    <row r="927" spans="1:8" x14ac:dyDescent="0.3">
      <c r="A927" t="s">
        <v>47</v>
      </c>
      <c r="B927" t="s">
        <v>8</v>
      </c>
      <c r="C927" t="s">
        <v>13</v>
      </c>
      <c r="D927">
        <v>1774</v>
      </c>
      <c r="E927" t="s">
        <v>42</v>
      </c>
      <c r="F927" t="s">
        <v>38</v>
      </c>
      <c r="G927" t="s">
        <v>37</v>
      </c>
      <c r="H927">
        <f t="shared" si="14"/>
        <v>1770</v>
      </c>
    </row>
    <row r="928" spans="1:8" x14ac:dyDescent="0.3">
      <c r="A928" t="s">
        <v>47</v>
      </c>
      <c r="B928" t="s">
        <v>8</v>
      </c>
      <c r="C928" t="s">
        <v>14</v>
      </c>
      <c r="D928">
        <v>1581</v>
      </c>
      <c r="E928" t="s">
        <v>42</v>
      </c>
      <c r="F928" t="s">
        <v>38</v>
      </c>
      <c r="G928" t="s">
        <v>37</v>
      </c>
      <c r="H928">
        <f t="shared" si="14"/>
        <v>1580</v>
      </c>
    </row>
    <row r="929" spans="1:8" x14ac:dyDescent="0.3">
      <c r="A929" t="s">
        <v>47</v>
      </c>
      <c r="B929" t="s">
        <v>8</v>
      </c>
      <c r="C929" t="s">
        <v>15</v>
      </c>
      <c r="D929">
        <v>471</v>
      </c>
      <c r="E929" t="s">
        <v>42</v>
      </c>
      <c r="F929" t="s">
        <v>38</v>
      </c>
      <c r="G929" t="s">
        <v>37</v>
      </c>
      <c r="H929">
        <f t="shared" si="14"/>
        <v>471</v>
      </c>
    </row>
    <row r="930" spans="1:8" x14ac:dyDescent="0.3">
      <c r="A930" t="s">
        <v>47</v>
      </c>
      <c r="B930" t="s">
        <v>8</v>
      </c>
      <c r="C930" t="s">
        <v>16</v>
      </c>
      <c r="D930">
        <v>1945</v>
      </c>
      <c r="E930" t="s">
        <v>42</v>
      </c>
      <c r="F930" t="s">
        <v>38</v>
      </c>
      <c r="G930" t="s">
        <v>37</v>
      </c>
      <c r="H930">
        <f t="shared" si="14"/>
        <v>1950</v>
      </c>
    </row>
    <row r="931" spans="1:8" x14ac:dyDescent="0.3">
      <c r="A931" t="s">
        <v>47</v>
      </c>
      <c r="B931" t="s">
        <v>8</v>
      </c>
      <c r="C931" t="s">
        <v>17</v>
      </c>
      <c r="D931">
        <v>5782</v>
      </c>
      <c r="E931" t="s">
        <v>42</v>
      </c>
      <c r="F931" t="s">
        <v>38</v>
      </c>
      <c r="G931" t="s">
        <v>37</v>
      </c>
      <c r="H931">
        <f t="shared" si="14"/>
        <v>5780</v>
      </c>
    </row>
    <row r="932" spans="1:8" x14ac:dyDescent="0.3">
      <c r="A932" t="s">
        <v>47</v>
      </c>
      <c r="B932" t="s">
        <v>8</v>
      </c>
      <c r="C932" t="s">
        <v>18</v>
      </c>
      <c r="D932">
        <v>0</v>
      </c>
      <c r="E932" t="s">
        <v>42</v>
      </c>
      <c r="F932" t="s">
        <v>38</v>
      </c>
      <c r="G932" t="s">
        <v>37</v>
      </c>
      <c r="H932">
        <f t="shared" si="14"/>
        <v>0</v>
      </c>
    </row>
    <row r="933" spans="1:8" x14ac:dyDescent="0.3">
      <c r="A933" t="s">
        <v>47</v>
      </c>
      <c r="B933" t="s">
        <v>8</v>
      </c>
      <c r="C933" t="s">
        <v>19</v>
      </c>
      <c r="D933">
        <v>223</v>
      </c>
      <c r="E933" t="s">
        <v>42</v>
      </c>
      <c r="F933" t="s">
        <v>38</v>
      </c>
      <c r="G933" t="s">
        <v>37</v>
      </c>
      <c r="H933">
        <f t="shared" si="14"/>
        <v>223</v>
      </c>
    </row>
    <row r="934" spans="1:8" x14ac:dyDescent="0.3">
      <c r="A934" t="s">
        <v>47</v>
      </c>
      <c r="B934" t="s">
        <v>8</v>
      </c>
      <c r="C934" t="s">
        <v>20</v>
      </c>
      <c r="D934">
        <v>90</v>
      </c>
      <c r="E934" t="s">
        <v>42</v>
      </c>
      <c r="F934" t="s">
        <v>38</v>
      </c>
      <c r="G934" t="s">
        <v>37</v>
      </c>
      <c r="H934">
        <f t="shared" si="14"/>
        <v>90</v>
      </c>
    </row>
    <row r="935" spans="1:8" x14ac:dyDescent="0.3">
      <c r="A935" t="s">
        <v>47</v>
      </c>
      <c r="B935" t="s">
        <v>8</v>
      </c>
      <c r="C935" t="s">
        <v>21</v>
      </c>
      <c r="D935">
        <v>899</v>
      </c>
      <c r="E935" t="s">
        <v>42</v>
      </c>
      <c r="F935" t="s">
        <v>38</v>
      </c>
      <c r="G935" t="s">
        <v>37</v>
      </c>
      <c r="H935">
        <f t="shared" si="14"/>
        <v>899</v>
      </c>
    </row>
    <row r="936" spans="1:8" x14ac:dyDescent="0.3">
      <c r="A936" t="s">
        <v>47</v>
      </c>
      <c r="B936" t="s">
        <v>8</v>
      </c>
      <c r="C936" t="s">
        <v>22</v>
      </c>
      <c r="D936">
        <v>5136</v>
      </c>
      <c r="E936" t="s">
        <v>42</v>
      </c>
      <c r="F936" t="s">
        <v>38</v>
      </c>
      <c r="G936" t="s">
        <v>37</v>
      </c>
      <c r="H936">
        <f t="shared" si="14"/>
        <v>5140</v>
      </c>
    </row>
    <row r="937" spans="1:8" x14ac:dyDescent="0.3">
      <c r="A937" t="s">
        <v>47</v>
      </c>
      <c r="B937" t="s">
        <v>23</v>
      </c>
      <c r="C937" t="s">
        <v>9</v>
      </c>
      <c r="D937">
        <v>1367803</v>
      </c>
      <c r="E937" t="s">
        <v>42</v>
      </c>
      <c r="F937" t="s">
        <v>38</v>
      </c>
      <c r="G937" t="s">
        <v>37</v>
      </c>
      <c r="H937">
        <f t="shared" si="14"/>
        <v>1370000</v>
      </c>
    </row>
    <row r="938" spans="1:8" x14ac:dyDescent="0.3">
      <c r="A938" t="s">
        <v>47</v>
      </c>
      <c r="B938" t="s">
        <v>23</v>
      </c>
      <c r="C938" t="s">
        <v>13</v>
      </c>
      <c r="D938">
        <v>63180</v>
      </c>
      <c r="E938" t="s">
        <v>42</v>
      </c>
      <c r="F938" t="s">
        <v>38</v>
      </c>
      <c r="G938" t="s">
        <v>37</v>
      </c>
      <c r="H938">
        <f t="shared" si="14"/>
        <v>63200</v>
      </c>
    </row>
    <row r="939" spans="1:8" x14ac:dyDescent="0.3">
      <c r="A939" t="s">
        <v>47</v>
      </c>
      <c r="B939" t="s">
        <v>23</v>
      </c>
      <c r="C939" t="s">
        <v>14</v>
      </c>
      <c r="D939">
        <v>843168</v>
      </c>
      <c r="E939" t="s">
        <v>42</v>
      </c>
      <c r="F939" t="s">
        <v>38</v>
      </c>
      <c r="G939" t="s">
        <v>37</v>
      </c>
      <c r="H939">
        <f t="shared" si="14"/>
        <v>843000</v>
      </c>
    </row>
    <row r="940" spans="1:8" x14ac:dyDescent="0.3">
      <c r="A940" t="s">
        <v>47</v>
      </c>
      <c r="B940" t="s">
        <v>23</v>
      </c>
      <c r="C940" t="s">
        <v>15</v>
      </c>
      <c r="D940">
        <v>7516</v>
      </c>
      <c r="E940" t="s">
        <v>42</v>
      </c>
      <c r="F940" t="s">
        <v>38</v>
      </c>
      <c r="G940" t="s">
        <v>37</v>
      </c>
      <c r="H940">
        <f t="shared" si="14"/>
        <v>7520</v>
      </c>
    </row>
    <row r="941" spans="1:8" x14ac:dyDescent="0.3">
      <c r="A941" t="s">
        <v>47</v>
      </c>
      <c r="B941" t="s">
        <v>23</v>
      </c>
      <c r="C941" t="s">
        <v>16</v>
      </c>
      <c r="D941">
        <v>325669</v>
      </c>
      <c r="E941" t="s">
        <v>42</v>
      </c>
      <c r="F941" t="s">
        <v>38</v>
      </c>
      <c r="G941" t="s">
        <v>37</v>
      </c>
      <c r="H941">
        <f t="shared" si="14"/>
        <v>326000</v>
      </c>
    </row>
    <row r="942" spans="1:8" x14ac:dyDescent="0.3">
      <c r="A942" t="s">
        <v>47</v>
      </c>
      <c r="B942" t="s">
        <v>23</v>
      </c>
      <c r="C942" t="s">
        <v>17</v>
      </c>
      <c r="D942">
        <v>39073</v>
      </c>
      <c r="E942" t="s">
        <v>42</v>
      </c>
      <c r="F942" t="s">
        <v>38</v>
      </c>
      <c r="G942" t="s">
        <v>37</v>
      </c>
      <c r="H942">
        <f t="shared" si="14"/>
        <v>39100</v>
      </c>
    </row>
    <row r="943" spans="1:8" x14ac:dyDescent="0.3">
      <c r="A943" t="s">
        <v>47</v>
      </c>
      <c r="B943" t="s">
        <v>23</v>
      </c>
      <c r="C943" t="s">
        <v>18</v>
      </c>
      <c r="D943">
        <v>0</v>
      </c>
      <c r="E943" t="s">
        <v>42</v>
      </c>
      <c r="F943" t="s">
        <v>38</v>
      </c>
      <c r="G943" t="s">
        <v>37</v>
      </c>
      <c r="H943">
        <f t="shared" si="14"/>
        <v>0</v>
      </c>
    </row>
    <row r="944" spans="1:8" x14ac:dyDescent="0.3">
      <c r="A944" t="s">
        <v>47</v>
      </c>
      <c r="B944" t="s">
        <v>23</v>
      </c>
      <c r="C944" t="s">
        <v>19</v>
      </c>
      <c r="D944">
        <v>24805</v>
      </c>
      <c r="E944" t="s">
        <v>42</v>
      </c>
      <c r="F944" t="s">
        <v>38</v>
      </c>
      <c r="G944" t="s">
        <v>37</v>
      </c>
      <c r="H944">
        <f t="shared" si="14"/>
        <v>24800</v>
      </c>
    </row>
    <row r="945" spans="1:8" x14ac:dyDescent="0.3">
      <c r="A945" t="s">
        <v>47</v>
      </c>
      <c r="B945" t="s">
        <v>23</v>
      </c>
      <c r="C945" t="s">
        <v>20</v>
      </c>
      <c r="D945">
        <v>26328</v>
      </c>
      <c r="E945" t="s">
        <v>42</v>
      </c>
      <c r="F945" t="s">
        <v>38</v>
      </c>
      <c r="G945" t="s">
        <v>37</v>
      </c>
      <c r="H945">
        <f t="shared" si="14"/>
        <v>26300</v>
      </c>
    </row>
    <row r="946" spans="1:8" x14ac:dyDescent="0.3">
      <c r="A946" t="s">
        <v>47</v>
      </c>
      <c r="B946" t="s">
        <v>23</v>
      </c>
      <c r="C946" t="s">
        <v>21</v>
      </c>
      <c r="D946">
        <v>14206</v>
      </c>
      <c r="E946" t="s">
        <v>42</v>
      </c>
      <c r="F946" t="s">
        <v>38</v>
      </c>
      <c r="G946" t="s">
        <v>37</v>
      </c>
      <c r="H946">
        <f t="shared" si="14"/>
        <v>14200</v>
      </c>
    </row>
    <row r="947" spans="1:8" x14ac:dyDescent="0.3">
      <c r="A947" t="s">
        <v>47</v>
      </c>
      <c r="B947" t="s">
        <v>23</v>
      </c>
      <c r="C947" t="s">
        <v>22</v>
      </c>
      <c r="D947">
        <v>19744</v>
      </c>
      <c r="E947" t="s">
        <v>42</v>
      </c>
      <c r="F947" t="s">
        <v>38</v>
      </c>
      <c r="G947" t="s">
        <v>37</v>
      </c>
      <c r="H947">
        <f t="shared" si="14"/>
        <v>19700</v>
      </c>
    </row>
    <row r="948" spans="1:8" x14ac:dyDescent="0.3">
      <c r="A948" t="s">
        <v>48</v>
      </c>
      <c r="B948" t="s">
        <v>8</v>
      </c>
      <c r="C948" t="s">
        <v>9</v>
      </c>
      <c r="D948">
        <v>138</v>
      </c>
      <c r="E948" t="s">
        <v>42</v>
      </c>
      <c r="F948" t="s">
        <v>38</v>
      </c>
      <c r="G948" t="s">
        <v>37</v>
      </c>
      <c r="H948">
        <f t="shared" si="14"/>
        <v>138</v>
      </c>
    </row>
    <row r="949" spans="1:8" x14ac:dyDescent="0.3">
      <c r="A949" t="s">
        <v>48</v>
      </c>
      <c r="B949" t="s">
        <v>8</v>
      </c>
      <c r="C949" t="s">
        <v>13</v>
      </c>
      <c r="D949">
        <v>25</v>
      </c>
      <c r="E949" t="s">
        <v>42</v>
      </c>
      <c r="F949" t="s">
        <v>38</v>
      </c>
      <c r="G949" t="s">
        <v>37</v>
      </c>
      <c r="H949">
        <f t="shared" si="14"/>
        <v>25</v>
      </c>
    </row>
    <row r="950" spans="1:8" x14ac:dyDescent="0.3">
      <c r="A950" t="s">
        <v>48</v>
      </c>
      <c r="B950" t="s">
        <v>8</v>
      </c>
      <c r="C950" t="s">
        <v>14</v>
      </c>
      <c r="D950">
        <v>42559</v>
      </c>
      <c r="E950" t="s">
        <v>42</v>
      </c>
      <c r="F950" t="s">
        <v>38</v>
      </c>
      <c r="G950" t="s">
        <v>37</v>
      </c>
      <c r="H950">
        <f t="shared" si="14"/>
        <v>42600</v>
      </c>
    </row>
    <row r="951" spans="1:8" x14ac:dyDescent="0.3">
      <c r="A951" t="s">
        <v>48</v>
      </c>
      <c r="B951" t="s">
        <v>8</v>
      </c>
      <c r="C951" t="s">
        <v>15</v>
      </c>
      <c r="D951">
        <v>12</v>
      </c>
      <c r="E951" t="s">
        <v>42</v>
      </c>
      <c r="F951" t="s">
        <v>38</v>
      </c>
      <c r="G951" t="s">
        <v>37</v>
      </c>
      <c r="H951">
        <f t="shared" si="14"/>
        <v>12</v>
      </c>
    </row>
    <row r="952" spans="1:8" x14ac:dyDescent="0.3">
      <c r="A952" t="s">
        <v>48</v>
      </c>
      <c r="B952" t="s">
        <v>8</v>
      </c>
      <c r="C952" t="s">
        <v>16</v>
      </c>
      <c r="D952">
        <v>22883</v>
      </c>
      <c r="E952" t="s">
        <v>42</v>
      </c>
      <c r="F952" t="s">
        <v>38</v>
      </c>
      <c r="G952" t="s">
        <v>37</v>
      </c>
      <c r="H952">
        <f t="shared" si="14"/>
        <v>22900</v>
      </c>
    </row>
    <row r="953" spans="1:8" x14ac:dyDescent="0.3">
      <c r="A953" t="s">
        <v>48</v>
      </c>
      <c r="B953" t="s">
        <v>8</v>
      </c>
      <c r="C953" t="s">
        <v>17</v>
      </c>
      <c r="D953">
        <v>329</v>
      </c>
      <c r="E953" t="s">
        <v>42</v>
      </c>
      <c r="F953" t="s">
        <v>38</v>
      </c>
      <c r="G953" t="s">
        <v>37</v>
      </c>
      <c r="H953">
        <f t="shared" si="14"/>
        <v>329</v>
      </c>
    </row>
    <row r="954" spans="1:8" x14ac:dyDescent="0.3">
      <c r="A954" t="s">
        <v>48</v>
      </c>
      <c r="B954" t="s">
        <v>8</v>
      </c>
      <c r="C954" t="s">
        <v>18</v>
      </c>
      <c r="D954">
        <v>0</v>
      </c>
      <c r="E954" t="s">
        <v>42</v>
      </c>
      <c r="F954" t="s">
        <v>38</v>
      </c>
      <c r="G954" t="s">
        <v>37</v>
      </c>
      <c r="H954">
        <f t="shared" si="14"/>
        <v>0</v>
      </c>
    </row>
    <row r="955" spans="1:8" x14ac:dyDescent="0.3">
      <c r="A955" t="s">
        <v>48</v>
      </c>
      <c r="B955" t="s">
        <v>8</v>
      </c>
      <c r="C955" t="s">
        <v>19</v>
      </c>
      <c r="D955">
        <v>8</v>
      </c>
      <c r="E955" t="s">
        <v>42</v>
      </c>
      <c r="F955" t="s">
        <v>38</v>
      </c>
      <c r="G955" t="s">
        <v>37</v>
      </c>
      <c r="H955">
        <f t="shared" si="14"/>
        <v>8</v>
      </c>
    </row>
    <row r="956" spans="1:8" x14ac:dyDescent="0.3">
      <c r="A956" t="s">
        <v>48</v>
      </c>
      <c r="B956" t="s">
        <v>8</v>
      </c>
      <c r="C956" t="s">
        <v>20</v>
      </c>
      <c r="D956">
        <v>23</v>
      </c>
      <c r="E956" t="s">
        <v>42</v>
      </c>
      <c r="F956" t="s">
        <v>38</v>
      </c>
      <c r="G956" t="s">
        <v>37</v>
      </c>
      <c r="H956">
        <f t="shared" si="14"/>
        <v>23</v>
      </c>
    </row>
    <row r="957" spans="1:8" x14ac:dyDescent="0.3">
      <c r="A957" t="s">
        <v>48</v>
      </c>
      <c r="B957" t="s">
        <v>8</v>
      </c>
      <c r="C957" t="s">
        <v>21</v>
      </c>
      <c r="D957">
        <v>13</v>
      </c>
      <c r="E957" t="s">
        <v>42</v>
      </c>
      <c r="F957" t="s">
        <v>38</v>
      </c>
      <c r="G957" t="s">
        <v>37</v>
      </c>
      <c r="H957">
        <f t="shared" si="14"/>
        <v>13</v>
      </c>
    </row>
    <row r="958" spans="1:8" x14ac:dyDescent="0.3">
      <c r="A958" t="s">
        <v>48</v>
      </c>
      <c r="B958" t="s">
        <v>8</v>
      </c>
      <c r="C958" t="s">
        <v>22</v>
      </c>
      <c r="D958">
        <v>148</v>
      </c>
      <c r="E958" t="s">
        <v>42</v>
      </c>
      <c r="F958" t="s">
        <v>38</v>
      </c>
      <c r="G958" t="s">
        <v>37</v>
      </c>
      <c r="H958">
        <f t="shared" si="14"/>
        <v>148</v>
      </c>
    </row>
    <row r="959" spans="1:8" x14ac:dyDescent="0.3">
      <c r="A959" t="s">
        <v>48</v>
      </c>
      <c r="B959" t="s">
        <v>23</v>
      </c>
      <c r="C959" t="s">
        <v>9</v>
      </c>
      <c r="D959">
        <v>2522</v>
      </c>
      <c r="E959" t="s">
        <v>42</v>
      </c>
      <c r="F959" t="s">
        <v>38</v>
      </c>
      <c r="G959" t="s">
        <v>37</v>
      </c>
      <c r="H959">
        <f t="shared" si="14"/>
        <v>2520</v>
      </c>
    </row>
    <row r="960" spans="1:8" x14ac:dyDescent="0.3">
      <c r="A960" t="s">
        <v>48</v>
      </c>
      <c r="B960" t="s">
        <v>23</v>
      </c>
      <c r="C960" t="s">
        <v>13</v>
      </c>
      <c r="D960">
        <v>2213</v>
      </c>
      <c r="E960" t="s">
        <v>42</v>
      </c>
      <c r="F960" t="s">
        <v>38</v>
      </c>
      <c r="G960" t="s">
        <v>37</v>
      </c>
      <c r="H960">
        <f t="shared" si="14"/>
        <v>2210</v>
      </c>
    </row>
    <row r="961" spans="1:8" x14ac:dyDescent="0.3">
      <c r="A961" t="s">
        <v>48</v>
      </c>
      <c r="B961" t="s">
        <v>23</v>
      </c>
      <c r="C961" t="s">
        <v>14</v>
      </c>
      <c r="D961">
        <v>3446628</v>
      </c>
      <c r="E961" t="s">
        <v>42</v>
      </c>
      <c r="F961" t="s">
        <v>38</v>
      </c>
      <c r="G961" t="s">
        <v>37</v>
      </c>
      <c r="H961">
        <f t="shared" si="14"/>
        <v>3450000</v>
      </c>
    </row>
    <row r="962" spans="1:8" x14ac:dyDescent="0.3">
      <c r="A962" t="s">
        <v>48</v>
      </c>
      <c r="B962" t="s">
        <v>23</v>
      </c>
      <c r="C962" t="s">
        <v>15</v>
      </c>
      <c r="D962">
        <v>3988</v>
      </c>
      <c r="E962" t="s">
        <v>42</v>
      </c>
      <c r="F962" t="s">
        <v>38</v>
      </c>
      <c r="G962" t="s">
        <v>37</v>
      </c>
      <c r="H962">
        <f t="shared" si="14"/>
        <v>3990</v>
      </c>
    </row>
    <row r="963" spans="1:8" x14ac:dyDescent="0.3">
      <c r="A963" t="s">
        <v>48</v>
      </c>
      <c r="B963" t="s">
        <v>23</v>
      </c>
      <c r="C963" t="s">
        <v>16</v>
      </c>
      <c r="D963">
        <v>805068</v>
      </c>
      <c r="E963" t="s">
        <v>42</v>
      </c>
      <c r="F963" t="s">
        <v>38</v>
      </c>
      <c r="G963" t="s">
        <v>37</v>
      </c>
      <c r="H963">
        <f t="shared" ref="H963:H1026" si="15">ROUND(D963, 3 - LEN(INT(ABS(D963))))</f>
        <v>805000</v>
      </c>
    </row>
    <row r="964" spans="1:8" x14ac:dyDescent="0.3">
      <c r="A964" t="s">
        <v>48</v>
      </c>
      <c r="B964" t="s">
        <v>23</v>
      </c>
      <c r="C964" t="s">
        <v>17</v>
      </c>
      <c r="D964">
        <v>387</v>
      </c>
      <c r="E964" t="s">
        <v>42</v>
      </c>
      <c r="F964" t="s">
        <v>38</v>
      </c>
      <c r="G964" t="s">
        <v>37</v>
      </c>
      <c r="H964">
        <f t="shared" si="15"/>
        <v>387</v>
      </c>
    </row>
    <row r="965" spans="1:8" x14ac:dyDescent="0.3">
      <c r="A965" t="s">
        <v>48</v>
      </c>
      <c r="B965" t="s">
        <v>23</v>
      </c>
      <c r="C965" t="s">
        <v>18</v>
      </c>
      <c r="D965">
        <v>6</v>
      </c>
      <c r="E965" t="s">
        <v>42</v>
      </c>
      <c r="F965" t="s">
        <v>38</v>
      </c>
      <c r="G965" t="s">
        <v>37</v>
      </c>
      <c r="H965">
        <f t="shared" si="15"/>
        <v>6</v>
      </c>
    </row>
    <row r="966" spans="1:8" x14ac:dyDescent="0.3">
      <c r="A966" t="s">
        <v>48</v>
      </c>
      <c r="B966" t="s">
        <v>23</v>
      </c>
      <c r="C966" t="s">
        <v>19</v>
      </c>
      <c r="D966">
        <v>6783</v>
      </c>
      <c r="E966" t="s">
        <v>42</v>
      </c>
      <c r="F966" t="s">
        <v>38</v>
      </c>
      <c r="G966" t="s">
        <v>37</v>
      </c>
      <c r="H966">
        <f t="shared" si="15"/>
        <v>6780</v>
      </c>
    </row>
    <row r="967" spans="1:8" x14ac:dyDescent="0.3">
      <c r="A967" t="s">
        <v>48</v>
      </c>
      <c r="B967" t="s">
        <v>23</v>
      </c>
      <c r="C967" t="s">
        <v>20</v>
      </c>
      <c r="D967">
        <v>9204</v>
      </c>
      <c r="E967" t="s">
        <v>42</v>
      </c>
      <c r="F967" t="s">
        <v>38</v>
      </c>
      <c r="G967" t="s">
        <v>37</v>
      </c>
      <c r="H967">
        <f t="shared" si="15"/>
        <v>9200</v>
      </c>
    </row>
    <row r="968" spans="1:8" x14ac:dyDescent="0.3">
      <c r="A968" t="s">
        <v>48</v>
      </c>
      <c r="B968" t="s">
        <v>23</v>
      </c>
      <c r="C968" t="s">
        <v>21</v>
      </c>
      <c r="D968">
        <v>4906</v>
      </c>
      <c r="E968" t="s">
        <v>42</v>
      </c>
      <c r="F968" t="s">
        <v>38</v>
      </c>
      <c r="G968" t="s">
        <v>37</v>
      </c>
      <c r="H968">
        <f t="shared" si="15"/>
        <v>4910</v>
      </c>
    </row>
    <row r="969" spans="1:8" x14ac:dyDescent="0.3">
      <c r="A969" t="s">
        <v>48</v>
      </c>
      <c r="B969" t="s">
        <v>23</v>
      </c>
      <c r="C969" t="s">
        <v>22</v>
      </c>
      <c r="D969">
        <v>1738</v>
      </c>
      <c r="E969" t="s">
        <v>42</v>
      </c>
      <c r="F969" t="s">
        <v>38</v>
      </c>
      <c r="G969" t="s">
        <v>37</v>
      </c>
      <c r="H969">
        <f t="shared" si="15"/>
        <v>1740</v>
      </c>
    </row>
    <row r="970" spans="1:8" x14ac:dyDescent="0.3">
      <c r="A970" t="s">
        <v>49</v>
      </c>
      <c r="B970" t="s">
        <v>8</v>
      </c>
      <c r="C970" t="s">
        <v>9</v>
      </c>
      <c r="D970">
        <v>20077</v>
      </c>
      <c r="E970" t="s">
        <v>42</v>
      </c>
      <c r="F970" t="s">
        <v>38</v>
      </c>
      <c r="G970" t="s">
        <v>37</v>
      </c>
      <c r="H970">
        <f t="shared" si="15"/>
        <v>20100</v>
      </c>
    </row>
    <row r="971" spans="1:8" x14ac:dyDescent="0.3">
      <c r="A971" t="s">
        <v>49</v>
      </c>
      <c r="B971" t="s">
        <v>8</v>
      </c>
      <c r="C971" t="s">
        <v>13</v>
      </c>
      <c r="D971">
        <v>2560</v>
      </c>
      <c r="E971" t="s">
        <v>42</v>
      </c>
      <c r="F971" t="s">
        <v>38</v>
      </c>
      <c r="G971" t="s">
        <v>37</v>
      </c>
      <c r="H971">
        <f t="shared" si="15"/>
        <v>2560</v>
      </c>
    </row>
    <row r="972" spans="1:8" x14ac:dyDescent="0.3">
      <c r="A972" t="s">
        <v>49</v>
      </c>
      <c r="B972" t="s">
        <v>8</v>
      </c>
      <c r="C972" t="s">
        <v>14</v>
      </c>
      <c r="D972">
        <v>2281</v>
      </c>
      <c r="E972" t="s">
        <v>42</v>
      </c>
      <c r="F972" t="s">
        <v>38</v>
      </c>
      <c r="G972" t="s">
        <v>37</v>
      </c>
      <c r="H972">
        <f t="shared" si="15"/>
        <v>2280</v>
      </c>
    </row>
    <row r="973" spans="1:8" x14ac:dyDescent="0.3">
      <c r="A973" t="s">
        <v>49</v>
      </c>
      <c r="B973" t="s">
        <v>8</v>
      </c>
      <c r="C973" t="s">
        <v>15</v>
      </c>
      <c r="D973">
        <v>679</v>
      </c>
      <c r="E973" t="s">
        <v>42</v>
      </c>
      <c r="F973" t="s">
        <v>38</v>
      </c>
      <c r="G973" t="s">
        <v>37</v>
      </c>
      <c r="H973">
        <f t="shared" si="15"/>
        <v>679</v>
      </c>
    </row>
    <row r="974" spans="1:8" x14ac:dyDescent="0.3">
      <c r="A974" t="s">
        <v>49</v>
      </c>
      <c r="B974" t="s">
        <v>8</v>
      </c>
      <c r="C974" t="s">
        <v>16</v>
      </c>
      <c r="D974">
        <v>2806</v>
      </c>
      <c r="E974" t="s">
        <v>42</v>
      </c>
      <c r="F974" t="s">
        <v>38</v>
      </c>
      <c r="G974" t="s">
        <v>37</v>
      </c>
      <c r="H974">
        <f t="shared" si="15"/>
        <v>2810</v>
      </c>
    </row>
    <row r="975" spans="1:8" x14ac:dyDescent="0.3">
      <c r="A975" t="s">
        <v>49</v>
      </c>
      <c r="B975" t="s">
        <v>8</v>
      </c>
      <c r="C975" t="s">
        <v>17</v>
      </c>
      <c r="D975">
        <v>8342</v>
      </c>
      <c r="E975" t="s">
        <v>42</v>
      </c>
      <c r="F975" t="s">
        <v>38</v>
      </c>
      <c r="G975" t="s">
        <v>37</v>
      </c>
      <c r="H975">
        <f t="shared" si="15"/>
        <v>8340</v>
      </c>
    </row>
    <row r="976" spans="1:8" x14ac:dyDescent="0.3">
      <c r="A976" t="s">
        <v>49</v>
      </c>
      <c r="B976" t="s">
        <v>8</v>
      </c>
      <c r="C976" t="s">
        <v>18</v>
      </c>
      <c r="D976">
        <v>0</v>
      </c>
      <c r="E976" t="s">
        <v>42</v>
      </c>
      <c r="F976" t="s">
        <v>38</v>
      </c>
      <c r="G976" t="s">
        <v>37</v>
      </c>
      <c r="H976">
        <f t="shared" si="15"/>
        <v>0</v>
      </c>
    </row>
    <row r="977" spans="1:8" x14ac:dyDescent="0.3">
      <c r="A977" t="s">
        <v>49</v>
      </c>
      <c r="B977" t="s">
        <v>8</v>
      </c>
      <c r="C977" t="s">
        <v>19</v>
      </c>
      <c r="D977">
        <v>321</v>
      </c>
      <c r="E977" t="s">
        <v>42</v>
      </c>
      <c r="F977" t="s">
        <v>38</v>
      </c>
      <c r="G977" t="s">
        <v>37</v>
      </c>
      <c r="H977">
        <f t="shared" si="15"/>
        <v>321</v>
      </c>
    </row>
    <row r="978" spans="1:8" x14ac:dyDescent="0.3">
      <c r="A978" t="s">
        <v>49</v>
      </c>
      <c r="B978" t="s">
        <v>8</v>
      </c>
      <c r="C978" t="s">
        <v>20</v>
      </c>
      <c r="D978">
        <v>130</v>
      </c>
      <c r="E978" t="s">
        <v>42</v>
      </c>
      <c r="F978" t="s">
        <v>38</v>
      </c>
      <c r="G978" t="s">
        <v>37</v>
      </c>
      <c r="H978">
        <f t="shared" si="15"/>
        <v>130</v>
      </c>
    </row>
    <row r="979" spans="1:8" x14ac:dyDescent="0.3">
      <c r="A979" t="s">
        <v>49</v>
      </c>
      <c r="B979" t="s">
        <v>8</v>
      </c>
      <c r="C979" t="s">
        <v>21</v>
      </c>
      <c r="D979">
        <v>1297</v>
      </c>
      <c r="E979" t="s">
        <v>42</v>
      </c>
      <c r="F979" t="s">
        <v>38</v>
      </c>
      <c r="G979" t="s">
        <v>37</v>
      </c>
      <c r="H979">
        <f t="shared" si="15"/>
        <v>1300</v>
      </c>
    </row>
    <row r="980" spans="1:8" x14ac:dyDescent="0.3">
      <c r="A980" t="s">
        <v>49</v>
      </c>
      <c r="B980" t="s">
        <v>8</v>
      </c>
      <c r="C980" t="s">
        <v>22</v>
      </c>
      <c r="D980">
        <v>7410</v>
      </c>
      <c r="E980" t="s">
        <v>42</v>
      </c>
      <c r="F980" t="s">
        <v>38</v>
      </c>
      <c r="G980" t="s">
        <v>37</v>
      </c>
      <c r="H980">
        <f t="shared" si="15"/>
        <v>7410</v>
      </c>
    </row>
    <row r="981" spans="1:8" x14ac:dyDescent="0.3">
      <c r="A981" t="s">
        <v>49</v>
      </c>
      <c r="B981" t="s">
        <v>23</v>
      </c>
      <c r="C981" t="s">
        <v>9</v>
      </c>
      <c r="D981">
        <v>1973257</v>
      </c>
      <c r="E981" t="s">
        <v>42</v>
      </c>
      <c r="F981" t="s">
        <v>38</v>
      </c>
      <c r="G981" t="s">
        <v>37</v>
      </c>
      <c r="H981">
        <f t="shared" si="15"/>
        <v>1970000</v>
      </c>
    </row>
    <row r="982" spans="1:8" x14ac:dyDescent="0.3">
      <c r="A982" t="s">
        <v>49</v>
      </c>
      <c r="B982" t="s">
        <v>23</v>
      </c>
      <c r="C982" t="s">
        <v>13</v>
      </c>
      <c r="D982">
        <v>91147</v>
      </c>
      <c r="E982" t="s">
        <v>42</v>
      </c>
      <c r="F982" t="s">
        <v>38</v>
      </c>
      <c r="G982" t="s">
        <v>37</v>
      </c>
      <c r="H982">
        <f t="shared" si="15"/>
        <v>91100</v>
      </c>
    </row>
    <row r="983" spans="1:8" x14ac:dyDescent="0.3">
      <c r="A983" t="s">
        <v>49</v>
      </c>
      <c r="B983" t="s">
        <v>23</v>
      </c>
      <c r="C983" t="s">
        <v>14</v>
      </c>
      <c r="D983">
        <v>1216394</v>
      </c>
      <c r="E983" t="s">
        <v>42</v>
      </c>
      <c r="F983" t="s">
        <v>38</v>
      </c>
      <c r="G983" t="s">
        <v>37</v>
      </c>
      <c r="H983">
        <f t="shared" si="15"/>
        <v>1220000</v>
      </c>
    </row>
    <row r="984" spans="1:8" x14ac:dyDescent="0.3">
      <c r="A984" t="s">
        <v>49</v>
      </c>
      <c r="B984" t="s">
        <v>23</v>
      </c>
      <c r="C984" t="s">
        <v>15</v>
      </c>
      <c r="D984">
        <v>10843</v>
      </c>
      <c r="E984" t="s">
        <v>42</v>
      </c>
      <c r="F984" t="s">
        <v>38</v>
      </c>
      <c r="G984" t="s">
        <v>37</v>
      </c>
      <c r="H984">
        <f t="shared" si="15"/>
        <v>10800</v>
      </c>
    </row>
    <row r="985" spans="1:8" x14ac:dyDescent="0.3">
      <c r="A985" t="s">
        <v>49</v>
      </c>
      <c r="B985" t="s">
        <v>23</v>
      </c>
      <c r="C985" t="s">
        <v>16</v>
      </c>
      <c r="D985">
        <v>469825</v>
      </c>
      <c r="E985" t="s">
        <v>42</v>
      </c>
      <c r="F985" t="s">
        <v>38</v>
      </c>
      <c r="G985" t="s">
        <v>37</v>
      </c>
      <c r="H985">
        <f t="shared" si="15"/>
        <v>470000</v>
      </c>
    </row>
    <row r="986" spans="1:8" x14ac:dyDescent="0.3">
      <c r="A986" t="s">
        <v>49</v>
      </c>
      <c r="B986" t="s">
        <v>23</v>
      </c>
      <c r="C986" t="s">
        <v>17</v>
      </c>
      <c r="D986">
        <v>56369</v>
      </c>
      <c r="E986" t="s">
        <v>42</v>
      </c>
      <c r="F986" t="s">
        <v>38</v>
      </c>
      <c r="G986" t="s">
        <v>37</v>
      </c>
      <c r="H986">
        <f t="shared" si="15"/>
        <v>56400</v>
      </c>
    </row>
    <row r="987" spans="1:8" x14ac:dyDescent="0.3">
      <c r="A987" t="s">
        <v>49</v>
      </c>
      <c r="B987" t="s">
        <v>23</v>
      </c>
      <c r="C987" t="s">
        <v>18</v>
      </c>
      <c r="D987">
        <v>0</v>
      </c>
      <c r="E987" t="s">
        <v>42</v>
      </c>
      <c r="F987" t="s">
        <v>38</v>
      </c>
      <c r="G987" t="s">
        <v>37</v>
      </c>
      <c r="H987">
        <f t="shared" si="15"/>
        <v>0</v>
      </c>
    </row>
    <row r="988" spans="1:8" x14ac:dyDescent="0.3">
      <c r="A988" t="s">
        <v>49</v>
      </c>
      <c r="B988" t="s">
        <v>23</v>
      </c>
      <c r="C988" t="s">
        <v>19</v>
      </c>
      <c r="D988">
        <v>35784</v>
      </c>
      <c r="E988" t="s">
        <v>42</v>
      </c>
      <c r="F988" t="s">
        <v>38</v>
      </c>
      <c r="G988" t="s">
        <v>37</v>
      </c>
      <c r="H988">
        <f t="shared" si="15"/>
        <v>35800</v>
      </c>
    </row>
    <row r="989" spans="1:8" x14ac:dyDescent="0.3">
      <c r="A989" t="s">
        <v>49</v>
      </c>
      <c r="B989" t="s">
        <v>23</v>
      </c>
      <c r="C989" t="s">
        <v>20</v>
      </c>
      <c r="D989">
        <v>37982</v>
      </c>
      <c r="E989" t="s">
        <v>42</v>
      </c>
      <c r="F989" t="s">
        <v>38</v>
      </c>
      <c r="G989" t="s">
        <v>37</v>
      </c>
      <c r="H989">
        <f t="shared" si="15"/>
        <v>38000</v>
      </c>
    </row>
    <row r="990" spans="1:8" x14ac:dyDescent="0.3">
      <c r="A990" t="s">
        <v>49</v>
      </c>
      <c r="B990" t="s">
        <v>23</v>
      </c>
      <c r="C990" t="s">
        <v>21</v>
      </c>
      <c r="D990">
        <v>20494</v>
      </c>
      <c r="E990" t="s">
        <v>42</v>
      </c>
      <c r="F990" t="s">
        <v>38</v>
      </c>
      <c r="G990" t="s">
        <v>37</v>
      </c>
      <c r="H990">
        <f t="shared" si="15"/>
        <v>20500</v>
      </c>
    </row>
    <row r="991" spans="1:8" x14ac:dyDescent="0.3">
      <c r="A991" t="s">
        <v>49</v>
      </c>
      <c r="B991" t="s">
        <v>23</v>
      </c>
      <c r="C991" t="s">
        <v>22</v>
      </c>
      <c r="D991">
        <v>28483</v>
      </c>
      <c r="E991" t="s">
        <v>42</v>
      </c>
      <c r="F991" t="s">
        <v>38</v>
      </c>
      <c r="G991" t="s">
        <v>37</v>
      </c>
      <c r="H991">
        <f t="shared" si="15"/>
        <v>28500</v>
      </c>
    </row>
    <row r="992" spans="1:8" x14ac:dyDescent="0.3">
      <c r="A992" t="s">
        <v>27</v>
      </c>
      <c r="B992" t="s">
        <v>8</v>
      </c>
      <c r="C992" t="s">
        <v>9</v>
      </c>
      <c r="D992">
        <v>1816</v>
      </c>
      <c r="E992" t="s">
        <v>42</v>
      </c>
      <c r="F992" t="s">
        <v>38</v>
      </c>
      <c r="G992" t="s">
        <v>37</v>
      </c>
      <c r="H992">
        <f t="shared" si="15"/>
        <v>1820</v>
      </c>
    </row>
    <row r="993" spans="1:8" x14ac:dyDescent="0.3">
      <c r="A993" t="s">
        <v>27</v>
      </c>
      <c r="B993" t="s">
        <v>8</v>
      </c>
      <c r="C993" t="s">
        <v>13</v>
      </c>
      <c r="D993">
        <v>446</v>
      </c>
      <c r="E993" t="s">
        <v>42</v>
      </c>
      <c r="F993" t="s">
        <v>38</v>
      </c>
      <c r="G993" t="s">
        <v>37</v>
      </c>
      <c r="H993">
        <f t="shared" si="15"/>
        <v>446</v>
      </c>
    </row>
    <row r="994" spans="1:8" x14ac:dyDescent="0.3">
      <c r="A994" t="s">
        <v>27</v>
      </c>
      <c r="B994" t="s">
        <v>8</v>
      </c>
      <c r="C994" t="s">
        <v>14</v>
      </c>
      <c r="D994">
        <v>128315</v>
      </c>
      <c r="E994" t="s">
        <v>42</v>
      </c>
      <c r="F994" t="s">
        <v>38</v>
      </c>
      <c r="G994" t="s">
        <v>37</v>
      </c>
      <c r="H994">
        <f t="shared" si="15"/>
        <v>128000</v>
      </c>
    </row>
    <row r="995" spans="1:8" x14ac:dyDescent="0.3">
      <c r="A995" t="s">
        <v>27</v>
      </c>
      <c r="B995" t="s">
        <v>8</v>
      </c>
      <c r="C995" t="s">
        <v>15</v>
      </c>
      <c r="D995">
        <v>98</v>
      </c>
      <c r="E995" t="s">
        <v>42</v>
      </c>
      <c r="F995" t="s">
        <v>38</v>
      </c>
      <c r="G995" t="s">
        <v>37</v>
      </c>
      <c r="H995">
        <f t="shared" si="15"/>
        <v>98</v>
      </c>
    </row>
    <row r="996" spans="1:8" x14ac:dyDescent="0.3">
      <c r="A996" t="s">
        <v>27</v>
      </c>
      <c r="B996" t="s">
        <v>8</v>
      </c>
      <c r="C996" t="s">
        <v>16</v>
      </c>
      <c r="D996">
        <v>301949</v>
      </c>
      <c r="E996" t="s">
        <v>42</v>
      </c>
      <c r="F996" t="s">
        <v>38</v>
      </c>
      <c r="G996" t="s">
        <v>37</v>
      </c>
      <c r="H996">
        <f t="shared" si="15"/>
        <v>302000</v>
      </c>
    </row>
    <row r="997" spans="1:8" x14ac:dyDescent="0.3">
      <c r="A997" t="s">
        <v>27</v>
      </c>
      <c r="B997" t="s">
        <v>8</v>
      </c>
      <c r="C997" t="s">
        <v>17</v>
      </c>
      <c r="D997">
        <v>3355</v>
      </c>
      <c r="E997" t="s">
        <v>42</v>
      </c>
      <c r="F997" t="s">
        <v>38</v>
      </c>
      <c r="G997" t="s">
        <v>37</v>
      </c>
      <c r="H997">
        <f t="shared" si="15"/>
        <v>3360</v>
      </c>
    </row>
    <row r="998" spans="1:8" x14ac:dyDescent="0.3">
      <c r="A998" t="s">
        <v>27</v>
      </c>
      <c r="B998" t="s">
        <v>8</v>
      </c>
      <c r="C998" t="s">
        <v>18</v>
      </c>
      <c r="D998">
        <v>0</v>
      </c>
      <c r="E998" t="s">
        <v>42</v>
      </c>
      <c r="F998" t="s">
        <v>38</v>
      </c>
      <c r="G998" t="s">
        <v>37</v>
      </c>
      <c r="H998">
        <f t="shared" si="15"/>
        <v>0</v>
      </c>
    </row>
    <row r="999" spans="1:8" x14ac:dyDescent="0.3">
      <c r="A999" t="s">
        <v>27</v>
      </c>
      <c r="B999" t="s">
        <v>8</v>
      </c>
      <c r="C999" t="s">
        <v>19</v>
      </c>
      <c r="D999">
        <v>97</v>
      </c>
      <c r="E999" t="s">
        <v>42</v>
      </c>
      <c r="F999" t="s">
        <v>38</v>
      </c>
      <c r="G999" t="s">
        <v>37</v>
      </c>
      <c r="H999">
        <f t="shared" si="15"/>
        <v>97</v>
      </c>
    </row>
    <row r="1000" spans="1:8" x14ac:dyDescent="0.3">
      <c r="A1000" t="s">
        <v>27</v>
      </c>
      <c r="B1000" t="s">
        <v>8</v>
      </c>
      <c r="C1000" t="s">
        <v>20</v>
      </c>
      <c r="D1000">
        <v>284</v>
      </c>
      <c r="E1000" t="s">
        <v>42</v>
      </c>
      <c r="F1000" t="s">
        <v>38</v>
      </c>
      <c r="G1000" t="s">
        <v>37</v>
      </c>
      <c r="H1000">
        <f t="shared" si="15"/>
        <v>284</v>
      </c>
    </row>
    <row r="1001" spans="1:8" x14ac:dyDescent="0.3">
      <c r="A1001" t="s">
        <v>27</v>
      </c>
      <c r="B1001" t="s">
        <v>8</v>
      </c>
      <c r="C1001" t="s">
        <v>21</v>
      </c>
      <c r="D1001">
        <v>311</v>
      </c>
      <c r="E1001" t="s">
        <v>42</v>
      </c>
      <c r="F1001" t="s">
        <v>38</v>
      </c>
      <c r="G1001" t="s">
        <v>37</v>
      </c>
      <c r="H1001">
        <f t="shared" si="15"/>
        <v>311</v>
      </c>
    </row>
    <row r="1002" spans="1:8" x14ac:dyDescent="0.3">
      <c r="A1002" t="s">
        <v>27</v>
      </c>
      <c r="B1002" t="s">
        <v>8</v>
      </c>
      <c r="C1002" t="s">
        <v>22</v>
      </c>
      <c r="D1002">
        <v>18808</v>
      </c>
      <c r="E1002" t="s">
        <v>42</v>
      </c>
      <c r="F1002" t="s">
        <v>38</v>
      </c>
      <c r="G1002" t="s">
        <v>37</v>
      </c>
      <c r="H1002">
        <f t="shared" si="15"/>
        <v>18800</v>
      </c>
    </row>
    <row r="1003" spans="1:8" x14ac:dyDescent="0.3">
      <c r="A1003" t="s">
        <v>27</v>
      </c>
      <c r="B1003" t="s">
        <v>23</v>
      </c>
      <c r="C1003" t="s">
        <v>9</v>
      </c>
      <c r="D1003">
        <v>45227</v>
      </c>
      <c r="E1003" t="s">
        <v>42</v>
      </c>
      <c r="F1003" t="s">
        <v>38</v>
      </c>
      <c r="G1003" t="s">
        <v>37</v>
      </c>
      <c r="H1003">
        <f t="shared" si="15"/>
        <v>45200</v>
      </c>
    </row>
    <row r="1004" spans="1:8" x14ac:dyDescent="0.3">
      <c r="A1004" t="s">
        <v>27</v>
      </c>
      <c r="B1004" t="s">
        <v>23</v>
      </c>
      <c r="C1004" t="s">
        <v>13</v>
      </c>
      <c r="D1004">
        <v>322588</v>
      </c>
      <c r="E1004" t="s">
        <v>42</v>
      </c>
      <c r="F1004" t="s">
        <v>38</v>
      </c>
      <c r="G1004" t="s">
        <v>37</v>
      </c>
      <c r="H1004">
        <f t="shared" si="15"/>
        <v>323000</v>
      </c>
    </row>
    <row r="1005" spans="1:8" x14ac:dyDescent="0.3">
      <c r="A1005" t="s">
        <v>27</v>
      </c>
      <c r="B1005" t="s">
        <v>23</v>
      </c>
      <c r="C1005" t="s">
        <v>14</v>
      </c>
      <c r="D1005">
        <v>9930960</v>
      </c>
      <c r="E1005" t="s">
        <v>42</v>
      </c>
      <c r="F1005" t="s">
        <v>38</v>
      </c>
      <c r="G1005" t="s">
        <v>37</v>
      </c>
      <c r="H1005">
        <f t="shared" si="15"/>
        <v>9930000</v>
      </c>
    </row>
    <row r="1006" spans="1:8" x14ac:dyDescent="0.3">
      <c r="A1006" t="s">
        <v>27</v>
      </c>
      <c r="B1006" t="s">
        <v>23</v>
      </c>
      <c r="C1006" t="s">
        <v>15</v>
      </c>
      <c r="D1006">
        <v>24346</v>
      </c>
      <c r="E1006" t="s">
        <v>42</v>
      </c>
      <c r="F1006" t="s">
        <v>38</v>
      </c>
      <c r="G1006" t="s">
        <v>37</v>
      </c>
      <c r="H1006">
        <f t="shared" si="15"/>
        <v>24300</v>
      </c>
    </row>
    <row r="1007" spans="1:8" x14ac:dyDescent="0.3">
      <c r="A1007" t="s">
        <v>27</v>
      </c>
      <c r="B1007" t="s">
        <v>23</v>
      </c>
      <c r="C1007" t="s">
        <v>16</v>
      </c>
      <c r="D1007">
        <v>7839646</v>
      </c>
      <c r="E1007" t="s">
        <v>42</v>
      </c>
      <c r="F1007" t="s">
        <v>38</v>
      </c>
      <c r="G1007" t="s">
        <v>37</v>
      </c>
      <c r="H1007">
        <f t="shared" si="15"/>
        <v>7840000</v>
      </c>
    </row>
    <row r="1008" spans="1:8" x14ac:dyDescent="0.3">
      <c r="A1008" t="s">
        <v>27</v>
      </c>
      <c r="B1008" t="s">
        <v>23</v>
      </c>
      <c r="C1008" t="s">
        <v>17</v>
      </c>
      <c r="D1008">
        <v>9136</v>
      </c>
      <c r="E1008" t="s">
        <v>42</v>
      </c>
      <c r="F1008" t="s">
        <v>38</v>
      </c>
      <c r="G1008" t="s">
        <v>37</v>
      </c>
      <c r="H1008">
        <f t="shared" si="15"/>
        <v>9140</v>
      </c>
    </row>
    <row r="1009" spans="1:8" x14ac:dyDescent="0.3">
      <c r="A1009" t="s">
        <v>27</v>
      </c>
      <c r="B1009" t="s">
        <v>23</v>
      </c>
      <c r="C1009" t="s">
        <v>18</v>
      </c>
      <c r="D1009">
        <v>74</v>
      </c>
      <c r="E1009" t="s">
        <v>42</v>
      </c>
      <c r="F1009" t="s">
        <v>38</v>
      </c>
      <c r="G1009" t="s">
        <v>37</v>
      </c>
      <c r="H1009">
        <f t="shared" si="15"/>
        <v>74</v>
      </c>
    </row>
    <row r="1010" spans="1:8" x14ac:dyDescent="0.3">
      <c r="A1010" t="s">
        <v>27</v>
      </c>
      <c r="B1010" t="s">
        <v>23</v>
      </c>
      <c r="C1010" t="s">
        <v>19</v>
      </c>
      <c r="D1010">
        <v>61596</v>
      </c>
      <c r="E1010" t="s">
        <v>42</v>
      </c>
      <c r="F1010" t="s">
        <v>38</v>
      </c>
      <c r="G1010" t="s">
        <v>37</v>
      </c>
      <c r="H1010">
        <f t="shared" si="15"/>
        <v>61600</v>
      </c>
    </row>
    <row r="1011" spans="1:8" x14ac:dyDescent="0.3">
      <c r="A1011" t="s">
        <v>27</v>
      </c>
      <c r="B1011" t="s">
        <v>23</v>
      </c>
      <c r="C1011" t="s">
        <v>20</v>
      </c>
      <c r="D1011">
        <v>87886</v>
      </c>
      <c r="E1011" t="s">
        <v>42</v>
      </c>
      <c r="F1011" t="s">
        <v>38</v>
      </c>
      <c r="G1011" t="s">
        <v>37</v>
      </c>
      <c r="H1011">
        <f t="shared" si="15"/>
        <v>87900</v>
      </c>
    </row>
    <row r="1012" spans="1:8" x14ac:dyDescent="0.3">
      <c r="A1012" t="s">
        <v>27</v>
      </c>
      <c r="B1012" t="s">
        <v>23</v>
      </c>
      <c r="C1012" t="s">
        <v>21</v>
      </c>
      <c r="D1012">
        <v>24918</v>
      </c>
      <c r="E1012" t="s">
        <v>42</v>
      </c>
      <c r="F1012" t="s">
        <v>38</v>
      </c>
      <c r="G1012" t="s">
        <v>37</v>
      </c>
      <c r="H1012">
        <f t="shared" si="15"/>
        <v>24900</v>
      </c>
    </row>
    <row r="1013" spans="1:8" x14ac:dyDescent="0.3">
      <c r="A1013" t="s">
        <v>27</v>
      </c>
      <c r="B1013" t="s">
        <v>23</v>
      </c>
      <c r="C1013" t="s">
        <v>22</v>
      </c>
      <c r="D1013">
        <v>1105497</v>
      </c>
      <c r="E1013" t="s">
        <v>42</v>
      </c>
      <c r="F1013" t="s">
        <v>38</v>
      </c>
      <c r="G1013" t="s">
        <v>37</v>
      </c>
      <c r="H1013">
        <f t="shared" si="15"/>
        <v>1110000</v>
      </c>
    </row>
    <row r="1014" spans="1:8" x14ac:dyDescent="0.3">
      <c r="A1014" t="s">
        <v>50</v>
      </c>
      <c r="B1014" t="s">
        <v>8</v>
      </c>
      <c r="C1014" t="s">
        <v>9</v>
      </c>
      <c r="D1014">
        <v>631</v>
      </c>
      <c r="E1014" t="s">
        <v>42</v>
      </c>
      <c r="F1014" t="s">
        <v>38</v>
      </c>
      <c r="G1014" t="s">
        <v>37</v>
      </c>
      <c r="H1014">
        <f t="shared" si="15"/>
        <v>631</v>
      </c>
    </row>
    <row r="1015" spans="1:8" x14ac:dyDescent="0.3">
      <c r="A1015" t="s">
        <v>50</v>
      </c>
      <c r="B1015" t="s">
        <v>8</v>
      </c>
      <c r="C1015" t="s">
        <v>13</v>
      </c>
      <c r="D1015">
        <v>13</v>
      </c>
      <c r="E1015" t="s">
        <v>42</v>
      </c>
      <c r="F1015" t="s">
        <v>38</v>
      </c>
      <c r="G1015" t="s">
        <v>37</v>
      </c>
      <c r="H1015">
        <f t="shared" si="15"/>
        <v>13</v>
      </c>
    </row>
    <row r="1016" spans="1:8" x14ac:dyDescent="0.3">
      <c r="A1016" t="s">
        <v>50</v>
      </c>
      <c r="B1016" t="s">
        <v>8</v>
      </c>
      <c r="C1016" t="s">
        <v>14</v>
      </c>
      <c r="D1016">
        <v>4265</v>
      </c>
      <c r="E1016" t="s">
        <v>42</v>
      </c>
      <c r="F1016" t="s">
        <v>38</v>
      </c>
      <c r="G1016" t="s">
        <v>37</v>
      </c>
      <c r="H1016">
        <f t="shared" si="15"/>
        <v>4270</v>
      </c>
    </row>
    <row r="1017" spans="1:8" x14ac:dyDescent="0.3">
      <c r="A1017" t="s">
        <v>50</v>
      </c>
      <c r="B1017" t="s">
        <v>8</v>
      </c>
      <c r="C1017" t="s">
        <v>15</v>
      </c>
      <c r="D1017">
        <v>16</v>
      </c>
      <c r="E1017" t="s">
        <v>42</v>
      </c>
      <c r="F1017" t="s">
        <v>38</v>
      </c>
      <c r="G1017" t="s">
        <v>37</v>
      </c>
      <c r="H1017">
        <f t="shared" si="15"/>
        <v>16</v>
      </c>
    </row>
    <row r="1018" spans="1:8" x14ac:dyDescent="0.3">
      <c r="A1018" t="s">
        <v>50</v>
      </c>
      <c r="B1018" t="s">
        <v>8</v>
      </c>
      <c r="C1018" t="s">
        <v>16</v>
      </c>
      <c r="D1018">
        <v>111733</v>
      </c>
      <c r="E1018" t="s">
        <v>42</v>
      </c>
      <c r="F1018" t="s">
        <v>38</v>
      </c>
      <c r="G1018" t="s">
        <v>37</v>
      </c>
      <c r="H1018">
        <f t="shared" si="15"/>
        <v>112000</v>
      </c>
    </row>
    <row r="1019" spans="1:8" x14ac:dyDescent="0.3">
      <c r="A1019" t="s">
        <v>50</v>
      </c>
      <c r="B1019" t="s">
        <v>8</v>
      </c>
      <c r="C1019" t="s">
        <v>17</v>
      </c>
      <c r="D1019">
        <v>1108</v>
      </c>
      <c r="E1019" t="s">
        <v>42</v>
      </c>
      <c r="F1019" t="s">
        <v>38</v>
      </c>
      <c r="G1019" t="s">
        <v>37</v>
      </c>
      <c r="H1019">
        <f t="shared" si="15"/>
        <v>1110</v>
      </c>
    </row>
    <row r="1020" spans="1:8" x14ac:dyDescent="0.3">
      <c r="A1020" t="s">
        <v>50</v>
      </c>
      <c r="B1020" t="s">
        <v>8</v>
      </c>
      <c r="C1020" t="s">
        <v>18</v>
      </c>
      <c r="D1020">
        <v>0</v>
      </c>
      <c r="E1020" t="s">
        <v>42</v>
      </c>
      <c r="F1020" t="s">
        <v>38</v>
      </c>
      <c r="G1020" t="s">
        <v>37</v>
      </c>
      <c r="H1020">
        <f t="shared" si="15"/>
        <v>0</v>
      </c>
    </row>
    <row r="1021" spans="1:8" x14ac:dyDescent="0.3">
      <c r="A1021" t="s">
        <v>50</v>
      </c>
      <c r="B1021" t="s">
        <v>8</v>
      </c>
      <c r="C1021" t="s">
        <v>19</v>
      </c>
      <c r="D1021">
        <v>18</v>
      </c>
      <c r="E1021" t="s">
        <v>42</v>
      </c>
      <c r="F1021" t="s">
        <v>38</v>
      </c>
      <c r="G1021" t="s">
        <v>37</v>
      </c>
      <c r="H1021">
        <f t="shared" si="15"/>
        <v>18</v>
      </c>
    </row>
    <row r="1022" spans="1:8" x14ac:dyDescent="0.3">
      <c r="A1022" t="s">
        <v>50</v>
      </c>
      <c r="B1022" t="s">
        <v>8</v>
      </c>
      <c r="C1022" t="s">
        <v>20</v>
      </c>
      <c r="D1022">
        <v>83</v>
      </c>
      <c r="E1022" t="s">
        <v>42</v>
      </c>
      <c r="F1022" t="s">
        <v>38</v>
      </c>
      <c r="G1022" t="s">
        <v>37</v>
      </c>
      <c r="H1022">
        <f t="shared" si="15"/>
        <v>83</v>
      </c>
    </row>
    <row r="1023" spans="1:8" x14ac:dyDescent="0.3">
      <c r="A1023" t="s">
        <v>50</v>
      </c>
      <c r="B1023" t="s">
        <v>8</v>
      </c>
      <c r="C1023" t="s">
        <v>21</v>
      </c>
      <c r="D1023">
        <v>15</v>
      </c>
      <c r="E1023" t="s">
        <v>42</v>
      </c>
      <c r="F1023" t="s">
        <v>38</v>
      </c>
      <c r="G1023" t="s">
        <v>37</v>
      </c>
      <c r="H1023">
        <f t="shared" si="15"/>
        <v>15</v>
      </c>
    </row>
    <row r="1024" spans="1:8" x14ac:dyDescent="0.3">
      <c r="A1024" t="s">
        <v>50</v>
      </c>
      <c r="B1024" t="s">
        <v>8</v>
      </c>
      <c r="C1024" t="s">
        <v>22</v>
      </c>
      <c r="D1024">
        <v>134</v>
      </c>
      <c r="E1024" t="s">
        <v>42</v>
      </c>
      <c r="F1024" t="s">
        <v>38</v>
      </c>
      <c r="G1024" t="s">
        <v>37</v>
      </c>
      <c r="H1024">
        <f t="shared" si="15"/>
        <v>134</v>
      </c>
    </row>
    <row r="1025" spans="1:8" x14ac:dyDescent="0.3">
      <c r="A1025" t="s">
        <v>50</v>
      </c>
      <c r="B1025" t="s">
        <v>23</v>
      </c>
      <c r="C1025" t="s">
        <v>9</v>
      </c>
      <c r="D1025">
        <v>2806</v>
      </c>
      <c r="E1025" t="s">
        <v>42</v>
      </c>
      <c r="F1025" t="s">
        <v>38</v>
      </c>
      <c r="G1025" t="s">
        <v>37</v>
      </c>
      <c r="H1025">
        <f t="shared" si="15"/>
        <v>2810</v>
      </c>
    </row>
    <row r="1026" spans="1:8" x14ac:dyDescent="0.3">
      <c r="A1026" t="s">
        <v>50</v>
      </c>
      <c r="B1026" t="s">
        <v>23</v>
      </c>
      <c r="C1026" t="s">
        <v>13</v>
      </c>
      <c r="D1026">
        <v>3521</v>
      </c>
      <c r="E1026" t="s">
        <v>42</v>
      </c>
      <c r="F1026" t="s">
        <v>38</v>
      </c>
      <c r="G1026" t="s">
        <v>37</v>
      </c>
      <c r="H1026">
        <f t="shared" si="15"/>
        <v>3520</v>
      </c>
    </row>
    <row r="1027" spans="1:8" x14ac:dyDescent="0.3">
      <c r="A1027" t="s">
        <v>50</v>
      </c>
      <c r="B1027" t="s">
        <v>23</v>
      </c>
      <c r="C1027" t="s">
        <v>14</v>
      </c>
      <c r="D1027">
        <v>14266</v>
      </c>
      <c r="E1027" t="s">
        <v>42</v>
      </c>
      <c r="F1027" t="s">
        <v>38</v>
      </c>
      <c r="G1027" t="s">
        <v>37</v>
      </c>
      <c r="H1027">
        <f t="shared" ref="H1027:H1090" si="16">ROUND(D1027, 3 - LEN(INT(ABS(D1027))))</f>
        <v>14300</v>
      </c>
    </row>
    <row r="1028" spans="1:8" x14ac:dyDescent="0.3">
      <c r="A1028" t="s">
        <v>50</v>
      </c>
      <c r="B1028" t="s">
        <v>23</v>
      </c>
      <c r="C1028" t="s">
        <v>15</v>
      </c>
      <c r="D1028">
        <v>424</v>
      </c>
      <c r="E1028" t="s">
        <v>42</v>
      </c>
      <c r="F1028" t="s">
        <v>38</v>
      </c>
      <c r="G1028" t="s">
        <v>37</v>
      </c>
      <c r="H1028">
        <f t="shared" si="16"/>
        <v>424</v>
      </c>
    </row>
    <row r="1029" spans="1:8" x14ac:dyDescent="0.3">
      <c r="A1029" t="s">
        <v>50</v>
      </c>
      <c r="B1029" t="s">
        <v>23</v>
      </c>
      <c r="C1029" t="s">
        <v>16</v>
      </c>
      <c r="D1029">
        <v>2583246</v>
      </c>
      <c r="E1029" t="s">
        <v>42</v>
      </c>
      <c r="F1029" t="s">
        <v>38</v>
      </c>
      <c r="G1029" t="s">
        <v>37</v>
      </c>
      <c r="H1029">
        <f t="shared" si="16"/>
        <v>2580000</v>
      </c>
    </row>
    <row r="1030" spans="1:8" x14ac:dyDescent="0.3">
      <c r="A1030" t="s">
        <v>50</v>
      </c>
      <c r="B1030" t="s">
        <v>23</v>
      </c>
      <c r="C1030" t="s">
        <v>17</v>
      </c>
      <c r="D1030">
        <v>619</v>
      </c>
      <c r="E1030" t="s">
        <v>42</v>
      </c>
      <c r="F1030" t="s">
        <v>38</v>
      </c>
      <c r="G1030" t="s">
        <v>37</v>
      </c>
      <c r="H1030">
        <f t="shared" si="16"/>
        <v>619</v>
      </c>
    </row>
    <row r="1031" spans="1:8" x14ac:dyDescent="0.3">
      <c r="A1031" t="s">
        <v>50</v>
      </c>
      <c r="B1031" t="s">
        <v>23</v>
      </c>
      <c r="C1031" t="s">
        <v>18</v>
      </c>
      <c r="D1031">
        <v>27</v>
      </c>
      <c r="E1031" t="s">
        <v>42</v>
      </c>
      <c r="F1031" t="s">
        <v>38</v>
      </c>
      <c r="G1031" t="s">
        <v>37</v>
      </c>
      <c r="H1031">
        <f t="shared" si="16"/>
        <v>27</v>
      </c>
    </row>
    <row r="1032" spans="1:8" x14ac:dyDescent="0.3">
      <c r="A1032" t="s">
        <v>50</v>
      </c>
      <c r="B1032" t="s">
        <v>23</v>
      </c>
      <c r="C1032" t="s">
        <v>19</v>
      </c>
      <c r="D1032">
        <v>2011</v>
      </c>
      <c r="E1032" t="s">
        <v>42</v>
      </c>
      <c r="F1032" t="s">
        <v>38</v>
      </c>
      <c r="G1032" t="s">
        <v>37</v>
      </c>
      <c r="H1032">
        <f t="shared" si="16"/>
        <v>2010</v>
      </c>
    </row>
    <row r="1033" spans="1:8" x14ac:dyDescent="0.3">
      <c r="A1033" t="s">
        <v>50</v>
      </c>
      <c r="B1033" t="s">
        <v>23</v>
      </c>
      <c r="C1033" t="s">
        <v>20</v>
      </c>
      <c r="D1033">
        <v>22399</v>
      </c>
      <c r="E1033" t="s">
        <v>42</v>
      </c>
      <c r="F1033" t="s">
        <v>38</v>
      </c>
      <c r="G1033" t="s">
        <v>37</v>
      </c>
      <c r="H1033">
        <f t="shared" si="16"/>
        <v>22400</v>
      </c>
    </row>
    <row r="1034" spans="1:8" x14ac:dyDescent="0.3">
      <c r="A1034" t="s">
        <v>50</v>
      </c>
      <c r="B1034" t="s">
        <v>23</v>
      </c>
      <c r="C1034" t="s">
        <v>21</v>
      </c>
      <c r="D1034">
        <v>1008</v>
      </c>
      <c r="E1034" t="s">
        <v>42</v>
      </c>
      <c r="F1034" t="s">
        <v>38</v>
      </c>
      <c r="G1034" t="s">
        <v>37</v>
      </c>
      <c r="H1034">
        <f t="shared" si="16"/>
        <v>1010</v>
      </c>
    </row>
    <row r="1035" spans="1:8" x14ac:dyDescent="0.3">
      <c r="A1035" t="s">
        <v>50</v>
      </c>
      <c r="B1035" t="s">
        <v>23</v>
      </c>
      <c r="C1035" t="s">
        <v>22</v>
      </c>
      <c r="D1035">
        <v>2136</v>
      </c>
      <c r="E1035" t="s">
        <v>42</v>
      </c>
      <c r="F1035" t="s">
        <v>38</v>
      </c>
      <c r="G1035" t="s">
        <v>37</v>
      </c>
      <c r="H1035">
        <f t="shared" si="16"/>
        <v>2140</v>
      </c>
    </row>
    <row r="1036" spans="1:8" x14ac:dyDescent="0.3">
      <c r="A1036" t="s">
        <v>51</v>
      </c>
      <c r="B1036" t="s">
        <v>8</v>
      </c>
      <c r="C1036" t="s">
        <v>9</v>
      </c>
      <c r="D1036">
        <v>5</v>
      </c>
      <c r="E1036" t="s">
        <v>42</v>
      </c>
      <c r="F1036" t="s">
        <v>38</v>
      </c>
      <c r="G1036" t="s">
        <v>37</v>
      </c>
      <c r="H1036">
        <f t="shared" si="16"/>
        <v>5</v>
      </c>
    </row>
    <row r="1037" spans="1:8" x14ac:dyDescent="0.3">
      <c r="A1037" t="s">
        <v>51</v>
      </c>
      <c r="B1037" t="s">
        <v>8</v>
      </c>
      <c r="C1037" t="s">
        <v>13</v>
      </c>
      <c r="D1037">
        <v>16099</v>
      </c>
      <c r="E1037" t="s">
        <v>42</v>
      </c>
      <c r="F1037" t="s">
        <v>38</v>
      </c>
      <c r="G1037" t="s">
        <v>37</v>
      </c>
      <c r="H1037">
        <f t="shared" si="16"/>
        <v>16100</v>
      </c>
    </row>
    <row r="1038" spans="1:8" x14ac:dyDescent="0.3">
      <c r="A1038" t="s">
        <v>51</v>
      </c>
      <c r="B1038" t="s">
        <v>8</v>
      </c>
      <c r="C1038" t="s">
        <v>14</v>
      </c>
      <c r="D1038">
        <v>20</v>
      </c>
      <c r="E1038" t="s">
        <v>42</v>
      </c>
      <c r="F1038" t="s">
        <v>38</v>
      </c>
      <c r="G1038" t="s">
        <v>37</v>
      </c>
      <c r="H1038">
        <f t="shared" si="16"/>
        <v>20</v>
      </c>
    </row>
    <row r="1039" spans="1:8" x14ac:dyDescent="0.3">
      <c r="A1039" t="s">
        <v>51</v>
      </c>
      <c r="B1039" t="s">
        <v>8</v>
      </c>
      <c r="C1039" t="s">
        <v>15</v>
      </c>
      <c r="D1039">
        <v>21</v>
      </c>
      <c r="E1039" t="s">
        <v>42</v>
      </c>
      <c r="F1039" t="s">
        <v>38</v>
      </c>
      <c r="G1039" t="s">
        <v>37</v>
      </c>
      <c r="H1039">
        <f t="shared" si="16"/>
        <v>21</v>
      </c>
    </row>
    <row r="1040" spans="1:8" x14ac:dyDescent="0.3">
      <c r="A1040" t="s">
        <v>51</v>
      </c>
      <c r="B1040" t="s">
        <v>8</v>
      </c>
      <c r="C1040" t="s">
        <v>16</v>
      </c>
      <c r="D1040">
        <v>26</v>
      </c>
      <c r="E1040" t="s">
        <v>42</v>
      </c>
      <c r="F1040" t="s">
        <v>38</v>
      </c>
      <c r="G1040" t="s">
        <v>37</v>
      </c>
      <c r="H1040">
        <f t="shared" si="16"/>
        <v>26</v>
      </c>
    </row>
    <row r="1041" spans="1:8" x14ac:dyDescent="0.3">
      <c r="A1041" t="s">
        <v>51</v>
      </c>
      <c r="B1041" t="s">
        <v>8</v>
      </c>
      <c r="C1041" t="s">
        <v>17</v>
      </c>
      <c r="D1041">
        <v>44</v>
      </c>
      <c r="E1041" t="s">
        <v>42</v>
      </c>
      <c r="F1041" t="s">
        <v>38</v>
      </c>
      <c r="G1041" t="s">
        <v>37</v>
      </c>
      <c r="H1041">
        <f t="shared" si="16"/>
        <v>44</v>
      </c>
    </row>
    <row r="1042" spans="1:8" x14ac:dyDescent="0.3">
      <c r="A1042" t="s">
        <v>51</v>
      </c>
      <c r="B1042" t="s">
        <v>8</v>
      </c>
      <c r="C1042" t="s">
        <v>18</v>
      </c>
      <c r="D1042">
        <v>0</v>
      </c>
      <c r="E1042" t="s">
        <v>42</v>
      </c>
      <c r="F1042" t="s">
        <v>38</v>
      </c>
      <c r="G1042" t="s">
        <v>37</v>
      </c>
      <c r="H1042">
        <f t="shared" si="16"/>
        <v>0</v>
      </c>
    </row>
    <row r="1043" spans="1:8" x14ac:dyDescent="0.3">
      <c r="A1043" t="s">
        <v>51</v>
      </c>
      <c r="B1043" t="s">
        <v>8</v>
      </c>
      <c r="C1043" t="s">
        <v>19</v>
      </c>
      <c r="D1043">
        <v>67</v>
      </c>
      <c r="E1043" t="s">
        <v>42</v>
      </c>
      <c r="F1043" t="s">
        <v>38</v>
      </c>
      <c r="G1043" t="s">
        <v>37</v>
      </c>
      <c r="H1043">
        <f t="shared" si="16"/>
        <v>67</v>
      </c>
    </row>
    <row r="1044" spans="1:8" x14ac:dyDescent="0.3">
      <c r="A1044" t="s">
        <v>51</v>
      </c>
      <c r="B1044" t="s">
        <v>8</v>
      </c>
      <c r="C1044" t="s">
        <v>20</v>
      </c>
      <c r="D1044">
        <v>2</v>
      </c>
      <c r="E1044" t="s">
        <v>42</v>
      </c>
      <c r="F1044" t="s">
        <v>38</v>
      </c>
      <c r="G1044" t="s">
        <v>37</v>
      </c>
      <c r="H1044">
        <f t="shared" si="16"/>
        <v>2</v>
      </c>
    </row>
    <row r="1045" spans="1:8" x14ac:dyDescent="0.3">
      <c r="A1045" t="s">
        <v>51</v>
      </c>
      <c r="B1045" t="s">
        <v>8</v>
      </c>
      <c r="C1045" t="s">
        <v>21</v>
      </c>
      <c r="D1045">
        <v>9</v>
      </c>
      <c r="E1045" t="s">
        <v>42</v>
      </c>
      <c r="F1045" t="s">
        <v>38</v>
      </c>
      <c r="G1045" t="s">
        <v>37</v>
      </c>
      <c r="H1045">
        <f t="shared" si="16"/>
        <v>9</v>
      </c>
    </row>
    <row r="1046" spans="1:8" x14ac:dyDescent="0.3">
      <c r="A1046" t="s">
        <v>51</v>
      </c>
      <c r="B1046" t="s">
        <v>8</v>
      </c>
      <c r="C1046" t="s">
        <v>22</v>
      </c>
      <c r="D1046">
        <v>1451</v>
      </c>
      <c r="E1046" t="s">
        <v>42</v>
      </c>
      <c r="F1046" t="s">
        <v>38</v>
      </c>
      <c r="G1046" t="s">
        <v>37</v>
      </c>
      <c r="H1046">
        <f t="shared" si="16"/>
        <v>1450</v>
      </c>
    </row>
    <row r="1047" spans="1:8" x14ac:dyDescent="0.3">
      <c r="A1047" t="s">
        <v>51</v>
      </c>
      <c r="B1047" t="s">
        <v>23</v>
      </c>
      <c r="C1047" t="s">
        <v>9</v>
      </c>
      <c r="D1047">
        <v>9161</v>
      </c>
      <c r="E1047" t="s">
        <v>42</v>
      </c>
      <c r="F1047" t="s">
        <v>38</v>
      </c>
      <c r="G1047" t="s">
        <v>37</v>
      </c>
      <c r="H1047">
        <f t="shared" si="16"/>
        <v>9160</v>
      </c>
    </row>
    <row r="1048" spans="1:8" x14ac:dyDescent="0.3">
      <c r="A1048" t="s">
        <v>51</v>
      </c>
      <c r="B1048" t="s">
        <v>23</v>
      </c>
      <c r="C1048" t="s">
        <v>13</v>
      </c>
      <c r="D1048">
        <v>2329852</v>
      </c>
      <c r="E1048" t="s">
        <v>42</v>
      </c>
      <c r="F1048" t="s">
        <v>38</v>
      </c>
      <c r="G1048" t="s">
        <v>37</v>
      </c>
      <c r="H1048">
        <f t="shared" si="16"/>
        <v>2330000</v>
      </c>
    </row>
    <row r="1049" spans="1:8" x14ac:dyDescent="0.3">
      <c r="A1049" t="s">
        <v>51</v>
      </c>
      <c r="B1049" t="s">
        <v>23</v>
      </c>
      <c r="C1049" t="s">
        <v>14</v>
      </c>
      <c r="D1049">
        <v>188548</v>
      </c>
      <c r="E1049" t="s">
        <v>42</v>
      </c>
      <c r="F1049" t="s">
        <v>38</v>
      </c>
      <c r="G1049" t="s">
        <v>37</v>
      </c>
      <c r="H1049">
        <f t="shared" si="16"/>
        <v>189000</v>
      </c>
    </row>
    <row r="1050" spans="1:8" x14ac:dyDescent="0.3">
      <c r="A1050" t="s">
        <v>51</v>
      </c>
      <c r="B1050" t="s">
        <v>23</v>
      </c>
      <c r="C1050" t="s">
        <v>15</v>
      </c>
      <c r="D1050">
        <v>5649</v>
      </c>
      <c r="E1050" t="s">
        <v>42</v>
      </c>
      <c r="F1050" t="s">
        <v>38</v>
      </c>
      <c r="G1050" t="s">
        <v>37</v>
      </c>
      <c r="H1050">
        <f t="shared" si="16"/>
        <v>5650</v>
      </c>
    </row>
    <row r="1051" spans="1:8" x14ac:dyDescent="0.3">
      <c r="A1051" t="s">
        <v>51</v>
      </c>
      <c r="B1051" t="s">
        <v>23</v>
      </c>
      <c r="C1051" t="s">
        <v>16</v>
      </c>
      <c r="D1051">
        <v>9776</v>
      </c>
      <c r="E1051" t="s">
        <v>42</v>
      </c>
      <c r="F1051" t="s">
        <v>38</v>
      </c>
      <c r="G1051" t="s">
        <v>37</v>
      </c>
      <c r="H1051">
        <f t="shared" si="16"/>
        <v>9780</v>
      </c>
    </row>
    <row r="1052" spans="1:8" x14ac:dyDescent="0.3">
      <c r="A1052" t="s">
        <v>51</v>
      </c>
      <c r="B1052" t="s">
        <v>23</v>
      </c>
      <c r="C1052" t="s">
        <v>17</v>
      </c>
      <c r="D1052">
        <v>500</v>
      </c>
      <c r="E1052" t="s">
        <v>42</v>
      </c>
      <c r="F1052" t="s">
        <v>38</v>
      </c>
      <c r="G1052" t="s">
        <v>37</v>
      </c>
      <c r="H1052">
        <f t="shared" si="16"/>
        <v>500</v>
      </c>
    </row>
    <row r="1053" spans="1:8" x14ac:dyDescent="0.3">
      <c r="A1053" t="s">
        <v>51</v>
      </c>
      <c r="B1053" t="s">
        <v>23</v>
      </c>
      <c r="C1053" t="s">
        <v>18</v>
      </c>
      <c r="D1053">
        <v>0</v>
      </c>
      <c r="E1053" t="s">
        <v>42</v>
      </c>
      <c r="F1053" t="s">
        <v>38</v>
      </c>
      <c r="G1053" t="s">
        <v>37</v>
      </c>
      <c r="H1053">
        <f t="shared" si="16"/>
        <v>0</v>
      </c>
    </row>
    <row r="1054" spans="1:8" x14ac:dyDescent="0.3">
      <c r="A1054" t="s">
        <v>51</v>
      </c>
      <c r="B1054" t="s">
        <v>23</v>
      </c>
      <c r="C1054" t="s">
        <v>19</v>
      </c>
      <c r="D1054">
        <v>48666</v>
      </c>
      <c r="E1054" t="s">
        <v>42</v>
      </c>
      <c r="F1054" t="s">
        <v>38</v>
      </c>
      <c r="G1054" t="s">
        <v>37</v>
      </c>
      <c r="H1054">
        <f t="shared" si="16"/>
        <v>48700</v>
      </c>
    </row>
    <row r="1055" spans="1:8" x14ac:dyDescent="0.3">
      <c r="A1055" t="s">
        <v>51</v>
      </c>
      <c r="B1055" t="s">
        <v>23</v>
      </c>
      <c r="C1055" t="s">
        <v>20</v>
      </c>
      <c r="D1055">
        <v>4807</v>
      </c>
      <c r="E1055" t="s">
        <v>42</v>
      </c>
      <c r="F1055" t="s">
        <v>38</v>
      </c>
      <c r="G1055" t="s">
        <v>37</v>
      </c>
      <c r="H1055">
        <f t="shared" si="16"/>
        <v>4810</v>
      </c>
    </row>
    <row r="1056" spans="1:8" x14ac:dyDescent="0.3">
      <c r="A1056" t="s">
        <v>51</v>
      </c>
      <c r="B1056" t="s">
        <v>23</v>
      </c>
      <c r="C1056" t="s">
        <v>21</v>
      </c>
      <c r="D1056">
        <v>3858</v>
      </c>
      <c r="E1056" t="s">
        <v>42</v>
      </c>
      <c r="F1056" t="s">
        <v>38</v>
      </c>
      <c r="G1056" t="s">
        <v>37</v>
      </c>
      <c r="H1056">
        <f t="shared" si="16"/>
        <v>3860</v>
      </c>
    </row>
    <row r="1057" spans="1:8" x14ac:dyDescent="0.3">
      <c r="A1057" t="s">
        <v>51</v>
      </c>
      <c r="B1057" t="s">
        <v>23</v>
      </c>
      <c r="C1057" t="s">
        <v>22</v>
      </c>
      <c r="D1057">
        <v>83180</v>
      </c>
      <c r="E1057" t="s">
        <v>42</v>
      </c>
      <c r="F1057" t="s">
        <v>38</v>
      </c>
      <c r="G1057" t="s">
        <v>37</v>
      </c>
      <c r="H1057">
        <f t="shared" si="16"/>
        <v>83200</v>
      </c>
    </row>
    <row r="1058" spans="1:8" x14ac:dyDescent="0.3">
      <c r="A1058" t="s">
        <v>52</v>
      </c>
      <c r="B1058" t="s">
        <v>8</v>
      </c>
      <c r="C1058" t="s">
        <v>9</v>
      </c>
      <c r="D1058">
        <v>13462</v>
      </c>
      <c r="E1058" t="s">
        <v>42</v>
      </c>
      <c r="F1058" t="s">
        <v>38</v>
      </c>
      <c r="G1058" t="s">
        <v>37</v>
      </c>
      <c r="H1058">
        <f t="shared" si="16"/>
        <v>13500</v>
      </c>
    </row>
    <row r="1059" spans="1:8" x14ac:dyDescent="0.3">
      <c r="A1059" t="s">
        <v>52</v>
      </c>
      <c r="B1059" t="s">
        <v>8</v>
      </c>
      <c r="C1059" t="s">
        <v>13</v>
      </c>
      <c r="D1059">
        <v>1716</v>
      </c>
      <c r="E1059" t="s">
        <v>42</v>
      </c>
      <c r="F1059" t="s">
        <v>38</v>
      </c>
      <c r="G1059" t="s">
        <v>37</v>
      </c>
      <c r="H1059">
        <f t="shared" si="16"/>
        <v>1720</v>
      </c>
    </row>
    <row r="1060" spans="1:8" x14ac:dyDescent="0.3">
      <c r="A1060" t="s">
        <v>52</v>
      </c>
      <c r="B1060" t="s">
        <v>8</v>
      </c>
      <c r="C1060" t="s">
        <v>14</v>
      </c>
      <c r="D1060">
        <v>1530</v>
      </c>
      <c r="E1060" t="s">
        <v>42</v>
      </c>
      <c r="F1060" t="s">
        <v>38</v>
      </c>
      <c r="G1060" t="s">
        <v>37</v>
      </c>
      <c r="H1060">
        <f t="shared" si="16"/>
        <v>1530</v>
      </c>
    </row>
    <row r="1061" spans="1:8" x14ac:dyDescent="0.3">
      <c r="A1061" t="s">
        <v>52</v>
      </c>
      <c r="B1061" t="s">
        <v>8</v>
      </c>
      <c r="C1061" t="s">
        <v>15</v>
      </c>
      <c r="D1061">
        <v>455</v>
      </c>
      <c r="E1061" t="s">
        <v>42</v>
      </c>
      <c r="F1061" t="s">
        <v>38</v>
      </c>
      <c r="G1061" t="s">
        <v>37</v>
      </c>
      <c r="H1061">
        <f t="shared" si="16"/>
        <v>455</v>
      </c>
    </row>
    <row r="1062" spans="1:8" x14ac:dyDescent="0.3">
      <c r="A1062" t="s">
        <v>52</v>
      </c>
      <c r="B1062" t="s">
        <v>8</v>
      </c>
      <c r="C1062" t="s">
        <v>16</v>
      </c>
      <c r="D1062">
        <v>1881</v>
      </c>
      <c r="E1062" t="s">
        <v>42</v>
      </c>
      <c r="F1062" t="s">
        <v>38</v>
      </c>
      <c r="G1062" t="s">
        <v>37</v>
      </c>
      <c r="H1062">
        <f t="shared" si="16"/>
        <v>1880</v>
      </c>
    </row>
    <row r="1063" spans="1:8" x14ac:dyDescent="0.3">
      <c r="A1063" t="s">
        <v>52</v>
      </c>
      <c r="B1063" t="s">
        <v>8</v>
      </c>
      <c r="C1063" t="s">
        <v>17</v>
      </c>
      <c r="D1063">
        <v>5593</v>
      </c>
      <c r="E1063" t="s">
        <v>42</v>
      </c>
      <c r="F1063" t="s">
        <v>38</v>
      </c>
      <c r="G1063" t="s">
        <v>37</v>
      </c>
      <c r="H1063">
        <f t="shared" si="16"/>
        <v>5590</v>
      </c>
    </row>
    <row r="1064" spans="1:8" x14ac:dyDescent="0.3">
      <c r="A1064" t="s">
        <v>52</v>
      </c>
      <c r="B1064" t="s">
        <v>8</v>
      </c>
      <c r="C1064" t="s">
        <v>18</v>
      </c>
      <c r="D1064">
        <v>0</v>
      </c>
      <c r="E1064" t="s">
        <v>42</v>
      </c>
      <c r="F1064" t="s">
        <v>38</v>
      </c>
      <c r="G1064" t="s">
        <v>37</v>
      </c>
      <c r="H1064">
        <f t="shared" si="16"/>
        <v>0</v>
      </c>
    </row>
    <row r="1065" spans="1:8" x14ac:dyDescent="0.3">
      <c r="A1065" t="s">
        <v>52</v>
      </c>
      <c r="B1065" t="s">
        <v>8</v>
      </c>
      <c r="C1065" t="s">
        <v>19</v>
      </c>
      <c r="D1065">
        <v>215</v>
      </c>
      <c r="E1065" t="s">
        <v>42</v>
      </c>
      <c r="F1065" t="s">
        <v>38</v>
      </c>
      <c r="G1065" t="s">
        <v>37</v>
      </c>
      <c r="H1065">
        <f t="shared" si="16"/>
        <v>215</v>
      </c>
    </row>
    <row r="1066" spans="1:8" x14ac:dyDescent="0.3">
      <c r="A1066" t="s">
        <v>52</v>
      </c>
      <c r="B1066" t="s">
        <v>8</v>
      </c>
      <c r="C1066" t="s">
        <v>20</v>
      </c>
      <c r="D1066">
        <v>87</v>
      </c>
      <c r="E1066" t="s">
        <v>42</v>
      </c>
      <c r="F1066" t="s">
        <v>38</v>
      </c>
      <c r="G1066" t="s">
        <v>37</v>
      </c>
      <c r="H1066">
        <f t="shared" si="16"/>
        <v>87</v>
      </c>
    </row>
    <row r="1067" spans="1:8" x14ac:dyDescent="0.3">
      <c r="A1067" t="s">
        <v>52</v>
      </c>
      <c r="B1067" t="s">
        <v>8</v>
      </c>
      <c r="C1067" t="s">
        <v>21</v>
      </c>
      <c r="D1067">
        <v>869</v>
      </c>
      <c r="E1067" t="s">
        <v>42</v>
      </c>
      <c r="F1067" t="s">
        <v>38</v>
      </c>
      <c r="G1067" t="s">
        <v>37</v>
      </c>
      <c r="H1067">
        <f t="shared" si="16"/>
        <v>869</v>
      </c>
    </row>
    <row r="1068" spans="1:8" x14ac:dyDescent="0.3">
      <c r="A1068" t="s">
        <v>52</v>
      </c>
      <c r="B1068" t="s">
        <v>8</v>
      </c>
      <c r="C1068" t="s">
        <v>22</v>
      </c>
      <c r="D1068">
        <v>4969</v>
      </c>
      <c r="E1068" t="s">
        <v>42</v>
      </c>
      <c r="F1068" t="s">
        <v>38</v>
      </c>
      <c r="G1068" t="s">
        <v>37</v>
      </c>
      <c r="H1068">
        <f t="shared" si="16"/>
        <v>4970</v>
      </c>
    </row>
    <row r="1069" spans="1:8" x14ac:dyDescent="0.3">
      <c r="A1069" t="s">
        <v>52</v>
      </c>
      <c r="B1069" t="s">
        <v>23</v>
      </c>
      <c r="C1069" t="s">
        <v>9</v>
      </c>
      <c r="D1069">
        <v>1323108</v>
      </c>
      <c r="E1069" t="s">
        <v>42</v>
      </c>
      <c r="F1069" t="s">
        <v>38</v>
      </c>
      <c r="G1069" t="s">
        <v>37</v>
      </c>
      <c r="H1069">
        <f t="shared" si="16"/>
        <v>1320000</v>
      </c>
    </row>
    <row r="1070" spans="1:8" x14ac:dyDescent="0.3">
      <c r="A1070" t="s">
        <v>52</v>
      </c>
      <c r="B1070" t="s">
        <v>23</v>
      </c>
      <c r="C1070" t="s">
        <v>13</v>
      </c>
      <c r="D1070">
        <v>61116</v>
      </c>
      <c r="E1070" t="s">
        <v>42</v>
      </c>
      <c r="F1070" t="s">
        <v>38</v>
      </c>
      <c r="G1070" t="s">
        <v>37</v>
      </c>
      <c r="H1070">
        <f t="shared" si="16"/>
        <v>61100</v>
      </c>
    </row>
    <row r="1071" spans="1:8" x14ac:dyDescent="0.3">
      <c r="A1071" t="s">
        <v>52</v>
      </c>
      <c r="B1071" t="s">
        <v>23</v>
      </c>
      <c r="C1071" t="s">
        <v>14</v>
      </c>
      <c r="D1071">
        <v>815616</v>
      </c>
      <c r="E1071" t="s">
        <v>42</v>
      </c>
      <c r="F1071" t="s">
        <v>38</v>
      </c>
      <c r="G1071" t="s">
        <v>37</v>
      </c>
      <c r="H1071">
        <f t="shared" si="16"/>
        <v>816000</v>
      </c>
    </row>
    <row r="1072" spans="1:8" x14ac:dyDescent="0.3">
      <c r="A1072" t="s">
        <v>52</v>
      </c>
      <c r="B1072" t="s">
        <v>23</v>
      </c>
      <c r="C1072" t="s">
        <v>15</v>
      </c>
      <c r="D1072">
        <v>7270</v>
      </c>
      <c r="E1072" t="s">
        <v>42</v>
      </c>
      <c r="F1072" t="s">
        <v>38</v>
      </c>
      <c r="G1072" t="s">
        <v>37</v>
      </c>
      <c r="H1072">
        <f t="shared" si="16"/>
        <v>7270</v>
      </c>
    </row>
    <row r="1073" spans="1:8" x14ac:dyDescent="0.3">
      <c r="A1073" t="s">
        <v>52</v>
      </c>
      <c r="B1073" t="s">
        <v>23</v>
      </c>
      <c r="C1073" t="s">
        <v>16</v>
      </c>
      <c r="D1073">
        <v>315027</v>
      </c>
      <c r="E1073" t="s">
        <v>42</v>
      </c>
      <c r="F1073" t="s">
        <v>38</v>
      </c>
      <c r="G1073" t="s">
        <v>37</v>
      </c>
      <c r="H1073">
        <f t="shared" si="16"/>
        <v>315000</v>
      </c>
    </row>
    <row r="1074" spans="1:8" x14ac:dyDescent="0.3">
      <c r="A1074" t="s">
        <v>52</v>
      </c>
      <c r="B1074" t="s">
        <v>23</v>
      </c>
      <c r="C1074" t="s">
        <v>17</v>
      </c>
      <c r="D1074">
        <v>37796</v>
      </c>
      <c r="E1074" t="s">
        <v>42</v>
      </c>
      <c r="F1074" t="s">
        <v>38</v>
      </c>
      <c r="G1074" t="s">
        <v>37</v>
      </c>
      <c r="H1074">
        <f t="shared" si="16"/>
        <v>37800</v>
      </c>
    </row>
    <row r="1075" spans="1:8" x14ac:dyDescent="0.3">
      <c r="A1075" t="s">
        <v>52</v>
      </c>
      <c r="B1075" t="s">
        <v>23</v>
      </c>
      <c r="C1075" t="s">
        <v>18</v>
      </c>
      <c r="D1075">
        <v>0</v>
      </c>
      <c r="E1075" t="s">
        <v>42</v>
      </c>
      <c r="F1075" t="s">
        <v>38</v>
      </c>
      <c r="G1075" t="s">
        <v>37</v>
      </c>
      <c r="H1075">
        <f t="shared" si="16"/>
        <v>0</v>
      </c>
    </row>
    <row r="1076" spans="1:8" x14ac:dyDescent="0.3">
      <c r="A1076" t="s">
        <v>52</v>
      </c>
      <c r="B1076" t="s">
        <v>23</v>
      </c>
      <c r="C1076" t="s">
        <v>19</v>
      </c>
      <c r="D1076">
        <v>23994</v>
      </c>
      <c r="E1076" t="s">
        <v>42</v>
      </c>
      <c r="F1076" t="s">
        <v>38</v>
      </c>
      <c r="G1076" t="s">
        <v>37</v>
      </c>
      <c r="H1076">
        <f t="shared" si="16"/>
        <v>24000</v>
      </c>
    </row>
    <row r="1077" spans="1:8" x14ac:dyDescent="0.3">
      <c r="A1077" t="s">
        <v>52</v>
      </c>
      <c r="B1077" t="s">
        <v>23</v>
      </c>
      <c r="C1077" t="s">
        <v>20</v>
      </c>
      <c r="D1077">
        <v>25468</v>
      </c>
      <c r="E1077" t="s">
        <v>42</v>
      </c>
      <c r="F1077" t="s">
        <v>38</v>
      </c>
      <c r="G1077" t="s">
        <v>37</v>
      </c>
      <c r="H1077">
        <f t="shared" si="16"/>
        <v>25500</v>
      </c>
    </row>
    <row r="1078" spans="1:8" x14ac:dyDescent="0.3">
      <c r="A1078" t="s">
        <v>52</v>
      </c>
      <c r="B1078" t="s">
        <v>23</v>
      </c>
      <c r="C1078" t="s">
        <v>21</v>
      </c>
      <c r="D1078">
        <v>13742</v>
      </c>
      <c r="E1078" t="s">
        <v>42</v>
      </c>
      <c r="F1078" t="s">
        <v>38</v>
      </c>
      <c r="G1078" t="s">
        <v>37</v>
      </c>
      <c r="H1078">
        <f t="shared" si="16"/>
        <v>13700</v>
      </c>
    </row>
    <row r="1079" spans="1:8" x14ac:dyDescent="0.3">
      <c r="A1079" t="s">
        <v>52</v>
      </c>
      <c r="B1079" t="s">
        <v>23</v>
      </c>
      <c r="C1079" t="s">
        <v>22</v>
      </c>
      <c r="D1079">
        <v>19099</v>
      </c>
      <c r="E1079" t="s">
        <v>42</v>
      </c>
      <c r="F1079" t="s">
        <v>38</v>
      </c>
      <c r="G1079" t="s">
        <v>37</v>
      </c>
      <c r="H1079">
        <f t="shared" si="16"/>
        <v>19100</v>
      </c>
    </row>
    <row r="1080" spans="1:8" x14ac:dyDescent="0.3">
      <c r="A1080" t="s">
        <v>53</v>
      </c>
      <c r="B1080" t="s">
        <v>8</v>
      </c>
      <c r="C1080" t="s">
        <v>9</v>
      </c>
      <c r="D1080">
        <v>579</v>
      </c>
      <c r="E1080" t="s">
        <v>42</v>
      </c>
      <c r="F1080" t="s">
        <v>38</v>
      </c>
      <c r="G1080" t="s">
        <v>37</v>
      </c>
      <c r="H1080">
        <f t="shared" si="16"/>
        <v>579</v>
      </c>
    </row>
    <row r="1081" spans="1:8" x14ac:dyDescent="0.3">
      <c r="A1081" t="s">
        <v>53</v>
      </c>
      <c r="B1081" t="s">
        <v>8</v>
      </c>
      <c r="C1081" t="s">
        <v>13</v>
      </c>
      <c r="D1081">
        <v>12</v>
      </c>
      <c r="E1081" t="s">
        <v>42</v>
      </c>
      <c r="F1081" t="s">
        <v>38</v>
      </c>
      <c r="G1081" t="s">
        <v>37</v>
      </c>
      <c r="H1081">
        <f t="shared" si="16"/>
        <v>12</v>
      </c>
    </row>
    <row r="1082" spans="1:8" x14ac:dyDescent="0.3">
      <c r="A1082" t="s">
        <v>53</v>
      </c>
      <c r="B1082" t="s">
        <v>8</v>
      </c>
      <c r="C1082" t="s">
        <v>14</v>
      </c>
      <c r="D1082">
        <v>3915</v>
      </c>
      <c r="E1082" t="s">
        <v>42</v>
      </c>
      <c r="F1082" t="s">
        <v>38</v>
      </c>
      <c r="G1082" t="s">
        <v>37</v>
      </c>
      <c r="H1082">
        <f t="shared" si="16"/>
        <v>3920</v>
      </c>
    </row>
    <row r="1083" spans="1:8" x14ac:dyDescent="0.3">
      <c r="A1083" t="s">
        <v>53</v>
      </c>
      <c r="B1083" t="s">
        <v>8</v>
      </c>
      <c r="C1083" t="s">
        <v>15</v>
      </c>
      <c r="D1083">
        <v>15</v>
      </c>
      <c r="E1083" t="s">
        <v>42</v>
      </c>
      <c r="F1083" t="s">
        <v>38</v>
      </c>
      <c r="G1083" t="s">
        <v>37</v>
      </c>
      <c r="H1083">
        <f t="shared" si="16"/>
        <v>15</v>
      </c>
    </row>
    <row r="1084" spans="1:8" x14ac:dyDescent="0.3">
      <c r="A1084" t="s">
        <v>53</v>
      </c>
      <c r="B1084" t="s">
        <v>8</v>
      </c>
      <c r="C1084" t="s">
        <v>16</v>
      </c>
      <c r="D1084">
        <v>102561</v>
      </c>
      <c r="E1084" t="s">
        <v>42</v>
      </c>
      <c r="F1084" t="s">
        <v>38</v>
      </c>
      <c r="G1084" t="s">
        <v>37</v>
      </c>
      <c r="H1084">
        <f t="shared" si="16"/>
        <v>103000</v>
      </c>
    </row>
    <row r="1085" spans="1:8" x14ac:dyDescent="0.3">
      <c r="A1085" t="s">
        <v>53</v>
      </c>
      <c r="B1085" t="s">
        <v>8</v>
      </c>
      <c r="C1085" t="s">
        <v>17</v>
      </c>
      <c r="D1085">
        <v>1017</v>
      </c>
      <c r="E1085" t="s">
        <v>42</v>
      </c>
      <c r="F1085" t="s">
        <v>38</v>
      </c>
      <c r="G1085" t="s">
        <v>37</v>
      </c>
      <c r="H1085">
        <f t="shared" si="16"/>
        <v>1020</v>
      </c>
    </row>
    <row r="1086" spans="1:8" x14ac:dyDescent="0.3">
      <c r="A1086" t="s">
        <v>53</v>
      </c>
      <c r="B1086" t="s">
        <v>8</v>
      </c>
      <c r="C1086" t="s">
        <v>18</v>
      </c>
      <c r="D1086">
        <v>0</v>
      </c>
      <c r="E1086" t="s">
        <v>42</v>
      </c>
      <c r="F1086" t="s">
        <v>38</v>
      </c>
      <c r="G1086" t="s">
        <v>37</v>
      </c>
      <c r="H1086">
        <f t="shared" si="16"/>
        <v>0</v>
      </c>
    </row>
    <row r="1087" spans="1:8" x14ac:dyDescent="0.3">
      <c r="A1087" t="s">
        <v>53</v>
      </c>
      <c r="B1087" t="s">
        <v>8</v>
      </c>
      <c r="C1087" t="s">
        <v>19</v>
      </c>
      <c r="D1087">
        <v>16</v>
      </c>
      <c r="E1087" t="s">
        <v>42</v>
      </c>
      <c r="F1087" t="s">
        <v>38</v>
      </c>
      <c r="G1087" t="s">
        <v>37</v>
      </c>
      <c r="H1087">
        <f t="shared" si="16"/>
        <v>16</v>
      </c>
    </row>
    <row r="1088" spans="1:8" x14ac:dyDescent="0.3">
      <c r="A1088" t="s">
        <v>53</v>
      </c>
      <c r="B1088" t="s">
        <v>8</v>
      </c>
      <c r="C1088" t="s">
        <v>20</v>
      </c>
      <c r="D1088">
        <v>76</v>
      </c>
      <c r="E1088" t="s">
        <v>42</v>
      </c>
      <c r="F1088" t="s">
        <v>38</v>
      </c>
      <c r="G1088" t="s">
        <v>37</v>
      </c>
      <c r="H1088">
        <f t="shared" si="16"/>
        <v>76</v>
      </c>
    </row>
    <row r="1089" spans="1:8" x14ac:dyDescent="0.3">
      <c r="A1089" t="s">
        <v>53</v>
      </c>
      <c r="B1089" t="s">
        <v>8</v>
      </c>
      <c r="C1089" t="s">
        <v>21</v>
      </c>
      <c r="D1089">
        <v>14</v>
      </c>
      <c r="E1089" t="s">
        <v>42</v>
      </c>
      <c r="F1089" t="s">
        <v>38</v>
      </c>
      <c r="G1089" t="s">
        <v>37</v>
      </c>
      <c r="H1089">
        <f t="shared" si="16"/>
        <v>14</v>
      </c>
    </row>
    <row r="1090" spans="1:8" x14ac:dyDescent="0.3">
      <c r="A1090" t="s">
        <v>53</v>
      </c>
      <c r="B1090" t="s">
        <v>8</v>
      </c>
      <c r="C1090" t="s">
        <v>22</v>
      </c>
      <c r="D1090">
        <v>123</v>
      </c>
      <c r="E1090" t="s">
        <v>42</v>
      </c>
      <c r="F1090" t="s">
        <v>38</v>
      </c>
      <c r="G1090" t="s">
        <v>37</v>
      </c>
      <c r="H1090">
        <f t="shared" si="16"/>
        <v>123</v>
      </c>
    </row>
    <row r="1091" spans="1:8" x14ac:dyDescent="0.3">
      <c r="A1091" t="s">
        <v>53</v>
      </c>
      <c r="B1091" t="s">
        <v>23</v>
      </c>
      <c r="C1091" t="s">
        <v>9</v>
      </c>
      <c r="D1091">
        <v>2576</v>
      </c>
      <c r="E1091" t="s">
        <v>42</v>
      </c>
      <c r="F1091" t="s">
        <v>38</v>
      </c>
      <c r="G1091" t="s">
        <v>37</v>
      </c>
      <c r="H1091">
        <f t="shared" ref="H1091:H1154" si="17">ROUND(D1091, 3 - LEN(INT(ABS(D1091))))</f>
        <v>2580</v>
      </c>
    </row>
    <row r="1092" spans="1:8" x14ac:dyDescent="0.3">
      <c r="A1092" t="s">
        <v>53</v>
      </c>
      <c r="B1092" t="s">
        <v>23</v>
      </c>
      <c r="C1092" t="s">
        <v>13</v>
      </c>
      <c r="D1092">
        <v>3232</v>
      </c>
      <c r="E1092" t="s">
        <v>42</v>
      </c>
      <c r="F1092" t="s">
        <v>38</v>
      </c>
      <c r="G1092" t="s">
        <v>37</v>
      </c>
      <c r="H1092">
        <f t="shared" si="17"/>
        <v>3230</v>
      </c>
    </row>
    <row r="1093" spans="1:8" x14ac:dyDescent="0.3">
      <c r="A1093" t="s">
        <v>53</v>
      </c>
      <c r="B1093" t="s">
        <v>23</v>
      </c>
      <c r="C1093" t="s">
        <v>14</v>
      </c>
      <c r="D1093">
        <v>13095</v>
      </c>
      <c r="E1093" t="s">
        <v>42</v>
      </c>
      <c r="F1093" t="s">
        <v>38</v>
      </c>
      <c r="G1093" t="s">
        <v>37</v>
      </c>
      <c r="H1093">
        <f t="shared" si="17"/>
        <v>13100</v>
      </c>
    </row>
    <row r="1094" spans="1:8" x14ac:dyDescent="0.3">
      <c r="A1094" t="s">
        <v>53</v>
      </c>
      <c r="B1094" t="s">
        <v>23</v>
      </c>
      <c r="C1094" t="s">
        <v>15</v>
      </c>
      <c r="D1094">
        <v>389</v>
      </c>
      <c r="E1094" t="s">
        <v>42</v>
      </c>
      <c r="F1094" t="s">
        <v>38</v>
      </c>
      <c r="G1094" t="s">
        <v>37</v>
      </c>
      <c r="H1094">
        <f t="shared" si="17"/>
        <v>389</v>
      </c>
    </row>
    <row r="1095" spans="1:8" x14ac:dyDescent="0.3">
      <c r="A1095" t="s">
        <v>53</v>
      </c>
      <c r="B1095" t="s">
        <v>23</v>
      </c>
      <c r="C1095" t="s">
        <v>16</v>
      </c>
      <c r="D1095">
        <v>2371189</v>
      </c>
      <c r="E1095" t="s">
        <v>42</v>
      </c>
      <c r="F1095" t="s">
        <v>38</v>
      </c>
      <c r="G1095" t="s">
        <v>37</v>
      </c>
      <c r="H1095">
        <f t="shared" si="17"/>
        <v>2370000</v>
      </c>
    </row>
    <row r="1096" spans="1:8" x14ac:dyDescent="0.3">
      <c r="A1096" t="s">
        <v>53</v>
      </c>
      <c r="B1096" t="s">
        <v>23</v>
      </c>
      <c r="C1096" t="s">
        <v>17</v>
      </c>
      <c r="D1096">
        <v>568</v>
      </c>
      <c r="E1096" t="s">
        <v>42</v>
      </c>
      <c r="F1096" t="s">
        <v>38</v>
      </c>
      <c r="G1096" t="s">
        <v>37</v>
      </c>
      <c r="H1096">
        <f t="shared" si="17"/>
        <v>568</v>
      </c>
    </row>
    <row r="1097" spans="1:8" x14ac:dyDescent="0.3">
      <c r="A1097" t="s">
        <v>53</v>
      </c>
      <c r="B1097" t="s">
        <v>23</v>
      </c>
      <c r="C1097" t="s">
        <v>18</v>
      </c>
      <c r="D1097">
        <v>25</v>
      </c>
      <c r="E1097" t="s">
        <v>42</v>
      </c>
      <c r="F1097" t="s">
        <v>38</v>
      </c>
      <c r="G1097" t="s">
        <v>37</v>
      </c>
      <c r="H1097">
        <f t="shared" si="17"/>
        <v>25</v>
      </c>
    </row>
    <row r="1098" spans="1:8" x14ac:dyDescent="0.3">
      <c r="A1098" t="s">
        <v>53</v>
      </c>
      <c r="B1098" t="s">
        <v>23</v>
      </c>
      <c r="C1098" t="s">
        <v>19</v>
      </c>
      <c r="D1098">
        <v>1846</v>
      </c>
      <c r="E1098" t="s">
        <v>42</v>
      </c>
      <c r="F1098" t="s">
        <v>38</v>
      </c>
      <c r="G1098" t="s">
        <v>37</v>
      </c>
      <c r="H1098">
        <f t="shared" si="17"/>
        <v>1850</v>
      </c>
    </row>
    <row r="1099" spans="1:8" x14ac:dyDescent="0.3">
      <c r="A1099" t="s">
        <v>53</v>
      </c>
      <c r="B1099" t="s">
        <v>23</v>
      </c>
      <c r="C1099" t="s">
        <v>20</v>
      </c>
      <c r="D1099">
        <v>20560</v>
      </c>
      <c r="E1099" t="s">
        <v>42</v>
      </c>
      <c r="F1099" t="s">
        <v>38</v>
      </c>
      <c r="G1099" t="s">
        <v>37</v>
      </c>
      <c r="H1099">
        <f t="shared" si="17"/>
        <v>20600</v>
      </c>
    </row>
    <row r="1100" spans="1:8" x14ac:dyDescent="0.3">
      <c r="A1100" t="s">
        <v>53</v>
      </c>
      <c r="B1100" t="s">
        <v>23</v>
      </c>
      <c r="C1100" t="s">
        <v>21</v>
      </c>
      <c r="D1100">
        <v>926</v>
      </c>
      <c r="E1100" t="s">
        <v>42</v>
      </c>
      <c r="F1100" t="s">
        <v>38</v>
      </c>
      <c r="G1100" t="s">
        <v>37</v>
      </c>
      <c r="H1100">
        <f t="shared" si="17"/>
        <v>926</v>
      </c>
    </row>
    <row r="1101" spans="1:8" x14ac:dyDescent="0.3">
      <c r="A1101" t="s">
        <v>53</v>
      </c>
      <c r="B1101" t="s">
        <v>23</v>
      </c>
      <c r="C1101" t="s">
        <v>22</v>
      </c>
      <c r="D1101">
        <v>1960</v>
      </c>
      <c r="E1101" t="s">
        <v>42</v>
      </c>
      <c r="F1101" t="s">
        <v>38</v>
      </c>
      <c r="G1101" t="s">
        <v>37</v>
      </c>
      <c r="H1101">
        <f t="shared" si="17"/>
        <v>1960</v>
      </c>
    </row>
    <row r="1102" spans="1:8" x14ac:dyDescent="0.3">
      <c r="A1102" t="s">
        <v>33</v>
      </c>
      <c r="B1102" t="s">
        <v>8</v>
      </c>
      <c r="C1102" t="s">
        <v>9</v>
      </c>
      <c r="D1102">
        <v>5906</v>
      </c>
      <c r="E1102" t="s">
        <v>42</v>
      </c>
      <c r="F1102" t="s">
        <v>38</v>
      </c>
      <c r="G1102" t="s">
        <v>37</v>
      </c>
      <c r="H1102">
        <f t="shared" si="17"/>
        <v>5910</v>
      </c>
    </row>
    <row r="1103" spans="1:8" x14ac:dyDescent="0.3">
      <c r="A1103" t="s">
        <v>33</v>
      </c>
      <c r="B1103" t="s">
        <v>8</v>
      </c>
      <c r="C1103" t="s">
        <v>13</v>
      </c>
      <c r="D1103">
        <v>578</v>
      </c>
      <c r="E1103" t="s">
        <v>42</v>
      </c>
      <c r="F1103" t="s">
        <v>38</v>
      </c>
      <c r="G1103" t="s">
        <v>37</v>
      </c>
      <c r="H1103">
        <f t="shared" si="17"/>
        <v>578</v>
      </c>
    </row>
    <row r="1104" spans="1:8" x14ac:dyDescent="0.3">
      <c r="A1104" t="s">
        <v>33</v>
      </c>
      <c r="B1104" t="s">
        <v>8</v>
      </c>
      <c r="C1104" t="s">
        <v>14</v>
      </c>
      <c r="D1104">
        <v>11521</v>
      </c>
      <c r="E1104" t="s">
        <v>42</v>
      </c>
      <c r="F1104" t="s">
        <v>38</v>
      </c>
      <c r="G1104" t="s">
        <v>37</v>
      </c>
      <c r="H1104">
        <f t="shared" si="17"/>
        <v>11500</v>
      </c>
    </row>
    <row r="1105" spans="1:8" x14ac:dyDescent="0.3">
      <c r="A1105" t="s">
        <v>33</v>
      </c>
      <c r="B1105" t="s">
        <v>8</v>
      </c>
      <c r="C1105" t="s">
        <v>15</v>
      </c>
      <c r="D1105">
        <v>186</v>
      </c>
      <c r="E1105" t="s">
        <v>42</v>
      </c>
      <c r="F1105" t="s">
        <v>38</v>
      </c>
      <c r="G1105" t="s">
        <v>37</v>
      </c>
      <c r="H1105">
        <f t="shared" si="17"/>
        <v>186</v>
      </c>
    </row>
    <row r="1106" spans="1:8" x14ac:dyDescent="0.3">
      <c r="A1106" t="s">
        <v>33</v>
      </c>
      <c r="B1106" t="s">
        <v>8</v>
      </c>
      <c r="C1106" t="s">
        <v>16</v>
      </c>
      <c r="D1106">
        <v>289663</v>
      </c>
      <c r="E1106" t="s">
        <v>42</v>
      </c>
      <c r="F1106" t="s">
        <v>38</v>
      </c>
      <c r="G1106" t="s">
        <v>37</v>
      </c>
      <c r="H1106">
        <f t="shared" si="17"/>
        <v>290000</v>
      </c>
    </row>
    <row r="1107" spans="1:8" x14ac:dyDescent="0.3">
      <c r="A1107" t="s">
        <v>33</v>
      </c>
      <c r="B1107" t="s">
        <v>8</v>
      </c>
      <c r="C1107" t="s">
        <v>17</v>
      </c>
      <c r="D1107">
        <v>4642</v>
      </c>
      <c r="E1107" t="s">
        <v>42</v>
      </c>
      <c r="F1107" t="s">
        <v>38</v>
      </c>
      <c r="G1107" t="s">
        <v>37</v>
      </c>
      <c r="H1107">
        <f t="shared" si="17"/>
        <v>4640</v>
      </c>
    </row>
    <row r="1108" spans="1:8" x14ac:dyDescent="0.3">
      <c r="A1108" t="s">
        <v>33</v>
      </c>
      <c r="B1108" t="s">
        <v>8</v>
      </c>
      <c r="C1108" t="s">
        <v>18</v>
      </c>
      <c r="D1108">
        <v>0</v>
      </c>
      <c r="E1108" t="s">
        <v>42</v>
      </c>
      <c r="F1108" t="s">
        <v>38</v>
      </c>
      <c r="G1108" t="s">
        <v>37</v>
      </c>
      <c r="H1108">
        <f t="shared" si="17"/>
        <v>0</v>
      </c>
    </row>
    <row r="1109" spans="1:8" x14ac:dyDescent="0.3">
      <c r="A1109" t="s">
        <v>33</v>
      </c>
      <c r="B1109" t="s">
        <v>8</v>
      </c>
      <c r="C1109" t="s">
        <v>19</v>
      </c>
      <c r="D1109">
        <v>114</v>
      </c>
      <c r="E1109" t="s">
        <v>42</v>
      </c>
      <c r="F1109" t="s">
        <v>38</v>
      </c>
      <c r="G1109" t="s">
        <v>37</v>
      </c>
      <c r="H1109">
        <f t="shared" si="17"/>
        <v>114</v>
      </c>
    </row>
    <row r="1110" spans="1:8" x14ac:dyDescent="0.3">
      <c r="A1110" t="s">
        <v>33</v>
      </c>
      <c r="B1110" t="s">
        <v>8</v>
      </c>
      <c r="C1110" t="s">
        <v>20</v>
      </c>
      <c r="D1110">
        <v>242</v>
      </c>
      <c r="E1110" t="s">
        <v>42</v>
      </c>
      <c r="F1110" t="s">
        <v>38</v>
      </c>
      <c r="G1110" t="s">
        <v>37</v>
      </c>
      <c r="H1110">
        <f t="shared" si="17"/>
        <v>242</v>
      </c>
    </row>
    <row r="1111" spans="1:8" x14ac:dyDescent="0.3">
      <c r="A1111" t="s">
        <v>33</v>
      </c>
      <c r="B1111" t="s">
        <v>8</v>
      </c>
      <c r="C1111" t="s">
        <v>21</v>
      </c>
      <c r="D1111">
        <v>315</v>
      </c>
      <c r="E1111" t="s">
        <v>42</v>
      </c>
      <c r="F1111" t="s">
        <v>38</v>
      </c>
      <c r="G1111" t="s">
        <v>37</v>
      </c>
      <c r="H1111">
        <f t="shared" si="17"/>
        <v>315</v>
      </c>
    </row>
    <row r="1112" spans="1:8" x14ac:dyDescent="0.3">
      <c r="A1112" t="s">
        <v>33</v>
      </c>
      <c r="B1112" t="s">
        <v>8</v>
      </c>
      <c r="C1112" t="s">
        <v>22</v>
      </c>
      <c r="D1112">
        <v>1924</v>
      </c>
      <c r="E1112" t="s">
        <v>42</v>
      </c>
      <c r="F1112" t="s">
        <v>38</v>
      </c>
      <c r="G1112" t="s">
        <v>37</v>
      </c>
      <c r="H1112">
        <f t="shared" si="17"/>
        <v>1920</v>
      </c>
    </row>
    <row r="1113" spans="1:8" x14ac:dyDescent="0.3">
      <c r="A1113" t="s">
        <v>33</v>
      </c>
      <c r="B1113" t="s">
        <v>23</v>
      </c>
      <c r="C1113" t="s">
        <v>9</v>
      </c>
      <c r="D1113">
        <v>427334</v>
      </c>
      <c r="E1113" t="s">
        <v>42</v>
      </c>
      <c r="F1113" t="s">
        <v>38</v>
      </c>
      <c r="G1113" t="s">
        <v>37</v>
      </c>
      <c r="H1113">
        <f t="shared" si="17"/>
        <v>427000</v>
      </c>
    </row>
    <row r="1114" spans="1:8" x14ac:dyDescent="0.3">
      <c r="A1114" t="s">
        <v>33</v>
      </c>
      <c r="B1114" t="s">
        <v>23</v>
      </c>
      <c r="C1114" t="s">
        <v>13</v>
      </c>
      <c r="D1114">
        <v>28512</v>
      </c>
      <c r="E1114" t="s">
        <v>42</v>
      </c>
      <c r="F1114" t="s">
        <v>38</v>
      </c>
      <c r="G1114" t="s">
        <v>37</v>
      </c>
      <c r="H1114">
        <f t="shared" si="17"/>
        <v>28500</v>
      </c>
    </row>
    <row r="1115" spans="1:8" x14ac:dyDescent="0.3">
      <c r="A1115" t="s">
        <v>33</v>
      </c>
      <c r="B1115" t="s">
        <v>23</v>
      </c>
      <c r="C1115" t="s">
        <v>14</v>
      </c>
      <c r="D1115">
        <v>295857</v>
      </c>
      <c r="E1115" t="s">
        <v>42</v>
      </c>
      <c r="F1115" t="s">
        <v>38</v>
      </c>
      <c r="G1115" t="s">
        <v>37</v>
      </c>
      <c r="H1115">
        <f t="shared" si="17"/>
        <v>296000</v>
      </c>
    </row>
    <row r="1116" spans="1:8" x14ac:dyDescent="0.3">
      <c r="A1116" t="s">
        <v>33</v>
      </c>
      <c r="B1116" t="s">
        <v>23</v>
      </c>
      <c r="C1116" t="s">
        <v>15</v>
      </c>
      <c r="D1116">
        <v>3405</v>
      </c>
      <c r="E1116" t="s">
        <v>42</v>
      </c>
      <c r="F1116" t="s">
        <v>38</v>
      </c>
      <c r="G1116" t="s">
        <v>37</v>
      </c>
      <c r="H1116">
        <f t="shared" si="17"/>
        <v>3410</v>
      </c>
    </row>
    <row r="1117" spans="1:8" x14ac:dyDescent="0.3">
      <c r="A1117" t="s">
        <v>33</v>
      </c>
      <c r="B1117" t="s">
        <v>23</v>
      </c>
      <c r="C1117" t="s">
        <v>16</v>
      </c>
      <c r="D1117">
        <v>6783150</v>
      </c>
      <c r="E1117" t="s">
        <v>42</v>
      </c>
      <c r="F1117" t="s">
        <v>38</v>
      </c>
      <c r="G1117" t="s">
        <v>37</v>
      </c>
      <c r="H1117">
        <f t="shared" si="17"/>
        <v>6780000</v>
      </c>
    </row>
    <row r="1118" spans="1:8" x14ac:dyDescent="0.3">
      <c r="A1118" t="s">
        <v>33</v>
      </c>
      <c r="B1118" t="s">
        <v>23</v>
      </c>
      <c r="C1118" t="s">
        <v>17</v>
      </c>
      <c r="D1118">
        <v>13602</v>
      </c>
      <c r="E1118" t="s">
        <v>42</v>
      </c>
      <c r="F1118" t="s">
        <v>38</v>
      </c>
      <c r="G1118" t="s">
        <v>37</v>
      </c>
      <c r="H1118">
        <f t="shared" si="17"/>
        <v>13600</v>
      </c>
    </row>
    <row r="1119" spans="1:8" x14ac:dyDescent="0.3">
      <c r="A1119" t="s">
        <v>33</v>
      </c>
      <c r="B1119" t="s">
        <v>23</v>
      </c>
      <c r="C1119" t="s">
        <v>18</v>
      </c>
      <c r="D1119">
        <v>70</v>
      </c>
      <c r="E1119" t="s">
        <v>42</v>
      </c>
      <c r="F1119" t="s">
        <v>38</v>
      </c>
      <c r="G1119" t="s">
        <v>37</v>
      </c>
      <c r="H1119">
        <f t="shared" si="17"/>
        <v>70</v>
      </c>
    </row>
    <row r="1120" spans="1:8" x14ac:dyDescent="0.3">
      <c r="A1120" t="s">
        <v>33</v>
      </c>
      <c r="B1120" t="s">
        <v>23</v>
      </c>
      <c r="C1120" t="s">
        <v>19</v>
      </c>
      <c r="D1120">
        <v>12821</v>
      </c>
      <c r="E1120" t="s">
        <v>42</v>
      </c>
      <c r="F1120" t="s">
        <v>38</v>
      </c>
      <c r="G1120" t="s">
        <v>37</v>
      </c>
      <c r="H1120">
        <f t="shared" si="17"/>
        <v>12800</v>
      </c>
    </row>
    <row r="1121" spans="1:8" x14ac:dyDescent="0.3">
      <c r="A1121" t="s">
        <v>33</v>
      </c>
      <c r="B1121" t="s">
        <v>23</v>
      </c>
      <c r="C1121" t="s">
        <v>20</v>
      </c>
      <c r="D1121">
        <v>66034</v>
      </c>
      <c r="E1121" t="s">
        <v>42</v>
      </c>
      <c r="F1121" t="s">
        <v>38</v>
      </c>
      <c r="G1121" t="s">
        <v>37</v>
      </c>
      <c r="H1121">
        <f t="shared" si="17"/>
        <v>66000</v>
      </c>
    </row>
    <row r="1122" spans="1:8" x14ac:dyDescent="0.3">
      <c r="A1122" t="s">
        <v>33</v>
      </c>
      <c r="B1122" t="s">
        <v>23</v>
      </c>
      <c r="C1122" t="s">
        <v>21</v>
      </c>
      <c r="D1122">
        <v>6972</v>
      </c>
      <c r="E1122" t="s">
        <v>42</v>
      </c>
      <c r="F1122" t="s">
        <v>38</v>
      </c>
      <c r="G1122" t="s">
        <v>37</v>
      </c>
      <c r="H1122">
        <f t="shared" si="17"/>
        <v>6970</v>
      </c>
    </row>
    <row r="1123" spans="1:8" x14ac:dyDescent="0.3">
      <c r="A1123" t="s">
        <v>33</v>
      </c>
      <c r="B1123" t="s">
        <v>23</v>
      </c>
      <c r="C1123" t="s">
        <v>22</v>
      </c>
      <c r="D1123">
        <v>11589</v>
      </c>
      <c r="E1123" t="s">
        <v>42</v>
      </c>
      <c r="F1123" t="s">
        <v>38</v>
      </c>
      <c r="G1123" t="s">
        <v>37</v>
      </c>
      <c r="H1123">
        <f t="shared" si="17"/>
        <v>11600</v>
      </c>
    </row>
    <row r="1124" spans="1:8" x14ac:dyDescent="0.3">
      <c r="A1124" t="s">
        <v>54</v>
      </c>
      <c r="B1124" t="s">
        <v>8</v>
      </c>
      <c r="C1124" t="s">
        <v>9</v>
      </c>
      <c r="D1124">
        <v>16577</v>
      </c>
      <c r="E1124" t="s">
        <v>42</v>
      </c>
      <c r="F1124" t="s">
        <v>38</v>
      </c>
      <c r="G1124" t="s">
        <v>37</v>
      </c>
      <c r="H1124">
        <f t="shared" si="17"/>
        <v>16600</v>
      </c>
    </row>
    <row r="1125" spans="1:8" x14ac:dyDescent="0.3">
      <c r="A1125" t="s">
        <v>54</v>
      </c>
      <c r="B1125" t="s">
        <v>8</v>
      </c>
      <c r="C1125" t="s">
        <v>13</v>
      </c>
      <c r="D1125">
        <v>2114</v>
      </c>
      <c r="E1125" t="s">
        <v>42</v>
      </c>
      <c r="F1125" t="s">
        <v>38</v>
      </c>
      <c r="G1125" t="s">
        <v>37</v>
      </c>
      <c r="H1125">
        <f t="shared" si="17"/>
        <v>2110</v>
      </c>
    </row>
    <row r="1126" spans="1:8" x14ac:dyDescent="0.3">
      <c r="A1126" t="s">
        <v>54</v>
      </c>
      <c r="B1126" t="s">
        <v>8</v>
      </c>
      <c r="C1126" t="s">
        <v>14</v>
      </c>
      <c r="D1126">
        <v>1884</v>
      </c>
      <c r="E1126" t="s">
        <v>42</v>
      </c>
      <c r="F1126" t="s">
        <v>38</v>
      </c>
      <c r="G1126" t="s">
        <v>37</v>
      </c>
      <c r="H1126">
        <f t="shared" si="17"/>
        <v>1880</v>
      </c>
    </row>
    <row r="1127" spans="1:8" x14ac:dyDescent="0.3">
      <c r="A1127" t="s">
        <v>54</v>
      </c>
      <c r="B1127" t="s">
        <v>8</v>
      </c>
      <c r="C1127" t="s">
        <v>15</v>
      </c>
      <c r="D1127">
        <v>561</v>
      </c>
      <c r="E1127" t="s">
        <v>42</v>
      </c>
      <c r="F1127" t="s">
        <v>38</v>
      </c>
      <c r="G1127" t="s">
        <v>37</v>
      </c>
      <c r="H1127">
        <f t="shared" si="17"/>
        <v>561</v>
      </c>
    </row>
    <row r="1128" spans="1:8" x14ac:dyDescent="0.3">
      <c r="A1128" t="s">
        <v>54</v>
      </c>
      <c r="B1128" t="s">
        <v>8</v>
      </c>
      <c r="C1128" t="s">
        <v>16</v>
      </c>
      <c r="D1128">
        <v>2317</v>
      </c>
      <c r="E1128" t="s">
        <v>42</v>
      </c>
      <c r="F1128" t="s">
        <v>38</v>
      </c>
      <c r="G1128" t="s">
        <v>37</v>
      </c>
      <c r="H1128">
        <f t="shared" si="17"/>
        <v>2320</v>
      </c>
    </row>
    <row r="1129" spans="1:8" x14ac:dyDescent="0.3">
      <c r="A1129" t="s">
        <v>54</v>
      </c>
      <c r="B1129" t="s">
        <v>8</v>
      </c>
      <c r="C1129" t="s">
        <v>17</v>
      </c>
      <c r="D1129">
        <v>6888</v>
      </c>
      <c r="E1129" t="s">
        <v>42</v>
      </c>
      <c r="F1129" t="s">
        <v>38</v>
      </c>
      <c r="G1129" t="s">
        <v>37</v>
      </c>
      <c r="H1129">
        <f t="shared" si="17"/>
        <v>6890</v>
      </c>
    </row>
    <row r="1130" spans="1:8" x14ac:dyDescent="0.3">
      <c r="A1130" t="s">
        <v>54</v>
      </c>
      <c r="B1130" t="s">
        <v>8</v>
      </c>
      <c r="C1130" t="s">
        <v>18</v>
      </c>
      <c r="D1130">
        <v>0</v>
      </c>
      <c r="E1130" t="s">
        <v>42</v>
      </c>
      <c r="F1130" t="s">
        <v>38</v>
      </c>
      <c r="G1130" t="s">
        <v>37</v>
      </c>
      <c r="H1130">
        <f t="shared" si="17"/>
        <v>0</v>
      </c>
    </row>
    <row r="1131" spans="1:8" x14ac:dyDescent="0.3">
      <c r="A1131" t="s">
        <v>54</v>
      </c>
      <c r="B1131" t="s">
        <v>8</v>
      </c>
      <c r="C1131" t="s">
        <v>19</v>
      </c>
      <c r="D1131">
        <v>265</v>
      </c>
      <c r="E1131" t="s">
        <v>42</v>
      </c>
      <c r="F1131" t="s">
        <v>38</v>
      </c>
      <c r="G1131" t="s">
        <v>37</v>
      </c>
      <c r="H1131">
        <f t="shared" si="17"/>
        <v>265</v>
      </c>
    </row>
    <row r="1132" spans="1:8" x14ac:dyDescent="0.3">
      <c r="A1132" t="s">
        <v>54</v>
      </c>
      <c r="B1132" t="s">
        <v>8</v>
      </c>
      <c r="C1132" t="s">
        <v>20</v>
      </c>
      <c r="D1132">
        <v>107</v>
      </c>
      <c r="E1132" t="s">
        <v>42</v>
      </c>
      <c r="F1132" t="s">
        <v>38</v>
      </c>
      <c r="G1132" t="s">
        <v>37</v>
      </c>
      <c r="H1132">
        <f t="shared" si="17"/>
        <v>107</v>
      </c>
    </row>
    <row r="1133" spans="1:8" x14ac:dyDescent="0.3">
      <c r="A1133" t="s">
        <v>54</v>
      </c>
      <c r="B1133" t="s">
        <v>8</v>
      </c>
      <c r="C1133" t="s">
        <v>21</v>
      </c>
      <c r="D1133">
        <v>1071</v>
      </c>
      <c r="E1133" t="s">
        <v>42</v>
      </c>
      <c r="F1133" t="s">
        <v>38</v>
      </c>
      <c r="G1133" t="s">
        <v>37</v>
      </c>
      <c r="H1133">
        <f t="shared" si="17"/>
        <v>1070</v>
      </c>
    </row>
    <row r="1134" spans="1:8" x14ac:dyDescent="0.3">
      <c r="A1134" t="s">
        <v>54</v>
      </c>
      <c r="B1134" t="s">
        <v>8</v>
      </c>
      <c r="C1134" t="s">
        <v>22</v>
      </c>
      <c r="D1134">
        <v>6118</v>
      </c>
      <c r="E1134" t="s">
        <v>42</v>
      </c>
      <c r="F1134" t="s">
        <v>38</v>
      </c>
      <c r="G1134" t="s">
        <v>37</v>
      </c>
      <c r="H1134">
        <f t="shared" si="17"/>
        <v>6120</v>
      </c>
    </row>
    <row r="1135" spans="1:8" x14ac:dyDescent="0.3">
      <c r="A1135" t="s">
        <v>54</v>
      </c>
      <c r="B1135" t="s">
        <v>23</v>
      </c>
      <c r="C1135" t="s">
        <v>9</v>
      </c>
      <c r="D1135">
        <v>1629295</v>
      </c>
      <c r="E1135" t="s">
        <v>42</v>
      </c>
      <c r="F1135" t="s">
        <v>38</v>
      </c>
      <c r="G1135" t="s">
        <v>37</v>
      </c>
      <c r="H1135">
        <f t="shared" si="17"/>
        <v>1630000</v>
      </c>
    </row>
    <row r="1136" spans="1:8" x14ac:dyDescent="0.3">
      <c r="A1136" t="s">
        <v>54</v>
      </c>
      <c r="B1136" t="s">
        <v>23</v>
      </c>
      <c r="C1136" t="s">
        <v>13</v>
      </c>
      <c r="D1136">
        <v>75259</v>
      </c>
      <c r="E1136" t="s">
        <v>42</v>
      </c>
      <c r="F1136" t="s">
        <v>38</v>
      </c>
      <c r="G1136" t="s">
        <v>37</v>
      </c>
      <c r="H1136">
        <f t="shared" si="17"/>
        <v>75300</v>
      </c>
    </row>
    <row r="1137" spans="1:8" x14ac:dyDescent="0.3">
      <c r="A1137" t="s">
        <v>54</v>
      </c>
      <c r="B1137" t="s">
        <v>23</v>
      </c>
      <c r="C1137" t="s">
        <v>14</v>
      </c>
      <c r="D1137">
        <v>1004362</v>
      </c>
      <c r="E1137" t="s">
        <v>42</v>
      </c>
      <c r="F1137" t="s">
        <v>38</v>
      </c>
      <c r="G1137" t="s">
        <v>37</v>
      </c>
      <c r="H1137">
        <f t="shared" si="17"/>
        <v>1000000</v>
      </c>
    </row>
    <row r="1138" spans="1:8" x14ac:dyDescent="0.3">
      <c r="A1138" t="s">
        <v>54</v>
      </c>
      <c r="B1138" t="s">
        <v>23</v>
      </c>
      <c r="C1138" t="s">
        <v>15</v>
      </c>
      <c r="D1138">
        <v>8953</v>
      </c>
      <c r="E1138" t="s">
        <v>42</v>
      </c>
      <c r="F1138" t="s">
        <v>38</v>
      </c>
      <c r="G1138" t="s">
        <v>37</v>
      </c>
      <c r="H1138">
        <f t="shared" si="17"/>
        <v>8950</v>
      </c>
    </row>
    <row r="1139" spans="1:8" x14ac:dyDescent="0.3">
      <c r="A1139" t="s">
        <v>54</v>
      </c>
      <c r="B1139" t="s">
        <v>23</v>
      </c>
      <c r="C1139" t="s">
        <v>16</v>
      </c>
      <c r="D1139">
        <v>387929</v>
      </c>
      <c r="E1139" t="s">
        <v>42</v>
      </c>
      <c r="F1139" t="s">
        <v>38</v>
      </c>
      <c r="G1139" t="s">
        <v>37</v>
      </c>
      <c r="H1139">
        <f t="shared" si="17"/>
        <v>388000</v>
      </c>
    </row>
    <row r="1140" spans="1:8" x14ac:dyDescent="0.3">
      <c r="A1140" t="s">
        <v>54</v>
      </c>
      <c r="B1140" t="s">
        <v>23</v>
      </c>
      <c r="C1140" t="s">
        <v>17</v>
      </c>
      <c r="D1140">
        <v>46543</v>
      </c>
      <c r="E1140" t="s">
        <v>42</v>
      </c>
      <c r="F1140" t="s">
        <v>38</v>
      </c>
      <c r="G1140" t="s">
        <v>37</v>
      </c>
      <c r="H1140">
        <f t="shared" si="17"/>
        <v>46500</v>
      </c>
    </row>
    <row r="1141" spans="1:8" x14ac:dyDescent="0.3">
      <c r="A1141" t="s">
        <v>54</v>
      </c>
      <c r="B1141" t="s">
        <v>23</v>
      </c>
      <c r="C1141" t="s">
        <v>18</v>
      </c>
      <c r="D1141">
        <v>0</v>
      </c>
      <c r="E1141" t="s">
        <v>42</v>
      </c>
      <c r="F1141" t="s">
        <v>38</v>
      </c>
      <c r="G1141" t="s">
        <v>37</v>
      </c>
      <c r="H1141">
        <f t="shared" si="17"/>
        <v>0</v>
      </c>
    </row>
    <row r="1142" spans="1:8" x14ac:dyDescent="0.3">
      <c r="A1142" t="s">
        <v>54</v>
      </c>
      <c r="B1142" t="s">
        <v>23</v>
      </c>
      <c r="C1142" t="s">
        <v>19</v>
      </c>
      <c r="D1142">
        <v>29547</v>
      </c>
      <c r="E1142" t="s">
        <v>42</v>
      </c>
      <c r="F1142" t="s">
        <v>38</v>
      </c>
      <c r="G1142" t="s">
        <v>37</v>
      </c>
      <c r="H1142">
        <f t="shared" si="17"/>
        <v>29500</v>
      </c>
    </row>
    <row r="1143" spans="1:8" x14ac:dyDescent="0.3">
      <c r="A1143" t="s">
        <v>54</v>
      </c>
      <c r="B1143" t="s">
        <v>23</v>
      </c>
      <c r="C1143" t="s">
        <v>20</v>
      </c>
      <c r="D1143">
        <v>31361</v>
      </c>
      <c r="E1143" t="s">
        <v>42</v>
      </c>
      <c r="F1143" t="s">
        <v>38</v>
      </c>
      <c r="G1143" t="s">
        <v>37</v>
      </c>
      <c r="H1143">
        <f t="shared" si="17"/>
        <v>31400</v>
      </c>
    </row>
    <row r="1144" spans="1:8" x14ac:dyDescent="0.3">
      <c r="A1144" t="s">
        <v>54</v>
      </c>
      <c r="B1144" t="s">
        <v>23</v>
      </c>
      <c r="C1144" t="s">
        <v>21</v>
      </c>
      <c r="D1144">
        <v>16922</v>
      </c>
      <c r="E1144" t="s">
        <v>42</v>
      </c>
      <c r="F1144" t="s">
        <v>38</v>
      </c>
      <c r="G1144" t="s">
        <v>37</v>
      </c>
      <c r="H1144">
        <f t="shared" si="17"/>
        <v>16900</v>
      </c>
    </row>
    <row r="1145" spans="1:8" x14ac:dyDescent="0.3">
      <c r="A1145" t="s">
        <v>54</v>
      </c>
      <c r="B1145" t="s">
        <v>23</v>
      </c>
      <c r="C1145" t="s">
        <v>22</v>
      </c>
      <c r="D1145">
        <v>23518</v>
      </c>
      <c r="E1145" t="s">
        <v>42</v>
      </c>
      <c r="F1145" t="s">
        <v>38</v>
      </c>
      <c r="G1145" t="s">
        <v>37</v>
      </c>
      <c r="H1145">
        <f t="shared" si="17"/>
        <v>23500</v>
      </c>
    </row>
    <row r="1146" spans="1:8" x14ac:dyDescent="0.3">
      <c r="A1146" t="s">
        <v>55</v>
      </c>
      <c r="B1146" t="s">
        <v>8</v>
      </c>
      <c r="C1146" t="s">
        <v>9</v>
      </c>
      <c r="D1146">
        <v>24211</v>
      </c>
      <c r="E1146" t="s">
        <v>42</v>
      </c>
      <c r="F1146" t="s">
        <v>38</v>
      </c>
      <c r="G1146" t="s">
        <v>37</v>
      </c>
      <c r="H1146">
        <f t="shared" si="17"/>
        <v>24200</v>
      </c>
    </row>
    <row r="1147" spans="1:8" x14ac:dyDescent="0.3">
      <c r="A1147" t="s">
        <v>55</v>
      </c>
      <c r="B1147" t="s">
        <v>8</v>
      </c>
      <c r="C1147" t="s">
        <v>13</v>
      </c>
      <c r="D1147">
        <v>3087</v>
      </c>
      <c r="E1147" t="s">
        <v>42</v>
      </c>
      <c r="F1147" t="s">
        <v>38</v>
      </c>
      <c r="G1147" t="s">
        <v>37</v>
      </c>
      <c r="H1147">
        <f t="shared" si="17"/>
        <v>3090</v>
      </c>
    </row>
    <row r="1148" spans="1:8" x14ac:dyDescent="0.3">
      <c r="A1148" t="s">
        <v>55</v>
      </c>
      <c r="B1148" t="s">
        <v>8</v>
      </c>
      <c r="C1148" t="s">
        <v>14</v>
      </c>
      <c r="D1148">
        <v>2751</v>
      </c>
      <c r="E1148" t="s">
        <v>42</v>
      </c>
      <c r="F1148" t="s">
        <v>38</v>
      </c>
      <c r="G1148" t="s">
        <v>37</v>
      </c>
      <c r="H1148">
        <f t="shared" si="17"/>
        <v>2750</v>
      </c>
    </row>
    <row r="1149" spans="1:8" x14ac:dyDescent="0.3">
      <c r="A1149" t="s">
        <v>55</v>
      </c>
      <c r="B1149" t="s">
        <v>8</v>
      </c>
      <c r="C1149" t="s">
        <v>15</v>
      </c>
      <c r="D1149">
        <v>819</v>
      </c>
      <c r="E1149" t="s">
        <v>42</v>
      </c>
      <c r="F1149" t="s">
        <v>38</v>
      </c>
      <c r="G1149" t="s">
        <v>37</v>
      </c>
      <c r="H1149">
        <f t="shared" si="17"/>
        <v>819</v>
      </c>
    </row>
    <row r="1150" spans="1:8" x14ac:dyDescent="0.3">
      <c r="A1150" t="s">
        <v>55</v>
      </c>
      <c r="B1150" t="s">
        <v>8</v>
      </c>
      <c r="C1150" t="s">
        <v>16</v>
      </c>
      <c r="D1150">
        <v>3384</v>
      </c>
      <c r="E1150" t="s">
        <v>42</v>
      </c>
      <c r="F1150" t="s">
        <v>38</v>
      </c>
      <c r="G1150" t="s">
        <v>37</v>
      </c>
      <c r="H1150">
        <f t="shared" si="17"/>
        <v>3380</v>
      </c>
    </row>
    <row r="1151" spans="1:8" x14ac:dyDescent="0.3">
      <c r="A1151" t="s">
        <v>55</v>
      </c>
      <c r="B1151" t="s">
        <v>8</v>
      </c>
      <c r="C1151" t="s">
        <v>17</v>
      </c>
      <c r="D1151">
        <v>10060</v>
      </c>
      <c r="E1151" t="s">
        <v>42</v>
      </c>
      <c r="F1151" t="s">
        <v>38</v>
      </c>
      <c r="G1151" t="s">
        <v>37</v>
      </c>
      <c r="H1151">
        <f t="shared" si="17"/>
        <v>10100</v>
      </c>
    </row>
    <row r="1152" spans="1:8" x14ac:dyDescent="0.3">
      <c r="A1152" t="s">
        <v>55</v>
      </c>
      <c r="B1152" t="s">
        <v>8</v>
      </c>
      <c r="C1152" t="s">
        <v>18</v>
      </c>
      <c r="D1152">
        <v>0</v>
      </c>
      <c r="E1152" t="s">
        <v>42</v>
      </c>
      <c r="F1152" t="s">
        <v>38</v>
      </c>
      <c r="G1152" t="s">
        <v>37</v>
      </c>
      <c r="H1152">
        <f t="shared" si="17"/>
        <v>0</v>
      </c>
    </row>
    <row r="1153" spans="1:8" x14ac:dyDescent="0.3">
      <c r="A1153" t="s">
        <v>55</v>
      </c>
      <c r="B1153" t="s">
        <v>8</v>
      </c>
      <c r="C1153" t="s">
        <v>19</v>
      </c>
      <c r="D1153">
        <v>387</v>
      </c>
      <c r="E1153" t="s">
        <v>42</v>
      </c>
      <c r="F1153" t="s">
        <v>38</v>
      </c>
      <c r="G1153" t="s">
        <v>37</v>
      </c>
      <c r="H1153">
        <f t="shared" si="17"/>
        <v>387</v>
      </c>
    </row>
    <row r="1154" spans="1:8" x14ac:dyDescent="0.3">
      <c r="A1154" t="s">
        <v>55</v>
      </c>
      <c r="B1154" t="s">
        <v>8</v>
      </c>
      <c r="C1154" t="s">
        <v>20</v>
      </c>
      <c r="D1154">
        <v>156</v>
      </c>
      <c r="E1154" t="s">
        <v>42</v>
      </c>
      <c r="F1154" t="s">
        <v>38</v>
      </c>
      <c r="G1154" t="s">
        <v>37</v>
      </c>
      <c r="H1154">
        <f t="shared" si="17"/>
        <v>156</v>
      </c>
    </row>
    <row r="1155" spans="1:8" x14ac:dyDescent="0.3">
      <c r="A1155" t="s">
        <v>55</v>
      </c>
      <c r="B1155" t="s">
        <v>8</v>
      </c>
      <c r="C1155" t="s">
        <v>21</v>
      </c>
      <c r="D1155">
        <v>1564</v>
      </c>
      <c r="E1155" t="s">
        <v>42</v>
      </c>
      <c r="F1155" t="s">
        <v>38</v>
      </c>
      <c r="G1155" t="s">
        <v>37</v>
      </c>
      <c r="H1155">
        <f t="shared" ref="H1155:H1218" si="18">ROUND(D1155, 3 - LEN(INT(ABS(D1155))))</f>
        <v>1560</v>
      </c>
    </row>
    <row r="1156" spans="1:8" x14ac:dyDescent="0.3">
      <c r="A1156" t="s">
        <v>55</v>
      </c>
      <c r="B1156" t="s">
        <v>8</v>
      </c>
      <c r="C1156" t="s">
        <v>22</v>
      </c>
      <c r="D1156">
        <v>8936</v>
      </c>
      <c r="E1156" t="s">
        <v>42</v>
      </c>
      <c r="F1156" t="s">
        <v>38</v>
      </c>
      <c r="G1156" t="s">
        <v>37</v>
      </c>
      <c r="H1156">
        <f t="shared" si="18"/>
        <v>8940</v>
      </c>
    </row>
    <row r="1157" spans="1:8" x14ac:dyDescent="0.3">
      <c r="A1157" t="s">
        <v>55</v>
      </c>
      <c r="B1157" t="s">
        <v>23</v>
      </c>
      <c r="C1157" t="s">
        <v>9</v>
      </c>
      <c r="D1157">
        <v>2379575</v>
      </c>
      <c r="E1157" t="s">
        <v>42</v>
      </c>
      <c r="F1157" t="s">
        <v>38</v>
      </c>
      <c r="G1157" t="s">
        <v>37</v>
      </c>
      <c r="H1157">
        <f t="shared" si="18"/>
        <v>2380000</v>
      </c>
    </row>
    <row r="1158" spans="1:8" x14ac:dyDescent="0.3">
      <c r="A1158" t="s">
        <v>55</v>
      </c>
      <c r="B1158" t="s">
        <v>23</v>
      </c>
      <c r="C1158" t="s">
        <v>13</v>
      </c>
      <c r="D1158">
        <v>109915</v>
      </c>
      <c r="E1158" t="s">
        <v>42</v>
      </c>
      <c r="F1158" t="s">
        <v>38</v>
      </c>
      <c r="G1158" t="s">
        <v>37</v>
      </c>
      <c r="H1158">
        <f t="shared" si="18"/>
        <v>110000</v>
      </c>
    </row>
    <row r="1159" spans="1:8" x14ac:dyDescent="0.3">
      <c r="A1159" t="s">
        <v>55</v>
      </c>
      <c r="B1159" t="s">
        <v>23</v>
      </c>
      <c r="C1159" t="s">
        <v>14</v>
      </c>
      <c r="D1159">
        <v>1466864</v>
      </c>
      <c r="E1159" t="s">
        <v>42</v>
      </c>
      <c r="F1159" t="s">
        <v>38</v>
      </c>
      <c r="G1159" t="s">
        <v>37</v>
      </c>
      <c r="H1159">
        <f t="shared" si="18"/>
        <v>1470000</v>
      </c>
    </row>
    <row r="1160" spans="1:8" x14ac:dyDescent="0.3">
      <c r="A1160" t="s">
        <v>55</v>
      </c>
      <c r="B1160" t="s">
        <v>23</v>
      </c>
      <c r="C1160" t="s">
        <v>15</v>
      </c>
      <c r="D1160">
        <v>13076</v>
      </c>
      <c r="E1160" t="s">
        <v>42</v>
      </c>
      <c r="F1160" t="s">
        <v>38</v>
      </c>
      <c r="G1160" t="s">
        <v>37</v>
      </c>
      <c r="H1160">
        <f t="shared" si="18"/>
        <v>13100</v>
      </c>
    </row>
    <row r="1161" spans="1:8" x14ac:dyDescent="0.3">
      <c r="A1161" t="s">
        <v>55</v>
      </c>
      <c r="B1161" t="s">
        <v>23</v>
      </c>
      <c r="C1161" t="s">
        <v>16</v>
      </c>
      <c r="D1161">
        <v>566568</v>
      </c>
      <c r="E1161" t="s">
        <v>42</v>
      </c>
      <c r="F1161" t="s">
        <v>38</v>
      </c>
      <c r="G1161" t="s">
        <v>37</v>
      </c>
      <c r="H1161">
        <f t="shared" si="18"/>
        <v>567000</v>
      </c>
    </row>
    <row r="1162" spans="1:8" x14ac:dyDescent="0.3">
      <c r="A1162" t="s">
        <v>55</v>
      </c>
      <c r="B1162" t="s">
        <v>23</v>
      </c>
      <c r="C1162" t="s">
        <v>17</v>
      </c>
      <c r="D1162">
        <v>67976</v>
      </c>
      <c r="E1162" t="s">
        <v>42</v>
      </c>
      <c r="F1162" t="s">
        <v>38</v>
      </c>
      <c r="G1162" t="s">
        <v>37</v>
      </c>
      <c r="H1162">
        <f t="shared" si="18"/>
        <v>68000</v>
      </c>
    </row>
    <row r="1163" spans="1:8" x14ac:dyDescent="0.3">
      <c r="A1163" t="s">
        <v>55</v>
      </c>
      <c r="B1163" t="s">
        <v>23</v>
      </c>
      <c r="C1163" t="s">
        <v>18</v>
      </c>
      <c r="D1163">
        <v>0</v>
      </c>
      <c r="E1163" t="s">
        <v>42</v>
      </c>
      <c r="F1163" t="s">
        <v>38</v>
      </c>
      <c r="G1163" t="s">
        <v>37</v>
      </c>
      <c r="H1163">
        <f t="shared" si="18"/>
        <v>0</v>
      </c>
    </row>
    <row r="1164" spans="1:8" x14ac:dyDescent="0.3">
      <c r="A1164" t="s">
        <v>55</v>
      </c>
      <c r="B1164" t="s">
        <v>23</v>
      </c>
      <c r="C1164" t="s">
        <v>19</v>
      </c>
      <c r="D1164">
        <v>43153</v>
      </c>
      <c r="E1164" t="s">
        <v>42</v>
      </c>
      <c r="F1164" t="s">
        <v>38</v>
      </c>
      <c r="G1164" t="s">
        <v>37</v>
      </c>
      <c r="H1164">
        <f t="shared" si="18"/>
        <v>43200</v>
      </c>
    </row>
    <row r="1165" spans="1:8" x14ac:dyDescent="0.3">
      <c r="A1165" t="s">
        <v>55</v>
      </c>
      <c r="B1165" t="s">
        <v>23</v>
      </c>
      <c r="C1165" t="s">
        <v>20</v>
      </c>
      <c r="D1165">
        <v>45803</v>
      </c>
      <c r="E1165" t="s">
        <v>42</v>
      </c>
      <c r="F1165" t="s">
        <v>38</v>
      </c>
      <c r="G1165" t="s">
        <v>37</v>
      </c>
      <c r="H1165">
        <f t="shared" si="18"/>
        <v>45800</v>
      </c>
    </row>
    <row r="1166" spans="1:8" x14ac:dyDescent="0.3">
      <c r="A1166" t="s">
        <v>55</v>
      </c>
      <c r="B1166" t="s">
        <v>23</v>
      </c>
      <c r="C1166" t="s">
        <v>21</v>
      </c>
      <c r="D1166">
        <v>24715</v>
      </c>
      <c r="E1166" t="s">
        <v>42</v>
      </c>
      <c r="F1166" t="s">
        <v>38</v>
      </c>
      <c r="G1166" t="s">
        <v>37</v>
      </c>
      <c r="H1166">
        <f t="shared" si="18"/>
        <v>24700</v>
      </c>
    </row>
    <row r="1167" spans="1:8" x14ac:dyDescent="0.3">
      <c r="A1167" t="s">
        <v>55</v>
      </c>
      <c r="B1167" t="s">
        <v>23</v>
      </c>
      <c r="C1167" t="s">
        <v>22</v>
      </c>
      <c r="D1167">
        <v>34348</v>
      </c>
      <c r="E1167" t="s">
        <v>42</v>
      </c>
      <c r="F1167" t="s">
        <v>38</v>
      </c>
      <c r="G1167" t="s">
        <v>37</v>
      </c>
      <c r="H1167">
        <f t="shared" si="18"/>
        <v>34300</v>
      </c>
    </row>
    <row r="1168" spans="1:8" x14ac:dyDescent="0.3">
      <c r="A1168" t="s">
        <v>56</v>
      </c>
      <c r="B1168" t="s">
        <v>8</v>
      </c>
      <c r="C1168" t="s">
        <v>9</v>
      </c>
      <c r="D1168">
        <v>4285</v>
      </c>
      <c r="E1168" t="s">
        <v>42</v>
      </c>
      <c r="F1168" t="s">
        <v>38</v>
      </c>
      <c r="G1168" t="s">
        <v>37</v>
      </c>
      <c r="H1168">
        <f t="shared" si="18"/>
        <v>4290</v>
      </c>
    </row>
    <row r="1169" spans="1:8" x14ac:dyDescent="0.3">
      <c r="A1169" t="s">
        <v>56</v>
      </c>
      <c r="B1169" t="s">
        <v>8</v>
      </c>
      <c r="C1169" t="s">
        <v>13</v>
      </c>
      <c r="D1169">
        <v>4390</v>
      </c>
      <c r="E1169" t="s">
        <v>42</v>
      </c>
      <c r="F1169" t="s">
        <v>38</v>
      </c>
      <c r="G1169" t="s">
        <v>37</v>
      </c>
      <c r="H1169">
        <f t="shared" si="18"/>
        <v>4390</v>
      </c>
    </row>
    <row r="1170" spans="1:8" x14ac:dyDescent="0.3">
      <c r="A1170" t="s">
        <v>56</v>
      </c>
      <c r="B1170" t="s">
        <v>8</v>
      </c>
      <c r="C1170" t="s">
        <v>14</v>
      </c>
      <c r="D1170">
        <v>492</v>
      </c>
      <c r="E1170" t="s">
        <v>42</v>
      </c>
      <c r="F1170" t="s">
        <v>38</v>
      </c>
      <c r="G1170" t="s">
        <v>37</v>
      </c>
      <c r="H1170">
        <f t="shared" si="18"/>
        <v>492</v>
      </c>
    </row>
    <row r="1171" spans="1:8" x14ac:dyDescent="0.3">
      <c r="A1171" t="s">
        <v>56</v>
      </c>
      <c r="B1171" t="s">
        <v>8</v>
      </c>
      <c r="C1171" t="s">
        <v>15</v>
      </c>
      <c r="D1171">
        <v>150</v>
      </c>
      <c r="E1171" t="s">
        <v>42</v>
      </c>
      <c r="F1171" t="s">
        <v>38</v>
      </c>
      <c r="G1171" t="s">
        <v>37</v>
      </c>
      <c r="H1171">
        <f t="shared" si="18"/>
        <v>150</v>
      </c>
    </row>
    <row r="1172" spans="1:8" x14ac:dyDescent="0.3">
      <c r="A1172" t="s">
        <v>56</v>
      </c>
      <c r="B1172" t="s">
        <v>8</v>
      </c>
      <c r="C1172" t="s">
        <v>16</v>
      </c>
      <c r="D1172">
        <v>605</v>
      </c>
      <c r="E1172" t="s">
        <v>42</v>
      </c>
      <c r="F1172" t="s">
        <v>38</v>
      </c>
      <c r="G1172" t="s">
        <v>37</v>
      </c>
      <c r="H1172">
        <f t="shared" si="18"/>
        <v>605</v>
      </c>
    </row>
    <row r="1173" spans="1:8" x14ac:dyDescent="0.3">
      <c r="A1173" t="s">
        <v>56</v>
      </c>
      <c r="B1173" t="s">
        <v>8</v>
      </c>
      <c r="C1173" t="s">
        <v>17</v>
      </c>
      <c r="D1173">
        <v>1790</v>
      </c>
      <c r="E1173" t="s">
        <v>42</v>
      </c>
      <c r="F1173" t="s">
        <v>38</v>
      </c>
      <c r="G1173" t="s">
        <v>37</v>
      </c>
      <c r="H1173">
        <f t="shared" si="18"/>
        <v>1790</v>
      </c>
    </row>
    <row r="1174" spans="1:8" x14ac:dyDescent="0.3">
      <c r="A1174" t="s">
        <v>56</v>
      </c>
      <c r="B1174" t="s">
        <v>8</v>
      </c>
      <c r="C1174" t="s">
        <v>18</v>
      </c>
      <c r="D1174">
        <v>0</v>
      </c>
      <c r="E1174" t="s">
        <v>42</v>
      </c>
      <c r="F1174" t="s">
        <v>38</v>
      </c>
      <c r="G1174" t="s">
        <v>37</v>
      </c>
      <c r="H1174">
        <f t="shared" si="18"/>
        <v>0</v>
      </c>
    </row>
    <row r="1175" spans="1:8" x14ac:dyDescent="0.3">
      <c r="A1175" t="s">
        <v>56</v>
      </c>
      <c r="B1175" t="s">
        <v>8</v>
      </c>
      <c r="C1175" t="s">
        <v>19</v>
      </c>
      <c r="D1175">
        <v>84</v>
      </c>
      <c r="E1175" t="s">
        <v>42</v>
      </c>
      <c r="F1175" t="s">
        <v>38</v>
      </c>
      <c r="G1175" t="s">
        <v>37</v>
      </c>
      <c r="H1175">
        <f t="shared" si="18"/>
        <v>84</v>
      </c>
    </row>
    <row r="1176" spans="1:8" x14ac:dyDescent="0.3">
      <c r="A1176" t="s">
        <v>56</v>
      </c>
      <c r="B1176" t="s">
        <v>8</v>
      </c>
      <c r="C1176" t="s">
        <v>20</v>
      </c>
      <c r="D1176">
        <v>28</v>
      </c>
      <c r="E1176" t="s">
        <v>42</v>
      </c>
      <c r="F1176" t="s">
        <v>38</v>
      </c>
      <c r="G1176" t="s">
        <v>37</v>
      </c>
      <c r="H1176">
        <f t="shared" si="18"/>
        <v>28</v>
      </c>
    </row>
    <row r="1177" spans="1:8" x14ac:dyDescent="0.3">
      <c r="A1177" t="s">
        <v>56</v>
      </c>
      <c r="B1177" t="s">
        <v>8</v>
      </c>
      <c r="C1177" t="s">
        <v>21</v>
      </c>
      <c r="D1177">
        <v>279</v>
      </c>
      <c r="E1177" t="s">
        <v>42</v>
      </c>
      <c r="F1177" t="s">
        <v>38</v>
      </c>
      <c r="G1177" t="s">
        <v>37</v>
      </c>
      <c r="H1177">
        <f t="shared" si="18"/>
        <v>279</v>
      </c>
    </row>
    <row r="1178" spans="1:8" x14ac:dyDescent="0.3">
      <c r="A1178" t="s">
        <v>56</v>
      </c>
      <c r="B1178" t="s">
        <v>8</v>
      </c>
      <c r="C1178" t="s">
        <v>22</v>
      </c>
      <c r="D1178">
        <v>1927</v>
      </c>
      <c r="E1178" t="s">
        <v>42</v>
      </c>
      <c r="F1178" t="s">
        <v>38</v>
      </c>
      <c r="G1178" t="s">
        <v>37</v>
      </c>
      <c r="H1178">
        <f t="shared" si="18"/>
        <v>1930</v>
      </c>
    </row>
    <row r="1179" spans="1:8" x14ac:dyDescent="0.3">
      <c r="A1179" t="s">
        <v>56</v>
      </c>
      <c r="B1179" t="s">
        <v>23</v>
      </c>
      <c r="C1179" t="s">
        <v>9</v>
      </c>
      <c r="D1179">
        <v>423256</v>
      </c>
      <c r="E1179" t="s">
        <v>42</v>
      </c>
      <c r="F1179" t="s">
        <v>38</v>
      </c>
      <c r="G1179" t="s">
        <v>37</v>
      </c>
      <c r="H1179">
        <f t="shared" si="18"/>
        <v>423000</v>
      </c>
    </row>
    <row r="1180" spans="1:8" x14ac:dyDescent="0.3">
      <c r="A1180" t="s">
        <v>56</v>
      </c>
      <c r="B1180" t="s">
        <v>23</v>
      </c>
      <c r="C1180" t="s">
        <v>13</v>
      </c>
      <c r="D1180">
        <v>575640</v>
      </c>
      <c r="E1180" t="s">
        <v>42</v>
      </c>
      <c r="F1180" t="s">
        <v>38</v>
      </c>
      <c r="G1180" t="s">
        <v>37</v>
      </c>
      <c r="H1180">
        <f t="shared" si="18"/>
        <v>576000</v>
      </c>
    </row>
    <row r="1181" spans="1:8" x14ac:dyDescent="0.3">
      <c r="A1181" t="s">
        <v>56</v>
      </c>
      <c r="B1181" t="s">
        <v>23</v>
      </c>
      <c r="C1181" t="s">
        <v>14</v>
      </c>
      <c r="D1181">
        <v>304574</v>
      </c>
      <c r="E1181" t="s">
        <v>42</v>
      </c>
      <c r="F1181" t="s">
        <v>38</v>
      </c>
      <c r="G1181" t="s">
        <v>37</v>
      </c>
      <c r="H1181">
        <f t="shared" si="18"/>
        <v>305000</v>
      </c>
    </row>
    <row r="1182" spans="1:8" x14ac:dyDescent="0.3">
      <c r="A1182" t="s">
        <v>56</v>
      </c>
      <c r="B1182" t="s">
        <v>23</v>
      </c>
      <c r="C1182" t="s">
        <v>15</v>
      </c>
      <c r="D1182">
        <v>3662</v>
      </c>
      <c r="E1182" t="s">
        <v>42</v>
      </c>
      <c r="F1182" t="s">
        <v>38</v>
      </c>
      <c r="G1182" t="s">
        <v>37</v>
      </c>
      <c r="H1182">
        <f t="shared" si="18"/>
        <v>3660</v>
      </c>
    </row>
    <row r="1183" spans="1:8" x14ac:dyDescent="0.3">
      <c r="A1183" t="s">
        <v>56</v>
      </c>
      <c r="B1183" t="s">
        <v>23</v>
      </c>
      <c r="C1183" t="s">
        <v>16</v>
      </c>
      <c r="D1183">
        <v>102589</v>
      </c>
      <c r="E1183" t="s">
        <v>42</v>
      </c>
      <c r="F1183" t="s">
        <v>38</v>
      </c>
      <c r="G1183" t="s">
        <v>37</v>
      </c>
      <c r="H1183">
        <f t="shared" si="18"/>
        <v>103000</v>
      </c>
    </row>
    <row r="1184" spans="1:8" x14ac:dyDescent="0.3">
      <c r="A1184" t="s">
        <v>56</v>
      </c>
      <c r="B1184" t="s">
        <v>23</v>
      </c>
      <c r="C1184" t="s">
        <v>17</v>
      </c>
      <c r="D1184">
        <v>12148</v>
      </c>
      <c r="E1184" t="s">
        <v>42</v>
      </c>
      <c r="F1184" t="s">
        <v>38</v>
      </c>
      <c r="G1184" t="s">
        <v>37</v>
      </c>
      <c r="H1184">
        <f t="shared" si="18"/>
        <v>12100</v>
      </c>
    </row>
    <row r="1185" spans="1:8" x14ac:dyDescent="0.3">
      <c r="A1185" t="s">
        <v>56</v>
      </c>
      <c r="B1185" t="s">
        <v>23</v>
      </c>
      <c r="C1185" t="s">
        <v>18</v>
      </c>
      <c r="D1185">
        <v>0</v>
      </c>
      <c r="E1185" t="s">
        <v>42</v>
      </c>
      <c r="F1185" t="s">
        <v>38</v>
      </c>
      <c r="G1185" t="s">
        <v>37</v>
      </c>
      <c r="H1185">
        <f t="shared" si="18"/>
        <v>0</v>
      </c>
    </row>
    <row r="1186" spans="1:8" x14ac:dyDescent="0.3">
      <c r="A1186" t="s">
        <v>56</v>
      </c>
      <c r="B1186" t="s">
        <v>23</v>
      </c>
      <c r="C1186" t="s">
        <v>19</v>
      </c>
      <c r="D1186">
        <v>19254</v>
      </c>
      <c r="E1186" t="s">
        <v>42</v>
      </c>
      <c r="F1186" t="s">
        <v>38</v>
      </c>
      <c r="G1186" t="s">
        <v>37</v>
      </c>
      <c r="H1186">
        <f t="shared" si="18"/>
        <v>19300</v>
      </c>
    </row>
    <row r="1187" spans="1:8" x14ac:dyDescent="0.3">
      <c r="A1187" t="s">
        <v>56</v>
      </c>
      <c r="B1187" t="s">
        <v>23</v>
      </c>
      <c r="C1187" t="s">
        <v>20</v>
      </c>
      <c r="D1187">
        <v>9252</v>
      </c>
      <c r="E1187" t="s">
        <v>42</v>
      </c>
      <c r="F1187" t="s">
        <v>38</v>
      </c>
      <c r="G1187" t="s">
        <v>37</v>
      </c>
      <c r="H1187">
        <f t="shared" si="18"/>
        <v>9250</v>
      </c>
    </row>
    <row r="1188" spans="1:8" x14ac:dyDescent="0.3">
      <c r="A1188" t="s">
        <v>56</v>
      </c>
      <c r="B1188" t="s">
        <v>23</v>
      </c>
      <c r="C1188" t="s">
        <v>21</v>
      </c>
      <c r="D1188">
        <v>5294</v>
      </c>
      <c r="E1188" t="s">
        <v>42</v>
      </c>
      <c r="F1188" t="s">
        <v>38</v>
      </c>
      <c r="G1188" t="s">
        <v>37</v>
      </c>
      <c r="H1188">
        <f t="shared" si="18"/>
        <v>5290</v>
      </c>
    </row>
    <row r="1189" spans="1:8" x14ac:dyDescent="0.3">
      <c r="A1189" t="s">
        <v>56</v>
      </c>
      <c r="B1189" t="s">
        <v>23</v>
      </c>
      <c r="C1189" t="s">
        <v>22</v>
      </c>
      <c r="D1189">
        <v>25935</v>
      </c>
      <c r="E1189" t="s">
        <v>42</v>
      </c>
      <c r="F1189" t="s">
        <v>38</v>
      </c>
      <c r="G1189" t="s">
        <v>37</v>
      </c>
      <c r="H1189">
        <f t="shared" si="18"/>
        <v>25900</v>
      </c>
    </row>
    <row r="1190" spans="1:8" x14ac:dyDescent="0.3">
      <c r="A1190" t="s">
        <v>41</v>
      </c>
      <c r="B1190" t="s">
        <v>8</v>
      </c>
      <c r="C1190" t="s">
        <v>9</v>
      </c>
      <c r="D1190">
        <v>0</v>
      </c>
      <c r="E1190" t="s">
        <v>42</v>
      </c>
      <c r="F1190" t="s">
        <v>39</v>
      </c>
      <c r="G1190" t="s">
        <v>40</v>
      </c>
      <c r="H1190">
        <f t="shared" si="18"/>
        <v>0</v>
      </c>
    </row>
    <row r="1191" spans="1:8" x14ac:dyDescent="0.3">
      <c r="A1191" t="s">
        <v>41</v>
      </c>
      <c r="B1191" t="s">
        <v>8</v>
      </c>
      <c r="C1191" t="s">
        <v>13</v>
      </c>
      <c r="D1191">
        <v>2</v>
      </c>
      <c r="E1191" t="s">
        <v>42</v>
      </c>
      <c r="F1191" t="s">
        <v>39</v>
      </c>
      <c r="G1191" t="s">
        <v>40</v>
      </c>
      <c r="H1191">
        <f t="shared" si="18"/>
        <v>2</v>
      </c>
    </row>
    <row r="1192" spans="1:8" x14ac:dyDescent="0.3">
      <c r="A1192" t="s">
        <v>41</v>
      </c>
      <c r="B1192" t="s">
        <v>8</v>
      </c>
      <c r="C1192" t="s">
        <v>14</v>
      </c>
      <c r="D1192">
        <v>0</v>
      </c>
      <c r="E1192" t="s">
        <v>42</v>
      </c>
      <c r="F1192" t="s">
        <v>39</v>
      </c>
      <c r="G1192" t="s">
        <v>40</v>
      </c>
      <c r="H1192">
        <f t="shared" si="18"/>
        <v>0</v>
      </c>
    </row>
    <row r="1193" spans="1:8" x14ac:dyDescent="0.3">
      <c r="A1193" t="s">
        <v>41</v>
      </c>
      <c r="B1193" t="s">
        <v>8</v>
      </c>
      <c r="C1193" t="s">
        <v>15</v>
      </c>
      <c r="D1193">
        <v>1177</v>
      </c>
      <c r="E1193" t="s">
        <v>42</v>
      </c>
      <c r="F1193" t="s">
        <v>39</v>
      </c>
      <c r="G1193" t="s">
        <v>40</v>
      </c>
      <c r="H1193">
        <f t="shared" si="18"/>
        <v>1180</v>
      </c>
    </row>
    <row r="1194" spans="1:8" x14ac:dyDescent="0.3">
      <c r="A1194" t="s">
        <v>41</v>
      </c>
      <c r="B1194" t="s">
        <v>8</v>
      </c>
      <c r="C1194" t="s">
        <v>16</v>
      </c>
      <c r="D1194">
        <v>0</v>
      </c>
      <c r="E1194" t="s">
        <v>42</v>
      </c>
      <c r="F1194" t="s">
        <v>39</v>
      </c>
      <c r="G1194" t="s">
        <v>40</v>
      </c>
      <c r="H1194">
        <f t="shared" si="18"/>
        <v>0</v>
      </c>
    </row>
    <row r="1195" spans="1:8" x14ac:dyDescent="0.3">
      <c r="A1195" t="s">
        <v>41</v>
      </c>
      <c r="B1195" t="s">
        <v>8</v>
      </c>
      <c r="C1195" t="s">
        <v>17</v>
      </c>
      <c r="D1195">
        <v>2</v>
      </c>
      <c r="E1195" t="s">
        <v>42</v>
      </c>
      <c r="F1195" t="s">
        <v>39</v>
      </c>
      <c r="G1195" t="s">
        <v>40</v>
      </c>
      <c r="H1195">
        <f t="shared" si="18"/>
        <v>2</v>
      </c>
    </row>
    <row r="1196" spans="1:8" x14ac:dyDescent="0.3">
      <c r="A1196" t="s">
        <v>41</v>
      </c>
      <c r="B1196" t="s">
        <v>8</v>
      </c>
      <c r="C1196" t="s">
        <v>18</v>
      </c>
      <c r="D1196">
        <v>0</v>
      </c>
      <c r="E1196" t="s">
        <v>42</v>
      </c>
      <c r="F1196" t="s">
        <v>39</v>
      </c>
      <c r="G1196" t="s">
        <v>40</v>
      </c>
      <c r="H1196">
        <f t="shared" si="18"/>
        <v>0</v>
      </c>
    </row>
    <row r="1197" spans="1:8" x14ac:dyDescent="0.3">
      <c r="A1197" t="s">
        <v>41</v>
      </c>
      <c r="B1197" t="s">
        <v>8</v>
      </c>
      <c r="C1197" t="s">
        <v>19</v>
      </c>
      <c r="D1197">
        <v>0</v>
      </c>
      <c r="E1197" t="s">
        <v>42</v>
      </c>
      <c r="F1197" t="s">
        <v>39</v>
      </c>
      <c r="G1197" t="s">
        <v>40</v>
      </c>
      <c r="H1197">
        <f t="shared" si="18"/>
        <v>0</v>
      </c>
    </row>
    <row r="1198" spans="1:8" x14ac:dyDescent="0.3">
      <c r="A1198" t="s">
        <v>41</v>
      </c>
      <c r="B1198" t="s">
        <v>8</v>
      </c>
      <c r="C1198" t="s">
        <v>20</v>
      </c>
      <c r="D1198">
        <v>0</v>
      </c>
      <c r="E1198" t="s">
        <v>42</v>
      </c>
      <c r="F1198" t="s">
        <v>39</v>
      </c>
      <c r="G1198" t="s">
        <v>40</v>
      </c>
      <c r="H1198">
        <f t="shared" si="18"/>
        <v>0</v>
      </c>
    </row>
    <row r="1199" spans="1:8" x14ac:dyDescent="0.3">
      <c r="A1199" t="s">
        <v>41</v>
      </c>
      <c r="B1199" t="s">
        <v>8</v>
      </c>
      <c r="C1199" t="s">
        <v>21</v>
      </c>
      <c r="D1199">
        <v>0</v>
      </c>
      <c r="E1199" t="s">
        <v>42</v>
      </c>
      <c r="F1199" t="s">
        <v>39</v>
      </c>
      <c r="G1199" t="s">
        <v>40</v>
      </c>
      <c r="H1199">
        <f t="shared" si="18"/>
        <v>0</v>
      </c>
    </row>
    <row r="1200" spans="1:8" x14ac:dyDescent="0.3">
      <c r="A1200" t="s">
        <v>41</v>
      </c>
      <c r="B1200" t="s">
        <v>8</v>
      </c>
      <c r="C1200" t="s">
        <v>22</v>
      </c>
      <c r="D1200">
        <v>75</v>
      </c>
      <c r="E1200" t="s">
        <v>42</v>
      </c>
      <c r="F1200" t="s">
        <v>39</v>
      </c>
      <c r="G1200" t="s">
        <v>40</v>
      </c>
      <c r="H1200">
        <f t="shared" si="18"/>
        <v>75</v>
      </c>
    </row>
    <row r="1201" spans="1:8" x14ac:dyDescent="0.3">
      <c r="A1201" t="s">
        <v>41</v>
      </c>
      <c r="B1201" t="s">
        <v>23</v>
      </c>
      <c r="C1201" t="s">
        <v>9</v>
      </c>
      <c r="D1201">
        <v>465</v>
      </c>
      <c r="E1201" t="s">
        <v>42</v>
      </c>
      <c r="F1201" t="s">
        <v>39</v>
      </c>
      <c r="G1201" t="s">
        <v>40</v>
      </c>
      <c r="H1201">
        <f t="shared" si="18"/>
        <v>465</v>
      </c>
    </row>
    <row r="1202" spans="1:8" x14ac:dyDescent="0.3">
      <c r="A1202" t="s">
        <v>41</v>
      </c>
      <c r="B1202" t="s">
        <v>23</v>
      </c>
      <c r="C1202" t="s">
        <v>13</v>
      </c>
      <c r="D1202">
        <v>6115</v>
      </c>
      <c r="E1202" t="s">
        <v>42</v>
      </c>
      <c r="F1202" t="s">
        <v>39</v>
      </c>
      <c r="G1202" t="s">
        <v>40</v>
      </c>
      <c r="H1202">
        <f t="shared" si="18"/>
        <v>6120</v>
      </c>
    </row>
    <row r="1203" spans="1:8" x14ac:dyDescent="0.3">
      <c r="A1203" t="s">
        <v>41</v>
      </c>
      <c r="B1203" t="s">
        <v>23</v>
      </c>
      <c r="C1203" t="s">
        <v>14</v>
      </c>
      <c r="D1203">
        <v>3387</v>
      </c>
      <c r="E1203" t="s">
        <v>42</v>
      </c>
      <c r="F1203" t="s">
        <v>39</v>
      </c>
      <c r="G1203" t="s">
        <v>40</v>
      </c>
      <c r="H1203">
        <f t="shared" si="18"/>
        <v>3390</v>
      </c>
    </row>
    <row r="1204" spans="1:8" x14ac:dyDescent="0.3">
      <c r="A1204" t="s">
        <v>41</v>
      </c>
      <c r="B1204" t="s">
        <v>23</v>
      </c>
      <c r="C1204" t="s">
        <v>15</v>
      </c>
      <c r="D1204">
        <v>41941</v>
      </c>
      <c r="E1204" t="s">
        <v>42</v>
      </c>
      <c r="F1204" t="s">
        <v>39</v>
      </c>
      <c r="G1204" t="s">
        <v>40</v>
      </c>
      <c r="H1204">
        <f t="shared" si="18"/>
        <v>41900</v>
      </c>
    </row>
    <row r="1205" spans="1:8" x14ac:dyDescent="0.3">
      <c r="A1205" t="s">
        <v>41</v>
      </c>
      <c r="B1205" t="s">
        <v>23</v>
      </c>
      <c r="C1205" t="s">
        <v>16</v>
      </c>
      <c r="D1205">
        <v>3382</v>
      </c>
      <c r="E1205" t="s">
        <v>42</v>
      </c>
      <c r="F1205" t="s">
        <v>39</v>
      </c>
      <c r="G1205" t="s">
        <v>40</v>
      </c>
      <c r="H1205">
        <f t="shared" si="18"/>
        <v>3380</v>
      </c>
    </row>
    <row r="1206" spans="1:8" x14ac:dyDescent="0.3">
      <c r="A1206" t="s">
        <v>41</v>
      </c>
      <c r="B1206" t="s">
        <v>23</v>
      </c>
      <c r="C1206" t="s">
        <v>17</v>
      </c>
      <c r="D1206">
        <v>874</v>
      </c>
      <c r="E1206" t="s">
        <v>42</v>
      </c>
      <c r="F1206" t="s">
        <v>39</v>
      </c>
      <c r="G1206" t="s">
        <v>40</v>
      </c>
      <c r="H1206">
        <f t="shared" si="18"/>
        <v>874</v>
      </c>
    </row>
    <row r="1207" spans="1:8" x14ac:dyDescent="0.3">
      <c r="A1207" t="s">
        <v>41</v>
      </c>
      <c r="B1207" t="s">
        <v>23</v>
      </c>
      <c r="C1207" t="s">
        <v>18</v>
      </c>
      <c r="D1207">
        <v>1</v>
      </c>
      <c r="E1207" t="s">
        <v>42</v>
      </c>
      <c r="F1207" t="s">
        <v>39</v>
      </c>
      <c r="G1207" t="s">
        <v>40</v>
      </c>
      <c r="H1207">
        <f t="shared" si="18"/>
        <v>1</v>
      </c>
    </row>
    <row r="1208" spans="1:8" x14ac:dyDescent="0.3">
      <c r="A1208" t="s">
        <v>41</v>
      </c>
      <c r="B1208" t="s">
        <v>23</v>
      </c>
      <c r="C1208" t="s">
        <v>19</v>
      </c>
      <c r="D1208">
        <v>2784</v>
      </c>
      <c r="E1208" t="s">
        <v>42</v>
      </c>
      <c r="F1208" t="s">
        <v>39</v>
      </c>
      <c r="G1208" t="s">
        <v>40</v>
      </c>
      <c r="H1208">
        <f t="shared" si="18"/>
        <v>2780</v>
      </c>
    </row>
    <row r="1209" spans="1:8" x14ac:dyDescent="0.3">
      <c r="A1209" t="s">
        <v>41</v>
      </c>
      <c r="B1209" t="s">
        <v>23</v>
      </c>
      <c r="C1209" t="s">
        <v>20</v>
      </c>
      <c r="D1209">
        <v>573</v>
      </c>
      <c r="E1209" t="s">
        <v>42</v>
      </c>
      <c r="F1209" t="s">
        <v>39</v>
      </c>
      <c r="G1209" t="s">
        <v>40</v>
      </c>
      <c r="H1209">
        <f t="shared" si="18"/>
        <v>573</v>
      </c>
    </row>
    <row r="1210" spans="1:8" x14ac:dyDescent="0.3">
      <c r="A1210" t="s">
        <v>41</v>
      </c>
      <c r="B1210" t="s">
        <v>23</v>
      </c>
      <c r="C1210" t="s">
        <v>21</v>
      </c>
      <c r="D1210">
        <v>37</v>
      </c>
      <c r="E1210" t="s">
        <v>42</v>
      </c>
      <c r="F1210" t="s">
        <v>39</v>
      </c>
      <c r="G1210" t="s">
        <v>40</v>
      </c>
      <c r="H1210">
        <f t="shared" si="18"/>
        <v>37</v>
      </c>
    </row>
    <row r="1211" spans="1:8" x14ac:dyDescent="0.3">
      <c r="A1211" t="s">
        <v>41</v>
      </c>
      <c r="B1211" t="s">
        <v>23</v>
      </c>
      <c r="C1211" t="s">
        <v>22</v>
      </c>
      <c r="D1211">
        <v>4120</v>
      </c>
      <c r="E1211" t="s">
        <v>42</v>
      </c>
      <c r="F1211" t="s">
        <v>39</v>
      </c>
      <c r="G1211" t="s">
        <v>40</v>
      </c>
      <c r="H1211">
        <f t="shared" si="18"/>
        <v>4120</v>
      </c>
    </row>
    <row r="1212" spans="1:8" x14ac:dyDescent="0.3">
      <c r="A1212" t="s">
        <v>43</v>
      </c>
      <c r="B1212" t="s">
        <v>8</v>
      </c>
      <c r="C1212" t="s">
        <v>9</v>
      </c>
      <c r="D1212">
        <v>0</v>
      </c>
      <c r="E1212" t="s">
        <v>42</v>
      </c>
      <c r="F1212" t="s">
        <v>39</v>
      </c>
      <c r="G1212" t="s">
        <v>40</v>
      </c>
      <c r="H1212">
        <f t="shared" si="18"/>
        <v>0</v>
      </c>
    </row>
    <row r="1213" spans="1:8" x14ac:dyDescent="0.3">
      <c r="A1213" t="s">
        <v>43</v>
      </c>
      <c r="B1213" t="s">
        <v>8</v>
      </c>
      <c r="C1213" t="s">
        <v>13</v>
      </c>
      <c r="D1213">
        <v>0</v>
      </c>
      <c r="E1213" t="s">
        <v>42</v>
      </c>
      <c r="F1213" t="s">
        <v>39</v>
      </c>
      <c r="G1213" t="s">
        <v>40</v>
      </c>
      <c r="H1213">
        <f t="shared" si="18"/>
        <v>0</v>
      </c>
    </row>
    <row r="1214" spans="1:8" x14ac:dyDescent="0.3">
      <c r="A1214" t="s">
        <v>43</v>
      </c>
      <c r="B1214" t="s">
        <v>8</v>
      </c>
      <c r="C1214" t="s">
        <v>14</v>
      </c>
      <c r="D1214">
        <v>18</v>
      </c>
      <c r="E1214" t="s">
        <v>42</v>
      </c>
      <c r="F1214" t="s">
        <v>39</v>
      </c>
      <c r="G1214" t="s">
        <v>40</v>
      </c>
      <c r="H1214">
        <f t="shared" si="18"/>
        <v>18</v>
      </c>
    </row>
    <row r="1215" spans="1:8" x14ac:dyDescent="0.3">
      <c r="A1215" t="s">
        <v>43</v>
      </c>
      <c r="B1215" t="s">
        <v>8</v>
      </c>
      <c r="C1215" t="s">
        <v>15</v>
      </c>
      <c r="D1215">
        <v>0</v>
      </c>
      <c r="E1215" t="s">
        <v>42</v>
      </c>
      <c r="F1215" t="s">
        <v>39</v>
      </c>
      <c r="G1215" t="s">
        <v>40</v>
      </c>
      <c r="H1215">
        <f t="shared" si="18"/>
        <v>0</v>
      </c>
    </row>
    <row r="1216" spans="1:8" x14ac:dyDescent="0.3">
      <c r="A1216" t="s">
        <v>43</v>
      </c>
      <c r="B1216" t="s">
        <v>8</v>
      </c>
      <c r="C1216" t="s">
        <v>16</v>
      </c>
      <c r="D1216">
        <v>0</v>
      </c>
      <c r="E1216" t="s">
        <v>42</v>
      </c>
      <c r="F1216" t="s">
        <v>39</v>
      </c>
      <c r="G1216" t="s">
        <v>40</v>
      </c>
      <c r="H1216">
        <f t="shared" si="18"/>
        <v>0</v>
      </c>
    </row>
    <row r="1217" spans="1:8" x14ac:dyDescent="0.3">
      <c r="A1217" t="s">
        <v>43</v>
      </c>
      <c r="B1217" t="s">
        <v>8</v>
      </c>
      <c r="C1217" t="s">
        <v>17</v>
      </c>
      <c r="D1217">
        <v>0</v>
      </c>
      <c r="E1217" t="s">
        <v>42</v>
      </c>
      <c r="F1217" t="s">
        <v>39</v>
      </c>
      <c r="G1217" t="s">
        <v>40</v>
      </c>
      <c r="H1217">
        <f t="shared" si="18"/>
        <v>0</v>
      </c>
    </row>
    <row r="1218" spans="1:8" x14ac:dyDescent="0.3">
      <c r="A1218" t="s">
        <v>43</v>
      </c>
      <c r="B1218" t="s">
        <v>8</v>
      </c>
      <c r="C1218" t="s">
        <v>18</v>
      </c>
      <c r="D1218">
        <v>0</v>
      </c>
      <c r="E1218" t="s">
        <v>42</v>
      </c>
      <c r="F1218" t="s">
        <v>39</v>
      </c>
      <c r="G1218" t="s">
        <v>40</v>
      </c>
      <c r="H1218">
        <f t="shared" si="18"/>
        <v>0</v>
      </c>
    </row>
    <row r="1219" spans="1:8" x14ac:dyDescent="0.3">
      <c r="A1219" t="s">
        <v>43</v>
      </c>
      <c r="B1219" t="s">
        <v>8</v>
      </c>
      <c r="C1219" t="s">
        <v>19</v>
      </c>
      <c r="D1219">
        <v>0</v>
      </c>
      <c r="E1219" t="s">
        <v>42</v>
      </c>
      <c r="F1219" t="s">
        <v>39</v>
      </c>
      <c r="G1219" t="s">
        <v>40</v>
      </c>
      <c r="H1219">
        <f t="shared" ref="H1219:H1282" si="19">ROUND(D1219, 3 - LEN(INT(ABS(D1219))))</f>
        <v>0</v>
      </c>
    </row>
    <row r="1220" spans="1:8" x14ac:dyDescent="0.3">
      <c r="A1220" t="s">
        <v>43</v>
      </c>
      <c r="B1220" t="s">
        <v>8</v>
      </c>
      <c r="C1220" t="s">
        <v>20</v>
      </c>
      <c r="D1220">
        <v>0</v>
      </c>
      <c r="E1220" t="s">
        <v>42</v>
      </c>
      <c r="F1220" t="s">
        <v>39</v>
      </c>
      <c r="G1220" t="s">
        <v>40</v>
      </c>
      <c r="H1220">
        <f t="shared" si="19"/>
        <v>0</v>
      </c>
    </row>
    <row r="1221" spans="1:8" x14ac:dyDescent="0.3">
      <c r="A1221" t="s">
        <v>43</v>
      </c>
      <c r="B1221" t="s">
        <v>8</v>
      </c>
      <c r="C1221" t="s">
        <v>21</v>
      </c>
      <c r="D1221">
        <v>0</v>
      </c>
      <c r="E1221" t="s">
        <v>42</v>
      </c>
      <c r="F1221" t="s">
        <v>39</v>
      </c>
      <c r="G1221" t="s">
        <v>40</v>
      </c>
      <c r="H1221">
        <f t="shared" si="19"/>
        <v>0</v>
      </c>
    </row>
    <row r="1222" spans="1:8" x14ac:dyDescent="0.3">
      <c r="A1222" t="s">
        <v>43</v>
      </c>
      <c r="B1222" t="s">
        <v>8</v>
      </c>
      <c r="C1222" t="s">
        <v>22</v>
      </c>
      <c r="D1222">
        <v>5</v>
      </c>
      <c r="E1222" t="s">
        <v>42</v>
      </c>
      <c r="F1222" t="s">
        <v>39</v>
      </c>
      <c r="G1222" t="s">
        <v>40</v>
      </c>
      <c r="H1222">
        <f t="shared" si="19"/>
        <v>5</v>
      </c>
    </row>
    <row r="1223" spans="1:8" x14ac:dyDescent="0.3">
      <c r="A1223" t="s">
        <v>43</v>
      </c>
      <c r="B1223" t="s">
        <v>23</v>
      </c>
      <c r="C1223" t="s">
        <v>9</v>
      </c>
      <c r="D1223">
        <v>19</v>
      </c>
      <c r="E1223" t="s">
        <v>42</v>
      </c>
      <c r="F1223" t="s">
        <v>39</v>
      </c>
      <c r="G1223" t="s">
        <v>40</v>
      </c>
      <c r="H1223">
        <f t="shared" si="19"/>
        <v>19</v>
      </c>
    </row>
    <row r="1224" spans="1:8" x14ac:dyDescent="0.3">
      <c r="A1224" t="s">
        <v>43</v>
      </c>
      <c r="B1224" t="s">
        <v>23</v>
      </c>
      <c r="C1224" t="s">
        <v>13</v>
      </c>
      <c r="D1224">
        <v>9</v>
      </c>
      <c r="E1224" t="s">
        <v>42</v>
      </c>
      <c r="F1224" t="s">
        <v>39</v>
      </c>
      <c r="G1224" t="s">
        <v>40</v>
      </c>
      <c r="H1224">
        <f t="shared" si="19"/>
        <v>9</v>
      </c>
    </row>
    <row r="1225" spans="1:8" x14ac:dyDescent="0.3">
      <c r="A1225" t="s">
        <v>43</v>
      </c>
      <c r="B1225" t="s">
        <v>23</v>
      </c>
      <c r="C1225" t="s">
        <v>14</v>
      </c>
      <c r="D1225">
        <v>10059</v>
      </c>
      <c r="E1225" t="s">
        <v>42</v>
      </c>
      <c r="F1225" t="s">
        <v>39</v>
      </c>
      <c r="G1225" t="s">
        <v>40</v>
      </c>
      <c r="H1225">
        <f t="shared" si="19"/>
        <v>10100</v>
      </c>
    </row>
    <row r="1226" spans="1:8" x14ac:dyDescent="0.3">
      <c r="A1226" t="s">
        <v>43</v>
      </c>
      <c r="B1226" t="s">
        <v>23</v>
      </c>
      <c r="C1226" t="s">
        <v>15</v>
      </c>
      <c r="D1226">
        <v>4</v>
      </c>
      <c r="E1226" t="s">
        <v>42</v>
      </c>
      <c r="F1226" t="s">
        <v>39</v>
      </c>
      <c r="G1226" t="s">
        <v>40</v>
      </c>
      <c r="H1226">
        <f t="shared" si="19"/>
        <v>4</v>
      </c>
    </row>
    <row r="1227" spans="1:8" x14ac:dyDescent="0.3">
      <c r="A1227" t="s">
        <v>43</v>
      </c>
      <c r="B1227" t="s">
        <v>23</v>
      </c>
      <c r="C1227" t="s">
        <v>16</v>
      </c>
      <c r="D1227">
        <v>2533</v>
      </c>
      <c r="E1227" t="s">
        <v>42</v>
      </c>
      <c r="F1227" t="s">
        <v>39</v>
      </c>
      <c r="G1227" t="s">
        <v>40</v>
      </c>
      <c r="H1227">
        <f t="shared" si="19"/>
        <v>2530</v>
      </c>
    </row>
    <row r="1228" spans="1:8" x14ac:dyDescent="0.3">
      <c r="A1228" t="s">
        <v>43</v>
      </c>
      <c r="B1228" t="s">
        <v>23</v>
      </c>
      <c r="C1228" t="s">
        <v>17</v>
      </c>
      <c r="D1228">
        <v>2</v>
      </c>
      <c r="E1228" t="s">
        <v>42</v>
      </c>
      <c r="F1228" t="s">
        <v>39</v>
      </c>
      <c r="G1228" t="s">
        <v>40</v>
      </c>
      <c r="H1228">
        <f t="shared" si="19"/>
        <v>2</v>
      </c>
    </row>
    <row r="1229" spans="1:8" x14ac:dyDescent="0.3">
      <c r="A1229" t="s">
        <v>43</v>
      </c>
      <c r="B1229" t="s">
        <v>23</v>
      </c>
      <c r="C1229" t="s">
        <v>18</v>
      </c>
      <c r="D1229">
        <v>0</v>
      </c>
      <c r="E1229" t="s">
        <v>42</v>
      </c>
      <c r="F1229" t="s">
        <v>39</v>
      </c>
      <c r="G1229" t="s">
        <v>40</v>
      </c>
      <c r="H1229">
        <f t="shared" si="19"/>
        <v>0</v>
      </c>
    </row>
    <row r="1230" spans="1:8" x14ac:dyDescent="0.3">
      <c r="A1230" t="s">
        <v>43</v>
      </c>
      <c r="B1230" t="s">
        <v>23</v>
      </c>
      <c r="C1230" t="s">
        <v>19</v>
      </c>
      <c r="D1230">
        <v>1</v>
      </c>
      <c r="E1230" t="s">
        <v>42</v>
      </c>
      <c r="F1230" t="s">
        <v>39</v>
      </c>
      <c r="G1230" t="s">
        <v>40</v>
      </c>
      <c r="H1230">
        <f t="shared" si="19"/>
        <v>1</v>
      </c>
    </row>
    <row r="1231" spans="1:8" x14ac:dyDescent="0.3">
      <c r="A1231" t="s">
        <v>43</v>
      </c>
      <c r="B1231" t="s">
        <v>23</v>
      </c>
      <c r="C1231" t="s">
        <v>20</v>
      </c>
      <c r="D1231">
        <v>19</v>
      </c>
      <c r="E1231" t="s">
        <v>42</v>
      </c>
      <c r="F1231" t="s">
        <v>39</v>
      </c>
      <c r="G1231" t="s">
        <v>40</v>
      </c>
      <c r="H1231">
        <f t="shared" si="19"/>
        <v>19</v>
      </c>
    </row>
    <row r="1232" spans="1:8" x14ac:dyDescent="0.3">
      <c r="A1232" t="s">
        <v>43</v>
      </c>
      <c r="B1232" t="s">
        <v>23</v>
      </c>
      <c r="C1232" t="s">
        <v>21</v>
      </c>
      <c r="D1232">
        <v>3</v>
      </c>
      <c r="E1232" t="s">
        <v>42</v>
      </c>
      <c r="F1232" t="s">
        <v>39</v>
      </c>
      <c r="G1232" t="s">
        <v>40</v>
      </c>
      <c r="H1232">
        <f t="shared" si="19"/>
        <v>3</v>
      </c>
    </row>
    <row r="1233" spans="1:8" x14ac:dyDescent="0.3">
      <c r="A1233" t="s">
        <v>43</v>
      </c>
      <c r="B1233" t="s">
        <v>23</v>
      </c>
      <c r="C1233" t="s">
        <v>22</v>
      </c>
      <c r="D1233">
        <v>19</v>
      </c>
      <c r="E1233" t="s">
        <v>42</v>
      </c>
      <c r="F1233" t="s">
        <v>39</v>
      </c>
      <c r="G1233" t="s">
        <v>40</v>
      </c>
      <c r="H1233">
        <f t="shared" si="19"/>
        <v>19</v>
      </c>
    </row>
    <row r="1234" spans="1:8" x14ac:dyDescent="0.3">
      <c r="A1234" t="s">
        <v>44</v>
      </c>
      <c r="B1234" t="s">
        <v>8</v>
      </c>
      <c r="C1234" t="s">
        <v>9</v>
      </c>
      <c r="D1234">
        <v>0</v>
      </c>
      <c r="E1234" t="s">
        <v>42</v>
      </c>
      <c r="F1234" t="s">
        <v>39</v>
      </c>
      <c r="G1234" t="s">
        <v>40</v>
      </c>
      <c r="H1234">
        <f t="shared" si="19"/>
        <v>0</v>
      </c>
    </row>
    <row r="1235" spans="1:8" x14ac:dyDescent="0.3">
      <c r="A1235" t="s">
        <v>44</v>
      </c>
      <c r="B1235" t="s">
        <v>8</v>
      </c>
      <c r="C1235" t="s">
        <v>13</v>
      </c>
      <c r="D1235">
        <v>0</v>
      </c>
      <c r="E1235" t="s">
        <v>42</v>
      </c>
      <c r="F1235" t="s">
        <v>39</v>
      </c>
      <c r="G1235" t="s">
        <v>40</v>
      </c>
      <c r="H1235">
        <f t="shared" si="19"/>
        <v>0</v>
      </c>
    </row>
    <row r="1236" spans="1:8" x14ac:dyDescent="0.3">
      <c r="A1236" t="s">
        <v>44</v>
      </c>
      <c r="B1236" t="s">
        <v>8</v>
      </c>
      <c r="C1236" t="s">
        <v>14</v>
      </c>
      <c r="D1236">
        <v>90</v>
      </c>
      <c r="E1236" t="s">
        <v>42</v>
      </c>
      <c r="F1236" t="s">
        <v>39</v>
      </c>
      <c r="G1236" t="s">
        <v>40</v>
      </c>
      <c r="H1236">
        <f t="shared" si="19"/>
        <v>90</v>
      </c>
    </row>
    <row r="1237" spans="1:8" x14ac:dyDescent="0.3">
      <c r="A1237" t="s">
        <v>44</v>
      </c>
      <c r="B1237" t="s">
        <v>8</v>
      </c>
      <c r="C1237" t="s">
        <v>15</v>
      </c>
      <c r="D1237">
        <v>0</v>
      </c>
      <c r="E1237" t="s">
        <v>42</v>
      </c>
      <c r="F1237" t="s">
        <v>39</v>
      </c>
      <c r="G1237" t="s">
        <v>40</v>
      </c>
      <c r="H1237">
        <f t="shared" si="19"/>
        <v>0</v>
      </c>
    </row>
    <row r="1238" spans="1:8" x14ac:dyDescent="0.3">
      <c r="A1238" t="s">
        <v>44</v>
      </c>
      <c r="B1238" t="s">
        <v>8</v>
      </c>
      <c r="C1238" t="s">
        <v>16</v>
      </c>
      <c r="D1238">
        <v>5</v>
      </c>
      <c r="E1238" t="s">
        <v>42</v>
      </c>
      <c r="F1238" t="s">
        <v>39</v>
      </c>
      <c r="G1238" t="s">
        <v>40</v>
      </c>
      <c r="H1238">
        <f t="shared" si="19"/>
        <v>5</v>
      </c>
    </row>
    <row r="1239" spans="1:8" x14ac:dyDescent="0.3">
      <c r="A1239" t="s">
        <v>44</v>
      </c>
      <c r="B1239" t="s">
        <v>8</v>
      </c>
      <c r="C1239" t="s">
        <v>17</v>
      </c>
      <c r="D1239">
        <v>2</v>
      </c>
      <c r="E1239" t="s">
        <v>42</v>
      </c>
      <c r="F1239" t="s">
        <v>39</v>
      </c>
      <c r="G1239" t="s">
        <v>40</v>
      </c>
      <c r="H1239">
        <f t="shared" si="19"/>
        <v>2</v>
      </c>
    </row>
    <row r="1240" spans="1:8" x14ac:dyDescent="0.3">
      <c r="A1240" t="s">
        <v>44</v>
      </c>
      <c r="B1240" t="s">
        <v>8</v>
      </c>
      <c r="C1240" t="s">
        <v>18</v>
      </c>
      <c r="D1240">
        <v>0</v>
      </c>
      <c r="E1240" t="s">
        <v>42</v>
      </c>
      <c r="F1240" t="s">
        <v>39</v>
      </c>
      <c r="G1240" t="s">
        <v>40</v>
      </c>
      <c r="H1240">
        <f t="shared" si="19"/>
        <v>0</v>
      </c>
    </row>
    <row r="1241" spans="1:8" x14ac:dyDescent="0.3">
      <c r="A1241" t="s">
        <v>44</v>
      </c>
      <c r="B1241" t="s">
        <v>8</v>
      </c>
      <c r="C1241" t="s">
        <v>19</v>
      </c>
      <c r="D1241">
        <v>0</v>
      </c>
      <c r="E1241" t="s">
        <v>42</v>
      </c>
      <c r="F1241" t="s">
        <v>39</v>
      </c>
      <c r="G1241" t="s">
        <v>40</v>
      </c>
      <c r="H1241">
        <f t="shared" si="19"/>
        <v>0</v>
      </c>
    </row>
    <row r="1242" spans="1:8" x14ac:dyDescent="0.3">
      <c r="A1242" t="s">
        <v>44</v>
      </c>
      <c r="B1242" t="s">
        <v>8</v>
      </c>
      <c r="C1242" t="s">
        <v>20</v>
      </c>
      <c r="D1242">
        <v>0</v>
      </c>
      <c r="E1242" t="s">
        <v>42</v>
      </c>
      <c r="F1242" t="s">
        <v>39</v>
      </c>
      <c r="G1242" t="s">
        <v>40</v>
      </c>
      <c r="H1242">
        <f t="shared" si="19"/>
        <v>0</v>
      </c>
    </row>
    <row r="1243" spans="1:8" x14ac:dyDescent="0.3">
      <c r="A1243" t="s">
        <v>44</v>
      </c>
      <c r="B1243" t="s">
        <v>8</v>
      </c>
      <c r="C1243" t="s">
        <v>21</v>
      </c>
      <c r="D1243">
        <v>0</v>
      </c>
      <c r="E1243" t="s">
        <v>42</v>
      </c>
      <c r="F1243" t="s">
        <v>39</v>
      </c>
      <c r="G1243" t="s">
        <v>40</v>
      </c>
      <c r="H1243">
        <f t="shared" si="19"/>
        <v>0</v>
      </c>
    </row>
    <row r="1244" spans="1:8" x14ac:dyDescent="0.3">
      <c r="A1244" t="s">
        <v>44</v>
      </c>
      <c r="B1244" t="s">
        <v>8</v>
      </c>
      <c r="C1244" t="s">
        <v>22</v>
      </c>
      <c r="D1244">
        <v>24</v>
      </c>
      <c r="E1244" t="s">
        <v>42</v>
      </c>
      <c r="F1244" t="s">
        <v>39</v>
      </c>
      <c r="G1244" t="s">
        <v>40</v>
      </c>
      <c r="H1244">
        <f t="shared" si="19"/>
        <v>24</v>
      </c>
    </row>
    <row r="1245" spans="1:8" x14ac:dyDescent="0.3">
      <c r="A1245" t="s">
        <v>44</v>
      </c>
      <c r="B1245" t="s">
        <v>23</v>
      </c>
      <c r="C1245" t="s">
        <v>9</v>
      </c>
      <c r="D1245">
        <v>97</v>
      </c>
      <c r="E1245" t="s">
        <v>42</v>
      </c>
      <c r="F1245" t="s">
        <v>39</v>
      </c>
      <c r="G1245" t="s">
        <v>40</v>
      </c>
      <c r="H1245">
        <f t="shared" si="19"/>
        <v>97</v>
      </c>
    </row>
    <row r="1246" spans="1:8" x14ac:dyDescent="0.3">
      <c r="A1246" t="s">
        <v>44</v>
      </c>
      <c r="B1246" t="s">
        <v>23</v>
      </c>
      <c r="C1246" t="s">
        <v>13</v>
      </c>
      <c r="D1246">
        <v>45</v>
      </c>
      <c r="E1246" t="s">
        <v>42</v>
      </c>
      <c r="F1246" t="s">
        <v>39</v>
      </c>
      <c r="G1246" t="s">
        <v>40</v>
      </c>
      <c r="H1246">
        <f t="shared" si="19"/>
        <v>45</v>
      </c>
    </row>
    <row r="1247" spans="1:8" x14ac:dyDescent="0.3">
      <c r="A1247" t="s">
        <v>44</v>
      </c>
      <c r="B1247" t="s">
        <v>23</v>
      </c>
      <c r="C1247" t="s">
        <v>14</v>
      </c>
      <c r="D1247">
        <v>50552</v>
      </c>
      <c r="E1247" t="s">
        <v>42</v>
      </c>
      <c r="F1247" t="s">
        <v>39</v>
      </c>
      <c r="G1247" t="s">
        <v>40</v>
      </c>
      <c r="H1247">
        <f t="shared" si="19"/>
        <v>50600</v>
      </c>
    </row>
    <row r="1248" spans="1:8" x14ac:dyDescent="0.3">
      <c r="A1248" t="s">
        <v>44</v>
      </c>
      <c r="B1248" t="s">
        <v>23</v>
      </c>
      <c r="C1248" t="s">
        <v>15</v>
      </c>
      <c r="D1248">
        <v>20</v>
      </c>
      <c r="E1248" t="s">
        <v>42</v>
      </c>
      <c r="F1248" t="s">
        <v>39</v>
      </c>
      <c r="G1248" t="s">
        <v>40</v>
      </c>
      <c r="H1248">
        <f t="shared" si="19"/>
        <v>20</v>
      </c>
    </row>
    <row r="1249" spans="1:8" x14ac:dyDescent="0.3">
      <c r="A1249" t="s">
        <v>44</v>
      </c>
      <c r="B1249" t="s">
        <v>23</v>
      </c>
      <c r="C1249" t="s">
        <v>16</v>
      </c>
      <c r="D1249">
        <v>12729</v>
      </c>
      <c r="E1249" t="s">
        <v>42</v>
      </c>
      <c r="F1249" t="s">
        <v>39</v>
      </c>
      <c r="G1249" t="s">
        <v>40</v>
      </c>
      <c r="H1249">
        <f t="shared" si="19"/>
        <v>12700</v>
      </c>
    </row>
    <row r="1250" spans="1:8" x14ac:dyDescent="0.3">
      <c r="A1250" t="s">
        <v>44</v>
      </c>
      <c r="B1250" t="s">
        <v>23</v>
      </c>
      <c r="C1250" t="s">
        <v>17</v>
      </c>
      <c r="D1250">
        <v>9</v>
      </c>
      <c r="E1250" t="s">
        <v>42</v>
      </c>
      <c r="F1250" t="s">
        <v>39</v>
      </c>
      <c r="G1250" t="s">
        <v>40</v>
      </c>
      <c r="H1250">
        <f t="shared" si="19"/>
        <v>9</v>
      </c>
    </row>
    <row r="1251" spans="1:8" x14ac:dyDescent="0.3">
      <c r="A1251" t="s">
        <v>44</v>
      </c>
      <c r="B1251" t="s">
        <v>23</v>
      </c>
      <c r="C1251" t="s">
        <v>18</v>
      </c>
      <c r="D1251">
        <v>0</v>
      </c>
      <c r="E1251" t="s">
        <v>42</v>
      </c>
      <c r="F1251" t="s">
        <v>39</v>
      </c>
      <c r="G1251" t="s">
        <v>40</v>
      </c>
      <c r="H1251">
        <f t="shared" si="19"/>
        <v>0</v>
      </c>
    </row>
    <row r="1252" spans="1:8" x14ac:dyDescent="0.3">
      <c r="A1252" t="s">
        <v>44</v>
      </c>
      <c r="B1252" t="s">
        <v>23</v>
      </c>
      <c r="C1252" t="s">
        <v>19</v>
      </c>
      <c r="D1252">
        <v>5</v>
      </c>
      <c r="E1252" t="s">
        <v>42</v>
      </c>
      <c r="F1252" t="s">
        <v>39</v>
      </c>
      <c r="G1252" t="s">
        <v>40</v>
      </c>
      <c r="H1252">
        <f t="shared" si="19"/>
        <v>5</v>
      </c>
    </row>
    <row r="1253" spans="1:8" x14ac:dyDescent="0.3">
      <c r="A1253" t="s">
        <v>44</v>
      </c>
      <c r="B1253" t="s">
        <v>23</v>
      </c>
      <c r="C1253" t="s">
        <v>20</v>
      </c>
      <c r="D1253">
        <v>96</v>
      </c>
      <c r="E1253" t="s">
        <v>42</v>
      </c>
      <c r="F1253" t="s">
        <v>39</v>
      </c>
      <c r="G1253" t="s">
        <v>40</v>
      </c>
      <c r="H1253">
        <f t="shared" si="19"/>
        <v>96</v>
      </c>
    </row>
    <row r="1254" spans="1:8" x14ac:dyDescent="0.3">
      <c r="A1254" t="s">
        <v>44</v>
      </c>
      <c r="B1254" t="s">
        <v>23</v>
      </c>
      <c r="C1254" t="s">
        <v>21</v>
      </c>
      <c r="D1254">
        <v>15</v>
      </c>
      <c r="E1254" t="s">
        <v>42</v>
      </c>
      <c r="F1254" t="s">
        <v>39</v>
      </c>
      <c r="G1254" t="s">
        <v>40</v>
      </c>
      <c r="H1254">
        <f t="shared" si="19"/>
        <v>15</v>
      </c>
    </row>
    <row r="1255" spans="1:8" x14ac:dyDescent="0.3">
      <c r="A1255" t="s">
        <v>44</v>
      </c>
      <c r="B1255" t="s">
        <v>23</v>
      </c>
      <c r="C1255" t="s">
        <v>22</v>
      </c>
      <c r="D1255">
        <v>94</v>
      </c>
      <c r="E1255" t="s">
        <v>42</v>
      </c>
      <c r="F1255" t="s">
        <v>39</v>
      </c>
      <c r="G1255" t="s">
        <v>40</v>
      </c>
      <c r="H1255">
        <f t="shared" si="19"/>
        <v>94</v>
      </c>
    </row>
    <row r="1256" spans="1:8" x14ac:dyDescent="0.3">
      <c r="A1256" t="s">
        <v>24</v>
      </c>
      <c r="B1256" t="s">
        <v>8</v>
      </c>
      <c r="C1256" t="s">
        <v>9</v>
      </c>
      <c r="D1256">
        <v>28</v>
      </c>
      <c r="E1256" t="s">
        <v>42</v>
      </c>
      <c r="F1256" t="s">
        <v>39</v>
      </c>
      <c r="G1256" t="s">
        <v>40</v>
      </c>
      <c r="H1256">
        <f t="shared" si="19"/>
        <v>28</v>
      </c>
    </row>
    <row r="1257" spans="1:8" x14ac:dyDescent="0.3">
      <c r="A1257" t="s">
        <v>24</v>
      </c>
      <c r="B1257" t="s">
        <v>8</v>
      </c>
      <c r="C1257" t="s">
        <v>13</v>
      </c>
      <c r="D1257">
        <v>4</v>
      </c>
      <c r="E1257" t="s">
        <v>42</v>
      </c>
      <c r="F1257" t="s">
        <v>39</v>
      </c>
      <c r="G1257" t="s">
        <v>40</v>
      </c>
      <c r="H1257">
        <f t="shared" si="19"/>
        <v>4</v>
      </c>
    </row>
    <row r="1258" spans="1:8" x14ac:dyDescent="0.3">
      <c r="A1258" t="s">
        <v>24</v>
      </c>
      <c r="B1258" t="s">
        <v>8</v>
      </c>
      <c r="C1258" t="s">
        <v>14</v>
      </c>
      <c r="D1258">
        <v>16</v>
      </c>
      <c r="E1258" t="s">
        <v>42</v>
      </c>
      <c r="F1258" t="s">
        <v>39</v>
      </c>
      <c r="G1258" t="s">
        <v>40</v>
      </c>
      <c r="H1258">
        <f t="shared" si="19"/>
        <v>16</v>
      </c>
    </row>
    <row r="1259" spans="1:8" x14ac:dyDescent="0.3">
      <c r="A1259" t="s">
        <v>24</v>
      </c>
      <c r="B1259" t="s">
        <v>8</v>
      </c>
      <c r="C1259" t="s">
        <v>15</v>
      </c>
      <c r="D1259">
        <v>3</v>
      </c>
      <c r="E1259" t="s">
        <v>42</v>
      </c>
      <c r="F1259" t="s">
        <v>39</v>
      </c>
      <c r="G1259" t="s">
        <v>40</v>
      </c>
      <c r="H1259">
        <f t="shared" si="19"/>
        <v>3</v>
      </c>
    </row>
    <row r="1260" spans="1:8" x14ac:dyDescent="0.3">
      <c r="A1260" t="s">
        <v>24</v>
      </c>
      <c r="B1260" t="s">
        <v>8</v>
      </c>
      <c r="C1260" t="s">
        <v>16</v>
      </c>
      <c r="D1260">
        <v>373</v>
      </c>
      <c r="E1260" t="s">
        <v>42</v>
      </c>
      <c r="F1260" t="s">
        <v>39</v>
      </c>
      <c r="G1260" t="s">
        <v>40</v>
      </c>
      <c r="H1260">
        <f t="shared" si="19"/>
        <v>373</v>
      </c>
    </row>
    <row r="1261" spans="1:8" x14ac:dyDescent="0.3">
      <c r="A1261" t="s">
        <v>24</v>
      </c>
      <c r="B1261" t="s">
        <v>8</v>
      </c>
      <c r="C1261" t="s">
        <v>17</v>
      </c>
      <c r="D1261">
        <v>8</v>
      </c>
      <c r="E1261" t="s">
        <v>42</v>
      </c>
      <c r="F1261" t="s">
        <v>39</v>
      </c>
      <c r="G1261" t="s">
        <v>40</v>
      </c>
      <c r="H1261">
        <f t="shared" si="19"/>
        <v>8</v>
      </c>
    </row>
    <row r="1262" spans="1:8" x14ac:dyDescent="0.3">
      <c r="A1262" t="s">
        <v>24</v>
      </c>
      <c r="B1262" t="s">
        <v>8</v>
      </c>
      <c r="C1262" t="s">
        <v>18</v>
      </c>
      <c r="D1262">
        <v>0</v>
      </c>
      <c r="E1262" t="s">
        <v>42</v>
      </c>
      <c r="F1262" t="s">
        <v>39</v>
      </c>
      <c r="G1262" t="s">
        <v>40</v>
      </c>
      <c r="H1262">
        <f t="shared" si="19"/>
        <v>0</v>
      </c>
    </row>
    <row r="1263" spans="1:8" x14ac:dyDescent="0.3">
      <c r="A1263" t="s">
        <v>24</v>
      </c>
      <c r="B1263" t="s">
        <v>8</v>
      </c>
      <c r="C1263" t="s">
        <v>19</v>
      </c>
      <c r="D1263">
        <v>0</v>
      </c>
      <c r="E1263" t="s">
        <v>42</v>
      </c>
      <c r="F1263" t="s">
        <v>39</v>
      </c>
      <c r="G1263" t="s">
        <v>40</v>
      </c>
      <c r="H1263">
        <f t="shared" si="19"/>
        <v>0</v>
      </c>
    </row>
    <row r="1264" spans="1:8" x14ac:dyDescent="0.3">
      <c r="A1264" t="s">
        <v>24</v>
      </c>
      <c r="B1264" t="s">
        <v>8</v>
      </c>
      <c r="C1264" t="s">
        <v>20</v>
      </c>
      <c r="D1264">
        <v>0</v>
      </c>
      <c r="E1264" t="s">
        <v>42</v>
      </c>
      <c r="F1264" t="s">
        <v>39</v>
      </c>
      <c r="G1264" t="s">
        <v>40</v>
      </c>
      <c r="H1264">
        <f t="shared" si="19"/>
        <v>0</v>
      </c>
    </row>
    <row r="1265" spans="1:8" x14ac:dyDescent="0.3">
      <c r="A1265" t="s">
        <v>24</v>
      </c>
      <c r="B1265" t="s">
        <v>8</v>
      </c>
      <c r="C1265" t="s">
        <v>21</v>
      </c>
      <c r="D1265">
        <v>0</v>
      </c>
      <c r="E1265" t="s">
        <v>42</v>
      </c>
      <c r="F1265" t="s">
        <v>39</v>
      </c>
      <c r="G1265" t="s">
        <v>40</v>
      </c>
      <c r="H1265">
        <f t="shared" si="19"/>
        <v>0</v>
      </c>
    </row>
    <row r="1266" spans="1:8" x14ac:dyDescent="0.3">
      <c r="A1266" t="s">
        <v>24</v>
      </c>
      <c r="B1266" t="s">
        <v>8</v>
      </c>
      <c r="C1266" t="s">
        <v>22</v>
      </c>
      <c r="D1266">
        <v>462</v>
      </c>
      <c r="E1266" t="s">
        <v>42</v>
      </c>
      <c r="F1266" t="s">
        <v>39</v>
      </c>
      <c r="G1266" t="s">
        <v>40</v>
      </c>
      <c r="H1266">
        <f t="shared" si="19"/>
        <v>462</v>
      </c>
    </row>
    <row r="1267" spans="1:8" x14ac:dyDescent="0.3">
      <c r="A1267" t="s">
        <v>24</v>
      </c>
      <c r="B1267" t="s">
        <v>23</v>
      </c>
      <c r="C1267" t="s">
        <v>9</v>
      </c>
      <c r="D1267">
        <v>5463</v>
      </c>
      <c r="E1267" t="s">
        <v>42</v>
      </c>
      <c r="F1267" t="s">
        <v>39</v>
      </c>
      <c r="G1267" t="s">
        <v>40</v>
      </c>
      <c r="H1267">
        <f t="shared" si="19"/>
        <v>5460</v>
      </c>
    </row>
    <row r="1268" spans="1:8" x14ac:dyDescent="0.3">
      <c r="A1268" t="s">
        <v>24</v>
      </c>
      <c r="B1268" t="s">
        <v>23</v>
      </c>
      <c r="C1268" t="s">
        <v>13</v>
      </c>
      <c r="D1268">
        <v>1116</v>
      </c>
      <c r="E1268" t="s">
        <v>42</v>
      </c>
      <c r="F1268" t="s">
        <v>39</v>
      </c>
      <c r="G1268" t="s">
        <v>40</v>
      </c>
      <c r="H1268">
        <f t="shared" si="19"/>
        <v>1120</v>
      </c>
    </row>
    <row r="1269" spans="1:8" x14ac:dyDescent="0.3">
      <c r="A1269" t="s">
        <v>24</v>
      </c>
      <c r="B1269" t="s">
        <v>23</v>
      </c>
      <c r="C1269" t="s">
        <v>14</v>
      </c>
      <c r="D1269">
        <v>9104</v>
      </c>
      <c r="E1269" t="s">
        <v>42</v>
      </c>
      <c r="F1269" t="s">
        <v>39</v>
      </c>
      <c r="G1269" t="s">
        <v>40</v>
      </c>
      <c r="H1269">
        <f t="shared" si="19"/>
        <v>9100</v>
      </c>
    </row>
    <row r="1270" spans="1:8" x14ac:dyDescent="0.3">
      <c r="A1270" t="s">
        <v>24</v>
      </c>
      <c r="B1270" t="s">
        <v>23</v>
      </c>
      <c r="C1270" t="s">
        <v>15</v>
      </c>
      <c r="D1270">
        <v>41</v>
      </c>
      <c r="E1270" t="s">
        <v>42</v>
      </c>
      <c r="F1270" t="s">
        <v>39</v>
      </c>
      <c r="G1270" t="s">
        <v>40</v>
      </c>
      <c r="H1270">
        <f t="shared" si="19"/>
        <v>41</v>
      </c>
    </row>
    <row r="1271" spans="1:8" x14ac:dyDescent="0.3">
      <c r="A1271" t="s">
        <v>24</v>
      </c>
      <c r="B1271" t="s">
        <v>23</v>
      </c>
      <c r="C1271" t="s">
        <v>16</v>
      </c>
      <c r="D1271">
        <v>38484</v>
      </c>
      <c r="E1271" t="s">
        <v>42</v>
      </c>
      <c r="F1271" t="s">
        <v>39</v>
      </c>
      <c r="G1271" t="s">
        <v>40</v>
      </c>
      <c r="H1271">
        <f t="shared" si="19"/>
        <v>38500</v>
      </c>
    </row>
    <row r="1272" spans="1:8" x14ac:dyDescent="0.3">
      <c r="A1272" t="s">
        <v>24</v>
      </c>
      <c r="B1272" t="s">
        <v>23</v>
      </c>
      <c r="C1272" t="s">
        <v>17</v>
      </c>
      <c r="D1272">
        <v>148</v>
      </c>
      <c r="E1272" t="s">
        <v>42</v>
      </c>
      <c r="F1272" t="s">
        <v>39</v>
      </c>
      <c r="G1272" t="s">
        <v>40</v>
      </c>
      <c r="H1272">
        <f t="shared" si="19"/>
        <v>148</v>
      </c>
    </row>
    <row r="1273" spans="1:8" x14ac:dyDescent="0.3">
      <c r="A1273" t="s">
        <v>24</v>
      </c>
      <c r="B1273" t="s">
        <v>23</v>
      </c>
      <c r="C1273" t="s">
        <v>18</v>
      </c>
      <c r="D1273">
        <v>0</v>
      </c>
      <c r="E1273" t="s">
        <v>42</v>
      </c>
      <c r="F1273" t="s">
        <v>39</v>
      </c>
      <c r="G1273" t="s">
        <v>40</v>
      </c>
      <c r="H1273">
        <f t="shared" si="19"/>
        <v>0</v>
      </c>
    </row>
    <row r="1274" spans="1:8" x14ac:dyDescent="0.3">
      <c r="A1274" t="s">
        <v>24</v>
      </c>
      <c r="B1274" t="s">
        <v>23</v>
      </c>
      <c r="C1274" t="s">
        <v>19</v>
      </c>
      <c r="D1274">
        <v>35</v>
      </c>
      <c r="E1274" t="s">
        <v>42</v>
      </c>
      <c r="F1274" t="s">
        <v>39</v>
      </c>
      <c r="G1274" t="s">
        <v>40</v>
      </c>
      <c r="H1274">
        <f t="shared" si="19"/>
        <v>35</v>
      </c>
    </row>
    <row r="1275" spans="1:8" x14ac:dyDescent="0.3">
      <c r="A1275" t="s">
        <v>24</v>
      </c>
      <c r="B1275" t="s">
        <v>23</v>
      </c>
      <c r="C1275" t="s">
        <v>20</v>
      </c>
      <c r="D1275">
        <v>320</v>
      </c>
      <c r="E1275" t="s">
        <v>42</v>
      </c>
      <c r="F1275" t="s">
        <v>39</v>
      </c>
      <c r="G1275" t="s">
        <v>40</v>
      </c>
      <c r="H1275">
        <f t="shared" si="19"/>
        <v>320</v>
      </c>
    </row>
    <row r="1276" spans="1:8" x14ac:dyDescent="0.3">
      <c r="A1276" t="s">
        <v>24</v>
      </c>
      <c r="B1276" t="s">
        <v>23</v>
      </c>
      <c r="C1276" t="s">
        <v>21</v>
      </c>
      <c r="D1276">
        <v>27</v>
      </c>
      <c r="E1276" t="s">
        <v>42</v>
      </c>
      <c r="F1276" t="s">
        <v>39</v>
      </c>
      <c r="G1276" t="s">
        <v>40</v>
      </c>
      <c r="H1276">
        <f t="shared" si="19"/>
        <v>27</v>
      </c>
    </row>
    <row r="1277" spans="1:8" x14ac:dyDescent="0.3">
      <c r="A1277" t="s">
        <v>24</v>
      </c>
      <c r="B1277" t="s">
        <v>23</v>
      </c>
      <c r="C1277" t="s">
        <v>22</v>
      </c>
      <c r="D1277">
        <v>9918</v>
      </c>
      <c r="E1277" t="s">
        <v>42</v>
      </c>
      <c r="F1277" t="s">
        <v>39</v>
      </c>
      <c r="G1277" t="s">
        <v>40</v>
      </c>
      <c r="H1277">
        <f t="shared" si="19"/>
        <v>9920</v>
      </c>
    </row>
    <row r="1278" spans="1:8" x14ac:dyDescent="0.3">
      <c r="A1278" t="s">
        <v>45</v>
      </c>
      <c r="B1278" t="s">
        <v>8</v>
      </c>
      <c r="C1278" t="s">
        <v>9</v>
      </c>
      <c r="D1278">
        <v>107</v>
      </c>
      <c r="E1278" t="s">
        <v>42</v>
      </c>
      <c r="F1278" t="s">
        <v>39</v>
      </c>
      <c r="G1278" t="s">
        <v>40</v>
      </c>
      <c r="H1278">
        <f t="shared" si="19"/>
        <v>107</v>
      </c>
    </row>
    <row r="1279" spans="1:8" x14ac:dyDescent="0.3">
      <c r="A1279" t="s">
        <v>45</v>
      </c>
      <c r="B1279" t="s">
        <v>8</v>
      </c>
      <c r="C1279" t="s">
        <v>13</v>
      </c>
      <c r="D1279">
        <v>24</v>
      </c>
      <c r="E1279" t="s">
        <v>42</v>
      </c>
      <c r="F1279" t="s">
        <v>39</v>
      </c>
      <c r="G1279" t="s">
        <v>40</v>
      </c>
      <c r="H1279">
        <f t="shared" si="19"/>
        <v>24</v>
      </c>
    </row>
    <row r="1280" spans="1:8" x14ac:dyDescent="0.3">
      <c r="A1280" t="s">
        <v>45</v>
      </c>
      <c r="B1280" t="s">
        <v>8</v>
      </c>
      <c r="C1280" t="s">
        <v>14</v>
      </c>
      <c r="D1280">
        <v>0</v>
      </c>
      <c r="E1280" t="s">
        <v>42</v>
      </c>
      <c r="F1280" t="s">
        <v>39</v>
      </c>
      <c r="G1280" t="s">
        <v>40</v>
      </c>
      <c r="H1280">
        <f t="shared" si="19"/>
        <v>0</v>
      </c>
    </row>
    <row r="1281" spans="1:8" x14ac:dyDescent="0.3">
      <c r="A1281" t="s">
        <v>45</v>
      </c>
      <c r="B1281" t="s">
        <v>8</v>
      </c>
      <c r="C1281" t="s">
        <v>15</v>
      </c>
      <c r="D1281">
        <v>10</v>
      </c>
      <c r="E1281" t="s">
        <v>42</v>
      </c>
      <c r="F1281" t="s">
        <v>39</v>
      </c>
      <c r="G1281" t="s">
        <v>40</v>
      </c>
      <c r="H1281">
        <f t="shared" si="19"/>
        <v>10</v>
      </c>
    </row>
    <row r="1282" spans="1:8" x14ac:dyDescent="0.3">
      <c r="A1282" t="s">
        <v>45</v>
      </c>
      <c r="B1282" t="s">
        <v>8</v>
      </c>
      <c r="C1282" t="s">
        <v>16</v>
      </c>
      <c r="D1282">
        <v>8</v>
      </c>
      <c r="E1282" t="s">
        <v>42</v>
      </c>
      <c r="F1282" t="s">
        <v>39</v>
      </c>
      <c r="G1282" t="s">
        <v>40</v>
      </c>
      <c r="H1282">
        <f t="shared" si="19"/>
        <v>8</v>
      </c>
    </row>
    <row r="1283" spans="1:8" x14ac:dyDescent="0.3">
      <c r="A1283" t="s">
        <v>45</v>
      </c>
      <c r="B1283" t="s">
        <v>8</v>
      </c>
      <c r="C1283" t="s">
        <v>17</v>
      </c>
      <c r="D1283">
        <v>26</v>
      </c>
      <c r="E1283" t="s">
        <v>42</v>
      </c>
      <c r="F1283" t="s">
        <v>39</v>
      </c>
      <c r="G1283" t="s">
        <v>40</v>
      </c>
      <c r="H1283">
        <f t="shared" ref="H1283:H1346" si="20">ROUND(D1283, 3 - LEN(INT(ABS(D1283))))</f>
        <v>26</v>
      </c>
    </row>
    <row r="1284" spans="1:8" x14ac:dyDescent="0.3">
      <c r="A1284" t="s">
        <v>45</v>
      </c>
      <c r="B1284" t="s">
        <v>8</v>
      </c>
      <c r="C1284" t="s">
        <v>18</v>
      </c>
      <c r="D1284">
        <v>0</v>
      </c>
      <c r="E1284" t="s">
        <v>42</v>
      </c>
      <c r="F1284" t="s">
        <v>39</v>
      </c>
      <c r="G1284" t="s">
        <v>40</v>
      </c>
      <c r="H1284">
        <f t="shared" si="20"/>
        <v>0</v>
      </c>
    </row>
    <row r="1285" spans="1:8" x14ac:dyDescent="0.3">
      <c r="A1285" t="s">
        <v>45</v>
      </c>
      <c r="B1285" t="s">
        <v>8</v>
      </c>
      <c r="C1285" t="s">
        <v>19</v>
      </c>
      <c r="D1285">
        <v>2</v>
      </c>
      <c r="E1285" t="s">
        <v>42</v>
      </c>
      <c r="F1285" t="s">
        <v>39</v>
      </c>
      <c r="G1285" t="s">
        <v>40</v>
      </c>
      <c r="H1285">
        <f t="shared" si="20"/>
        <v>2</v>
      </c>
    </row>
    <row r="1286" spans="1:8" x14ac:dyDescent="0.3">
      <c r="A1286" t="s">
        <v>45</v>
      </c>
      <c r="B1286" t="s">
        <v>8</v>
      </c>
      <c r="C1286" t="s">
        <v>20</v>
      </c>
      <c r="D1286">
        <v>0</v>
      </c>
      <c r="E1286" t="s">
        <v>42</v>
      </c>
      <c r="F1286" t="s">
        <v>39</v>
      </c>
      <c r="G1286" t="s">
        <v>40</v>
      </c>
      <c r="H1286">
        <f t="shared" si="20"/>
        <v>0</v>
      </c>
    </row>
    <row r="1287" spans="1:8" x14ac:dyDescent="0.3">
      <c r="A1287" t="s">
        <v>45</v>
      </c>
      <c r="B1287" t="s">
        <v>8</v>
      </c>
      <c r="C1287" t="s">
        <v>21</v>
      </c>
      <c r="D1287">
        <v>0</v>
      </c>
      <c r="E1287" t="s">
        <v>42</v>
      </c>
      <c r="F1287" t="s">
        <v>39</v>
      </c>
      <c r="G1287" t="s">
        <v>40</v>
      </c>
      <c r="H1287">
        <f t="shared" si="20"/>
        <v>0</v>
      </c>
    </row>
    <row r="1288" spans="1:8" x14ac:dyDescent="0.3">
      <c r="A1288" t="s">
        <v>45</v>
      </c>
      <c r="B1288" t="s">
        <v>8</v>
      </c>
      <c r="C1288" t="s">
        <v>22</v>
      </c>
      <c r="D1288">
        <v>294</v>
      </c>
      <c r="E1288" t="s">
        <v>42</v>
      </c>
      <c r="F1288" t="s">
        <v>39</v>
      </c>
      <c r="G1288" t="s">
        <v>40</v>
      </c>
      <c r="H1288">
        <f t="shared" si="20"/>
        <v>294</v>
      </c>
    </row>
    <row r="1289" spans="1:8" x14ac:dyDescent="0.3">
      <c r="A1289" t="s">
        <v>45</v>
      </c>
      <c r="B1289" t="s">
        <v>23</v>
      </c>
      <c r="C1289" t="s">
        <v>9</v>
      </c>
      <c r="D1289">
        <v>20370</v>
      </c>
      <c r="E1289" t="s">
        <v>42</v>
      </c>
      <c r="F1289" t="s">
        <v>39</v>
      </c>
      <c r="G1289" t="s">
        <v>40</v>
      </c>
      <c r="H1289">
        <f t="shared" si="20"/>
        <v>20400</v>
      </c>
    </row>
    <row r="1290" spans="1:8" x14ac:dyDescent="0.3">
      <c r="A1290" t="s">
        <v>45</v>
      </c>
      <c r="B1290" t="s">
        <v>23</v>
      </c>
      <c r="C1290" t="s">
        <v>13</v>
      </c>
      <c r="D1290">
        <v>402</v>
      </c>
      <c r="E1290" t="s">
        <v>42</v>
      </c>
      <c r="F1290" t="s">
        <v>39</v>
      </c>
      <c r="G1290" t="s">
        <v>40</v>
      </c>
      <c r="H1290">
        <f t="shared" si="20"/>
        <v>402</v>
      </c>
    </row>
    <row r="1291" spans="1:8" x14ac:dyDescent="0.3">
      <c r="A1291" t="s">
        <v>45</v>
      </c>
      <c r="B1291" t="s">
        <v>23</v>
      </c>
      <c r="C1291" t="s">
        <v>14</v>
      </c>
      <c r="D1291">
        <v>1497</v>
      </c>
      <c r="E1291" t="s">
        <v>42</v>
      </c>
      <c r="F1291" t="s">
        <v>39</v>
      </c>
      <c r="G1291" t="s">
        <v>40</v>
      </c>
      <c r="H1291">
        <f t="shared" si="20"/>
        <v>1500</v>
      </c>
    </row>
    <row r="1292" spans="1:8" x14ac:dyDescent="0.3">
      <c r="A1292" t="s">
        <v>45</v>
      </c>
      <c r="B1292" t="s">
        <v>23</v>
      </c>
      <c r="C1292" t="s">
        <v>15</v>
      </c>
      <c r="D1292">
        <v>41</v>
      </c>
      <c r="E1292" t="s">
        <v>42</v>
      </c>
      <c r="F1292" t="s">
        <v>39</v>
      </c>
      <c r="G1292" t="s">
        <v>40</v>
      </c>
      <c r="H1292">
        <f t="shared" si="20"/>
        <v>41</v>
      </c>
    </row>
    <row r="1293" spans="1:8" x14ac:dyDescent="0.3">
      <c r="A1293" t="s">
        <v>45</v>
      </c>
      <c r="B1293" t="s">
        <v>23</v>
      </c>
      <c r="C1293" t="s">
        <v>16</v>
      </c>
      <c r="D1293">
        <v>3493</v>
      </c>
      <c r="E1293" t="s">
        <v>42</v>
      </c>
      <c r="F1293" t="s">
        <v>39</v>
      </c>
      <c r="G1293" t="s">
        <v>40</v>
      </c>
      <c r="H1293">
        <f t="shared" si="20"/>
        <v>3490</v>
      </c>
    </row>
    <row r="1294" spans="1:8" x14ac:dyDescent="0.3">
      <c r="A1294" t="s">
        <v>45</v>
      </c>
      <c r="B1294" t="s">
        <v>23</v>
      </c>
      <c r="C1294" t="s">
        <v>17</v>
      </c>
      <c r="D1294">
        <v>479</v>
      </c>
      <c r="E1294" t="s">
        <v>42</v>
      </c>
      <c r="F1294" t="s">
        <v>39</v>
      </c>
      <c r="G1294" t="s">
        <v>40</v>
      </c>
      <c r="H1294">
        <f t="shared" si="20"/>
        <v>479</v>
      </c>
    </row>
    <row r="1295" spans="1:8" x14ac:dyDescent="0.3">
      <c r="A1295" t="s">
        <v>45</v>
      </c>
      <c r="B1295" t="s">
        <v>23</v>
      </c>
      <c r="C1295" t="s">
        <v>18</v>
      </c>
      <c r="D1295">
        <v>0</v>
      </c>
      <c r="E1295" t="s">
        <v>42</v>
      </c>
      <c r="F1295" t="s">
        <v>39</v>
      </c>
      <c r="G1295" t="s">
        <v>40</v>
      </c>
      <c r="H1295">
        <f t="shared" si="20"/>
        <v>0</v>
      </c>
    </row>
    <row r="1296" spans="1:8" x14ac:dyDescent="0.3">
      <c r="A1296" t="s">
        <v>45</v>
      </c>
      <c r="B1296" t="s">
        <v>23</v>
      </c>
      <c r="C1296" t="s">
        <v>19</v>
      </c>
      <c r="D1296">
        <v>1264</v>
      </c>
      <c r="E1296" t="s">
        <v>42</v>
      </c>
      <c r="F1296" t="s">
        <v>39</v>
      </c>
      <c r="G1296" t="s">
        <v>40</v>
      </c>
      <c r="H1296">
        <f t="shared" si="20"/>
        <v>1260</v>
      </c>
    </row>
    <row r="1297" spans="1:8" x14ac:dyDescent="0.3">
      <c r="A1297" t="s">
        <v>45</v>
      </c>
      <c r="B1297" t="s">
        <v>23</v>
      </c>
      <c r="C1297" t="s">
        <v>20</v>
      </c>
      <c r="D1297">
        <v>324</v>
      </c>
      <c r="E1297" t="s">
        <v>42</v>
      </c>
      <c r="F1297" t="s">
        <v>39</v>
      </c>
      <c r="G1297" t="s">
        <v>40</v>
      </c>
      <c r="H1297">
        <f t="shared" si="20"/>
        <v>324</v>
      </c>
    </row>
    <row r="1298" spans="1:8" x14ac:dyDescent="0.3">
      <c r="A1298" t="s">
        <v>45</v>
      </c>
      <c r="B1298" t="s">
        <v>23</v>
      </c>
      <c r="C1298" t="s">
        <v>21</v>
      </c>
      <c r="D1298">
        <v>58</v>
      </c>
      <c r="E1298" t="s">
        <v>42</v>
      </c>
      <c r="F1298" t="s">
        <v>39</v>
      </c>
      <c r="G1298" t="s">
        <v>40</v>
      </c>
      <c r="H1298">
        <f t="shared" si="20"/>
        <v>58</v>
      </c>
    </row>
    <row r="1299" spans="1:8" x14ac:dyDescent="0.3">
      <c r="A1299" t="s">
        <v>45</v>
      </c>
      <c r="B1299" t="s">
        <v>23</v>
      </c>
      <c r="C1299" t="s">
        <v>22</v>
      </c>
      <c r="D1299">
        <v>341</v>
      </c>
      <c r="E1299" t="s">
        <v>42</v>
      </c>
      <c r="F1299" t="s">
        <v>39</v>
      </c>
      <c r="G1299" t="s">
        <v>40</v>
      </c>
      <c r="H1299">
        <f t="shared" si="20"/>
        <v>341</v>
      </c>
    </row>
    <row r="1300" spans="1:8" x14ac:dyDescent="0.3">
      <c r="A1300" t="s">
        <v>46</v>
      </c>
      <c r="B1300" t="s">
        <v>8</v>
      </c>
      <c r="C1300" t="s">
        <v>9</v>
      </c>
      <c r="D1300">
        <v>0</v>
      </c>
      <c r="E1300" t="s">
        <v>42</v>
      </c>
      <c r="F1300" t="s">
        <v>39</v>
      </c>
      <c r="G1300" t="s">
        <v>40</v>
      </c>
      <c r="H1300">
        <f t="shared" si="20"/>
        <v>0</v>
      </c>
    </row>
    <row r="1301" spans="1:8" x14ac:dyDescent="0.3">
      <c r="A1301" t="s">
        <v>46</v>
      </c>
      <c r="B1301" t="s">
        <v>8</v>
      </c>
      <c r="C1301" t="s">
        <v>13</v>
      </c>
      <c r="D1301">
        <v>0</v>
      </c>
      <c r="E1301" t="s">
        <v>42</v>
      </c>
      <c r="F1301" t="s">
        <v>39</v>
      </c>
      <c r="G1301" t="s">
        <v>40</v>
      </c>
      <c r="H1301">
        <f t="shared" si="20"/>
        <v>0</v>
      </c>
    </row>
    <row r="1302" spans="1:8" x14ac:dyDescent="0.3">
      <c r="A1302" t="s">
        <v>46</v>
      </c>
      <c r="B1302" t="s">
        <v>8</v>
      </c>
      <c r="C1302" t="s">
        <v>14</v>
      </c>
      <c r="D1302">
        <v>0</v>
      </c>
      <c r="E1302" t="s">
        <v>42</v>
      </c>
      <c r="F1302" t="s">
        <v>39</v>
      </c>
      <c r="G1302" t="s">
        <v>40</v>
      </c>
      <c r="H1302">
        <f t="shared" si="20"/>
        <v>0</v>
      </c>
    </row>
    <row r="1303" spans="1:8" x14ac:dyDescent="0.3">
      <c r="A1303" t="s">
        <v>46</v>
      </c>
      <c r="B1303" t="s">
        <v>8</v>
      </c>
      <c r="C1303" t="s">
        <v>15</v>
      </c>
      <c r="D1303">
        <v>0</v>
      </c>
      <c r="E1303" t="s">
        <v>42</v>
      </c>
      <c r="F1303" t="s">
        <v>39</v>
      </c>
      <c r="G1303" t="s">
        <v>40</v>
      </c>
      <c r="H1303">
        <f t="shared" si="20"/>
        <v>0</v>
      </c>
    </row>
    <row r="1304" spans="1:8" x14ac:dyDescent="0.3">
      <c r="A1304" t="s">
        <v>46</v>
      </c>
      <c r="B1304" t="s">
        <v>8</v>
      </c>
      <c r="C1304" t="s">
        <v>16</v>
      </c>
      <c r="D1304">
        <v>369</v>
      </c>
      <c r="E1304" t="s">
        <v>42</v>
      </c>
      <c r="F1304" t="s">
        <v>39</v>
      </c>
      <c r="G1304" t="s">
        <v>40</v>
      </c>
      <c r="H1304">
        <f t="shared" si="20"/>
        <v>369</v>
      </c>
    </row>
    <row r="1305" spans="1:8" x14ac:dyDescent="0.3">
      <c r="A1305" t="s">
        <v>46</v>
      </c>
      <c r="B1305" t="s">
        <v>8</v>
      </c>
      <c r="C1305" t="s">
        <v>17</v>
      </c>
      <c r="D1305">
        <v>1</v>
      </c>
      <c r="E1305" t="s">
        <v>42</v>
      </c>
      <c r="F1305" t="s">
        <v>39</v>
      </c>
      <c r="G1305" t="s">
        <v>40</v>
      </c>
      <c r="H1305">
        <f t="shared" si="20"/>
        <v>1</v>
      </c>
    </row>
    <row r="1306" spans="1:8" x14ac:dyDescent="0.3">
      <c r="A1306" t="s">
        <v>46</v>
      </c>
      <c r="B1306" t="s">
        <v>8</v>
      </c>
      <c r="C1306" t="s">
        <v>18</v>
      </c>
      <c r="D1306">
        <v>0</v>
      </c>
      <c r="E1306" t="s">
        <v>42</v>
      </c>
      <c r="F1306" t="s">
        <v>39</v>
      </c>
      <c r="G1306" t="s">
        <v>40</v>
      </c>
      <c r="H1306">
        <f t="shared" si="20"/>
        <v>0</v>
      </c>
    </row>
    <row r="1307" spans="1:8" x14ac:dyDescent="0.3">
      <c r="A1307" t="s">
        <v>46</v>
      </c>
      <c r="B1307" t="s">
        <v>8</v>
      </c>
      <c r="C1307" t="s">
        <v>19</v>
      </c>
      <c r="D1307">
        <v>0</v>
      </c>
      <c r="E1307" t="s">
        <v>42</v>
      </c>
      <c r="F1307" t="s">
        <v>39</v>
      </c>
      <c r="G1307" t="s">
        <v>40</v>
      </c>
      <c r="H1307">
        <f t="shared" si="20"/>
        <v>0</v>
      </c>
    </row>
    <row r="1308" spans="1:8" x14ac:dyDescent="0.3">
      <c r="A1308" t="s">
        <v>46</v>
      </c>
      <c r="B1308" t="s">
        <v>8</v>
      </c>
      <c r="C1308" t="s">
        <v>20</v>
      </c>
      <c r="D1308">
        <v>0</v>
      </c>
      <c r="E1308" t="s">
        <v>42</v>
      </c>
      <c r="F1308" t="s">
        <v>39</v>
      </c>
      <c r="G1308" t="s">
        <v>40</v>
      </c>
      <c r="H1308">
        <f t="shared" si="20"/>
        <v>0</v>
      </c>
    </row>
    <row r="1309" spans="1:8" x14ac:dyDescent="0.3">
      <c r="A1309" t="s">
        <v>46</v>
      </c>
      <c r="B1309" t="s">
        <v>8</v>
      </c>
      <c r="C1309" t="s">
        <v>21</v>
      </c>
      <c r="D1309">
        <v>0</v>
      </c>
      <c r="E1309" t="s">
        <v>42</v>
      </c>
      <c r="F1309" t="s">
        <v>39</v>
      </c>
      <c r="G1309" t="s">
        <v>40</v>
      </c>
      <c r="H1309">
        <f t="shared" si="20"/>
        <v>0</v>
      </c>
    </row>
    <row r="1310" spans="1:8" x14ac:dyDescent="0.3">
      <c r="A1310" t="s">
        <v>46</v>
      </c>
      <c r="B1310" t="s">
        <v>8</v>
      </c>
      <c r="C1310" t="s">
        <v>22</v>
      </c>
      <c r="D1310">
        <v>5</v>
      </c>
      <c r="E1310" t="s">
        <v>42</v>
      </c>
      <c r="F1310" t="s">
        <v>39</v>
      </c>
      <c r="G1310" t="s">
        <v>40</v>
      </c>
      <c r="H1310">
        <f t="shared" si="20"/>
        <v>5</v>
      </c>
    </row>
    <row r="1311" spans="1:8" x14ac:dyDescent="0.3">
      <c r="A1311" t="s">
        <v>46</v>
      </c>
      <c r="B1311" t="s">
        <v>23</v>
      </c>
      <c r="C1311" t="s">
        <v>9</v>
      </c>
      <c r="D1311">
        <v>24</v>
      </c>
      <c r="E1311" t="s">
        <v>42</v>
      </c>
      <c r="F1311" t="s">
        <v>39</v>
      </c>
      <c r="G1311" t="s">
        <v>40</v>
      </c>
      <c r="H1311">
        <f t="shared" si="20"/>
        <v>24</v>
      </c>
    </row>
    <row r="1312" spans="1:8" x14ac:dyDescent="0.3">
      <c r="A1312" t="s">
        <v>46</v>
      </c>
      <c r="B1312" t="s">
        <v>23</v>
      </c>
      <c r="C1312" t="s">
        <v>13</v>
      </c>
      <c r="D1312">
        <v>26</v>
      </c>
      <c r="E1312" t="s">
        <v>42</v>
      </c>
      <c r="F1312" t="s">
        <v>39</v>
      </c>
      <c r="G1312" t="s">
        <v>40</v>
      </c>
      <c r="H1312">
        <f t="shared" si="20"/>
        <v>26</v>
      </c>
    </row>
    <row r="1313" spans="1:8" x14ac:dyDescent="0.3">
      <c r="A1313" t="s">
        <v>46</v>
      </c>
      <c r="B1313" t="s">
        <v>23</v>
      </c>
      <c r="C1313" t="s">
        <v>14</v>
      </c>
      <c r="D1313">
        <v>63</v>
      </c>
      <c r="E1313" t="s">
        <v>42</v>
      </c>
      <c r="F1313" t="s">
        <v>39</v>
      </c>
      <c r="G1313" t="s">
        <v>40</v>
      </c>
      <c r="H1313">
        <f t="shared" si="20"/>
        <v>63</v>
      </c>
    </row>
    <row r="1314" spans="1:8" x14ac:dyDescent="0.3">
      <c r="A1314" t="s">
        <v>46</v>
      </c>
      <c r="B1314" t="s">
        <v>23</v>
      </c>
      <c r="C1314" t="s">
        <v>15</v>
      </c>
      <c r="D1314">
        <v>5</v>
      </c>
      <c r="E1314" t="s">
        <v>42</v>
      </c>
      <c r="F1314" t="s">
        <v>39</v>
      </c>
      <c r="G1314" t="s">
        <v>40</v>
      </c>
      <c r="H1314">
        <f t="shared" si="20"/>
        <v>5</v>
      </c>
    </row>
    <row r="1315" spans="1:8" x14ac:dyDescent="0.3">
      <c r="A1315" t="s">
        <v>46</v>
      </c>
      <c r="B1315" t="s">
        <v>23</v>
      </c>
      <c r="C1315" t="s">
        <v>16</v>
      </c>
      <c r="D1315">
        <v>35127</v>
      </c>
      <c r="E1315" t="s">
        <v>42</v>
      </c>
      <c r="F1315" t="s">
        <v>39</v>
      </c>
      <c r="G1315" t="s">
        <v>40</v>
      </c>
      <c r="H1315">
        <f t="shared" si="20"/>
        <v>35100</v>
      </c>
    </row>
    <row r="1316" spans="1:8" x14ac:dyDescent="0.3">
      <c r="A1316" t="s">
        <v>46</v>
      </c>
      <c r="B1316" t="s">
        <v>23</v>
      </c>
      <c r="C1316" t="s">
        <v>17</v>
      </c>
      <c r="D1316">
        <v>6</v>
      </c>
      <c r="E1316" t="s">
        <v>42</v>
      </c>
      <c r="F1316" t="s">
        <v>39</v>
      </c>
      <c r="G1316" t="s">
        <v>40</v>
      </c>
      <c r="H1316">
        <f t="shared" si="20"/>
        <v>6</v>
      </c>
    </row>
    <row r="1317" spans="1:8" x14ac:dyDescent="0.3">
      <c r="A1317" t="s">
        <v>46</v>
      </c>
      <c r="B1317" t="s">
        <v>23</v>
      </c>
      <c r="C1317" t="s">
        <v>18</v>
      </c>
      <c r="D1317">
        <v>0</v>
      </c>
      <c r="E1317" t="s">
        <v>42</v>
      </c>
      <c r="F1317" t="s">
        <v>39</v>
      </c>
      <c r="G1317" t="s">
        <v>40</v>
      </c>
      <c r="H1317">
        <f t="shared" si="20"/>
        <v>0</v>
      </c>
    </row>
    <row r="1318" spans="1:8" x14ac:dyDescent="0.3">
      <c r="A1318" t="s">
        <v>46</v>
      </c>
      <c r="B1318" t="s">
        <v>23</v>
      </c>
      <c r="C1318" t="s">
        <v>19</v>
      </c>
      <c r="D1318">
        <v>3</v>
      </c>
      <c r="E1318" t="s">
        <v>42</v>
      </c>
      <c r="F1318" t="s">
        <v>39</v>
      </c>
      <c r="G1318" t="s">
        <v>40</v>
      </c>
      <c r="H1318">
        <f t="shared" si="20"/>
        <v>3</v>
      </c>
    </row>
    <row r="1319" spans="1:8" x14ac:dyDescent="0.3">
      <c r="A1319" t="s">
        <v>46</v>
      </c>
      <c r="B1319" t="s">
        <v>23</v>
      </c>
      <c r="C1319" t="s">
        <v>20</v>
      </c>
      <c r="D1319">
        <v>165</v>
      </c>
      <c r="E1319" t="s">
        <v>42</v>
      </c>
      <c r="F1319" t="s">
        <v>39</v>
      </c>
      <c r="G1319" t="s">
        <v>40</v>
      </c>
      <c r="H1319">
        <f t="shared" si="20"/>
        <v>165</v>
      </c>
    </row>
    <row r="1320" spans="1:8" x14ac:dyDescent="0.3">
      <c r="A1320" t="s">
        <v>46</v>
      </c>
      <c r="B1320" t="s">
        <v>23</v>
      </c>
      <c r="C1320" t="s">
        <v>21</v>
      </c>
      <c r="D1320">
        <v>1</v>
      </c>
      <c r="E1320" t="s">
        <v>42</v>
      </c>
      <c r="F1320" t="s">
        <v>39</v>
      </c>
      <c r="G1320" t="s">
        <v>40</v>
      </c>
      <c r="H1320">
        <f t="shared" si="20"/>
        <v>1</v>
      </c>
    </row>
    <row r="1321" spans="1:8" x14ac:dyDescent="0.3">
      <c r="A1321" t="s">
        <v>46</v>
      </c>
      <c r="B1321" t="s">
        <v>23</v>
      </c>
      <c r="C1321" t="s">
        <v>22</v>
      </c>
      <c r="D1321">
        <v>50</v>
      </c>
      <c r="E1321" t="s">
        <v>42</v>
      </c>
      <c r="F1321" t="s">
        <v>39</v>
      </c>
      <c r="G1321" t="s">
        <v>40</v>
      </c>
      <c r="H1321">
        <f t="shared" si="20"/>
        <v>50</v>
      </c>
    </row>
    <row r="1322" spans="1:8" x14ac:dyDescent="0.3">
      <c r="A1322" t="s">
        <v>47</v>
      </c>
      <c r="B1322" t="s">
        <v>8</v>
      </c>
      <c r="C1322" t="s">
        <v>9</v>
      </c>
      <c r="D1322">
        <v>106</v>
      </c>
      <c r="E1322" t="s">
        <v>42</v>
      </c>
      <c r="F1322" t="s">
        <v>39</v>
      </c>
      <c r="G1322" t="s">
        <v>40</v>
      </c>
      <c r="H1322">
        <f t="shared" si="20"/>
        <v>106</v>
      </c>
    </row>
    <row r="1323" spans="1:8" x14ac:dyDescent="0.3">
      <c r="A1323" t="s">
        <v>47</v>
      </c>
      <c r="B1323" t="s">
        <v>8</v>
      </c>
      <c r="C1323" t="s">
        <v>13</v>
      </c>
      <c r="D1323">
        <v>14</v>
      </c>
      <c r="E1323" t="s">
        <v>42</v>
      </c>
      <c r="F1323" t="s">
        <v>39</v>
      </c>
      <c r="G1323" t="s">
        <v>40</v>
      </c>
      <c r="H1323">
        <f t="shared" si="20"/>
        <v>14</v>
      </c>
    </row>
    <row r="1324" spans="1:8" x14ac:dyDescent="0.3">
      <c r="A1324" t="s">
        <v>47</v>
      </c>
      <c r="B1324" t="s">
        <v>8</v>
      </c>
      <c r="C1324" t="s">
        <v>14</v>
      </c>
      <c r="D1324">
        <v>0</v>
      </c>
      <c r="E1324" t="s">
        <v>42</v>
      </c>
      <c r="F1324" t="s">
        <v>39</v>
      </c>
      <c r="G1324" t="s">
        <v>40</v>
      </c>
      <c r="H1324">
        <f t="shared" si="20"/>
        <v>0</v>
      </c>
    </row>
    <row r="1325" spans="1:8" x14ac:dyDescent="0.3">
      <c r="A1325" t="s">
        <v>47</v>
      </c>
      <c r="B1325" t="s">
        <v>8</v>
      </c>
      <c r="C1325" t="s">
        <v>15</v>
      </c>
      <c r="D1325">
        <v>10</v>
      </c>
      <c r="E1325" t="s">
        <v>42</v>
      </c>
      <c r="F1325" t="s">
        <v>39</v>
      </c>
      <c r="G1325" t="s">
        <v>40</v>
      </c>
      <c r="H1325">
        <f t="shared" si="20"/>
        <v>10</v>
      </c>
    </row>
    <row r="1326" spans="1:8" x14ac:dyDescent="0.3">
      <c r="A1326" t="s">
        <v>47</v>
      </c>
      <c r="B1326" t="s">
        <v>8</v>
      </c>
      <c r="C1326" t="s">
        <v>16</v>
      </c>
      <c r="D1326">
        <v>8</v>
      </c>
      <c r="E1326" t="s">
        <v>42</v>
      </c>
      <c r="F1326" t="s">
        <v>39</v>
      </c>
      <c r="G1326" t="s">
        <v>40</v>
      </c>
      <c r="H1326">
        <f t="shared" si="20"/>
        <v>8</v>
      </c>
    </row>
    <row r="1327" spans="1:8" x14ac:dyDescent="0.3">
      <c r="A1327" t="s">
        <v>47</v>
      </c>
      <c r="B1327" t="s">
        <v>8</v>
      </c>
      <c r="C1327" t="s">
        <v>17</v>
      </c>
      <c r="D1327">
        <v>26</v>
      </c>
      <c r="E1327" t="s">
        <v>42</v>
      </c>
      <c r="F1327" t="s">
        <v>39</v>
      </c>
      <c r="G1327" t="s">
        <v>40</v>
      </c>
      <c r="H1327">
        <f t="shared" si="20"/>
        <v>26</v>
      </c>
    </row>
    <row r="1328" spans="1:8" x14ac:dyDescent="0.3">
      <c r="A1328" t="s">
        <v>47</v>
      </c>
      <c r="B1328" t="s">
        <v>8</v>
      </c>
      <c r="C1328" t="s">
        <v>18</v>
      </c>
      <c r="D1328">
        <v>0</v>
      </c>
      <c r="E1328" t="s">
        <v>42</v>
      </c>
      <c r="F1328" t="s">
        <v>39</v>
      </c>
      <c r="G1328" t="s">
        <v>40</v>
      </c>
      <c r="H1328">
        <f t="shared" si="20"/>
        <v>0</v>
      </c>
    </row>
    <row r="1329" spans="1:8" x14ac:dyDescent="0.3">
      <c r="A1329" t="s">
        <v>47</v>
      </c>
      <c r="B1329" t="s">
        <v>8</v>
      </c>
      <c r="C1329" t="s">
        <v>19</v>
      </c>
      <c r="D1329">
        <v>0</v>
      </c>
      <c r="E1329" t="s">
        <v>42</v>
      </c>
      <c r="F1329" t="s">
        <v>39</v>
      </c>
      <c r="G1329" t="s">
        <v>40</v>
      </c>
      <c r="H1329">
        <f t="shared" si="20"/>
        <v>0</v>
      </c>
    </row>
    <row r="1330" spans="1:8" x14ac:dyDescent="0.3">
      <c r="A1330" t="s">
        <v>47</v>
      </c>
      <c r="B1330" t="s">
        <v>8</v>
      </c>
      <c r="C1330" t="s">
        <v>20</v>
      </c>
      <c r="D1330">
        <v>0</v>
      </c>
      <c r="E1330" t="s">
        <v>42</v>
      </c>
      <c r="F1330" t="s">
        <v>39</v>
      </c>
      <c r="G1330" t="s">
        <v>40</v>
      </c>
      <c r="H1330">
        <f t="shared" si="20"/>
        <v>0</v>
      </c>
    </row>
    <row r="1331" spans="1:8" x14ac:dyDescent="0.3">
      <c r="A1331" t="s">
        <v>47</v>
      </c>
      <c r="B1331" t="s">
        <v>8</v>
      </c>
      <c r="C1331" t="s">
        <v>21</v>
      </c>
      <c r="D1331">
        <v>0</v>
      </c>
      <c r="E1331" t="s">
        <v>42</v>
      </c>
      <c r="F1331" t="s">
        <v>39</v>
      </c>
      <c r="G1331" t="s">
        <v>40</v>
      </c>
      <c r="H1331">
        <f t="shared" si="20"/>
        <v>0</v>
      </c>
    </row>
    <row r="1332" spans="1:8" x14ac:dyDescent="0.3">
      <c r="A1332" t="s">
        <v>47</v>
      </c>
      <c r="B1332" t="s">
        <v>8</v>
      </c>
      <c r="C1332" t="s">
        <v>22</v>
      </c>
      <c r="D1332">
        <v>290</v>
      </c>
      <c r="E1332" t="s">
        <v>42</v>
      </c>
      <c r="F1332" t="s">
        <v>39</v>
      </c>
      <c r="G1332" t="s">
        <v>40</v>
      </c>
      <c r="H1332">
        <f t="shared" si="20"/>
        <v>290</v>
      </c>
    </row>
    <row r="1333" spans="1:8" x14ac:dyDescent="0.3">
      <c r="A1333" t="s">
        <v>47</v>
      </c>
      <c r="B1333" t="s">
        <v>23</v>
      </c>
      <c r="C1333" t="s">
        <v>9</v>
      </c>
      <c r="D1333">
        <v>20216</v>
      </c>
      <c r="E1333" t="s">
        <v>42</v>
      </c>
      <c r="F1333" t="s">
        <v>39</v>
      </c>
      <c r="G1333" t="s">
        <v>40</v>
      </c>
      <c r="H1333">
        <f t="shared" si="20"/>
        <v>20200</v>
      </c>
    </row>
    <row r="1334" spans="1:8" x14ac:dyDescent="0.3">
      <c r="A1334" t="s">
        <v>47</v>
      </c>
      <c r="B1334" t="s">
        <v>23</v>
      </c>
      <c r="C1334" t="s">
        <v>13</v>
      </c>
      <c r="D1334">
        <v>372</v>
      </c>
      <c r="E1334" t="s">
        <v>42</v>
      </c>
      <c r="F1334" t="s">
        <v>39</v>
      </c>
      <c r="G1334" t="s">
        <v>40</v>
      </c>
      <c r="H1334">
        <f t="shared" si="20"/>
        <v>372</v>
      </c>
    </row>
    <row r="1335" spans="1:8" x14ac:dyDescent="0.3">
      <c r="A1335" t="s">
        <v>47</v>
      </c>
      <c r="B1335" t="s">
        <v>23</v>
      </c>
      <c r="C1335" t="s">
        <v>14</v>
      </c>
      <c r="D1335">
        <v>1477</v>
      </c>
      <c r="E1335" t="s">
        <v>42</v>
      </c>
      <c r="F1335" t="s">
        <v>39</v>
      </c>
      <c r="G1335" t="s">
        <v>40</v>
      </c>
      <c r="H1335">
        <f t="shared" si="20"/>
        <v>1480</v>
      </c>
    </row>
    <row r="1336" spans="1:8" x14ac:dyDescent="0.3">
      <c r="A1336" t="s">
        <v>47</v>
      </c>
      <c r="B1336" t="s">
        <v>23</v>
      </c>
      <c r="C1336" t="s">
        <v>15</v>
      </c>
      <c r="D1336">
        <v>32</v>
      </c>
      <c r="E1336" t="s">
        <v>42</v>
      </c>
      <c r="F1336" t="s">
        <v>39</v>
      </c>
      <c r="G1336" t="s">
        <v>40</v>
      </c>
      <c r="H1336">
        <f t="shared" si="20"/>
        <v>32</v>
      </c>
    </row>
    <row r="1337" spans="1:8" x14ac:dyDescent="0.3">
      <c r="A1337" t="s">
        <v>47</v>
      </c>
      <c r="B1337" t="s">
        <v>23</v>
      </c>
      <c r="C1337" t="s">
        <v>16</v>
      </c>
      <c r="D1337">
        <v>3466</v>
      </c>
      <c r="E1337" t="s">
        <v>42</v>
      </c>
      <c r="F1337" t="s">
        <v>39</v>
      </c>
      <c r="G1337" t="s">
        <v>40</v>
      </c>
      <c r="H1337">
        <f t="shared" si="20"/>
        <v>3470</v>
      </c>
    </row>
    <row r="1338" spans="1:8" x14ac:dyDescent="0.3">
      <c r="A1338" t="s">
        <v>47</v>
      </c>
      <c r="B1338" t="s">
        <v>23</v>
      </c>
      <c r="C1338" t="s">
        <v>17</v>
      </c>
      <c r="D1338">
        <v>476</v>
      </c>
      <c r="E1338" t="s">
        <v>42</v>
      </c>
      <c r="F1338" t="s">
        <v>39</v>
      </c>
      <c r="G1338" t="s">
        <v>40</v>
      </c>
      <c r="H1338">
        <f t="shared" si="20"/>
        <v>476</v>
      </c>
    </row>
    <row r="1339" spans="1:8" x14ac:dyDescent="0.3">
      <c r="A1339" t="s">
        <v>47</v>
      </c>
      <c r="B1339" t="s">
        <v>23</v>
      </c>
      <c r="C1339" t="s">
        <v>18</v>
      </c>
      <c r="D1339">
        <v>0</v>
      </c>
      <c r="E1339" t="s">
        <v>42</v>
      </c>
      <c r="F1339" t="s">
        <v>39</v>
      </c>
      <c r="G1339" t="s">
        <v>40</v>
      </c>
      <c r="H1339">
        <f t="shared" si="20"/>
        <v>0</v>
      </c>
    </row>
    <row r="1340" spans="1:8" x14ac:dyDescent="0.3">
      <c r="A1340" t="s">
        <v>47</v>
      </c>
      <c r="B1340" t="s">
        <v>23</v>
      </c>
      <c r="C1340" t="s">
        <v>19</v>
      </c>
      <c r="D1340">
        <v>44</v>
      </c>
      <c r="E1340" t="s">
        <v>42</v>
      </c>
      <c r="F1340" t="s">
        <v>39</v>
      </c>
      <c r="G1340" t="s">
        <v>40</v>
      </c>
      <c r="H1340">
        <f t="shared" si="20"/>
        <v>44</v>
      </c>
    </row>
    <row r="1341" spans="1:8" x14ac:dyDescent="0.3">
      <c r="A1341" t="s">
        <v>47</v>
      </c>
      <c r="B1341" t="s">
        <v>23</v>
      </c>
      <c r="C1341" t="s">
        <v>20</v>
      </c>
      <c r="D1341">
        <v>318</v>
      </c>
      <c r="E1341" t="s">
        <v>42</v>
      </c>
      <c r="F1341" t="s">
        <v>39</v>
      </c>
      <c r="G1341" t="s">
        <v>40</v>
      </c>
      <c r="H1341">
        <f t="shared" si="20"/>
        <v>318</v>
      </c>
    </row>
    <row r="1342" spans="1:8" x14ac:dyDescent="0.3">
      <c r="A1342" t="s">
        <v>47</v>
      </c>
      <c r="B1342" t="s">
        <v>23</v>
      </c>
      <c r="C1342" t="s">
        <v>21</v>
      </c>
      <c r="D1342">
        <v>58</v>
      </c>
      <c r="E1342" t="s">
        <v>42</v>
      </c>
      <c r="F1342" t="s">
        <v>39</v>
      </c>
      <c r="G1342" t="s">
        <v>40</v>
      </c>
      <c r="H1342">
        <f t="shared" si="20"/>
        <v>58</v>
      </c>
    </row>
    <row r="1343" spans="1:8" x14ac:dyDescent="0.3">
      <c r="A1343" t="s">
        <v>47</v>
      </c>
      <c r="B1343" t="s">
        <v>23</v>
      </c>
      <c r="C1343" t="s">
        <v>22</v>
      </c>
      <c r="D1343">
        <v>323</v>
      </c>
      <c r="E1343" t="s">
        <v>42</v>
      </c>
      <c r="F1343" t="s">
        <v>39</v>
      </c>
      <c r="G1343" t="s">
        <v>40</v>
      </c>
      <c r="H1343">
        <f t="shared" si="20"/>
        <v>323</v>
      </c>
    </row>
    <row r="1344" spans="1:8" x14ac:dyDescent="0.3">
      <c r="A1344" t="s">
        <v>48</v>
      </c>
      <c r="B1344" t="s">
        <v>8</v>
      </c>
      <c r="C1344" t="s">
        <v>9</v>
      </c>
      <c r="D1344">
        <v>0</v>
      </c>
      <c r="E1344" t="s">
        <v>42</v>
      </c>
      <c r="F1344" t="s">
        <v>39</v>
      </c>
      <c r="G1344" t="s">
        <v>40</v>
      </c>
      <c r="H1344">
        <f t="shared" si="20"/>
        <v>0</v>
      </c>
    </row>
    <row r="1345" spans="1:8" x14ac:dyDescent="0.3">
      <c r="A1345" t="s">
        <v>48</v>
      </c>
      <c r="B1345" t="s">
        <v>8</v>
      </c>
      <c r="C1345" t="s">
        <v>13</v>
      </c>
      <c r="D1345">
        <v>0</v>
      </c>
      <c r="E1345" t="s">
        <v>42</v>
      </c>
      <c r="F1345" t="s">
        <v>39</v>
      </c>
      <c r="G1345" t="s">
        <v>40</v>
      </c>
      <c r="H1345">
        <f t="shared" si="20"/>
        <v>0</v>
      </c>
    </row>
    <row r="1346" spans="1:8" x14ac:dyDescent="0.3">
      <c r="A1346" t="s">
        <v>48</v>
      </c>
      <c r="B1346" t="s">
        <v>8</v>
      </c>
      <c r="C1346" t="s">
        <v>14</v>
      </c>
      <c r="D1346">
        <v>28</v>
      </c>
      <c r="E1346" t="s">
        <v>42</v>
      </c>
      <c r="F1346" t="s">
        <v>39</v>
      </c>
      <c r="G1346" t="s">
        <v>40</v>
      </c>
      <c r="H1346">
        <f t="shared" si="20"/>
        <v>28</v>
      </c>
    </row>
    <row r="1347" spans="1:8" x14ac:dyDescent="0.3">
      <c r="A1347" t="s">
        <v>48</v>
      </c>
      <c r="B1347" t="s">
        <v>8</v>
      </c>
      <c r="C1347" t="s">
        <v>15</v>
      </c>
      <c r="D1347">
        <v>0</v>
      </c>
      <c r="E1347" t="s">
        <v>42</v>
      </c>
      <c r="F1347" t="s">
        <v>39</v>
      </c>
      <c r="G1347" t="s">
        <v>40</v>
      </c>
      <c r="H1347">
        <f t="shared" ref="H1347:H1410" si="21">ROUND(D1347, 3 - LEN(INT(ABS(D1347))))</f>
        <v>0</v>
      </c>
    </row>
    <row r="1348" spans="1:8" x14ac:dyDescent="0.3">
      <c r="A1348" t="s">
        <v>48</v>
      </c>
      <c r="B1348" t="s">
        <v>8</v>
      </c>
      <c r="C1348" t="s">
        <v>16</v>
      </c>
      <c r="D1348">
        <v>95</v>
      </c>
      <c r="E1348" t="s">
        <v>42</v>
      </c>
      <c r="F1348" t="s">
        <v>39</v>
      </c>
      <c r="G1348" t="s">
        <v>40</v>
      </c>
      <c r="H1348">
        <f t="shared" si="21"/>
        <v>95</v>
      </c>
    </row>
    <row r="1349" spans="1:8" x14ac:dyDescent="0.3">
      <c r="A1349" t="s">
        <v>48</v>
      </c>
      <c r="B1349" t="s">
        <v>8</v>
      </c>
      <c r="C1349" t="s">
        <v>17</v>
      </c>
      <c r="D1349">
        <v>0</v>
      </c>
      <c r="E1349" t="s">
        <v>42</v>
      </c>
      <c r="F1349" t="s">
        <v>39</v>
      </c>
      <c r="G1349" t="s">
        <v>40</v>
      </c>
      <c r="H1349">
        <f t="shared" si="21"/>
        <v>0</v>
      </c>
    </row>
    <row r="1350" spans="1:8" x14ac:dyDescent="0.3">
      <c r="A1350" t="s">
        <v>48</v>
      </c>
      <c r="B1350" t="s">
        <v>8</v>
      </c>
      <c r="C1350" t="s">
        <v>18</v>
      </c>
      <c r="D1350">
        <v>0</v>
      </c>
      <c r="E1350" t="s">
        <v>42</v>
      </c>
      <c r="F1350" t="s">
        <v>39</v>
      </c>
      <c r="G1350" t="s">
        <v>40</v>
      </c>
      <c r="H1350">
        <f t="shared" si="21"/>
        <v>0</v>
      </c>
    </row>
    <row r="1351" spans="1:8" x14ac:dyDescent="0.3">
      <c r="A1351" t="s">
        <v>48</v>
      </c>
      <c r="B1351" t="s">
        <v>8</v>
      </c>
      <c r="C1351" t="s">
        <v>19</v>
      </c>
      <c r="D1351">
        <v>0</v>
      </c>
      <c r="E1351" t="s">
        <v>42</v>
      </c>
      <c r="F1351" t="s">
        <v>39</v>
      </c>
      <c r="G1351" t="s">
        <v>40</v>
      </c>
      <c r="H1351">
        <f t="shared" si="21"/>
        <v>0</v>
      </c>
    </row>
    <row r="1352" spans="1:8" x14ac:dyDescent="0.3">
      <c r="A1352" t="s">
        <v>48</v>
      </c>
      <c r="B1352" t="s">
        <v>8</v>
      </c>
      <c r="C1352" t="s">
        <v>20</v>
      </c>
      <c r="D1352">
        <v>0</v>
      </c>
      <c r="E1352" t="s">
        <v>42</v>
      </c>
      <c r="F1352" t="s">
        <v>39</v>
      </c>
      <c r="G1352" t="s">
        <v>40</v>
      </c>
      <c r="H1352">
        <f t="shared" si="21"/>
        <v>0</v>
      </c>
    </row>
    <row r="1353" spans="1:8" x14ac:dyDescent="0.3">
      <c r="A1353" t="s">
        <v>48</v>
      </c>
      <c r="B1353" t="s">
        <v>8</v>
      </c>
      <c r="C1353" t="s">
        <v>21</v>
      </c>
      <c r="D1353">
        <v>0</v>
      </c>
      <c r="E1353" t="s">
        <v>42</v>
      </c>
      <c r="F1353" t="s">
        <v>39</v>
      </c>
      <c r="G1353" t="s">
        <v>40</v>
      </c>
      <c r="H1353">
        <f t="shared" si="21"/>
        <v>0</v>
      </c>
    </row>
    <row r="1354" spans="1:8" x14ac:dyDescent="0.3">
      <c r="A1354" t="s">
        <v>48</v>
      </c>
      <c r="B1354" t="s">
        <v>8</v>
      </c>
      <c r="C1354" t="s">
        <v>22</v>
      </c>
      <c r="D1354">
        <v>9</v>
      </c>
      <c r="E1354" t="s">
        <v>42</v>
      </c>
      <c r="F1354" t="s">
        <v>39</v>
      </c>
      <c r="G1354" t="s">
        <v>40</v>
      </c>
      <c r="H1354">
        <f t="shared" si="21"/>
        <v>9</v>
      </c>
    </row>
    <row r="1355" spans="1:8" x14ac:dyDescent="0.3">
      <c r="A1355" t="s">
        <v>48</v>
      </c>
      <c r="B1355" t="s">
        <v>23</v>
      </c>
      <c r="C1355" t="s">
        <v>9</v>
      </c>
      <c r="D1355">
        <v>36</v>
      </c>
      <c r="E1355" t="s">
        <v>42</v>
      </c>
      <c r="F1355" t="s">
        <v>39</v>
      </c>
      <c r="G1355" t="s">
        <v>40</v>
      </c>
      <c r="H1355">
        <f t="shared" si="21"/>
        <v>36</v>
      </c>
    </row>
    <row r="1356" spans="1:8" x14ac:dyDescent="0.3">
      <c r="A1356" t="s">
        <v>48</v>
      </c>
      <c r="B1356" t="s">
        <v>23</v>
      </c>
      <c r="C1356" t="s">
        <v>13</v>
      </c>
      <c r="D1356">
        <v>21</v>
      </c>
      <c r="E1356" t="s">
        <v>42</v>
      </c>
      <c r="F1356" t="s">
        <v>39</v>
      </c>
      <c r="G1356" t="s">
        <v>40</v>
      </c>
      <c r="H1356">
        <f t="shared" si="21"/>
        <v>21</v>
      </c>
    </row>
    <row r="1357" spans="1:8" x14ac:dyDescent="0.3">
      <c r="A1357" t="s">
        <v>48</v>
      </c>
      <c r="B1357" t="s">
        <v>23</v>
      </c>
      <c r="C1357" t="s">
        <v>14</v>
      </c>
      <c r="D1357">
        <v>15851</v>
      </c>
      <c r="E1357" t="s">
        <v>42</v>
      </c>
      <c r="F1357" t="s">
        <v>39</v>
      </c>
      <c r="G1357" t="s">
        <v>40</v>
      </c>
      <c r="H1357">
        <f t="shared" si="21"/>
        <v>15900</v>
      </c>
    </row>
    <row r="1358" spans="1:8" x14ac:dyDescent="0.3">
      <c r="A1358" t="s">
        <v>48</v>
      </c>
      <c r="B1358" t="s">
        <v>23</v>
      </c>
      <c r="C1358" t="s">
        <v>15</v>
      </c>
      <c r="D1358">
        <v>8</v>
      </c>
      <c r="E1358" t="s">
        <v>42</v>
      </c>
      <c r="F1358" t="s">
        <v>39</v>
      </c>
      <c r="G1358" t="s">
        <v>40</v>
      </c>
      <c r="H1358">
        <f t="shared" si="21"/>
        <v>8</v>
      </c>
    </row>
    <row r="1359" spans="1:8" x14ac:dyDescent="0.3">
      <c r="A1359" t="s">
        <v>48</v>
      </c>
      <c r="B1359" t="s">
        <v>23</v>
      </c>
      <c r="C1359" t="s">
        <v>16</v>
      </c>
      <c r="D1359">
        <v>12841</v>
      </c>
      <c r="E1359" t="s">
        <v>42</v>
      </c>
      <c r="F1359" t="s">
        <v>39</v>
      </c>
      <c r="G1359" t="s">
        <v>40</v>
      </c>
      <c r="H1359">
        <f t="shared" si="21"/>
        <v>12800</v>
      </c>
    </row>
    <row r="1360" spans="1:8" x14ac:dyDescent="0.3">
      <c r="A1360" t="s">
        <v>48</v>
      </c>
      <c r="B1360" t="s">
        <v>23</v>
      </c>
      <c r="C1360" t="s">
        <v>17</v>
      </c>
      <c r="D1360">
        <v>4</v>
      </c>
      <c r="E1360" t="s">
        <v>42</v>
      </c>
      <c r="F1360" t="s">
        <v>39</v>
      </c>
      <c r="G1360" t="s">
        <v>40</v>
      </c>
      <c r="H1360">
        <f t="shared" si="21"/>
        <v>4</v>
      </c>
    </row>
    <row r="1361" spans="1:8" x14ac:dyDescent="0.3">
      <c r="A1361" t="s">
        <v>48</v>
      </c>
      <c r="B1361" t="s">
        <v>23</v>
      </c>
      <c r="C1361" t="s">
        <v>18</v>
      </c>
      <c r="D1361">
        <v>0</v>
      </c>
      <c r="E1361" t="s">
        <v>42</v>
      </c>
      <c r="F1361" t="s">
        <v>39</v>
      </c>
      <c r="G1361" t="s">
        <v>40</v>
      </c>
      <c r="H1361">
        <f t="shared" si="21"/>
        <v>0</v>
      </c>
    </row>
    <row r="1362" spans="1:8" x14ac:dyDescent="0.3">
      <c r="A1362" t="s">
        <v>48</v>
      </c>
      <c r="B1362" t="s">
        <v>23</v>
      </c>
      <c r="C1362" t="s">
        <v>19</v>
      </c>
      <c r="D1362">
        <v>2</v>
      </c>
      <c r="E1362" t="s">
        <v>42</v>
      </c>
      <c r="F1362" t="s">
        <v>39</v>
      </c>
      <c r="G1362" t="s">
        <v>40</v>
      </c>
      <c r="H1362">
        <f t="shared" si="21"/>
        <v>2</v>
      </c>
    </row>
    <row r="1363" spans="1:8" x14ac:dyDescent="0.3">
      <c r="A1363" t="s">
        <v>48</v>
      </c>
      <c r="B1363" t="s">
        <v>23</v>
      </c>
      <c r="C1363" t="s">
        <v>20</v>
      </c>
      <c r="D1363">
        <v>72</v>
      </c>
      <c r="E1363" t="s">
        <v>42</v>
      </c>
      <c r="F1363" t="s">
        <v>39</v>
      </c>
      <c r="G1363" t="s">
        <v>40</v>
      </c>
      <c r="H1363">
        <f t="shared" si="21"/>
        <v>72</v>
      </c>
    </row>
    <row r="1364" spans="1:8" x14ac:dyDescent="0.3">
      <c r="A1364" t="s">
        <v>48</v>
      </c>
      <c r="B1364" t="s">
        <v>23</v>
      </c>
      <c r="C1364" t="s">
        <v>21</v>
      </c>
      <c r="D1364">
        <v>5</v>
      </c>
      <c r="E1364" t="s">
        <v>42</v>
      </c>
      <c r="F1364" t="s">
        <v>39</v>
      </c>
      <c r="G1364" t="s">
        <v>40</v>
      </c>
      <c r="H1364">
        <f t="shared" si="21"/>
        <v>5</v>
      </c>
    </row>
    <row r="1365" spans="1:8" x14ac:dyDescent="0.3">
      <c r="A1365" t="s">
        <v>48</v>
      </c>
      <c r="B1365" t="s">
        <v>23</v>
      </c>
      <c r="C1365" t="s">
        <v>22</v>
      </c>
      <c r="D1365">
        <v>42</v>
      </c>
      <c r="E1365" t="s">
        <v>42</v>
      </c>
      <c r="F1365" t="s">
        <v>39</v>
      </c>
      <c r="G1365" t="s">
        <v>40</v>
      </c>
      <c r="H1365">
        <f t="shared" si="21"/>
        <v>42</v>
      </c>
    </row>
    <row r="1366" spans="1:8" x14ac:dyDescent="0.3">
      <c r="A1366" t="s">
        <v>49</v>
      </c>
      <c r="B1366" t="s">
        <v>8</v>
      </c>
      <c r="C1366" t="s">
        <v>9</v>
      </c>
      <c r="D1366">
        <v>153</v>
      </c>
      <c r="E1366" t="s">
        <v>42</v>
      </c>
      <c r="F1366" t="s">
        <v>39</v>
      </c>
      <c r="G1366" t="s">
        <v>40</v>
      </c>
      <c r="H1366">
        <f t="shared" si="21"/>
        <v>153</v>
      </c>
    </row>
    <row r="1367" spans="1:8" x14ac:dyDescent="0.3">
      <c r="A1367" t="s">
        <v>49</v>
      </c>
      <c r="B1367" t="s">
        <v>8</v>
      </c>
      <c r="C1367" t="s">
        <v>13</v>
      </c>
      <c r="D1367">
        <v>21</v>
      </c>
      <c r="E1367" t="s">
        <v>42</v>
      </c>
      <c r="F1367" t="s">
        <v>39</v>
      </c>
      <c r="G1367" t="s">
        <v>40</v>
      </c>
      <c r="H1367">
        <f t="shared" si="21"/>
        <v>21</v>
      </c>
    </row>
    <row r="1368" spans="1:8" x14ac:dyDescent="0.3">
      <c r="A1368" t="s">
        <v>49</v>
      </c>
      <c r="B1368" t="s">
        <v>8</v>
      </c>
      <c r="C1368" t="s">
        <v>14</v>
      </c>
      <c r="D1368">
        <v>0</v>
      </c>
      <c r="E1368" t="s">
        <v>42</v>
      </c>
      <c r="F1368" t="s">
        <v>39</v>
      </c>
      <c r="G1368" t="s">
        <v>40</v>
      </c>
      <c r="H1368">
        <f t="shared" si="21"/>
        <v>0</v>
      </c>
    </row>
    <row r="1369" spans="1:8" x14ac:dyDescent="0.3">
      <c r="A1369" t="s">
        <v>49</v>
      </c>
      <c r="B1369" t="s">
        <v>8</v>
      </c>
      <c r="C1369" t="s">
        <v>15</v>
      </c>
      <c r="D1369">
        <v>14</v>
      </c>
      <c r="E1369" t="s">
        <v>42</v>
      </c>
      <c r="F1369" t="s">
        <v>39</v>
      </c>
      <c r="G1369" t="s">
        <v>40</v>
      </c>
      <c r="H1369">
        <f t="shared" si="21"/>
        <v>14</v>
      </c>
    </row>
    <row r="1370" spans="1:8" x14ac:dyDescent="0.3">
      <c r="A1370" t="s">
        <v>49</v>
      </c>
      <c r="B1370" t="s">
        <v>8</v>
      </c>
      <c r="C1370" t="s">
        <v>16</v>
      </c>
      <c r="D1370">
        <v>11</v>
      </c>
      <c r="E1370" t="s">
        <v>42</v>
      </c>
      <c r="F1370" t="s">
        <v>39</v>
      </c>
      <c r="G1370" t="s">
        <v>40</v>
      </c>
      <c r="H1370">
        <f t="shared" si="21"/>
        <v>11</v>
      </c>
    </row>
    <row r="1371" spans="1:8" x14ac:dyDescent="0.3">
      <c r="A1371" t="s">
        <v>49</v>
      </c>
      <c r="B1371" t="s">
        <v>8</v>
      </c>
      <c r="C1371" t="s">
        <v>17</v>
      </c>
      <c r="D1371">
        <v>37</v>
      </c>
      <c r="E1371" t="s">
        <v>42</v>
      </c>
      <c r="F1371" t="s">
        <v>39</v>
      </c>
      <c r="G1371" t="s">
        <v>40</v>
      </c>
      <c r="H1371">
        <f t="shared" si="21"/>
        <v>37</v>
      </c>
    </row>
    <row r="1372" spans="1:8" x14ac:dyDescent="0.3">
      <c r="A1372" t="s">
        <v>49</v>
      </c>
      <c r="B1372" t="s">
        <v>8</v>
      </c>
      <c r="C1372" t="s">
        <v>18</v>
      </c>
      <c r="D1372">
        <v>0</v>
      </c>
      <c r="E1372" t="s">
        <v>42</v>
      </c>
      <c r="F1372" t="s">
        <v>39</v>
      </c>
      <c r="G1372" t="s">
        <v>40</v>
      </c>
      <c r="H1372">
        <f t="shared" si="21"/>
        <v>0</v>
      </c>
    </row>
    <row r="1373" spans="1:8" x14ac:dyDescent="0.3">
      <c r="A1373" t="s">
        <v>49</v>
      </c>
      <c r="B1373" t="s">
        <v>8</v>
      </c>
      <c r="C1373" t="s">
        <v>19</v>
      </c>
      <c r="D1373">
        <v>0</v>
      </c>
      <c r="E1373" t="s">
        <v>42</v>
      </c>
      <c r="F1373" t="s">
        <v>39</v>
      </c>
      <c r="G1373" t="s">
        <v>40</v>
      </c>
      <c r="H1373">
        <f t="shared" si="21"/>
        <v>0</v>
      </c>
    </row>
    <row r="1374" spans="1:8" x14ac:dyDescent="0.3">
      <c r="A1374" t="s">
        <v>49</v>
      </c>
      <c r="B1374" t="s">
        <v>8</v>
      </c>
      <c r="C1374" t="s">
        <v>20</v>
      </c>
      <c r="D1374">
        <v>0</v>
      </c>
      <c r="E1374" t="s">
        <v>42</v>
      </c>
      <c r="F1374" t="s">
        <v>39</v>
      </c>
      <c r="G1374" t="s">
        <v>40</v>
      </c>
      <c r="H1374">
        <f t="shared" si="21"/>
        <v>0</v>
      </c>
    </row>
    <row r="1375" spans="1:8" x14ac:dyDescent="0.3">
      <c r="A1375" t="s">
        <v>49</v>
      </c>
      <c r="B1375" t="s">
        <v>8</v>
      </c>
      <c r="C1375" t="s">
        <v>21</v>
      </c>
      <c r="D1375">
        <v>0</v>
      </c>
      <c r="E1375" t="s">
        <v>42</v>
      </c>
      <c r="F1375" t="s">
        <v>39</v>
      </c>
      <c r="G1375" t="s">
        <v>40</v>
      </c>
      <c r="H1375">
        <f t="shared" si="21"/>
        <v>0</v>
      </c>
    </row>
    <row r="1376" spans="1:8" x14ac:dyDescent="0.3">
      <c r="A1376" t="s">
        <v>49</v>
      </c>
      <c r="B1376" t="s">
        <v>8</v>
      </c>
      <c r="C1376" t="s">
        <v>22</v>
      </c>
      <c r="D1376">
        <v>419</v>
      </c>
      <c r="E1376" t="s">
        <v>42</v>
      </c>
      <c r="F1376" t="s">
        <v>39</v>
      </c>
      <c r="G1376" t="s">
        <v>40</v>
      </c>
      <c r="H1376">
        <f t="shared" si="21"/>
        <v>419</v>
      </c>
    </row>
    <row r="1377" spans="1:8" x14ac:dyDescent="0.3">
      <c r="A1377" t="s">
        <v>49</v>
      </c>
      <c r="B1377" t="s">
        <v>23</v>
      </c>
      <c r="C1377" t="s">
        <v>9</v>
      </c>
      <c r="D1377">
        <v>29164</v>
      </c>
      <c r="E1377" t="s">
        <v>42</v>
      </c>
      <c r="F1377" t="s">
        <v>39</v>
      </c>
      <c r="G1377" t="s">
        <v>40</v>
      </c>
      <c r="H1377">
        <f t="shared" si="21"/>
        <v>29200</v>
      </c>
    </row>
    <row r="1378" spans="1:8" x14ac:dyDescent="0.3">
      <c r="A1378" t="s">
        <v>49</v>
      </c>
      <c r="B1378" t="s">
        <v>23</v>
      </c>
      <c r="C1378" t="s">
        <v>13</v>
      </c>
      <c r="D1378">
        <v>537</v>
      </c>
      <c r="E1378" t="s">
        <v>42</v>
      </c>
      <c r="F1378" t="s">
        <v>39</v>
      </c>
      <c r="G1378" t="s">
        <v>40</v>
      </c>
      <c r="H1378">
        <f t="shared" si="21"/>
        <v>537</v>
      </c>
    </row>
    <row r="1379" spans="1:8" x14ac:dyDescent="0.3">
      <c r="A1379" t="s">
        <v>49</v>
      </c>
      <c r="B1379" t="s">
        <v>23</v>
      </c>
      <c r="C1379" t="s">
        <v>14</v>
      </c>
      <c r="D1379">
        <v>2131</v>
      </c>
      <c r="E1379" t="s">
        <v>42</v>
      </c>
      <c r="F1379" t="s">
        <v>39</v>
      </c>
      <c r="G1379" t="s">
        <v>40</v>
      </c>
      <c r="H1379">
        <f t="shared" si="21"/>
        <v>2130</v>
      </c>
    </row>
    <row r="1380" spans="1:8" x14ac:dyDescent="0.3">
      <c r="A1380" t="s">
        <v>49</v>
      </c>
      <c r="B1380" t="s">
        <v>23</v>
      </c>
      <c r="C1380" t="s">
        <v>15</v>
      </c>
      <c r="D1380">
        <v>47</v>
      </c>
      <c r="E1380" t="s">
        <v>42</v>
      </c>
      <c r="F1380" t="s">
        <v>39</v>
      </c>
      <c r="G1380" t="s">
        <v>40</v>
      </c>
      <c r="H1380">
        <f t="shared" si="21"/>
        <v>47</v>
      </c>
    </row>
    <row r="1381" spans="1:8" x14ac:dyDescent="0.3">
      <c r="A1381" t="s">
        <v>49</v>
      </c>
      <c r="B1381" t="s">
        <v>23</v>
      </c>
      <c r="C1381" t="s">
        <v>16</v>
      </c>
      <c r="D1381">
        <v>5001</v>
      </c>
      <c r="E1381" t="s">
        <v>42</v>
      </c>
      <c r="F1381" t="s">
        <v>39</v>
      </c>
      <c r="G1381" t="s">
        <v>40</v>
      </c>
      <c r="H1381">
        <f t="shared" si="21"/>
        <v>5000</v>
      </c>
    </row>
    <row r="1382" spans="1:8" x14ac:dyDescent="0.3">
      <c r="A1382" t="s">
        <v>49</v>
      </c>
      <c r="B1382" t="s">
        <v>23</v>
      </c>
      <c r="C1382" t="s">
        <v>17</v>
      </c>
      <c r="D1382">
        <v>686</v>
      </c>
      <c r="E1382" t="s">
        <v>42</v>
      </c>
      <c r="F1382" t="s">
        <v>39</v>
      </c>
      <c r="G1382" t="s">
        <v>40</v>
      </c>
      <c r="H1382">
        <f t="shared" si="21"/>
        <v>686</v>
      </c>
    </row>
    <row r="1383" spans="1:8" x14ac:dyDescent="0.3">
      <c r="A1383" t="s">
        <v>49</v>
      </c>
      <c r="B1383" t="s">
        <v>23</v>
      </c>
      <c r="C1383" t="s">
        <v>18</v>
      </c>
      <c r="D1383">
        <v>0</v>
      </c>
      <c r="E1383" t="s">
        <v>42</v>
      </c>
      <c r="F1383" t="s">
        <v>39</v>
      </c>
      <c r="G1383" t="s">
        <v>40</v>
      </c>
      <c r="H1383">
        <f t="shared" si="21"/>
        <v>0</v>
      </c>
    </row>
    <row r="1384" spans="1:8" x14ac:dyDescent="0.3">
      <c r="A1384" t="s">
        <v>49</v>
      </c>
      <c r="B1384" t="s">
        <v>23</v>
      </c>
      <c r="C1384" t="s">
        <v>19</v>
      </c>
      <c r="D1384">
        <v>63</v>
      </c>
      <c r="E1384" t="s">
        <v>42</v>
      </c>
      <c r="F1384" t="s">
        <v>39</v>
      </c>
      <c r="G1384" t="s">
        <v>40</v>
      </c>
      <c r="H1384">
        <f t="shared" si="21"/>
        <v>63</v>
      </c>
    </row>
    <row r="1385" spans="1:8" x14ac:dyDescent="0.3">
      <c r="A1385" t="s">
        <v>49</v>
      </c>
      <c r="B1385" t="s">
        <v>23</v>
      </c>
      <c r="C1385" t="s">
        <v>20</v>
      </c>
      <c r="D1385">
        <v>458</v>
      </c>
      <c r="E1385" t="s">
        <v>42</v>
      </c>
      <c r="F1385" t="s">
        <v>39</v>
      </c>
      <c r="G1385" t="s">
        <v>40</v>
      </c>
      <c r="H1385">
        <f t="shared" si="21"/>
        <v>458</v>
      </c>
    </row>
    <row r="1386" spans="1:8" x14ac:dyDescent="0.3">
      <c r="A1386" t="s">
        <v>49</v>
      </c>
      <c r="B1386" t="s">
        <v>23</v>
      </c>
      <c r="C1386" t="s">
        <v>21</v>
      </c>
      <c r="D1386">
        <v>83</v>
      </c>
      <c r="E1386" t="s">
        <v>42</v>
      </c>
      <c r="F1386" t="s">
        <v>39</v>
      </c>
      <c r="G1386" t="s">
        <v>40</v>
      </c>
      <c r="H1386">
        <f t="shared" si="21"/>
        <v>83</v>
      </c>
    </row>
    <row r="1387" spans="1:8" x14ac:dyDescent="0.3">
      <c r="A1387" t="s">
        <v>49</v>
      </c>
      <c r="B1387" t="s">
        <v>23</v>
      </c>
      <c r="C1387" t="s">
        <v>22</v>
      </c>
      <c r="D1387">
        <v>466</v>
      </c>
      <c r="E1387" t="s">
        <v>42</v>
      </c>
      <c r="F1387" t="s">
        <v>39</v>
      </c>
      <c r="G1387" t="s">
        <v>40</v>
      </c>
      <c r="H1387">
        <f t="shared" si="21"/>
        <v>466</v>
      </c>
    </row>
    <row r="1388" spans="1:8" x14ac:dyDescent="0.3">
      <c r="A1388" t="s">
        <v>27</v>
      </c>
      <c r="B1388" t="s">
        <v>8</v>
      </c>
      <c r="C1388" t="s">
        <v>9</v>
      </c>
      <c r="D1388">
        <v>1</v>
      </c>
      <c r="E1388" t="s">
        <v>42</v>
      </c>
      <c r="F1388" t="s">
        <v>39</v>
      </c>
      <c r="G1388" t="s">
        <v>40</v>
      </c>
      <c r="H1388">
        <f t="shared" si="21"/>
        <v>1</v>
      </c>
    </row>
    <row r="1389" spans="1:8" x14ac:dyDescent="0.3">
      <c r="A1389" t="s">
        <v>27</v>
      </c>
      <c r="B1389" t="s">
        <v>8</v>
      </c>
      <c r="C1389" t="s">
        <v>13</v>
      </c>
      <c r="D1389">
        <v>2</v>
      </c>
      <c r="E1389" t="s">
        <v>42</v>
      </c>
      <c r="F1389" t="s">
        <v>39</v>
      </c>
      <c r="G1389" t="s">
        <v>40</v>
      </c>
      <c r="H1389">
        <f t="shared" si="21"/>
        <v>2</v>
      </c>
    </row>
    <row r="1390" spans="1:8" x14ac:dyDescent="0.3">
      <c r="A1390" t="s">
        <v>27</v>
      </c>
      <c r="B1390" t="s">
        <v>8</v>
      </c>
      <c r="C1390" t="s">
        <v>14</v>
      </c>
      <c r="D1390">
        <v>80</v>
      </c>
      <c r="E1390" t="s">
        <v>42</v>
      </c>
      <c r="F1390" t="s">
        <v>39</v>
      </c>
      <c r="G1390" t="s">
        <v>40</v>
      </c>
      <c r="H1390">
        <f t="shared" si="21"/>
        <v>80</v>
      </c>
    </row>
    <row r="1391" spans="1:8" x14ac:dyDescent="0.3">
      <c r="A1391" t="s">
        <v>27</v>
      </c>
      <c r="B1391" t="s">
        <v>8</v>
      </c>
      <c r="C1391" t="s">
        <v>15</v>
      </c>
      <c r="D1391">
        <v>2</v>
      </c>
      <c r="E1391" t="s">
        <v>42</v>
      </c>
      <c r="F1391" t="s">
        <v>39</v>
      </c>
      <c r="G1391" t="s">
        <v>40</v>
      </c>
      <c r="H1391">
        <f t="shared" si="21"/>
        <v>2</v>
      </c>
    </row>
    <row r="1392" spans="1:8" x14ac:dyDescent="0.3">
      <c r="A1392" t="s">
        <v>27</v>
      </c>
      <c r="B1392" t="s">
        <v>8</v>
      </c>
      <c r="C1392" t="s">
        <v>16</v>
      </c>
      <c r="D1392">
        <v>1249</v>
      </c>
      <c r="E1392" t="s">
        <v>42</v>
      </c>
      <c r="F1392" t="s">
        <v>39</v>
      </c>
      <c r="G1392" t="s">
        <v>40</v>
      </c>
      <c r="H1392">
        <f t="shared" si="21"/>
        <v>1250</v>
      </c>
    </row>
    <row r="1393" spans="1:8" x14ac:dyDescent="0.3">
      <c r="A1393" t="s">
        <v>27</v>
      </c>
      <c r="B1393" t="s">
        <v>8</v>
      </c>
      <c r="C1393" t="s">
        <v>17</v>
      </c>
      <c r="D1393">
        <v>6</v>
      </c>
      <c r="E1393" t="s">
        <v>42</v>
      </c>
      <c r="F1393" t="s">
        <v>39</v>
      </c>
      <c r="G1393" t="s">
        <v>40</v>
      </c>
      <c r="H1393">
        <f t="shared" si="21"/>
        <v>6</v>
      </c>
    </row>
    <row r="1394" spans="1:8" x14ac:dyDescent="0.3">
      <c r="A1394" t="s">
        <v>27</v>
      </c>
      <c r="B1394" t="s">
        <v>8</v>
      </c>
      <c r="C1394" t="s">
        <v>18</v>
      </c>
      <c r="D1394">
        <v>0</v>
      </c>
      <c r="E1394" t="s">
        <v>42</v>
      </c>
      <c r="F1394" t="s">
        <v>39</v>
      </c>
      <c r="G1394" t="s">
        <v>40</v>
      </c>
      <c r="H1394">
        <f t="shared" si="21"/>
        <v>0</v>
      </c>
    </row>
    <row r="1395" spans="1:8" x14ac:dyDescent="0.3">
      <c r="A1395" t="s">
        <v>27</v>
      </c>
      <c r="B1395" t="s">
        <v>8</v>
      </c>
      <c r="C1395" t="s">
        <v>19</v>
      </c>
      <c r="D1395">
        <v>0</v>
      </c>
      <c r="E1395" t="s">
        <v>42</v>
      </c>
      <c r="F1395" t="s">
        <v>39</v>
      </c>
      <c r="G1395" t="s">
        <v>40</v>
      </c>
      <c r="H1395">
        <f t="shared" si="21"/>
        <v>0</v>
      </c>
    </row>
    <row r="1396" spans="1:8" x14ac:dyDescent="0.3">
      <c r="A1396" t="s">
        <v>27</v>
      </c>
      <c r="B1396" t="s">
        <v>8</v>
      </c>
      <c r="C1396" t="s">
        <v>20</v>
      </c>
      <c r="D1396">
        <v>0</v>
      </c>
      <c r="E1396" t="s">
        <v>42</v>
      </c>
      <c r="F1396" t="s">
        <v>39</v>
      </c>
      <c r="G1396" t="s">
        <v>40</v>
      </c>
      <c r="H1396">
        <f t="shared" si="21"/>
        <v>0</v>
      </c>
    </row>
    <row r="1397" spans="1:8" x14ac:dyDescent="0.3">
      <c r="A1397" t="s">
        <v>27</v>
      </c>
      <c r="B1397" t="s">
        <v>8</v>
      </c>
      <c r="C1397" t="s">
        <v>21</v>
      </c>
      <c r="D1397">
        <v>0</v>
      </c>
      <c r="E1397" t="s">
        <v>42</v>
      </c>
      <c r="F1397" t="s">
        <v>39</v>
      </c>
      <c r="G1397" t="s">
        <v>40</v>
      </c>
      <c r="H1397">
        <f t="shared" si="21"/>
        <v>0</v>
      </c>
    </row>
    <row r="1398" spans="1:8" x14ac:dyDescent="0.3">
      <c r="A1398" t="s">
        <v>27</v>
      </c>
      <c r="B1398" t="s">
        <v>8</v>
      </c>
      <c r="C1398" t="s">
        <v>22</v>
      </c>
      <c r="D1398">
        <v>1068</v>
      </c>
      <c r="E1398" t="s">
        <v>42</v>
      </c>
      <c r="F1398" t="s">
        <v>39</v>
      </c>
      <c r="G1398" t="s">
        <v>40</v>
      </c>
      <c r="H1398">
        <f t="shared" si="21"/>
        <v>1070</v>
      </c>
    </row>
    <row r="1399" spans="1:8" x14ac:dyDescent="0.3">
      <c r="A1399" t="s">
        <v>27</v>
      </c>
      <c r="B1399" t="s">
        <v>23</v>
      </c>
      <c r="C1399" t="s">
        <v>9</v>
      </c>
      <c r="D1399">
        <v>361</v>
      </c>
      <c r="E1399" t="s">
        <v>42</v>
      </c>
      <c r="F1399" t="s">
        <v>39</v>
      </c>
      <c r="G1399" t="s">
        <v>40</v>
      </c>
      <c r="H1399">
        <f t="shared" si="21"/>
        <v>361</v>
      </c>
    </row>
    <row r="1400" spans="1:8" x14ac:dyDescent="0.3">
      <c r="A1400" t="s">
        <v>27</v>
      </c>
      <c r="B1400" t="s">
        <v>23</v>
      </c>
      <c r="C1400" t="s">
        <v>13</v>
      </c>
      <c r="D1400">
        <v>2821</v>
      </c>
      <c r="E1400" t="s">
        <v>42</v>
      </c>
      <c r="F1400" t="s">
        <v>39</v>
      </c>
      <c r="G1400" t="s">
        <v>40</v>
      </c>
      <c r="H1400">
        <f t="shared" si="21"/>
        <v>2820</v>
      </c>
    </row>
    <row r="1401" spans="1:8" x14ac:dyDescent="0.3">
      <c r="A1401" t="s">
        <v>27</v>
      </c>
      <c r="B1401" t="s">
        <v>23</v>
      </c>
      <c r="C1401" t="s">
        <v>14</v>
      </c>
      <c r="D1401">
        <v>45084</v>
      </c>
      <c r="E1401" t="s">
        <v>42</v>
      </c>
      <c r="F1401" t="s">
        <v>39</v>
      </c>
      <c r="G1401" t="s">
        <v>40</v>
      </c>
      <c r="H1401">
        <f t="shared" si="21"/>
        <v>45100</v>
      </c>
    </row>
    <row r="1402" spans="1:8" x14ac:dyDescent="0.3">
      <c r="A1402" t="s">
        <v>27</v>
      </c>
      <c r="B1402" t="s">
        <v>23</v>
      </c>
      <c r="C1402" t="s">
        <v>15</v>
      </c>
      <c r="D1402">
        <v>99</v>
      </c>
      <c r="E1402" t="s">
        <v>42</v>
      </c>
      <c r="F1402" t="s">
        <v>39</v>
      </c>
      <c r="G1402" t="s">
        <v>40</v>
      </c>
      <c r="H1402">
        <f t="shared" si="21"/>
        <v>99</v>
      </c>
    </row>
    <row r="1403" spans="1:8" x14ac:dyDescent="0.3">
      <c r="A1403" t="s">
        <v>27</v>
      </c>
      <c r="B1403" t="s">
        <v>23</v>
      </c>
      <c r="C1403" t="s">
        <v>16</v>
      </c>
      <c r="D1403">
        <v>130234</v>
      </c>
      <c r="E1403" t="s">
        <v>42</v>
      </c>
      <c r="F1403" t="s">
        <v>39</v>
      </c>
      <c r="G1403" t="s">
        <v>40</v>
      </c>
      <c r="H1403">
        <f t="shared" si="21"/>
        <v>130000</v>
      </c>
    </row>
    <row r="1404" spans="1:8" x14ac:dyDescent="0.3">
      <c r="A1404" t="s">
        <v>27</v>
      </c>
      <c r="B1404" t="s">
        <v>23</v>
      </c>
      <c r="C1404" t="s">
        <v>17</v>
      </c>
      <c r="D1404">
        <v>69</v>
      </c>
      <c r="E1404" t="s">
        <v>42</v>
      </c>
      <c r="F1404" t="s">
        <v>39</v>
      </c>
      <c r="G1404" t="s">
        <v>40</v>
      </c>
      <c r="H1404">
        <f t="shared" si="21"/>
        <v>69</v>
      </c>
    </row>
    <row r="1405" spans="1:8" x14ac:dyDescent="0.3">
      <c r="A1405" t="s">
        <v>27</v>
      </c>
      <c r="B1405" t="s">
        <v>23</v>
      </c>
      <c r="C1405" t="s">
        <v>18</v>
      </c>
      <c r="D1405">
        <v>0</v>
      </c>
      <c r="E1405" t="s">
        <v>42</v>
      </c>
      <c r="F1405" t="s">
        <v>39</v>
      </c>
      <c r="G1405" t="s">
        <v>40</v>
      </c>
      <c r="H1405">
        <f t="shared" si="21"/>
        <v>0</v>
      </c>
    </row>
    <row r="1406" spans="1:8" x14ac:dyDescent="0.3">
      <c r="A1406" t="s">
        <v>27</v>
      </c>
      <c r="B1406" t="s">
        <v>23</v>
      </c>
      <c r="C1406" t="s">
        <v>19</v>
      </c>
      <c r="D1406">
        <v>70</v>
      </c>
      <c r="E1406" t="s">
        <v>42</v>
      </c>
      <c r="F1406" t="s">
        <v>39</v>
      </c>
      <c r="G1406" t="s">
        <v>40</v>
      </c>
      <c r="H1406">
        <f t="shared" si="21"/>
        <v>70</v>
      </c>
    </row>
    <row r="1407" spans="1:8" x14ac:dyDescent="0.3">
      <c r="A1407" t="s">
        <v>27</v>
      </c>
      <c r="B1407" t="s">
        <v>23</v>
      </c>
      <c r="C1407" t="s">
        <v>20</v>
      </c>
      <c r="D1407">
        <v>790</v>
      </c>
      <c r="E1407" t="s">
        <v>42</v>
      </c>
      <c r="F1407" t="s">
        <v>39</v>
      </c>
      <c r="G1407" t="s">
        <v>40</v>
      </c>
      <c r="H1407">
        <f t="shared" si="21"/>
        <v>790</v>
      </c>
    </row>
    <row r="1408" spans="1:8" x14ac:dyDescent="0.3">
      <c r="A1408" t="s">
        <v>27</v>
      </c>
      <c r="B1408" t="s">
        <v>23</v>
      </c>
      <c r="C1408" t="s">
        <v>21</v>
      </c>
      <c r="D1408">
        <v>39</v>
      </c>
      <c r="E1408" t="s">
        <v>42</v>
      </c>
      <c r="F1408" t="s">
        <v>39</v>
      </c>
      <c r="G1408" t="s">
        <v>40</v>
      </c>
      <c r="H1408">
        <f t="shared" si="21"/>
        <v>39</v>
      </c>
    </row>
    <row r="1409" spans="1:8" x14ac:dyDescent="0.3">
      <c r="A1409" t="s">
        <v>27</v>
      </c>
      <c r="B1409" t="s">
        <v>23</v>
      </c>
      <c r="C1409" t="s">
        <v>22</v>
      </c>
      <c r="D1409">
        <v>26994</v>
      </c>
      <c r="E1409" t="s">
        <v>42</v>
      </c>
      <c r="F1409" t="s">
        <v>39</v>
      </c>
      <c r="G1409" t="s">
        <v>40</v>
      </c>
      <c r="H1409">
        <f t="shared" si="21"/>
        <v>27000</v>
      </c>
    </row>
    <row r="1410" spans="1:8" x14ac:dyDescent="0.3">
      <c r="A1410" t="s">
        <v>50</v>
      </c>
      <c r="B1410" t="s">
        <v>8</v>
      </c>
      <c r="C1410" t="s">
        <v>9</v>
      </c>
      <c r="D1410">
        <v>0</v>
      </c>
      <c r="E1410" t="s">
        <v>42</v>
      </c>
      <c r="F1410" t="s">
        <v>39</v>
      </c>
      <c r="G1410" t="s">
        <v>40</v>
      </c>
      <c r="H1410">
        <f t="shared" si="21"/>
        <v>0</v>
      </c>
    </row>
    <row r="1411" spans="1:8" x14ac:dyDescent="0.3">
      <c r="A1411" t="s">
        <v>50</v>
      </c>
      <c r="B1411" t="s">
        <v>8</v>
      </c>
      <c r="C1411" t="s">
        <v>13</v>
      </c>
      <c r="D1411">
        <v>0</v>
      </c>
      <c r="E1411" t="s">
        <v>42</v>
      </c>
      <c r="F1411" t="s">
        <v>39</v>
      </c>
      <c r="G1411" t="s">
        <v>40</v>
      </c>
      <c r="H1411">
        <f t="shared" ref="H1411:H1474" si="22">ROUND(D1411, 3 - LEN(INT(ABS(D1411))))</f>
        <v>0</v>
      </c>
    </row>
    <row r="1412" spans="1:8" x14ac:dyDescent="0.3">
      <c r="A1412" t="s">
        <v>50</v>
      </c>
      <c r="B1412" t="s">
        <v>8</v>
      </c>
      <c r="C1412" t="s">
        <v>14</v>
      </c>
      <c r="D1412">
        <v>0</v>
      </c>
      <c r="E1412" t="s">
        <v>42</v>
      </c>
      <c r="F1412" t="s">
        <v>39</v>
      </c>
      <c r="G1412" t="s">
        <v>40</v>
      </c>
      <c r="H1412">
        <f t="shared" si="22"/>
        <v>0</v>
      </c>
    </row>
    <row r="1413" spans="1:8" x14ac:dyDescent="0.3">
      <c r="A1413" t="s">
        <v>50</v>
      </c>
      <c r="B1413" t="s">
        <v>8</v>
      </c>
      <c r="C1413" t="s">
        <v>15</v>
      </c>
      <c r="D1413">
        <v>0</v>
      </c>
      <c r="E1413" t="s">
        <v>42</v>
      </c>
      <c r="F1413" t="s">
        <v>39</v>
      </c>
      <c r="G1413" t="s">
        <v>40</v>
      </c>
      <c r="H1413">
        <f t="shared" si="22"/>
        <v>0</v>
      </c>
    </row>
    <row r="1414" spans="1:8" x14ac:dyDescent="0.3">
      <c r="A1414" t="s">
        <v>50</v>
      </c>
      <c r="B1414" t="s">
        <v>8</v>
      </c>
      <c r="C1414" t="s">
        <v>16</v>
      </c>
      <c r="D1414">
        <v>462</v>
      </c>
      <c r="E1414" t="s">
        <v>42</v>
      </c>
      <c r="F1414" t="s">
        <v>39</v>
      </c>
      <c r="G1414" t="s">
        <v>40</v>
      </c>
      <c r="H1414">
        <f t="shared" si="22"/>
        <v>462</v>
      </c>
    </row>
    <row r="1415" spans="1:8" x14ac:dyDescent="0.3">
      <c r="A1415" t="s">
        <v>50</v>
      </c>
      <c r="B1415" t="s">
        <v>8</v>
      </c>
      <c r="C1415" t="s">
        <v>17</v>
      </c>
      <c r="D1415">
        <v>1</v>
      </c>
      <c r="E1415" t="s">
        <v>42</v>
      </c>
      <c r="F1415" t="s">
        <v>39</v>
      </c>
      <c r="G1415" t="s">
        <v>40</v>
      </c>
      <c r="H1415">
        <f t="shared" si="22"/>
        <v>1</v>
      </c>
    </row>
    <row r="1416" spans="1:8" x14ac:dyDescent="0.3">
      <c r="A1416" t="s">
        <v>50</v>
      </c>
      <c r="B1416" t="s">
        <v>8</v>
      </c>
      <c r="C1416" t="s">
        <v>18</v>
      </c>
      <c r="D1416">
        <v>0</v>
      </c>
      <c r="E1416" t="s">
        <v>42</v>
      </c>
      <c r="F1416" t="s">
        <v>39</v>
      </c>
      <c r="G1416" t="s">
        <v>40</v>
      </c>
      <c r="H1416">
        <f t="shared" si="22"/>
        <v>0</v>
      </c>
    </row>
    <row r="1417" spans="1:8" x14ac:dyDescent="0.3">
      <c r="A1417" t="s">
        <v>50</v>
      </c>
      <c r="B1417" t="s">
        <v>8</v>
      </c>
      <c r="C1417" t="s">
        <v>19</v>
      </c>
      <c r="D1417">
        <v>0</v>
      </c>
      <c r="E1417" t="s">
        <v>42</v>
      </c>
      <c r="F1417" t="s">
        <v>39</v>
      </c>
      <c r="G1417" t="s">
        <v>40</v>
      </c>
      <c r="H1417">
        <f t="shared" si="22"/>
        <v>0</v>
      </c>
    </row>
    <row r="1418" spans="1:8" x14ac:dyDescent="0.3">
      <c r="A1418" t="s">
        <v>50</v>
      </c>
      <c r="B1418" t="s">
        <v>8</v>
      </c>
      <c r="C1418" t="s">
        <v>20</v>
      </c>
      <c r="D1418">
        <v>0</v>
      </c>
      <c r="E1418" t="s">
        <v>42</v>
      </c>
      <c r="F1418" t="s">
        <v>39</v>
      </c>
      <c r="G1418" t="s">
        <v>40</v>
      </c>
      <c r="H1418">
        <f t="shared" si="22"/>
        <v>0</v>
      </c>
    </row>
    <row r="1419" spans="1:8" x14ac:dyDescent="0.3">
      <c r="A1419" t="s">
        <v>50</v>
      </c>
      <c r="B1419" t="s">
        <v>8</v>
      </c>
      <c r="C1419" t="s">
        <v>21</v>
      </c>
      <c r="D1419">
        <v>0</v>
      </c>
      <c r="E1419" t="s">
        <v>42</v>
      </c>
      <c r="F1419" t="s">
        <v>39</v>
      </c>
      <c r="G1419" t="s">
        <v>40</v>
      </c>
      <c r="H1419">
        <f t="shared" si="22"/>
        <v>0</v>
      </c>
    </row>
    <row r="1420" spans="1:8" x14ac:dyDescent="0.3">
      <c r="A1420" t="s">
        <v>50</v>
      </c>
      <c r="B1420" t="s">
        <v>8</v>
      </c>
      <c r="C1420" t="s">
        <v>22</v>
      </c>
      <c r="D1420">
        <v>6</v>
      </c>
      <c r="E1420" t="s">
        <v>42</v>
      </c>
      <c r="F1420" t="s">
        <v>39</v>
      </c>
      <c r="G1420" t="s">
        <v>40</v>
      </c>
      <c r="H1420">
        <f t="shared" si="22"/>
        <v>6</v>
      </c>
    </row>
    <row r="1421" spans="1:8" x14ac:dyDescent="0.3">
      <c r="A1421" t="s">
        <v>50</v>
      </c>
      <c r="B1421" t="s">
        <v>23</v>
      </c>
      <c r="C1421" t="s">
        <v>9</v>
      </c>
      <c r="D1421">
        <v>30</v>
      </c>
      <c r="E1421" t="s">
        <v>42</v>
      </c>
      <c r="F1421" t="s">
        <v>39</v>
      </c>
      <c r="G1421" t="s">
        <v>40</v>
      </c>
      <c r="H1421">
        <f t="shared" si="22"/>
        <v>30</v>
      </c>
    </row>
    <row r="1422" spans="1:8" x14ac:dyDescent="0.3">
      <c r="A1422" t="s">
        <v>50</v>
      </c>
      <c r="B1422" t="s">
        <v>23</v>
      </c>
      <c r="C1422" t="s">
        <v>13</v>
      </c>
      <c r="D1422">
        <v>33</v>
      </c>
      <c r="E1422" t="s">
        <v>42</v>
      </c>
      <c r="F1422" t="s">
        <v>39</v>
      </c>
      <c r="G1422" t="s">
        <v>40</v>
      </c>
      <c r="H1422">
        <f t="shared" si="22"/>
        <v>33</v>
      </c>
    </row>
    <row r="1423" spans="1:8" x14ac:dyDescent="0.3">
      <c r="A1423" t="s">
        <v>50</v>
      </c>
      <c r="B1423" t="s">
        <v>23</v>
      </c>
      <c r="C1423" t="s">
        <v>14</v>
      </c>
      <c r="D1423">
        <v>79</v>
      </c>
      <c r="E1423" t="s">
        <v>42</v>
      </c>
      <c r="F1423" t="s">
        <v>39</v>
      </c>
      <c r="G1423" t="s">
        <v>40</v>
      </c>
      <c r="H1423">
        <f t="shared" si="22"/>
        <v>79</v>
      </c>
    </row>
    <row r="1424" spans="1:8" x14ac:dyDescent="0.3">
      <c r="A1424" t="s">
        <v>50</v>
      </c>
      <c r="B1424" t="s">
        <v>23</v>
      </c>
      <c r="C1424" t="s">
        <v>15</v>
      </c>
      <c r="D1424">
        <v>6</v>
      </c>
      <c r="E1424" t="s">
        <v>42</v>
      </c>
      <c r="F1424" t="s">
        <v>39</v>
      </c>
      <c r="G1424" t="s">
        <v>40</v>
      </c>
      <c r="H1424">
        <f t="shared" si="22"/>
        <v>6</v>
      </c>
    </row>
    <row r="1425" spans="1:8" x14ac:dyDescent="0.3">
      <c r="A1425" t="s">
        <v>50</v>
      </c>
      <c r="B1425" t="s">
        <v>23</v>
      </c>
      <c r="C1425" t="s">
        <v>16</v>
      </c>
      <c r="D1425">
        <v>43942</v>
      </c>
      <c r="E1425" t="s">
        <v>42</v>
      </c>
      <c r="F1425" t="s">
        <v>39</v>
      </c>
      <c r="G1425" t="s">
        <v>40</v>
      </c>
      <c r="H1425">
        <f t="shared" si="22"/>
        <v>43900</v>
      </c>
    </row>
    <row r="1426" spans="1:8" x14ac:dyDescent="0.3">
      <c r="A1426" t="s">
        <v>50</v>
      </c>
      <c r="B1426" t="s">
        <v>23</v>
      </c>
      <c r="C1426" t="s">
        <v>17</v>
      </c>
      <c r="D1426">
        <v>7</v>
      </c>
      <c r="E1426" t="s">
        <v>42</v>
      </c>
      <c r="F1426" t="s">
        <v>39</v>
      </c>
      <c r="G1426" t="s">
        <v>40</v>
      </c>
      <c r="H1426">
        <f t="shared" si="22"/>
        <v>7</v>
      </c>
    </row>
    <row r="1427" spans="1:8" x14ac:dyDescent="0.3">
      <c r="A1427" t="s">
        <v>50</v>
      </c>
      <c r="B1427" t="s">
        <v>23</v>
      </c>
      <c r="C1427" t="s">
        <v>18</v>
      </c>
      <c r="D1427">
        <v>0</v>
      </c>
      <c r="E1427" t="s">
        <v>42</v>
      </c>
      <c r="F1427" t="s">
        <v>39</v>
      </c>
      <c r="G1427" t="s">
        <v>40</v>
      </c>
      <c r="H1427">
        <f t="shared" si="22"/>
        <v>0</v>
      </c>
    </row>
    <row r="1428" spans="1:8" x14ac:dyDescent="0.3">
      <c r="A1428" t="s">
        <v>50</v>
      </c>
      <c r="B1428" t="s">
        <v>23</v>
      </c>
      <c r="C1428" t="s">
        <v>19</v>
      </c>
      <c r="D1428">
        <v>4</v>
      </c>
      <c r="E1428" t="s">
        <v>42</v>
      </c>
      <c r="F1428" t="s">
        <v>39</v>
      </c>
      <c r="G1428" t="s">
        <v>40</v>
      </c>
      <c r="H1428">
        <f t="shared" si="22"/>
        <v>4</v>
      </c>
    </row>
    <row r="1429" spans="1:8" x14ac:dyDescent="0.3">
      <c r="A1429" t="s">
        <v>50</v>
      </c>
      <c r="B1429" t="s">
        <v>23</v>
      </c>
      <c r="C1429" t="s">
        <v>20</v>
      </c>
      <c r="D1429">
        <v>207</v>
      </c>
      <c r="E1429" t="s">
        <v>42</v>
      </c>
      <c r="F1429" t="s">
        <v>39</v>
      </c>
      <c r="G1429" t="s">
        <v>40</v>
      </c>
      <c r="H1429">
        <f t="shared" si="22"/>
        <v>207</v>
      </c>
    </row>
    <row r="1430" spans="1:8" x14ac:dyDescent="0.3">
      <c r="A1430" t="s">
        <v>50</v>
      </c>
      <c r="B1430" t="s">
        <v>23</v>
      </c>
      <c r="C1430" t="s">
        <v>21</v>
      </c>
      <c r="D1430">
        <v>2</v>
      </c>
      <c r="E1430" t="s">
        <v>42</v>
      </c>
      <c r="F1430" t="s">
        <v>39</v>
      </c>
      <c r="G1430" t="s">
        <v>40</v>
      </c>
      <c r="H1430">
        <f t="shared" si="22"/>
        <v>2</v>
      </c>
    </row>
    <row r="1431" spans="1:8" x14ac:dyDescent="0.3">
      <c r="A1431" t="s">
        <v>50</v>
      </c>
      <c r="B1431" t="s">
        <v>23</v>
      </c>
      <c r="C1431" t="s">
        <v>22</v>
      </c>
      <c r="D1431">
        <v>63</v>
      </c>
      <c r="E1431" t="s">
        <v>42</v>
      </c>
      <c r="F1431" t="s">
        <v>39</v>
      </c>
      <c r="G1431" t="s">
        <v>40</v>
      </c>
      <c r="H1431">
        <f t="shared" si="22"/>
        <v>63</v>
      </c>
    </row>
    <row r="1432" spans="1:8" x14ac:dyDescent="0.3">
      <c r="A1432" t="s">
        <v>51</v>
      </c>
      <c r="B1432" t="s">
        <v>8</v>
      </c>
      <c r="C1432" t="s">
        <v>9</v>
      </c>
      <c r="D1432">
        <v>0</v>
      </c>
      <c r="E1432" t="s">
        <v>42</v>
      </c>
      <c r="F1432" t="s">
        <v>39</v>
      </c>
      <c r="G1432" t="s">
        <v>40</v>
      </c>
      <c r="H1432">
        <f t="shared" si="22"/>
        <v>0</v>
      </c>
    </row>
    <row r="1433" spans="1:8" x14ac:dyDescent="0.3">
      <c r="A1433" t="s">
        <v>51</v>
      </c>
      <c r="B1433" t="s">
        <v>8</v>
      </c>
      <c r="C1433" t="s">
        <v>13</v>
      </c>
      <c r="D1433">
        <v>71</v>
      </c>
      <c r="E1433" t="s">
        <v>42</v>
      </c>
      <c r="F1433" t="s">
        <v>39</v>
      </c>
      <c r="G1433" t="s">
        <v>40</v>
      </c>
      <c r="H1433">
        <f t="shared" si="22"/>
        <v>71</v>
      </c>
    </row>
    <row r="1434" spans="1:8" x14ac:dyDescent="0.3">
      <c r="A1434" t="s">
        <v>51</v>
      </c>
      <c r="B1434" t="s">
        <v>8</v>
      </c>
      <c r="C1434" t="s">
        <v>14</v>
      </c>
      <c r="D1434">
        <v>0</v>
      </c>
      <c r="E1434" t="s">
        <v>42</v>
      </c>
      <c r="F1434" t="s">
        <v>39</v>
      </c>
      <c r="G1434" t="s">
        <v>40</v>
      </c>
      <c r="H1434">
        <f t="shared" si="22"/>
        <v>0</v>
      </c>
    </row>
    <row r="1435" spans="1:8" x14ac:dyDescent="0.3">
      <c r="A1435" t="s">
        <v>51</v>
      </c>
      <c r="B1435" t="s">
        <v>8</v>
      </c>
      <c r="C1435" t="s">
        <v>15</v>
      </c>
      <c r="D1435">
        <v>0</v>
      </c>
      <c r="E1435" t="s">
        <v>42</v>
      </c>
      <c r="F1435" t="s">
        <v>39</v>
      </c>
      <c r="G1435" t="s">
        <v>40</v>
      </c>
      <c r="H1435">
        <f t="shared" si="22"/>
        <v>0</v>
      </c>
    </row>
    <row r="1436" spans="1:8" x14ac:dyDescent="0.3">
      <c r="A1436" t="s">
        <v>51</v>
      </c>
      <c r="B1436" t="s">
        <v>8</v>
      </c>
      <c r="C1436" t="s">
        <v>16</v>
      </c>
      <c r="D1436">
        <v>0</v>
      </c>
      <c r="E1436" t="s">
        <v>42</v>
      </c>
      <c r="F1436" t="s">
        <v>39</v>
      </c>
      <c r="G1436" t="s">
        <v>40</v>
      </c>
      <c r="H1436">
        <f t="shared" si="22"/>
        <v>0</v>
      </c>
    </row>
    <row r="1437" spans="1:8" x14ac:dyDescent="0.3">
      <c r="A1437" t="s">
        <v>51</v>
      </c>
      <c r="B1437" t="s">
        <v>8</v>
      </c>
      <c r="C1437" t="s">
        <v>17</v>
      </c>
      <c r="D1437">
        <v>0</v>
      </c>
      <c r="E1437" t="s">
        <v>42</v>
      </c>
      <c r="F1437" t="s">
        <v>39</v>
      </c>
      <c r="G1437" t="s">
        <v>40</v>
      </c>
      <c r="H1437">
        <f t="shared" si="22"/>
        <v>0</v>
      </c>
    </row>
    <row r="1438" spans="1:8" x14ac:dyDescent="0.3">
      <c r="A1438" t="s">
        <v>51</v>
      </c>
      <c r="B1438" t="s">
        <v>8</v>
      </c>
      <c r="C1438" t="s">
        <v>18</v>
      </c>
      <c r="D1438">
        <v>0</v>
      </c>
      <c r="E1438" t="s">
        <v>42</v>
      </c>
      <c r="F1438" t="s">
        <v>39</v>
      </c>
      <c r="G1438" t="s">
        <v>40</v>
      </c>
      <c r="H1438">
        <f t="shared" si="22"/>
        <v>0</v>
      </c>
    </row>
    <row r="1439" spans="1:8" x14ac:dyDescent="0.3">
      <c r="A1439" t="s">
        <v>51</v>
      </c>
      <c r="B1439" t="s">
        <v>8</v>
      </c>
      <c r="C1439" t="s">
        <v>19</v>
      </c>
      <c r="D1439">
        <v>0</v>
      </c>
      <c r="E1439" t="s">
        <v>42</v>
      </c>
      <c r="F1439" t="s">
        <v>39</v>
      </c>
      <c r="G1439" t="s">
        <v>40</v>
      </c>
      <c r="H1439">
        <f t="shared" si="22"/>
        <v>0</v>
      </c>
    </row>
    <row r="1440" spans="1:8" x14ac:dyDescent="0.3">
      <c r="A1440" t="s">
        <v>51</v>
      </c>
      <c r="B1440" t="s">
        <v>8</v>
      </c>
      <c r="C1440" t="s">
        <v>20</v>
      </c>
      <c r="D1440">
        <v>0</v>
      </c>
      <c r="E1440" t="s">
        <v>42</v>
      </c>
      <c r="F1440" t="s">
        <v>39</v>
      </c>
      <c r="G1440" t="s">
        <v>40</v>
      </c>
      <c r="H1440">
        <f t="shared" si="22"/>
        <v>0</v>
      </c>
    </row>
    <row r="1441" spans="1:8" x14ac:dyDescent="0.3">
      <c r="A1441" t="s">
        <v>51</v>
      </c>
      <c r="B1441" t="s">
        <v>8</v>
      </c>
      <c r="C1441" t="s">
        <v>21</v>
      </c>
      <c r="D1441">
        <v>0</v>
      </c>
      <c r="E1441" t="s">
        <v>42</v>
      </c>
      <c r="F1441" t="s">
        <v>39</v>
      </c>
      <c r="G1441" t="s">
        <v>40</v>
      </c>
      <c r="H1441">
        <f t="shared" si="22"/>
        <v>0</v>
      </c>
    </row>
    <row r="1442" spans="1:8" x14ac:dyDescent="0.3">
      <c r="A1442" t="s">
        <v>51</v>
      </c>
      <c r="B1442" t="s">
        <v>8</v>
      </c>
      <c r="C1442" t="s">
        <v>22</v>
      </c>
      <c r="D1442">
        <v>89</v>
      </c>
      <c r="E1442" t="s">
        <v>42</v>
      </c>
      <c r="F1442" t="s">
        <v>39</v>
      </c>
      <c r="G1442" t="s">
        <v>40</v>
      </c>
      <c r="H1442">
        <f t="shared" si="22"/>
        <v>89</v>
      </c>
    </row>
    <row r="1443" spans="1:8" x14ac:dyDescent="0.3">
      <c r="A1443" t="s">
        <v>51</v>
      </c>
      <c r="B1443" t="s">
        <v>23</v>
      </c>
      <c r="C1443" t="s">
        <v>9</v>
      </c>
      <c r="D1443">
        <v>51</v>
      </c>
      <c r="E1443" t="s">
        <v>42</v>
      </c>
      <c r="F1443" t="s">
        <v>39</v>
      </c>
      <c r="G1443" t="s">
        <v>40</v>
      </c>
      <c r="H1443">
        <f t="shared" si="22"/>
        <v>51</v>
      </c>
    </row>
    <row r="1444" spans="1:8" x14ac:dyDescent="0.3">
      <c r="A1444" t="s">
        <v>51</v>
      </c>
      <c r="B1444" t="s">
        <v>23</v>
      </c>
      <c r="C1444" t="s">
        <v>13</v>
      </c>
      <c r="D1444">
        <v>22794</v>
      </c>
      <c r="E1444" t="s">
        <v>42</v>
      </c>
      <c r="F1444" t="s">
        <v>39</v>
      </c>
      <c r="G1444" t="s">
        <v>40</v>
      </c>
      <c r="H1444">
        <f t="shared" si="22"/>
        <v>22800</v>
      </c>
    </row>
    <row r="1445" spans="1:8" x14ac:dyDescent="0.3">
      <c r="A1445" t="s">
        <v>51</v>
      </c>
      <c r="B1445" t="s">
        <v>23</v>
      </c>
      <c r="C1445" t="s">
        <v>14</v>
      </c>
      <c r="D1445">
        <v>186</v>
      </c>
      <c r="E1445" t="s">
        <v>42</v>
      </c>
      <c r="F1445" t="s">
        <v>39</v>
      </c>
      <c r="G1445" t="s">
        <v>40</v>
      </c>
      <c r="H1445">
        <f t="shared" si="22"/>
        <v>186</v>
      </c>
    </row>
    <row r="1446" spans="1:8" x14ac:dyDescent="0.3">
      <c r="A1446" t="s">
        <v>51</v>
      </c>
      <c r="B1446" t="s">
        <v>23</v>
      </c>
      <c r="C1446" t="s">
        <v>15</v>
      </c>
      <c r="D1446">
        <v>28</v>
      </c>
      <c r="E1446" t="s">
        <v>42</v>
      </c>
      <c r="F1446" t="s">
        <v>39</v>
      </c>
      <c r="G1446" t="s">
        <v>40</v>
      </c>
      <c r="H1446">
        <f t="shared" si="22"/>
        <v>28</v>
      </c>
    </row>
    <row r="1447" spans="1:8" x14ac:dyDescent="0.3">
      <c r="A1447" t="s">
        <v>51</v>
      </c>
      <c r="B1447" t="s">
        <v>23</v>
      </c>
      <c r="C1447" t="s">
        <v>16</v>
      </c>
      <c r="D1447">
        <v>64</v>
      </c>
      <c r="E1447" t="s">
        <v>42</v>
      </c>
      <c r="F1447" t="s">
        <v>39</v>
      </c>
      <c r="G1447" t="s">
        <v>40</v>
      </c>
      <c r="H1447">
        <f t="shared" si="22"/>
        <v>64</v>
      </c>
    </row>
    <row r="1448" spans="1:8" x14ac:dyDescent="0.3">
      <c r="A1448" t="s">
        <v>51</v>
      </c>
      <c r="B1448" t="s">
        <v>23</v>
      </c>
      <c r="C1448" t="s">
        <v>17</v>
      </c>
      <c r="D1448">
        <v>3</v>
      </c>
      <c r="E1448" t="s">
        <v>42</v>
      </c>
      <c r="F1448" t="s">
        <v>39</v>
      </c>
      <c r="G1448" t="s">
        <v>40</v>
      </c>
      <c r="H1448">
        <f t="shared" si="22"/>
        <v>3</v>
      </c>
    </row>
    <row r="1449" spans="1:8" x14ac:dyDescent="0.3">
      <c r="A1449" t="s">
        <v>51</v>
      </c>
      <c r="B1449" t="s">
        <v>23</v>
      </c>
      <c r="C1449" t="s">
        <v>18</v>
      </c>
      <c r="D1449">
        <v>0</v>
      </c>
      <c r="E1449" t="s">
        <v>42</v>
      </c>
      <c r="F1449" t="s">
        <v>39</v>
      </c>
      <c r="G1449" t="s">
        <v>40</v>
      </c>
      <c r="H1449">
        <f t="shared" si="22"/>
        <v>0</v>
      </c>
    </row>
    <row r="1450" spans="1:8" x14ac:dyDescent="0.3">
      <c r="A1450" t="s">
        <v>51</v>
      </c>
      <c r="B1450" t="s">
        <v>23</v>
      </c>
      <c r="C1450" t="s">
        <v>19</v>
      </c>
      <c r="D1450">
        <v>74</v>
      </c>
      <c r="E1450" t="s">
        <v>42</v>
      </c>
      <c r="F1450" t="s">
        <v>39</v>
      </c>
      <c r="G1450" t="s">
        <v>40</v>
      </c>
      <c r="H1450">
        <f t="shared" si="22"/>
        <v>74</v>
      </c>
    </row>
    <row r="1451" spans="1:8" x14ac:dyDescent="0.3">
      <c r="A1451" t="s">
        <v>51</v>
      </c>
      <c r="B1451" t="s">
        <v>23</v>
      </c>
      <c r="C1451" t="s">
        <v>20</v>
      </c>
      <c r="D1451">
        <v>68</v>
      </c>
      <c r="E1451" t="s">
        <v>42</v>
      </c>
      <c r="F1451" t="s">
        <v>39</v>
      </c>
      <c r="G1451" t="s">
        <v>40</v>
      </c>
      <c r="H1451">
        <f t="shared" si="22"/>
        <v>68</v>
      </c>
    </row>
    <row r="1452" spans="1:8" x14ac:dyDescent="0.3">
      <c r="A1452" t="s">
        <v>51</v>
      </c>
      <c r="B1452" t="s">
        <v>23</v>
      </c>
      <c r="C1452" t="s">
        <v>21</v>
      </c>
      <c r="D1452">
        <v>4</v>
      </c>
      <c r="E1452" t="s">
        <v>42</v>
      </c>
      <c r="F1452" t="s">
        <v>39</v>
      </c>
      <c r="G1452" t="s">
        <v>40</v>
      </c>
      <c r="H1452">
        <f t="shared" si="22"/>
        <v>4</v>
      </c>
    </row>
    <row r="1453" spans="1:8" x14ac:dyDescent="0.3">
      <c r="A1453" t="s">
        <v>51</v>
      </c>
      <c r="B1453" t="s">
        <v>23</v>
      </c>
      <c r="C1453" t="s">
        <v>22</v>
      </c>
      <c r="D1453">
        <v>1441</v>
      </c>
      <c r="E1453" t="s">
        <v>42</v>
      </c>
      <c r="F1453" t="s">
        <v>39</v>
      </c>
      <c r="G1453" t="s">
        <v>40</v>
      </c>
      <c r="H1453">
        <f t="shared" si="22"/>
        <v>1440</v>
      </c>
    </row>
    <row r="1454" spans="1:8" x14ac:dyDescent="0.3">
      <c r="A1454" t="s">
        <v>52</v>
      </c>
      <c r="B1454" t="s">
        <v>8</v>
      </c>
      <c r="C1454" t="s">
        <v>9</v>
      </c>
      <c r="D1454">
        <v>102</v>
      </c>
      <c r="E1454" t="s">
        <v>42</v>
      </c>
      <c r="F1454" t="s">
        <v>39</v>
      </c>
      <c r="G1454" t="s">
        <v>40</v>
      </c>
      <c r="H1454">
        <f t="shared" si="22"/>
        <v>102</v>
      </c>
    </row>
    <row r="1455" spans="1:8" x14ac:dyDescent="0.3">
      <c r="A1455" t="s">
        <v>52</v>
      </c>
      <c r="B1455" t="s">
        <v>8</v>
      </c>
      <c r="C1455" t="s">
        <v>13</v>
      </c>
      <c r="D1455">
        <v>14</v>
      </c>
      <c r="E1455" t="s">
        <v>42</v>
      </c>
      <c r="F1455" t="s">
        <v>39</v>
      </c>
      <c r="G1455" t="s">
        <v>40</v>
      </c>
      <c r="H1455">
        <f t="shared" si="22"/>
        <v>14</v>
      </c>
    </row>
    <row r="1456" spans="1:8" x14ac:dyDescent="0.3">
      <c r="A1456" t="s">
        <v>52</v>
      </c>
      <c r="B1456" t="s">
        <v>8</v>
      </c>
      <c r="C1456" t="s">
        <v>14</v>
      </c>
      <c r="D1456">
        <v>0</v>
      </c>
      <c r="E1456" t="s">
        <v>42</v>
      </c>
      <c r="F1456" t="s">
        <v>39</v>
      </c>
      <c r="G1456" t="s">
        <v>40</v>
      </c>
      <c r="H1456">
        <f t="shared" si="22"/>
        <v>0</v>
      </c>
    </row>
    <row r="1457" spans="1:8" x14ac:dyDescent="0.3">
      <c r="A1457" t="s">
        <v>52</v>
      </c>
      <c r="B1457" t="s">
        <v>8</v>
      </c>
      <c r="C1457" t="s">
        <v>15</v>
      </c>
      <c r="D1457">
        <v>10</v>
      </c>
      <c r="E1457" t="s">
        <v>42</v>
      </c>
      <c r="F1457" t="s">
        <v>39</v>
      </c>
      <c r="G1457" t="s">
        <v>40</v>
      </c>
      <c r="H1457">
        <f t="shared" si="22"/>
        <v>10</v>
      </c>
    </row>
    <row r="1458" spans="1:8" x14ac:dyDescent="0.3">
      <c r="A1458" t="s">
        <v>52</v>
      </c>
      <c r="B1458" t="s">
        <v>8</v>
      </c>
      <c r="C1458" t="s">
        <v>16</v>
      </c>
      <c r="D1458">
        <v>7</v>
      </c>
      <c r="E1458" t="s">
        <v>42</v>
      </c>
      <c r="F1458" t="s">
        <v>39</v>
      </c>
      <c r="G1458" t="s">
        <v>40</v>
      </c>
      <c r="H1458">
        <f t="shared" si="22"/>
        <v>7</v>
      </c>
    </row>
    <row r="1459" spans="1:8" x14ac:dyDescent="0.3">
      <c r="A1459" t="s">
        <v>52</v>
      </c>
      <c r="B1459" t="s">
        <v>8</v>
      </c>
      <c r="C1459" t="s">
        <v>17</v>
      </c>
      <c r="D1459">
        <v>25</v>
      </c>
      <c r="E1459" t="s">
        <v>42</v>
      </c>
      <c r="F1459" t="s">
        <v>39</v>
      </c>
      <c r="G1459" t="s">
        <v>40</v>
      </c>
      <c r="H1459">
        <f t="shared" si="22"/>
        <v>25</v>
      </c>
    </row>
    <row r="1460" spans="1:8" x14ac:dyDescent="0.3">
      <c r="A1460" t="s">
        <v>52</v>
      </c>
      <c r="B1460" t="s">
        <v>8</v>
      </c>
      <c r="C1460" t="s">
        <v>18</v>
      </c>
      <c r="D1460">
        <v>0</v>
      </c>
      <c r="E1460" t="s">
        <v>42</v>
      </c>
      <c r="F1460" t="s">
        <v>39</v>
      </c>
      <c r="G1460" t="s">
        <v>40</v>
      </c>
      <c r="H1460">
        <f t="shared" si="22"/>
        <v>0</v>
      </c>
    </row>
    <row r="1461" spans="1:8" x14ac:dyDescent="0.3">
      <c r="A1461" t="s">
        <v>52</v>
      </c>
      <c r="B1461" t="s">
        <v>8</v>
      </c>
      <c r="C1461" t="s">
        <v>19</v>
      </c>
      <c r="D1461">
        <v>0</v>
      </c>
      <c r="E1461" t="s">
        <v>42</v>
      </c>
      <c r="F1461" t="s">
        <v>39</v>
      </c>
      <c r="G1461" t="s">
        <v>40</v>
      </c>
      <c r="H1461">
        <f t="shared" si="22"/>
        <v>0</v>
      </c>
    </row>
    <row r="1462" spans="1:8" x14ac:dyDescent="0.3">
      <c r="A1462" t="s">
        <v>52</v>
      </c>
      <c r="B1462" t="s">
        <v>8</v>
      </c>
      <c r="C1462" t="s">
        <v>20</v>
      </c>
      <c r="D1462">
        <v>0</v>
      </c>
      <c r="E1462" t="s">
        <v>42</v>
      </c>
      <c r="F1462" t="s">
        <v>39</v>
      </c>
      <c r="G1462" t="s">
        <v>40</v>
      </c>
      <c r="H1462">
        <f t="shared" si="22"/>
        <v>0</v>
      </c>
    </row>
    <row r="1463" spans="1:8" x14ac:dyDescent="0.3">
      <c r="A1463" t="s">
        <v>52</v>
      </c>
      <c r="B1463" t="s">
        <v>8</v>
      </c>
      <c r="C1463" t="s">
        <v>21</v>
      </c>
      <c r="D1463">
        <v>0</v>
      </c>
      <c r="E1463" t="s">
        <v>42</v>
      </c>
      <c r="F1463" t="s">
        <v>39</v>
      </c>
      <c r="G1463" t="s">
        <v>40</v>
      </c>
      <c r="H1463">
        <f t="shared" si="22"/>
        <v>0</v>
      </c>
    </row>
    <row r="1464" spans="1:8" x14ac:dyDescent="0.3">
      <c r="A1464" t="s">
        <v>52</v>
      </c>
      <c r="B1464" t="s">
        <v>8</v>
      </c>
      <c r="C1464" t="s">
        <v>22</v>
      </c>
      <c r="D1464">
        <v>281</v>
      </c>
      <c r="E1464" t="s">
        <v>42</v>
      </c>
      <c r="F1464" t="s">
        <v>39</v>
      </c>
      <c r="G1464" t="s">
        <v>40</v>
      </c>
      <c r="H1464">
        <f t="shared" si="22"/>
        <v>281</v>
      </c>
    </row>
    <row r="1465" spans="1:8" x14ac:dyDescent="0.3">
      <c r="A1465" t="s">
        <v>52</v>
      </c>
      <c r="B1465" t="s">
        <v>23</v>
      </c>
      <c r="C1465" t="s">
        <v>9</v>
      </c>
      <c r="D1465">
        <v>19555</v>
      </c>
      <c r="E1465" t="s">
        <v>42</v>
      </c>
      <c r="F1465" t="s">
        <v>39</v>
      </c>
      <c r="G1465" t="s">
        <v>40</v>
      </c>
      <c r="H1465">
        <f t="shared" si="22"/>
        <v>19600</v>
      </c>
    </row>
    <row r="1466" spans="1:8" x14ac:dyDescent="0.3">
      <c r="A1466" t="s">
        <v>52</v>
      </c>
      <c r="B1466" t="s">
        <v>23</v>
      </c>
      <c r="C1466" t="s">
        <v>13</v>
      </c>
      <c r="D1466">
        <v>360</v>
      </c>
      <c r="E1466" t="s">
        <v>42</v>
      </c>
      <c r="F1466" t="s">
        <v>39</v>
      </c>
      <c r="G1466" t="s">
        <v>40</v>
      </c>
      <c r="H1466">
        <f t="shared" si="22"/>
        <v>360</v>
      </c>
    </row>
    <row r="1467" spans="1:8" x14ac:dyDescent="0.3">
      <c r="A1467" t="s">
        <v>52</v>
      </c>
      <c r="B1467" t="s">
        <v>23</v>
      </c>
      <c r="C1467" t="s">
        <v>14</v>
      </c>
      <c r="D1467">
        <v>1429</v>
      </c>
      <c r="E1467" t="s">
        <v>42</v>
      </c>
      <c r="F1467" t="s">
        <v>39</v>
      </c>
      <c r="G1467" t="s">
        <v>40</v>
      </c>
      <c r="H1467">
        <f t="shared" si="22"/>
        <v>1430</v>
      </c>
    </row>
    <row r="1468" spans="1:8" x14ac:dyDescent="0.3">
      <c r="A1468" t="s">
        <v>52</v>
      </c>
      <c r="B1468" t="s">
        <v>23</v>
      </c>
      <c r="C1468" t="s">
        <v>15</v>
      </c>
      <c r="D1468">
        <v>31</v>
      </c>
      <c r="E1468" t="s">
        <v>42</v>
      </c>
      <c r="F1468" t="s">
        <v>39</v>
      </c>
      <c r="G1468" t="s">
        <v>40</v>
      </c>
      <c r="H1468">
        <f t="shared" si="22"/>
        <v>31</v>
      </c>
    </row>
    <row r="1469" spans="1:8" x14ac:dyDescent="0.3">
      <c r="A1469" t="s">
        <v>52</v>
      </c>
      <c r="B1469" t="s">
        <v>23</v>
      </c>
      <c r="C1469" t="s">
        <v>16</v>
      </c>
      <c r="D1469">
        <v>3353</v>
      </c>
      <c r="E1469" t="s">
        <v>42</v>
      </c>
      <c r="F1469" t="s">
        <v>39</v>
      </c>
      <c r="G1469" t="s">
        <v>40</v>
      </c>
      <c r="H1469">
        <f t="shared" si="22"/>
        <v>3350</v>
      </c>
    </row>
    <row r="1470" spans="1:8" x14ac:dyDescent="0.3">
      <c r="A1470" t="s">
        <v>52</v>
      </c>
      <c r="B1470" t="s">
        <v>23</v>
      </c>
      <c r="C1470" t="s">
        <v>17</v>
      </c>
      <c r="D1470">
        <v>460</v>
      </c>
      <c r="E1470" t="s">
        <v>42</v>
      </c>
      <c r="F1470" t="s">
        <v>39</v>
      </c>
      <c r="G1470" t="s">
        <v>40</v>
      </c>
      <c r="H1470">
        <f t="shared" si="22"/>
        <v>460</v>
      </c>
    </row>
    <row r="1471" spans="1:8" x14ac:dyDescent="0.3">
      <c r="A1471" t="s">
        <v>52</v>
      </c>
      <c r="B1471" t="s">
        <v>23</v>
      </c>
      <c r="C1471" t="s">
        <v>18</v>
      </c>
      <c r="D1471">
        <v>0</v>
      </c>
      <c r="E1471" t="s">
        <v>42</v>
      </c>
      <c r="F1471" t="s">
        <v>39</v>
      </c>
      <c r="G1471" t="s">
        <v>40</v>
      </c>
      <c r="H1471">
        <f t="shared" si="22"/>
        <v>0</v>
      </c>
    </row>
    <row r="1472" spans="1:8" x14ac:dyDescent="0.3">
      <c r="A1472" t="s">
        <v>52</v>
      </c>
      <c r="B1472" t="s">
        <v>23</v>
      </c>
      <c r="C1472" t="s">
        <v>19</v>
      </c>
      <c r="D1472">
        <v>42</v>
      </c>
      <c r="E1472" t="s">
        <v>42</v>
      </c>
      <c r="F1472" t="s">
        <v>39</v>
      </c>
      <c r="G1472" t="s">
        <v>40</v>
      </c>
      <c r="H1472">
        <f t="shared" si="22"/>
        <v>42</v>
      </c>
    </row>
    <row r="1473" spans="1:8" x14ac:dyDescent="0.3">
      <c r="A1473" t="s">
        <v>52</v>
      </c>
      <c r="B1473" t="s">
        <v>23</v>
      </c>
      <c r="C1473" t="s">
        <v>20</v>
      </c>
      <c r="D1473">
        <v>307</v>
      </c>
      <c r="E1473" t="s">
        <v>42</v>
      </c>
      <c r="F1473" t="s">
        <v>39</v>
      </c>
      <c r="G1473" t="s">
        <v>40</v>
      </c>
      <c r="H1473">
        <f t="shared" si="22"/>
        <v>307</v>
      </c>
    </row>
    <row r="1474" spans="1:8" x14ac:dyDescent="0.3">
      <c r="A1474" t="s">
        <v>52</v>
      </c>
      <c r="B1474" t="s">
        <v>23</v>
      </c>
      <c r="C1474" t="s">
        <v>21</v>
      </c>
      <c r="D1474">
        <v>56</v>
      </c>
      <c r="E1474" t="s">
        <v>42</v>
      </c>
      <c r="F1474" t="s">
        <v>39</v>
      </c>
      <c r="G1474" t="s">
        <v>40</v>
      </c>
      <c r="H1474">
        <f t="shared" si="22"/>
        <v>56</v>
      </c>
    </row>
    <row r="1475" spans="1:8" x14ac:dyDescent="0.3">
      <c r="A1475" t="s">
        <v>52</v>
      </c>
      <c r="B1475" t="s">
        <v>23</v>
      </c>
      <c r="C1475" t="s">
        <v>22</v>
      </c>
      <c r="D1475">
        <v>312</v>
      </c>
      <c r="E1475" t="s">
        <v>42</v>
      </c>
      <c r="F1475" t="s">
        <v>39</v>
      </c>
      <c r="G1475" t="s">
        <v>40</v>
      </c>
      <c r="H1475">
        <f t="shared" ref="H1475:H1538" si="23">ROUND(D1475, 3 - LEN(INT(ABS(D1475))))</f>
        <v>312</v>
      </c>
    </row>
    <row r="1476" spans="1:8" x14ac:dyDescent="0.3">
      <c r="A1476" t="s">
        <v>53</v>
      </c>
      <c r="B1476" t="s">
        <v>8</v>
      </c>
      <c r="C1476" t="s">
        <v>9</v>
      </c>
      <c r="D1476">
        <v>0</v>
      </c>
      <c r="E1476" t="s">
        <v>42</v>
      </c>
      <c r="F1476" t="s">
        <v>39</v>
      </c>
      <c r="G1476" t="s">
        <v>40</v>
      </c>
      <c r="H1476">
        <f t="shared" si="23"/>
        <v>0</v>
      </c>
    </row>
    <row r="1477" spans="1:8" x14ac:dyDescent="0.3">
      <c r="A1477" t="s">
        <v>53</v>
      </c>
      <c r="B1477" t="s">
        <v>8</v>
      </c>
      <c r="C1477" t="s">
        <v>13</v>
      </c>
      <c r="D1477">
        <v>0</v>
      </c>
      <c r="E1477" t="s">
        <v>42</v>
      </c>
      <c r="F1477" t="s">
        <v>39</v>
      </c>
      <c r="G1477" t="s">
        <v>40</v>
      </c>
      <c r="H1477">
        <f t="shared" si="23"/>
        <v>0</v>
      </c>
    </row>
    <row r="1478" spans="1:8" x14ac:dyDescent="0.3">
      <c r="A1478" t="s">
        <v>53</v>
      </c>
      <c r="B1478" t="s">
        <v>8</v>
      </c>
      <c r="C1478" t="s">
        <v>14</v>
      </c>
      <c r="D1478">
        <v>0</v>
      </c>
      <c r="E1478" t="s">
        <v>42</v>
      </c>
      <c r="F1478" t="s">
        <v>39</v>
      </c>
      <c r="G1478" t="s">
        <v>40</v>
      </c>
      <c r="H1478">
        <f t="shared" si="23"/>
        <v>0</v>
      </c>
    </row>
    <row r="1479" spans="1:8" x14ac:dyDescent="0.3">
      <c r="A1479" t="s">
        <v>53</v>
      </c>
      <c r="B1479" t="s">
        <v>8</v>
      </c>
      <c r="C1479" t="s">
        <v>15</v>
      </c>
      <c r="D1479">
        <v>0</v>
      </c>
      <c r="E1479" t="s">
        <v>42</v>
      </c>
      <c r="F1479" t="s">
        <v>39</v>
      </c>
      <c r="G1479" t="s">
        <v>40</v>
      </c>
      <c r="H1479">
        <f t="shared" si="23"/>
        <v>0</v>
      </c>
    </row>
    <row r="1480" spans="1:8" x14ac:dyDescent="0.3">
      <c r="A1480" t="s">
        <v>53</v>
      </c>
      <c r="B1480" t="s">
        <v>8</v>
      </c>
      <c r="C1480" t="s">
        <v>16</v>
      </c>
      <c r="D1480">
        <v>424</v>
      </c>
      <c r="E1480" t="s">
        <v>42</v>
      </c>
      <c r="F1480" t="s">
        <v>39</v>
      </c>
      <c r="G1480" t="s">
        <v>40</v>
      </c>
      <c r="H1480">
        <f t="shared" si="23"/>
        <v>424</v>
      </c>
    </row>
    <row r="1481" spans="1:8" x14ac:dyDescent="0.3">
      <c r="A1481" t="s">
        <v>53</v>
      </c>
      <c r="B1481" t="s">
        <v>8</v>
      </c>
      <c r="C1481" t="s">
        <v>17</v>
      </c>
      <c r="D1481">
        <v>1</v>
      </c>
      <c r="E1481" t="s">
        <v>42</v>
      </c>
      <c r="F1481" t="s">
        <v>39</v>
      </c>
      <c r="G1481" t="s">
        <v>40</v>
      </c>
      <c r="H1481">
        <f t="shared" si="23"/>
        <v>1</v>
      </c>
    </row>
    <row r="1482" spans="1:8" x14ac:dyDescent="0.3">
      <c r="A1482" t="s">
        <v>53</v>
      </c>
      <c r="B1482" t="s">
        <v>8</v>
      </c>
      <c r="C1482" t="s">
        <v>18</v>
      </c>
      <c r="D1482">
        <v>0</v>
      </c>
      <c r="E1482" t="s">
        <v>42</v>
      </c>
      <c r="F1482" t="s">
        <v>39</v>
      </c>
      <c r="G1482" t="s">
        <v>40</v>
      </c>
      <c r="H1482">
        <f t="shared" si="23"/>
        <v>0</v>
      </c>
    </row>
    <row r="1483" spans="1:8" x14ac:dyDescent="0.3">
      <c r="A1483" t="s">
        <v>53</v>
      </c>
      <c r="B1483" t="s">
        <v>8</v>
      </c>
      <c r="C1483" t="s">
        <v>19</v>
      </c>
      <c r="D1483">
        <v>0</v>
      </c>
      <c r="E1483" t="s">
        <v>42</v>
      </c>
      <c r="F1483" t="s">
        <v>39</v>
      </c>
      <c r="G1483" t="s">
        <v>40</v>
      </c>
      <c r="H1483">
        <f t="shared" si="23"/>
        <v>0</v>
      </c>
    </row>
    <row r="1484" spans="1:8" x14ac:dyDescent="0.3">
      <c r="A1484" t="s">
        <v>53</v>
      </c>
      <c r="B1484" t="s">
        <v>8</v>
      </c>
      <c r="C1484" t="s">
        <v>20</v>
      </c>
      <c r="D1484">
        <v>0</v>
      </c>
      <c r="E1484" t="s">
        <v>42</v>
      </c>
      <c r="F1484" t="s">
        <v>39</v>
      </c>
      <c r="G1484" t="s">
        <v>40</v>
      </c>
      <c r="H1484">
        <f t="shared" si="23"/>
        <v>0</v>
      </c>
    </row>
    <row r="1485" spans="1:8" x14ac:dyDescent="0.3">
      <c r="A1485" t="s">
        <v>53</v>
      </c>
      <c r="B1485" t="s">
        <v>8</v>
      </c>
      <c r="C1485" t="s">
        <v>21</v>
      </c>
      <c r="D1485">
        <v>0</v>
      </c>
      <c r="E1485" t="s">
        <v>42</v>
      </c>
      <c r="F1485" t="s">
        <v>39</v>
      </c>
      <c r="G1485" t="s">
        <v>40</v>
      </c>
      <c r="H1485">
        <f t="shared" si="23"/>
        <v>0</v>
      </c>
    </row>
    <row r="1486" spans="1:8" x14ac:dyDescent="0.3">
      <c r="A1486" t="s">
        <v>53</v>
      </c>
      <c r="B1486" t="s">
        <v>8</v>
      </c>
      <c r="C1486" t="s">
        <v>22</v>
      </c>
      <c r="D1486">
        <v>5</v>
      </c>
      <c r="E1486" t="s">
        <v>42</v>
      </c>
      <c r="F1486" t="s">
        <v>39</v>
      </c>
      <c r="G1486" t="s">
        <v>40</v>
      </c>
      <c r="H1486">
        <f t="shared" si="23"/>
        <v>5</v>
      </c>
    </row>
    <row r="1487" spans="1:8" x14ac:dyDescent="0.3">
      <c r="A1487" t="s">
        <v>53</v>
      </c>
      <c r="B1487" t="s">
        <v>23</v>
      </c>
      <c r="C1487" t="s">
        <v>9</v>
      </c>
      <c r="D1487">
        <v>27</v>
      </c>
      <c r="E1487" t="s">
        <v>42</v>
      </c>
      <c r="F1487" t="s">
        <v>39</v>
      </c>
      <c r="G1487" t="s">
        <v>40</v>
      </c>
      <c r="H1487">
        <f t="shared" si="23"/>
        <v>27</v>
      </c>
    </row>
    <row r="1488" spans="1:8" x14ac:dyDescent="0.3">
      <c r="A1488" t="s">
        <v>53</v>
      </c>
      <c r="B1488" t="s">
        <v>23</v>
      </c>
      <c r="C1488" t="s">
        <v>13</v>
      </c>
      <c r="D1488">
        <v>30</v>
      </c>
      <c r="E1488" t="s">
        <v>42</v>
      </c>
      <c r="F1488" t="s">
        <v>39</v>
      </c>
      <c r="G1488" t="s">
        <v>40</v>
      </c>
      <c r="H1488">
        <f t="shared" si="23"/>
        <v>30</v>
      </c>
    </row>
    <row r="1489" spans="1:8" x14ac:dyDescent="0.3">
      <c r="A1489" t="s">
        <v>53</v>
      </c>
      <c r="B1489" t="s">
        <v>23</v>
      </c>
      <c r="C1489" t="s">
        <v>14</v>
      </c>
      <c r="D1489">
        <v>72</v>
      </c>
      <c r="E1489" t="s">
        <v>42</v>
      </c>
      <c r="F1489" t="s">
        <v>39</v>
      </c>
      <c r="G1489" t="s">
        <v>40</v>
      </c>
      <c r="H1489">
        <f t="shared" si="23"/>
        <v>72</v>
      </c>
    </row>
    <row r="1490" spans="1:8" x14ac:dyDescent="0.3">
      <c r="A1490" t="s">
        <v>53</v>
      </c>
      <c r="B1490" t="s">
        <v>23</v>
      </c>
      <c r="C1490" t="s">
        <v>15</v>
      </c>
      <c r="D1490">
        <v>6</v>
      </c>
      <c r="E1490" t="s">
        <v>42</v>
      </c>
      <c r="F1490" t="s">
        <v>39</v>
      </c>
      <c r="G1490" t="s">
        <v>40</v>
      </c>
      <c r="H1490">
        <f t="shared" si="23"/>
        <v>6</v>
      </c>
    </row>
    <row r="1491" spans="1:8" x14ac:dyDescent="0.3">
      <c r="A1491" t="s">
        <v>53</v>
      </c>
      <c r="B1491" t="s">
        <v>23</v>
      </c>
      <c r="C1491" t="s">
        <v>16</v>
      </c>
      <c r="D1491">
        <v>40335</v>
      </c>
      <c r="E1491" t="s">
        <v>42</v>
      </c>
      <c r="F1491" t="s">
        <v>39</v>
      </c>
      <c r="G1491" t="s">
        <v>40</v>
      </c>
      <c r="H1491">
        <f t="shared" si="23"/>
        <v>40300</v>
      </c>
    </row>
    <row r="1492" spans="1:8" x14ac:dyDescent="0.3">
      <c r="A1492" t="s">
        <v>53</v>
      </c>
      <c r="B1492" t="s">
        <v>23</v>
      </c>
      <c r="C1492" t="s">
        <v>17</v>
      </c>
      <c r="D1492">
        <v>7</v>
      </c>
      <c r="E1492" t="s">
        <v>42</v>
      </c>
      <c r="F1492" t="s">
        <v>39</v>
      </c>
      <c r="G1492" t="s">
        <v>40</v>
      </c>
      <c r="H1492">
        <f t="shared" si="23"/>
        <v>7</v>
      </c>
    </row>
    <row r="1493" spans="1:8" x14ac:dyDescent="0.3">
      <c r="A1493" t="s">
        <v>53</v>
      </c>
      <c r="B1493" t="s">
        <v>23</v>
      </c>
      <c r="C1493" t="s">
        <v>18</v>
      </c>
      <c r="D1493">
        <v>0</v>
      </c>
      <c r="E1493" t="s">
        <v>42</v>
      </c>
      <c r="F1493" t="s">
        <v>39</v>
      </c>
      <c r="G1493" t="s">
        <v>40</v>
      </c>
      <c r="H1493">
        <f t="shared" si="23"/>
        <v>0</v>
      </c>
    </row>
    <row r="1494" spans="1:8" x14ac:dyDescent="0.3">
      <c r="A1494" t="s">
        <v>53</v>
      </c>
      <c r="B1494" t="s">
        <v>23</v>
      </c>
      <c r="C1494" t="s">
        <v>19</v>
      </c>
      <c r="D1494">
        <v>4</v>
      </c>
      <c r="E1494" t="s">
        <v>42</v>
      </c>
      <c r="F1494" t="s">
        <v>39</v>
      </c>
      <c r="G1494" t="s">
        <v>40</v>
      </c>
      <c r="H1494">
        <f t="shared" si="23"/>
        <v>4</v>
      </c>
    </row>
    <row r="1495" spans="1:8" x14ac:dyDescent="0.3">
      <c r="A1495" t="s">
        <v>53</v>
      </c>
      <c r="B1495" t="s">
        <v>23</v>
      </c>
      <c r="C1495" t="s">
        <v>20</v>
      </c>
      <c r="D1495">
        <v>190</v>
      </c>
      <c r="E1495" t="s">
        <v>42</v>
      </c>
      <c r="F1495" t="s">
        <v>39</v>
      </c>
      <c r="G1495" t="s">
        <v>40</v>
      </c>
      <c r="H1495">
        <f t="shared" si="23"/>
        <v>190</v>
      </c>
    </row>
    <row r="1496" spans="1:8" x14ac:dyDescent="0.3">
      <c r="A1496" t="s">
        <v>53</v>
      </c>
      <c r="B1496" t="s">
        <v>23</v>
      </c>
      <c r="C1496" t="s">
        <v>21</v>
      </c>
      <c r="D1496">
        <v>2</v>
      </c>
      <c r="E1496" t="s">
        <v>42</v>
      </c>
      <c r="F1496" t="s">
        <v>39</v>
      </c>
      <c r="G1496" t="s">
        <v>40</v>
      </c>
      <c r="H1496">
        <f t="shared" si="23"/>
        <v>2</v>
      </c>
    </row>
    <row r="1497" spans="1:8" x14ac:dyDescent="0.3">
      <c r="A1497" t="s">
        <v>53</v>
      </c>
      <c r="B1497" t="s">
        <v>23</v>
      </c>
      <c r="C1497" t="s">
        <v>22</v>
      </c>
      <c r="D1497">
        <v>58</v>
      </c>
      <c r="E1497" t="s">
        <v>42</v>
      </c>
      <c r="F1497" t="s">
        <v>39</v>
      </c>
      <c r="G1497" t="s">
        <v>40</v>
      </c>
      <c r="H1497">
        <f t="shared" si="23"/>
        <v>58</v>
      </c>
    </row>
    <row r="1498" spans="1:8" x14ac:dyDescent="0.3">
      <c r="A1498" t="s">
        <v>33</v>
      </c>
      <c r="B1498" t="s">
        <v>8</v>
      </c>
      <c r="C1498" t="s">
        <v>9</v>
      </c>
      <c r="D1498">
        <v>34</v>
      </c>
      <c r="E1498" t="s">
        <v>42</v>
      </c>
      <c r="F1498" t="s">
        <v>39</v>
      </c>
      <c r="G1498" t="s">
        <v>40</v>
      </c>
      <c r="H1498">
        <f t="shared" si="23"/>
        <v>34</v>
      </c>
    </row>
    <row r="1499" spans="1:8" x14ac:dyDescent="0.3">
      <c r="A1499" t="s">
        <v>33</v>
      </c>
      <c r="B1499" t="s">
        <v>8</v>
      </c>
      <c r="C1499" t="s">
        <v>13</v>
      </c>
      <c r="D1499">
        <v>5</v>
      </c>
      <c r="E1499" t="s">
        <v>42</v>
      </c>
      <c r="F1499" t="s">
        <v>39</v>
      </c>
      <c r="G1499" t="s">
        <v>40</v>
      </c>
      <c r="H1499">
        <f t="shared" si="23"/>
        <v>5</v>
      </c>
    </row>
    <row r="1500" spans="1:8" x14ac:dyDescent="0.3">
      <c r="A1500" t="s">
        <v>33</v>
      </c>
      <c r="B1500" t="s">
        <v>8</v>
      </c>
      <c r="C1500" t="s">
        <v>14</v>
      </c>
      <c r="D1500">
        <v>1</v>
      </c>
      <c r="E1500" t="s">
        <v>42</v>
      </c>
      <c r="F1500" t="s">
        <v>39</v>
      </c>
      <c r="G1500" t="s">
        <v>40</v>
      </c>
      <c r="H1500">
        <f t="shared" si="23"/>
        <v>1</v>
      </c>
    </row>
    <row r="1501" spans="1:8" x14ac:dyDescent="0.3">
      <c r="A1501" t="s">
        <v>33</v>
      </c>
      <c r="B1501" t="s">
        <v>8</v>
      </c>
      <c r="C1501" t="s">
        <v>15</v>
      </c>
      <c r="D1501">
        <v>4</v>
      </c>
      <c r="E1501" t="s">
        <v>42</v>
      </c>
      <c r="F1501" t="s">
        <v>39</v>
      </c>
      <c r="G1501" t="s">
        <v>40</v>
      </c>
      <c r="H1501">
        <f t="shared" si="23"/>
        <v>4</v>
      </c>
    </row>
    <row r="1502" spans="1:8" x14ac:dyDescent="0.3">
      <c r="A1502" t="s">
        <v>33</v>
      </c>
      <c r="B1502" t="s">
        <v>8</v>
      </c>
      <c r="C1502" t="s">
        <v>16</v>
      </c>
      <c r="D1502">
        <v>1198</v>
      </c>
      <c r="E1502" t="s">
        <v>42</v>
      </c>
      <c r="F1502" t="s">
        <v>39</v>
      </c>
      <c r="G1502" t="s">
        <v>40</v>
      </c>
      <c r="H1502">
        <f t="shared" si="23"/>
        <v>1200</v>
      </c>
    </row>
    <row r="1503" spans="1:8" x14ac:dyDescent="0.3">
      <c r="A1503" t="s">
        <v>33</v>
      </c>
      <c r="B1503" t="s">
        <v>8</v>
      </c>
      <c r="C1503" t="s">
        <v>17</v>
      </c>
      <c r="D1503">
        <v>11</v>
      </c>
      <c r="E1503" t="s">
        <v>42</v>
      </c>
      <c r="F1503" t="s">
        <v>39</v>
      </c>
      <c r="G1503" t="s">
        <v>40</v>
      </c>
      <c r="H1503">
        <f t="shared" si="23"/>
        <v>11</v>
      </c>
    </row>
    <row r="1504" spans="1:8" x14ac:dyDescent="0.3">
      <c r="A1504" t="s">
        <v>33</v>
      </c>
      <c r="B1504" t="s">
        <v>8</v>
      </c>
      <c r="C1504" t="s">
        <v>18</v>
      </c>
      <c r="D1504">
        <v>0</v>
      </c>
      <c r="E1504" t="s">
        <v>42</v>
      </c>
      <c r="F1504" t="s">
        <v>39</v>
      </c>
      <c r="G1504" t="s">
        <v>40</v>
      </c>
      <c r="H1504">
        <f t="shared" si="23"/>
        <v>0</v>
      </c>
    </row>
    <row r="1505" spans="1:8" x14ac:dyDescent="0.3">
      <c r="A1505" t="s">
        <v>33</v>
      </c>
      <c r="B1505" t="s">
        <v>8</v>
      </c>
      <c r="C1505" t="s">
        <v>19</v>
      </c>
      <c r="D1505">
        <v>0</v>
      </c>
      <c r="E1505" t="s">
        <v>42</v>
      </c>
      <c r="F1505" t="s">
        <v>39</v>
      </c>
      <c r="G1505" t="s">
        <v>40</v>
      </c>
      <c r="H1505">
        <f t="shared" si="23"/>
        <v>0</v>
      </c>
    </row>
    <row r="1506" spans="1:8" x14ac:dyDescent="0.3">
      <c r="A1506" t="s">
        <v>33</v>
      </c>
      <c r="B1506" t="s">
        <v>8</v>
      </c>
      <c r="C1506" t="s">
        <v>20</v>
      </c>
      <c r="D1506">
        <v>0</v>
      </c>
      <c r="E1506" t="s">
        <v>42</v>
      </c>
      <c r="F1506" t="s">
        <v>39</v>
      </c>
      <c r="G1506" t="s">
        <v>40</v>
      </c>
      <c r="H1506">
        <f t="shared" si="23"/>
        <v>0</v>
      </c>
    </row>
    <row r="1507" spans="1:8" x14ac:dyDescent="0.3">
      <c r="A1507" t="s">
        <v>33</v>
      </c>
      <c r="B1507" t="s">
        <v>8</v>
      </c>
      <c r="C1507" t="s">
        <v>21</v>
      </c>
      <c r="D1507">
        <v>0</v>
      </c>
      <c r="E1507" t="s">
        <v>42</v>
      </c>
      <c r="F1507" t="s">
        <v>39</v>
      </c>
      <c r="G1507" t="s">
        <v>40</v>
      </c>
      <c r="H1507">
        <f t="shared" si="23"/>
        <v>0</v>
      </c>
    </row>
    <row r="1508" spans="1:8" x14ac:dyDescent="0.3">
      <c r="A1508" t="s">
        <v>33</v>
      </c>
      <c r="B1508" t="s">
        <v>8</v>
      </c>
      <c r="C1508" t="s">
        <v>22</v>
      </c>
      <c r="D1508">
        <v>104</v>
      </c>
      <c r="E1508" t="s">
        <v>42</v>
      </c>
      <c r="F1508" t="s">
        <v>39</v>
      </c>
      <c r="G1508" t="s">
        <v>40</v>
      </c>
      <c r="H1508">
        <f t="shared" si="23"/>
        <v>104</v>
      </c>
    </row>
    <row r="1509" spans="1:8" x14ac:dyDescent="0.3">
      <c r="A1509" t="s">
        <v>33</v>
      </c>
      <c r="B1509" t="s">
        <v>23</v>
      </c>
      <c r="C1509" t="s">
        <v>9</v>
      </c>
      <c r="D1509">
        <v>6286</v>
      </c>
      <c r="E1509" t="s">
        <v>42</v>
      </c>
      <c r="F1509" t="s">
        <v>39</v>
      </c>
      <c r="G1509" t="s">
        <v>40</v>
      </c>
      <c r="H1509">
        <f t="shared" si="23"/>
        <v>6290</v>
      </c>
    </row>
    <row r="1510" spans="1:8" x14ac:dyDescent="0.3">
      <c r="A1510" t="s">
        <v>33</v>
      </c>
      <c r="B1510" t="s">
        <v>23</v>
      </c>
      <c r="C1510" t="s">
        <v>13</v>
      </c>
      <c r="D1510">
        <v>200</v>
      </c>
      <c r="E1510" t="s">
        <v>42</v>
      </c>
      <c r="F1510" t="s">
        <v>39</v>
      </c>
      <c r="G1510" t="s">
        <v>40</v>
      </c>
      <c r="H1510">
        <f t="shared" si="23"/>
        <v>200</v>
      </c>
    </row>
    <row r="1511" spans="1:8" x14ac:dyDescent="0.3">
      <c r="A1511" t="s">
        <v>33</v>
      </c>
      <c r="B1511" t="s">
        <v>23</v>
      </c>
      <c r="C1511" t="s">
        <v>14</v>
      </c>
      <c r="D1511">
        <v>657</v>
      </c>
      <c r="E1511" t="s">
        <v>42</v>
      </c>
      <c r="F1511" t="s">
        <v>39</v>
      </c>
      <c r="G1511" t="s">
        <v>40</v>
      </c>
      <c r="H1511">
        <f t="shared" si="23"/>
        <v>657</v>
      </c>
    </row>
    <row r="1512" spans="1:8" x14ac:dyDescent="0.3">
      <c r="A1512" t="s">
        <v>33</v>
      </c>
      <c r="B1512" t="s">
        <v>23</v>
      </c>
      <c r="C1512" t="s">
        <v>15</v>
      </c>
      <c r="D1512">
        <v>26</v>
      </c>
      <c r="E1512" t="s">
        <v>42</v>
      </c>
      <c r="F1512" t="s">
        <v>39</v>
      </c>
      <c r="G1512" t="s">
        <v>40</v>
      </c>
      <c r="H1512">
        <f t="shared" si="23"/>
        <v>26</v>
      </c>
    </row>
    <row r="1513" spans="1:8" x14ac:dyDescent="0.3">
      <c r="A1513" t="s">
        <v>33</v>
      </c>
      <c r="B1513" t="s">
        <v>23</v>
      </c>
      <c r="C1513" t="s">
        <v>16</v>
      </c>
      <c r="D1513">
        <v>114748</v>
      </c>
      <c r="E1513" t="s">
        <v>42</v>
      </c>
      <c r="F1513" t="s">
        <v>39</v>
      </c>
      <c r="G1513" t="s">
        <v>40</v>
      </c>
      <c r="H1513">
        <f t="shared" si="23"/>
        <v>115000</v>
      </c>
    </row>
    <row r="1514" spans="1:8" x14ac:dyDescent="0.3">
      <c r="A1514" t="s">
        <v>33</v>
      </c>
      <c r="B1514" t="s">
        <v>23</v>
      </c>
      <c r="C1514" t="s">
        <v>17</v>
      </c>
      <c r="D1514">
        <v>165</v>
      </c>
      <c r="E1514" t="s">
        <v>42</v>
      </c>
      <c r="F1514" t="s">
        <v>39</v>
      </c>
      <c r="G1514" t="s">
        <v>40</v>
      </c>
      <c r="H1514">
        <f t="shared" si="23"/>
        <v>165</v>
      </c>
    </row>
    <row r="1515" spans="1:8" x14ac:dyDescent="0.3">
      <c r="A1515" t="s">
        <v>33</v>
      </c>
      <c r="B1515" t="s">
        <v>23</v>
      </c>
      <c r="C1515" t="s">
        <v>18</v>
      </c>
      <c r="D1515">
        <v>0</v>
      </c>
      <c r="E1515" t="s">
        <v>42</v>
      </c>
      <c r="F1515" t="s">
        <v>39</v>
      </c>
      <c r="G1515" t="s">
        <v>40</v>
      </c>
      <c r="H1515">
        <f t="shared" si="23"/>
        <v>0</v>
      </c>
    </row>
    <row r="1516" spans="1:8" x14ac:dyDescent="0.3">
      <c r="A1516" t="s">
        <v>33</v>
      </c>
      <c r="B1516" t="s">
        <v>23</v>
      </c>
      <c r="C1516" t="s">
        <v>19</v>
      </c>
      <c r="D1516">
        <v>24</v>
      </c>
      <c r="E1516" t="s">
        <v>42</v>
      </c>
      <c r="F1516" t="s">
        <v>39</v>
      </c>
      <c r="G1516" t="s">
        <v>40</v>
      </c>
      <c r="H1516">
        <f t="shared" si="23"/>
        <v>24</v>
      </c>
    </row>
    <row r="1517" spans="1:8" x14ac:dyDescent="0.3">
      <c r="A1517" t="s">
        <v>33</v>
      </c>
      <c r="B1517" t="s">
        <v>23</v>
      </c>
      <c r="C1517" t="s">
        <v>20</v>
      </c>
      <c r="D1517">
        <v>633</v>
      </c>
      <c r="E1517" t="s">
        <v>42</v>
      </c>
      <c r="F1517" t="s">
        <v>39</v>
      </c>
      <c r="G1517" t="s">
        <v>40</v>
      </c>
      <c r="H1517">
        <f t="shared" si="23"/>
        <v>633</v>
      </c>
    </row>
    <row r="1518" spans="1:8" x14ac:dyDescent="0.3">
      <c r="A1518" t="s">
        <v>33</v>
      </c>
      <c r="B1518" t="s">
        <v>23</v>
      </c>
      <c r="C1518" t="s">
        <v>21</v>
      </c>
      <c r="D1518">
        <v>22</v>
      </c>
      <c r="E1518" t="s">
        <v>42</v>
      </c>
      <c r="F1518" t="s">
        <v>39</v>
      </c>
      <c r="G1518" t="s">
        <v>40</v>
      </c>
      <c r="H1518">
        <f t="shared" si="23"/>
        <v>22</v>
      </c>
    </row>
    <row r="1519" spans="1:8" x14ac:dyDescent="0.3">
      <c r="A1519" t="s">
        <v>33</v>
      </c>
      <c r="B1519" t="s">
        <v>23</v>
      </c>
      <c r="C1519" t="s">
        <v>22</v>
      </c>
      <c r="D1519">
        <v>262</v>
      </c>
      <c r="E1519" t="s">
        <v>42</v>
      </c>
      <c r="F1519" t="s">
        <v>39</v>
      </c>
      <c r="G1519" t="s">
        <v>40</v>
      </c>
      <c r="H1519">
        <f t="shared" si="23"/>
        <v>262</v>
      </c>
    </row>
    <row r="1520" spans="1:8" x14ac:dyDescent="0.3">
      <c r="A1520" t="s">
        <v>54</v>
      </c>
      <c r="B1520" t="s">
        <v>8</v>
      </c>
      <c r="C1520" t="s">
        <v>9</v>
      </c>
      <c r="D1520">
        <v>126</v>
      </c>
      <c r="E1520" t="s">
        <v>42</v>
      </c>
      <c r="F1520" t="s">
        <v>39</v>
      </c>
      <c r="G1520" t="s">
        <v>40</v>
      </c>
      <c r="H1520">
        <f t="shared" si="23"/>
        <v>126</v>
      </c>
    </row>
    <row r="1521" spans="1:8" x14ac:dyDescent="0.3">
      <c r="A1521" t="s">
        <v>54</v>
      </c>
      <c r="B1521" t="s">
        <v>8</v>
      </c>
      <c r="C1521" t="s">
        <v>13</v>
      </c>
      <c r="D1521">
        <v>17</v>
      </c>
      <c r="E1521" t="s">
        <v>42</v>
      </c>
      <c r="F1521" t="s">
        <v>39</v>
      </c>
      <c r="G1521" t="s">
        <v>40</v>
      </c>
      <c r="H1521">
        <f t="shared" si="23"/>
        <v>17</v>
      </c>
    </row>
    <row r="1522" spans="1:8" x14ac:dyDescent="0.3">
      <c r="A1522" t="s">
        <v>54</v>
      </c>
      <c r="B1522" t="s">
        <v>8</v>
      </c>
      <c r="C1522" t="s">
        <v>14</v>
      </c>
      <c r="D1522">
        <v>0</v>
      </c>
      <c r="E1522" t="s">
        <v>42</v>
      </c>
      <c r="F1522" t="s">
        <v>39</v>
      </c>
      <c r="G1522" t="s">
        <v>40</v>
      </c>
      <c r="H1522">
        <f t="shared" si="23"/>
        <v>0</v>
      </c>
    </row>
    <row r="1523" spans="1:8" x14ac:dyDescent="0.3">
      <c r="A1523" t="s">
        <v>54</v>
      </c>
      <c r="B1523" t="s">
        <v>8</v>
      </c>
      <c r="C1523" t="s">
        <v>15</v>
      </c>
      <c r="D1523">
        <v>12</v>
      </c>
      <c r="E1523" t="s">
        <v>42</v>
      </c>
      <c r="F1523" t="s">
        <v>39</v>
      </c>
      <c r="G1523" t="s">
        <v>40</v>
      </c>
      <c r="H1523">
        <f t="shared" si="23"/>
        <v>12</v>
      </c>
    </row>
    <row r="1524" spans="1:8" x14ac:dyDescent="0.3">
      <c r="A1524" t="s">
        <v>54</v>
      </c>
      <c r="B1524" t="s">
        <v>8</v>
      </c>
      <c r="C1524" t="s">
        <v>16</v>
      </c>
      <c r="D1524">
        <v>9</v>
      </c>
      <c r="E1524" t="s">
        <v>42</v>
      </c>
      <c r="F1524" t="s">
        <v>39</v>
      </c>
      <c r="G1524" t="s">
        <v>40</v>
      </c>
      <c r="H1524">
        <f t="shared" si="23"/>
        <v>9</v>
      </c>
    </row>
    <row r="1525" spans="1:8" x14ac:dyDescent="0.3">
      <c r="A1525" t="s">
        <v>54</v>
      </c>
      <c r="B1525" t="s">
        <v>8</v>
      </c>
      <c r="C1525" t="s">
        <v>17</v>
      </c>
      <c r="D1525">
        <v>30</v>
      </c>
      <c r="E1525" t="s">
        <v>42</v>
      </c>
      <c r="F1525" t="s">
        <v>39</v>
      </c>
      <c r="G1525" t="s">
        <v>40</v>
      </c>
      <c r="H1525">
        <f t="shared" si="23"/>
        <v>30</v>
      </c>
    </row>
    <row r="1526" spans="1:8" x14ac:dyDescent="0.3">
      <c r="A1526" t="s">
        <v>54</v>
      </c>
      <c r="B1526" t="s">
        <v>8</v>
      </c>
      <c r="C1526" t="s">
        <v>18</v>
      </c>
      <c r="D1526">
        <v>0</v>
      </c>
      <c r="E1526" t="s">
        <v>42</v>
      </c>
      <c r="F1526" t="s">
        <v>39</v>
      </c>
      <c r="G1526" t="s">
        <v>40</v>
      </c>
      <c r="H1526">
        <f t="shared" si="23"/>
        <v>0</v>
      </c>
    </row>
    <row r="1527" spans="1:8" x14ac:dyDescent="0.3">
      <c r="A1527" t="s">
        <v>54</v>
      </c>
      <c r="B1527" t="s">
        <v>8</v>
      </c>
      <c r="C1527" t="s">
        <v>19</v>
      </c>
      <c r="D1527">
        <v>0</v>
      </c>
      <c r="E1527" t="s">
        <v>42</v>
      </c>
      <c r="F1527" t="s">
        <v>39</v>
      </c>
      <c r="G1527" t="s">
        <v>40</v>
      </c>
      <c r="H1527">
        <f t="shared" si="23"/>
        <v>0</v>
      </c>
    </row>
    <row r="1528" spans="1:8" x14ac:dyDescent="0.3">
      <c r="A1528" t="s">
        <v>54</v>
      </c>
      <c r="B1528" t="s">
        <v>8</v>
      </c>
      <c r="C1528" t="s">
        <v>20</v>
      </c>
      <c r="D1528">
        <v>0</v>
      </c>
      <c r="E1528" t="s">
        <v>42</v>
      </c>
      <c r="F1528" t="s">
        <v>39</v>
      </c>
      <c r="G1528" t="s">
        <v>40</v>
      </c>
      <c r="H1528">
        <f t="shared" si="23"/>
        <v>0</v>
      </c>
    </row>
    <row r="1529" spans="1:8" x14ac:dyDescent="0.3">
      <c r="A1529" t="s">
        <v>54</v>
      </c>
      <c r="B1529" t="s">
        <v>8</v>
      </c>
      <c r="C1529" t="s">
        <v>21</v>
      </c>
      <c r="D1529">
        <v>0</v>
      </c>
      <c r="E1529" t="s">
        <v>42</v>
      </c>
      <c r="F1529" t="s">
        <v>39</v>
      </c>
      <c r="G1529" t="s">
        <v>40</v>
      </c>
      <c r="H1529">
        <f t="shared" si="23"/>
        <v>0</v>
      </c>
    </row>
    <row r="1530" spans="1:8" x14ac:dyDescent="0.3">
      <c r="A1530" t="s">
        <v>54</v>
      </c>
      <c r="B1530" t="s">
        <v>8</v>
      </c>
      <c r="C1530" t="s">
        <v>22</v>
      </c>
      <c r="D1530">
        <v>346</v>
      </c>
      <c r="E1530" t="s">
        <v>42</v>
      </c>
      <c r="F1530" t="s">
        <v>39</v>
      </c>
      <c r="G1530" t="s">
        <v>40</v>
      </c>
      <c r="H1530">
        <f t="shared" si="23"/>
        <v>346</v>
      </c>
    </row>
    <row r="1531" spans="1:8" x14ac:dyDescent="0.3">
      <c r="A1531" t="s">
        <v>54</v>
      </c>
      <c r="B1531" t="s">
        <v>23</v>
      </c>
      <c r="C1531" t="s">
        <v>9</v>
      </c>
      <c r="D1531">
        <v>24080</v>
      </c>
      <c r="E1531" t="s">
        <v>42</v>
      </c>
      <c r="F1531" t="s">
        <v>39</v>
      </c>
      <c r="G1531" t="s">
        <v>40</v>
      </c>
      <c r="H1531">
        <f t="shared" si="23"/>
        <v>24100</v>
      </c>
    </row>
    <row r="1532" spans="1:8" x14ac:dyDescent="0.3">
      <c r="A1532" t="s">
        <v>54</v>
      </c>
      <c r="B1532" t="s">
        <v>23</v>
      </c>
      <c r="C1532" t="s">
        <v>13</v>
      </c>
      <c r="D1532">
        <v>444</v>
      </c>
      <c r="E1532" t="s">
        <v>42</v>
      </c>
      <c r="F1532" t="s">
        <v>39</v>
      </c>
      <c r="G1532" t="s">
        <v>40</v>
      </c>
      <c r="H1532">
        <f t="shared" si="23"/>
        <v>444</v>
      </c>
    </row>
    <row r="1533" spans="1:8" x14ac:dyDescent="0.3">
      <c r="A1533" t="s">
        <v>54</v>
      </c>
      <c r="B1533" t="s">
        <v>23</v>
      </c>
      <c r="C1533" t="s">
        <v>14</v>
      </c>
      <c r="D1533">
        <v>1760</v>
      </c>
      <c r="E1533" t="s">
        <v>42</v>
      </c>
      <c r="F1533" t="s">
        <v>39</v>
      </c>
      <c r="G1533" t="s">
        <v>40</v>
      </c>
      <c r="H1533">
        <f t="shared" si="23"/>
        <v>1760</v>
      </c>
    </row>
    <row r="1534" spans="1:8" x14ac:dyDescent="0.3">
      <c r="A1534" t="s">
        <v>54</v>
      </c>
      <c r="B1534" t="s">
        <v>23</v>
      </c>
      <c r="C1534" t="s">
        <v>15</v>
      </c>
      <c r="D1534">
        <v>39</v>
      </c>
      <c r="E1534" t="s">
        <v>42</v>
      </c>
      <c r="F1534" t="s">
        <v>39</v>
      </c>
      <c r="G1534" t="s">
        <v>40</v>
      </c>
      <c r="H1534">
        <f t="shared" si="23"/>
        <v>39</v>
      </c>
    </row>
    <row r="1535" spans="1:8" x14ac:dyDescent="0.3">
      <c r="A1535" t="s">
        <v>54</v>
      </c>
      <c r="B1535" t="s">
        <v>23</v>
      </c>
      <c r="C1535" t="s">
        <v>16</v>
      </c>
      <c r="D1535">
        <v>4129</v>
      </c>
      <c r="E1535" t="s">
        <v>42</v>
      </c>
      <c r="F1535" t="s">
        <v>39</v>
      </c>
      <c r="G1535" t="s">
        <v>40</v>
      </c>
      <c r="H1535">
        <f t="shared" si="23"/>
        <v>4130</v>
      </c>
    </row>
    <row r="1536" spans="1:8" x14ac:dyDescent="0.3">
      <c r="A1536" t="s">
        <v>54</v>
      </c>
      <c r="B1536" t="s">
        <v>23</v>
      </c>
      <c r="C1536" t="s">
        <v>17</v>
      </c>
      <c r="D1536">
        <v>567</v>
      </c>
      <c r="E1536" t="s">
        <v>42</v>
      </c>
      <c r="F1536" t="s">
        <v>39</v>
      </c>
      <c r="G1536" t="s">
        <v>40</v>
      </c>
      <c r="H1536">
        <f t="shared" si="23"/>
        <v>567</v>
      </c>
    </row>
    <row r="1537" spans="1:8" x14ac:dyDescent="0.3">
      <c r="A1537" t="s">
        <v>54</v>
      </c>
      <c r="B1537" t="s">
        <v>23</v>
      </c>
      <c r="C1537" t="s">
        <v>18</v>
      </c>
      <c r="D1537">
        <v>0</v>
      </c>
      <c r="E1537" t="s">
        <v>42</v>
      </c>
      <c r="F1537" t="s">
        <v>39</v>
      </c>
      <c r="G1537" t="s">
        <v>40</v>
      </c>
      <c r="H1537">
        <f t="shared" si="23"/>
        <v>0</v>
      </c>
    </row>
    <row r="1538" spans="1:8" x14ac:dyDescent="0.3">
      <c r="A1538" t="s">
        <v>54</v>
      </c>
      <c r="B1538" t="s">
        <v>23</v>
      </c>
      <c r="C1538" t="s">
        <v>19</v>
      </c>
      <c r="D1538">
        <v>52</v>
      </c>
      <c r="E1538" t="s">
        <v>42</v>
      </c>
      <c r="F1538" t="s">
        <v>39</v>
      </c>
      <c r="G1538" t="s">
        <v>40</v>
      </c>
      <c r="H1538">
        <f t="shared" si="23"/>
        <v>52</v>
      </c>
    </row>
    <row r="1539" spans="1:8" x14ac:dyDescent="0.3">
      <c r="A1539" t="s">
        <v>54</v>
      </c>
      <c r="B1539" t="s">
        <v>23</v>
      </c>
      <c r="C1539" t="s">
        <v>20</v>
      </c>
      <c r="D1539">
        <v>378</v>
      </c>
      <c r="E1539" t="s">
        <v>42</v>
      </c>
      <c r="F1539" t="s">
        <v>39</v>
      </c>
      <c r="G1539" t="s">
        <v>40</v>
      </c>
      <c r="H1539">
        <f t="shared" ref="H1539:H1585" si="24">ROUND(D1539, 3 - LEN(INT(ABS(D1539))))</f>
        <v>378</v>
      </c>
    </row>
    <row r="1540" spans="1:8" x14ac:dyDescent="0.3">
      <c r="A1540" t="s">
        <v>54</v>
      </c>
      <c r="B1540" t="s">
        <v>23</v>
      </c>
      <c r="C1540" t="s">
        <v>21</v>
      </c>
      <c r="D1540">
        <v>69</v>
      </c>
      <c r="E1540" t="s">
        <v>42</v>
      </c>
      <c r="F1540" t="s">
        <v>39</v>
      </c>
      <c r="G1540" t="s">
        <v>40</v>
      </c>
      <c r="H1540">
        <f t="shared" si="24"/>
        <v>69</v>
      </c>
    </row>
    <row r="1541" spans="1:8" x14ac:dyDescent="0.3">
      <c r="A1541" t="s">
        <v>54</v>
      </c>
      <c r="B1541" t="s">
        <v>23</v>
      </c>
      <c r="C1541" t="s">
        <v>22</v>
      </c>
      <c r="D1541">
        <v>384</v>
      </c>
      <c r="E1541" t="s">
        <v>42</v>
      </c>
      <c r="F1541" t="s">
        <v>39</v>
      </c>
      <c r="G1541" t="s">
        <v>40</v>
      </c>
      <c r="H1541">
        <f t="shared" si="24"/>
        <v>384</v>
      </c>
    </row>
    <row r="1542" spans="1:8" x14ac:dyDescent="0.3">
      <c r="A1542" t="s">
        <v>55</v>
      </c>
      <c r="B1542" t="s">
        <v>8</v>
      </c>
      <c r="C1542" t="s">
        <v>9</v>
      </c>
      <c r="D1542">
        <v>184</v>
      </c>
      <c r="E1542" t="s">
        <v>42</v>
      </c>
      <c r="F1542" t="s">
        <v>39</v>
      </c>
      <c r="G1542" t="s">
        <v>40</v>
      </c>
      <c r="H1542">
        <f t="shared" si="24"/>
        <v>184</v>
      </c>
    </row>
    <row r="1543" spans="1:8" x14ac:dyDescent="0.3">
      <c r="A1543" t="s">
        <v>55</v>
      </c>
      <c r="B1543" t="s">
        <v>8</v>
      </c>
      <c r="C1543" t="s">
        <v>13</v>
      </c>
      <c r="D1543">
        <v>25</v>
      </c>
      <c r="E1543" t="s">
        <v>42</v>
      </c>
      <c r="F1543" t="s">
        <v>39</v>
      </c>
      <c r="G1543" t="s">
        <v>40</v>
      </c>
      <c r="H1543">
        <f t="shared" si="24"/>
        <v>25</v>
      </c>
    </row>
    <row r="1544" spans="1:8" x14ac:dyDescent="0.3">
      <c r="A1544" t="s">
        <v>55</v>
      </c>
      <c r="B1544" t="s">
        <v>8</v>
      </c>
      <c r="C1544" t="s">
        <v>14</v>
      </c>
      <c r="D1544">
        <v>1</v>
      </c>
      <c r="E1544" t="s">
        <v>42</v>
      </c>
      <c r="F1544" t="s">
        <v>39</v>
      </c>
      <c r="G1544" t="s">
        <v>40</v>
      </c>
      <c r="H1544">
        <f t="shared" si="24"/>
        <v>1</v>
      </c>
    </row>
    <row r="1545" spans="1:8" x14ac:dyDescent="0.3">
      <c r="A1545" t="s">
        <v>55</v>
      </c>
      <c r="B1545" t="s">
        <v>8</v>
      </c>
      <c r="C1545" t="s">
        <v>15</v>
      </c>
      <c r="D1545">
        <v>17</v>
      </c>
      <c r="E1545" t="s">
        <v>42</v>
      </c>
      <c r="F1545" t="s">
        <v>39</v>
      </c>
      <c r="G1545" t="s">
        <v>40</v>
      </c>
      <c r="H1545">
        <f t="shared" si="24"/>
        <v>17</v>
      </c>
    </row>
    <row r="1546" spans="1:8" x14ac:dyDescent="0.3">
      <c r="A1546" t="s">
        <v>55</v>
      </c>
      <c r="B1546" t="s">
        <v>8</v>
      </c>
      <c r="C1546" t="s">
        <v>16</v>
      </c>
      <c r="D1546">
        <v>13</v>
      </c>
      <c r="E1546" t="s">
        <v>42</v>
      </c>
      <c r="F1546" t="s">
        <v>39</v>
      </c>
      <c r="G1546" t="s">
        <v>40</v>
      </c>
      <c r="H1546">
        <f t="shared" si="24"/>
        <v>13</v>
      </c>
    </row>
    <row r="1547" spans="1:8" x14ac:dyDescent="0.3">
      <c r="A1547" t="s">
        <v>55</v>
      </c>
      <c r="B1547" t="s">
        <v>8</v>
      </c>
      <c r="C1547" t="s">
        <v>17</v>
      </c>
      <c r="D1547">
        <v>44</v>
      </c>
      <c r="E1547" t="s">
        <v>42</v>
      </c>
      <c r="F1547" t="s">
        <v>39</v>
      </c>
      <c r="G1547" t="s">
        <v>40</v>
      </c>
      <c r="H1547">
        <f t="shared" si="24"/>
        <v>44</v>
      </c>
    </row>
    <row r="1548" spans="1:8" x14ac:dyDescent="0.3">
      <c r="A1548" t="s">
        <v>55</v>
      </c>
      <c r="B1548" t="s">
        <v>8</v>
      </c>
      <c r="C1548" t="s">
        <v>18</v>
      </c>
      <c r="D1548">
        <v>0</v>
      </c>
      <c r="E1548" t="s">
        <v>42</v>
      </c>
      <c r="F1548" t="s">
        <v>39</v>
      </c>
      <c r="G1548" t="s">
        <v>40</v>
      </c>
      <c r="H1548">
        <f t="shared" si="24"/>
        <v>0</v>
      </c>
    </row>
    <row r="1549" spans="1:8" x14ac:dyDescent="0.3">
      <c r="A1549" t="s">
        <v>55</v>
      </c>
      <c r="B1549" t="s">
        <v>8</v>
      </c>
      <c r="C1549" t="s">
        <v>19</v>
      </c>
      <c r="D1549">
        <v>0</v>
      </c>
      <c r="E1549" t="s">
        <v>42</v>
      </c>
      <c r="F1549" t="s">
        <v>39</v>
      </c>
      <c r="G1549" t="s">
        <v>40</v>
      </c>
      <c r="H1549">
        <f t="shared" si="24"/>
        <v>0</v>
      </c>
    </row>
    <row r="1550" spans="1:8" x14ac:dyDescent="0.3">
      <c r="A1550" t="s">
        <v>55</v>
      </c>
      <c r="B1550" t="s">
        <v>8</v>
      </c>
      <c r="C1550" t="s">
        <v>20</v>
      </c>
      <c r="D1550">
        <v>0</v>
      </c>
      <c r="E1550" t="s">
        <v>42</v>
      </c>
      <c r="F1550" t="s">
        <v>39</v>
      </c>
      <c r="G1550" t="s">
        <v>40</v>
      </c>
      <c r="H1550">
        <f t="shared" si="24"/>
        <v>0</v>
      </c>
    </row>
    <row r="1551" spans="1:8" x14ac:dyDescent="0.3">
      <c r="A1551" t="s">
        <v>55</v>
      </c>
      <c r="B1551" t="s">
        <v>8</v>
      </c>
      <c r="C1551" t="s">
        <v>21</v>
      </c>
      <c r="D1551">
        <v>0</v>
      </c>
      <c r="E1551" t="s">
        <v>42</v>
      </c>
      <c r="F1551" t="s">
        <v>39</v>
      </c>
      <c r="G1551" t="s">
        <v>40</v>
      </c>
      <c r="H1551">
        <f t="shared" si="24"/>
        <v>0</v>
      </c>
    </row>
    <row r="1552" spans="1:8" x14ac:dyDescent="0.3">
      <c r="A1552" t="s">
        <v>55</v>
      </c>
      <c r="B1552" t="s">
        <v>8</v>
      </c>
      <c r="C1552" t="s">
        <v>22</v>
      </c>
      <c r="D1552">
        <v>505</v>
      </c>
      <c r="E1552" t="s">
        <v>42</v>
      </c>
      <c r="F1552" t="s">
        <v>39</v>
      </c>
      <c r="G1552" t="s">
        <v>40</v>
      </c>
      <c r="H1552">
        <f t="shared" si="24"/>
        <v>505</v>
      </c>
    </row>
    <row r="1553" spans="1:8" x14ac:dyDescent="0.3">
      <c r="A1553" t="s">
        <v>55</v>
      </c>
      <c r="B1553" t="s">
        <v>23</v>
      </c>
      <c r="C1553" t="s">
        <v>9</v>
      </c>
      <c r="D1553">
        <v>35169</v>
      </c>
      <c r="E1553" t="s">
        <v>42</v>
      </c>
      <c r="F1553" t="s">
        <v>39</v>
      </c>
      <c r="G1553" t="s">
        <v>40</v>
      </c>
      <c r="H1553">
        <f t="shared" si="24"/>
        <v>35200</v>
      </c>
    </row>
    <row r="1554" spans="1:8" x14ac:dyDescent="0.3">
      <c r="A1554" t="s">
        <v>55</v>
      </c>
      <c r="B1554" t="s">
        <v>23</v>
      </c>
      <c r="C1554" t="s">
        <v>13</v>
      </c>
      <c r="D1554">
        <v>648</v>
      </c>
      <c r="E1554" t="s">
        <v>42</v>
      </c>
      <c r="F1554" t="s">
        <v>39</v>
      </c>
      <c r="G1554" t="s">
        <v>40</v>
      </c>
      <c r="H1554">
        <f t="shared" si="24"/>
        <v>648</v>
      </c>
    </row>
    <row r="1555" spans="1:8" x14ac:dyDescent="0.3">
      <c r="A1555" t="s">
        <v>55</v>
      </c>
      <c r="B1555" t="s">
        <v>23</v>
      </c>
      <c r="C1555" t="s">
        <v>14</v>
      </c>
      <c r="D1555">
        <v>2570</v>
      </c>
      <c r="E1555" t="s">
        <v>42</v>
      </c>
      <c r="F1555" t="s">
        <v>39</v>
      </c>
      <c r="G1555" t="s">
        <v>40</v>
      </c>
      <c r="H1555">
        <f t="shared" si="24"/>
        <v>2570</v>
      </c>
    </row>
    <row r="1556" spans="1:8" x14ac:dyDescent="0.3">
      <c r="A1556" t="s">
        <v>55</v>
      </c>
      <c r="B1556" t="s">
        <v>23</v>
      </c>
      <c r="C1556" t="s">
        <v>15</v>
      </c>
      <c r="D1556">
        <v>56</v>
      </c>
      <c r="E1556" t="s">
        <v>42</v>
      </c>
      <c r="F1556" t="s">
        <v>39</v>
      </c>
      <c r="G1556" t="s">
        <v>40</v>
      </c>
      <c r="H1556">
        <f t="shared" si="24"/>
        <v>56</v>
      </c>
    </row>
    <row r="1557" spans="1:8" x14ac:dyDescent="0.3">
      <c r="A1557" t="s">
        <v>55</v>
      </c>
      <c r="B1557" t="s">
        <v>23</v>
      </c>
      <c r="C1557" t="s">
        <v>16</v>
      </c>
      <c r="D1557">
        <v>6030</v>
      </c>
      <c r="E1557" t="s">
        <v>42</v>
      </c>
      <c r="F1557" t="s">
        <v>39</v>
      </c>
      <c r="G1557" t="s">
        <v>40</v>
      </c>
      <c r="H1557">
        <f t="shared" si="24"/>
        <v>6030</v>
      </c>
    </row>
    <row r="1558" spans="1:8" x14ac:dyDescent="0.3">
      <c r="A1558" t="s">
        <v>55</v>
      </c>
      <c r="B1558" t="s">
        <v>23</v>
      </c>
      <c r="C1558" t="s">
        <v>17</v>
      </c>
      <c r="D1558">
        <v>828</v>
      </c>
      <c r="E1558" t="s">
        <v>42</v>
      </c>
      <c r="F1558" t="s">
        <v>39</v>
      </c>
      <c r="G1558" t="s">
        <v>40</v>
      </c>
      <c r="H1558">
        <f t="shared" si="24"/>
        <v>828</v>
      </c>
    </row>
    <row r="1559" spans="1:8" x14ac:dyDescent="0.3">
      <c r="A1559" t="s">
        <v>55</v>
      </c>
      <c r="B1559" t="s">
        <v>23</v>
      </c>
      <c r="C1559" t="s">
        <v>18</v>
      </c>
      <c r="D1559">
        <v>0</v>
      </c>
      <c r="E1559" t="s">
        <v>42</v>
      </c>
      <c r="F1559" t="s">
        <v>39</v>
      </c>
      <c r="G1559" t="s">
        <v>40</v>
      </c>
      <c r="H1559">
        <f t="shared" si="24"/>
        <v>0</v>
      </c>
    </row>
    <row r="1560" spans="1:8" x14ac:dyDescent="0.3">
      <c r="A1560" t="s">
        <v>55</v>
      </c>
      <c r="B1560" t="s">
        <v>23</v>
      </c>
      <c r="C1560" t="s">
        <v>19</v>
      </c>
      <c r="D1560">
        <v>76</v>
      </c>
      <c r="E1560" t="s">
        <v>42</v>
      </c>
      <c r="F1560" t="s">
        <v>39</v>
      </c>
      <c r="G1560" t="s">
        <v>40</v>
      </c>
      <c r="H1560">
        <f t="shared" si="24"/>
        <v>76</v>
      </c>
    </row>
    <row r="1561" spans="1:8" x14ac:dyDescent="0.3">
      <c r="A1561" t="s">
        <v>55</v>
      </c>
      <c r="B1561" t="s">
        <v>23</v>
      </c>
      <c r="C1561" t="s">
        <v>20</v>
      </c>
      <c r="D1561">
        <v>553</v>
      </c>
      <c r="E1561" t="s">
        <v>42</v>
      </c>
      <c r="F1561" t="s">
        <v>39</v>
      </c>
      <c r="G1561" t="s">
        <v>40</v>
      </c>
      <c r="H1561">
        <f t="shared" si="24"/>
        <v>553</v>
      </c>
    </row>
    <row r="1562" spans="1:8" x14ac:dyDescent="0.3">
      <c r="A1562" t="s">
        <v>55</v>
      </c>
      <c r="B1562" t="s">
        <v>23</v>
      </c>
      <c r="C1562" t="s">
        <v>21</v>
      </c>
      <c r="D1562">
        <v>101</v>
      </c>
      <c r="E1562" t="s">
        <v>42</v>
      </c>
      <c r="F1562" t="s">
        <v>39</v>
      </c>
      <c r="G1562" t="s">
        <v>40</v>
      </c>
      <c r="H1562">
        <f t="shared" si="24"/>
        <v>101</v>
      </c>
    </row>
    <row r="1563" spans="1:8" x14ac:dyDescent="0.3">
      <c r="A1563" t="s">
        <v>55</v>
      </c>
      <c r="B1563" t="s">
        <v>23</v>
      </c>
      <c r="C1563" t="s">
        <v>22</v>
      </c>
      <c r="D1563">
        <v>561</v>
      </c>
      <c r="E1563" t="s">
        <v>42</v>
      </c>
      <c r="F1563" t="s">
        <v>39</v>
      </c>
      <c r="G1563" t="s">
        <v>40</v>
      </c>
      <c r="H1563">
        <f t="shared" si="24"/>
        <v>561</v>
      </c>
    </row>
    <row r="1564" spans="1:8" x14ac:dyDescent="0.3">
      <c r="A1564" t="s">
        <v>56</v>
      </c>
      <c r="B1564" t="s">
        <v>8</v>
      </c>
      <c r="C1564" t="s">
        <v>9</v>
      </c>
      <c r="D1564">
        <v>33</v>
      </c>
      <c r="E1564" t="s">
        <v>42</v>
      </c>
      <c r="F1564" t="s">
        <v>39</v>
      </c>
      <c r="G1564" t="s">
        <v>40</v>
      </c>
      <c r="H1564">
        <f t="shared" si="24"/>
        <v>33</v>
      </c>
    </row>
    <row r="1565" spans="1:8" x14ac:dyDescent="0.3">
      <c r="A1565" t="s">
        <v>56</v>
      </c>
      <c r="B1565" t="s">
        <v>8</v>
      </c>
      <c r="C1565" t="s">
        <v>13</v>
      </c>
      <c r="D1565">
        <v>21</v>
      </c>
      <c r="E1565" t="s">
        <v>42</v>
      </c>
      <c r="F1565" t="s">
        <v>39</v>
      </c>
      <c r="G1565" t="s">
        <v>40</v>
      </c>
      <c r="H1565">
        <f t="shared" si="24"/>
        <v>21</v>
      </c>
    </row>
    <row r="1566" spans="1:8" x14ac:dyDescent="0.3">
      <c r="A1566" t="s">
        <v>56</v>
      </c>
      <c r="B1566" t="s">
        <v>8</v>
      </c>
      <c r="C1566" t="s">
        <v>14</v>
      </c>
      <c r="D1566">
        <v>0</v>
      </c>
      <c r="E1566" t="s">
        <v>42</v>
      </c>
      <c r="F1566" t="s">
        <v>39</v>
      </c>
      <c r="G1566" t="s">
        <v>40</v>
      </c>
      <c r="H1566">
        <f t="shared" si="24"/>
        <v>0</v>
      </c>
    </row>
    <row r="1567" spans="1:8" x14ac:dyDescent="0.3">
      <c r="A1567" t="s">
        <v>56</v>
      </c>
      <c r="B1567" t="s">
        <v>8</v>
      </c>
      <c r="C1567" t="s">
        <v>15</v>
      </c>
      <c r="D1567">
        <v>3</v>
      </c>
      <c r="E1567" t="s">
        <v>42</v>
      </c>
      <c r="F1567" t="s">
        <v>39</v>
      </c>
      <c r="G1567" t="s">
        <v>40</v>
      </c>
      <c r="H1567">
        <f t="shared" si="24"/>
        <v>3</v>
      </c>
    </row>
    <row r="1568" spans="1:8" x14ac:dyDescent="0.3">
      <c r="A1568" t="s">
        <v>56</v>
      </c>
      <c r="B1568" t="s">
        <v>8</v>
      </c>
      <c r="C1568" t="s">
        <v>16</v>
      </c>
      <c r="D1568">
        <v>2</v>
      </c>
      <c r="E1568" t="s">
        <v>42</v>
      </c>
      <c r="F1568" t="s">
        <v>39</v>
      </c>
      <c r="G1568" t="s">
        <v>40</v>
      </c>
      <c r="H1568">
        <f t="shared" si="24"/>
        <v>2</v>
      </c>
    </row>
    <row r="1569" spans="1:8" x14ac:dyDescent="0.3">
      <c r="A1569" t="s">
        <v>56</v>
      </c>
      <c r="B1569" t="s">
        <v>8</v>
      </c>
      <c r="C1569" t="s">
        <v>17</v>
      </c>
      <c r="D1569">
        <v>8</v>
      </c>
      <c r="E1569" t="s">
        <v>42</v>
      </c>
      <c r="F1569" t="s">
        <v>39</v>
      </c>
      <c r="G1569" t="s">
        <v>40</v>
      </c>
      <c r="H1569">
        <f t="shared" si="24"/>
        <v>8</v>
      </c>
    </row>
    <row r="1570" spans="1:8" x14ac:dyDescent="0.3">
      <c r="A1570" t="s">
        <v>56</v>
      </c>
      <c r="B1570" t="s">
        <v>8</v>
      </c>
      <c r="C1570" t="s">
        <v>18</v>
      </c>
      <c r="D1570">
        <v>0</v>
      </c>
      <c r="E1570" t="s">
        <v>42</v>
      </c>
      <c r="F1570" t="s">
        <v>39</v>
      </c>
      <c r="G1570" t="s">
        <v>40</v>
      </c>
      <c r="H1570">
        <f t="shared" si="24"/>
        <v>0</v>
      </c>
    </row>
    <row r="1571" spans="1:8" x14ac:dyDescent="0.3">
      <c r="A1571" t="s">
        <v>56</v>
      </c>
      <c r="B1571" t="s">
        <v>8</v>
      </c>
      <c r="C1571" t="s">
        <v>19</v>
      </c>
      <c r="D1571">
        <v>0</v>
      </c>
      <c r="E1571" t="s">
        <v>42</v>
      </c>
      <c r="F1571" t="s">
        <v>39</v>
      </c>
      <c r="G1571" t="s">
        <v>40</v>
      </c>
      <c r="H1571">
        <f t="shared" si="24"/>
        <v>0</v>
      </c>
    </row>
    <row r="1572" spans="1:8" x14ac:dyDescent="0.3">
      <c r="A1572" t="s">
        <v>56</v>
      </c>
      <c r="B1572" t="s">
        <v>8</v>
      </c>
      <c r="C1572" t="s">
        <v>20</v>
      </c>
      <c r="D1572">
        <v>0</v>
      </c>
      <c r="E1572" t="s">
        <v>42</v>
      </c>
      <c r="F1572" t="s">
        <v>39</v>
      </c>
      <c r="G1572" t="s">
        <v>40</v>
      </c>
      <c r="H1572">
        <f t="shared" si="24"/>
        <v>0</v>
      </c>
    </row>
    <row r="1573" spans="1:8" x14ac:dyDescent="0.3">
      <c r="A1573" t="s">
        <v>56</v>
      </c>
      <c r="B1573" t="s">
        <v>8</v>
      </c>
      <c r="C1573" t="s">
        <v>21</v>
      </c>
      <c r="D1573">
        <v>0</v>
      </c>
      <c r="E1573" t="s">
        <v>42</v>
      </c>
      <c r="F1573" t="s">
        <v>39</v>
      </c>
      <c r="G1573" t="s">
        <v>40</v>
      </c>
      <c r="H1573">
        <f t="shared" si="24"/>
        <v>0</v>
      </c>
    </row>
    <row r="1574" spans="1:8" x14ac:dyDescent="0.3">
      <c r="A1574" t="s">
        <v>56</v>
      </c>
      <c r="B1574" t="s">
        <v>8</v>
      </c>
      <c r="C1574" t="s">
        <v>22</v>
      </c>
      <c r="D1574">
        <v>111</v>
      </c>
      <c r="E1574" t="s">
        <v>42</v>
      </c>
      <c r="F1574" t="s">
        <v>39</v>
      </c>
      <c r="G1574" t="s">
        <v>40</v>
      </c>
      <c r="H1574">
        <f t="shared" si="24"/>
        <v>111</v>
      </c>
    </row>
    <row r="1575" spans="1:8" x14ac:dyDescent="0.3">
      <c r="A1575" t="s">
        <v>56</v>
      </c>
      <c r="B1575" t="s">
        <v>23</v>
      </c>
      <c r="C1575" t="s">
        <v>9</v>
      </c>
      <c r="D1575">
        <v>6236</v>
      </c>
      <c r="E1575" t="s">
        <v>42</v>
      </c>
      <c r="F1575" t="s">
        <v>39</v>
      </c>
      <c r="G1575" t="s">
        <v>40</v>
      </c>
      <c r="H1575">
        <f t="shared" si="24"/>
        <v>6240</v>
      </c>
    </row>
    <row r="1576" spans="1:8" x14ac:dyDescent="0.3">
      <c r="A1576" t="s">
        <v>56</v>
      </c>
      <c r="B1576" t="s">
        <v>23</v>
      </c>
      <c r="C1576" t="s">
        <v>13</v>
      </c>
      <c r="D1576">
        <v>5556</v>
      </c>
      <c r="E1576" t="s">
        <v>42</v>
      </c>
      <c r="F1576" t="s">
        <v>39</v>
      </c>
      <c r="G1576" t="s">
        <v>40</v>
      </c>
      <c r="H1576">
        <f t="shared" si="24"/>
        <v>5560</v>
      </c>
    </row>
    <row r="1577" spans="1:8" x14ac:dyDescent="0.3">
      <c r="A1577" t="s">
        <v>56</v>
      </c>
      <c r="B1577" t="s">
        <v>23</v>
      </c>
      <c r="C1577" t="s">
        <v>14</v>
      </c>
      <c r="D1577">
        <v>499</v>
      </c>
      <c r="E1577" t="s">
        <v>42</v>
      </c>
      <c r="F1577" t="s">
        <v>39</v>
      </c>
      <c r="G1577" t="s">
        <v>40</v>
      </c>
      <c r="H1577">
        <f t="shared" si="24"/>
        <v>499</v>
      </c>
    </row>
    <row r="1578" spans="1:8" x14ac:dyDescent="0.3">
      <c r="A1578" t="s">
        <v>56</v>
      </c>
      <c r="B1578" t="s">
        <v>23</v>
      </c>
      <c r="C1578" t="s">
        <v>15</v>
      </c>
      <c r="D1578">
        <v>17</v>
      </c>
      <c r="E1578" t="s">
        <v>42</v>
      </c>
      <c r="F1578" t="s">
        <v>39</v>
      </c>
      <c r="G1578" t="s">
        <v>40</v>
      </c>
      <c r="H1578">
        <f t="shared" si="24"/>
        <v>17</v>
      </c>
    </row>
    <row r="1579" spans="1:8" x14ac:dyDescent="0.3">
      <c r="A1579" t="s">
        <v>56</v>
      </c>
      <c r="B1579" t="s">
        <v>23</v>
      </c>
      <c r="C1579" t="s">
        <v>16</v>
      </c>
      <c r="D1579">
        <v>1082</v>
      </c>
      <c r="E1579" t="s">
        <v>42</v>
      </c>
      <c r="F1579" t="s">
        <v>39</v>
      </c>
      <c r="G1579" t="s">
        <v>40</v>
      </c>
      <c r="H1579">
        <f t="shared" si="24"/>
        <v>1080</v>
      </c>
    </row>
    <row r="1580" spans="1:8" x14ac:dyDescent="0.3">
      <c r="A1580" t="s">
        <v>56</v>
      </c>
      <c r="B1580" t="s">
        <v>23</v>
      </c>
      <c r="C1580" t="s">
        <v>17</v>
      </c>
      <c r="D1580">
        <v>147</v>
      </c>
      <c r="E1580" t="s">
        <v>42</v>
      </c>
      <c r="F1580" t="s">
        <v>39</v>
      </c>
      <c r="G1580" t="s">
        <v>40</v>
      </c>
      <c r="H1580">
        <f t="shared" si="24"/>
        <v>147</v>
      </c>
    </row>
    <row r="1581" spans="1:8" x14ac:dyDescent="0.3">
      <c r="A1581" t="s">
        <v>56</v>
      </c>
      <c r="B1581" t="s">
        <v>23</v>
      </c>
      <c r="C1581" t="s">
        <v>18</v>
      </c>
      <c r="D1581">
        <v>0</v>
      </c>
      <c r="E1581" t="s">
        <v>42</v>
      </c>
      <c r="F1581" t="s">
        <v>39</v>
      </c>
      <c r="G1581" t="s">
        <v>40</v>
      </c>
      <c r="H1581">
        <f t="shared" si="24"/>
        <v>0</v>
      </c>
    </row>
    <row r="1582" spans="1:8" x14ac:dyDescent="0.3">
      <c r="A1582" t="s">
        <v>56</v>
      </c>
      <c r="B1582" t="s">
        <v>23</v>
      </c>
      <c r="C1582" t="s">
        <v>19</v>
      </c>
      <c r="D1582">
        <v>31</v>
      </c>
      <c r="E1582" t="s">
        <v>42</v>
      </c>
      <c r="F1582" t="s">
        <v>39</v>
      </c>
      <c r="G1582" t="s">
        <v>40</v>
      </c>
      <c r="H1582">
        <f t="shared" si="24"/>
        <v>31</v>
      </c>
    </row>
    <row r="1583" spans="1:8" x14ac:dyDescent="0.3">
      <c r="A1583" t="s">
        <v>56</v>
      </c>
      <c r="B1583" t="s">
        <v>23</v>
      </c>
      <c r="C1583" t="s">
        <v>20</v>
      </c>
      <c r="D1583">
        <v>114</v>
      </c>
      <c r="E1583" t="s">
        <v>42</v>
      </c>
      <c r="F1583" t="s">
        <v>39</v>
      </c>
      <c r="G1583" t="s">
        <v>40</v>
      </c>
      <c r="H1583">
        <f t="shared" si="24"/>
        <v>114</v>
      </c>
    </row>
    <row r="1584" spans="1:8" x14ac:dyDescent="0.3">
      <c r="A1584" t="s">
        <v>56</v>
      </c>
      <c r="B1584" t="s">
        <v>23</v>
      </c>
      <c r="C1584" t="s">
        <v>21</v>
      </c>
      <c r="D1584">
        <v>19</v>
      </c>
      <c r="E1584" t="s">
        <v>42</v>
      </c>
      <c r="F1584" t="s">
        <v>39</v>
      </c>
      <c r="G1584" t="s">
        <v>40</v>
      </c>
      <c r="H1584">
        <f t="shared" si="24"/>
        <v>19</v>
      </c>
    </row>
    <row r="1585" spans="1:8" x14ac:dyDescent="0.3">
      <c r="A1585" t="s">
        <v>56</v>
      </c>
      <c r="B1585" t="s">
        <v>23</v>
      </c>
      <c r="C1585" t="s">
        <v>22</v>
      </c>
      <c r="D1585">
        <v>443</v>
      </c>
      <c r="E1585" t="s">
        <v>42</v>
      </c>
      <c r="F1585" t="s">
        <v>39</v>
      </c>
      <c r="G1585" t="s">
        <v>40</v>
      </c>
      <c r="H1585">
        <f t="shared" si="24"/>
        <v>443</v>
      </c>
    </row>
  </sheetData>
  <pageMargins left="0.75" right="0.75" top="1" bottom="1" header="0.5" footer="0.5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025"/>
  <sheetViews>
    <sheetView topLeftCell="A2001" workbookViewId="0">
      <selection activeCell="O50" sqref="O50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118</v>
      </c>
    </row>
    <row r="2" spans="1:8" x14ac:dyDescent="0.3">
      <c r="A2" t="s">
        <v>43</v>
      </c>
      <c r="B2" t="s">
        <v>8</v>
      </c>
      <c r="C2" t="s">
        <v>9</v>
      </c>
      <c r="D2">
        <v>0</v>
      </c>
      <c r="E2" t="s">
        <v>57</v>
      </c>
      <c r="F2" t="s">
        <v>11</v>
      </c>
      <c r="G2" t="s">
        <v>12</v>
      </c>
      <c r="H2">
        <f>ROUND(D2, 3 - LEN(INT(ABS(D2))))</f>
        <v>0</v>
      </c>
    </row>
    <row r="3" spans="1:8" x14ac:dyDescent="0.3">
      <c r="A3" t="s">
        <v>43</v>
      </c>
      <c r="B3" t="s">
        <v>8</v>
      </c>
      <c r="C3" t="s">
        <v>13</v>
      </c>
      <c r="D3">
        <v>0</v>
      </c>
      <c r="E3" t="s">
        <v>57</v>
      </c>
      <c r="F3" t="s">
        <v>11</v>
      </c>
      <c r="G3" t="s">
        <v>12</v>
      </c>
      <c r="H3">
        <f t="shared" ref="H3:H66" si="0">ROUND(D3, 3 - LEN(INT(ABS(D3))))</f>
        <v>0</v>
      </c>
    </row>
    <row r="4" spans="1:8" x14ac:dyDescent="0.3">
      <c r="A4" t="s">
        <v>43</v>
      </c>
      <c r="B4" t="s">
        <v>8</v>
      </c>
      <c r="C4" t="s">
        <v>14</v>
      </c>
      <c r="D4">
        <v>71</v>
      </c>
      <c r="E4" t="s">
        <v>57</v>
      </c>
      <c r="F4" t="s">
        <v>11</v>
      </c>
      <c r="G4" t="s">
        <v>12</v>
      </c>
      <c r="H4">
        <f t="shared" si="0"/>
        <v>71</v>
      </c>
    </row>
    <row r="5" spans="1:8" x14ac:dyDescent="0.3">
      <c r="A5" t="s">
        <v>43</v>
      </c>
      <c r="B5" t="s">
        <v>8</v>
      </c>
      <c r="C5" t="s">
        <v>15</v>
      </c>
      <c r="D5">
        <v>0</v>
      </c>
      <c r="E5" t="s">
        <v>57</v>
      </c>
      <c r="F5" t="s">
        <v>11</v>
      </c>
      <c r="G5" t="s">
        <v>12</v>
      </c>
      <c r="H5">
        <f t="shared" si="0"/>
        <v>0</v>
      </c>
    </row>
    <row r="6" spans="1:8" x14ac:dyDescent="0.3">
      <c r="A6" t="s">
        <v>43</v>
      </c>
      <c r="B6" t="s">
        <v>8</v>
      </c>
      <c r="C6" t="s">
        <v>16</v>
      </c>
      <c r="D6">
        <v>0</v>
      </c>
      <c r="E6" t="s">
        <v>57</v>
      </c>
      <c r="F6" t="s">
        <v>11</v>
      </c>
      <c r="G6" t="s">
        <v>12</v>
      </c>
      <c r="H6">
        <f t="shared" si="0"/>
        <v>0</v>
      </c>
    </row>
    <row r="7" spans="1:8" x14ac:dyDescent="0.3">
      <c r="A7" t="s">
        <v>43</v>
      </c>
      <c r="B7" t="s">
        <v>8</v>
      </c>
      <c r="C7" t="s">
        <v>17</v>
      </c>
      <c r="D7">
        <v>0</v>
      </c>
      <c r="E7" t="s">
        <v>57</v>
      </c>
      <c r="F7" t="s">
        <v>11</v>
      </c>
      <c r="G7" t="s">
        <v>12</v>
      </c>
      <c r="H7">
        <f t="shared" si="0"/>
        <v>0</v>
      </c>
    </row>
    <row r="8" spans="1:8" x14ac:dyDescent="0.3">
      <c r="A8" t="s">
        <v>43</v>
      </c>
      <c r="B8" t="s">
        <v>8</v>
      </c>
      <c r="C8" t="s">
        <v>18</v>
      </c>
      <c r="D8">
        <v>0</v>
      </c>
      <c r="E8" t="s">
        <v>57</v>
      </c>
      <c r="F8" t="s">
        <v>11</v>
      </c>
      <c r="G8" t="s">
        <v>12</v>
      </c>
      <c r="H8">
        <f t="shared" si="0"/>
        <v>0</v>
      </c>
    </row>
    <row r="9" spans="1:8" x14ac:dyDescent="0.3">
      <c r="A9" t="s">
        <v>43</v>
      </c>
      <c r="B9" t="s">
        <v>8</v>
      </c>
      <c r="C9" t="s">
        <v>19</v>
      </c>
      <c r="D9">
        <v>0</v>
      </c>
      <c r="E9" t="s">
        <v>57</v>
      </c>
      <c r="F9" t="s">
        <v>11</v>
      </c>
      <c r="G9" t="s">
        <v>12</v>
      </c>
      <c r="H9">
        <f t="shared" si="0"/>
        <v>0</v>
      </c>
    </row>
    <row r="10" spans="1:8" x14ac:dyDescent="0.3">
      <c r="A10" t="s">
        <v>43</v>
      </c>
      <c r="B10" t="s">
        <v>8</v>
      </c>
      <c r="C10" t="s">
        <v>20</v>
      </c>
      <c r="D10">
        <v>0</v>
      </c>
      <c r="E10" t="s">
        <v>57</v>
      </c>
      <c r="F10" t="s">
        <v>11</v>
      </c>
      <c r="G10" t="s">
        <v>12</v>
      </c>
      <c r="H10">
        <f t="shared" si="0"/>
        <v>0</v>
      </c>
    </row>
    <row r="11" spans="1:8" x14ac:dyDescent="0.3">
      <c r="A11" t="s">
        <v>43</v>
      </c>
      <c r="B11" t="s">
        <v>8</v>
      </c>
      <c r="C11" t="s">
        <v>21</v>
      </c>
      <c r="D11">
        <v>0</v>
      </c>
      <c r="E11" t="s">
        <v>57</v>
      </c>
      <c r="F11" t="s">
        <v>11</v>
      </c>
      <c r="G11" t="s">
        <v>12</v>
      </c>
      <c r="H11">
        <f t="shared" si="0"/>
        <v>0</v>
      </c>
    </row>
    <row r="12" spans="1:8" x14ac:dyDescent="0.3">
      <c r="A12" t="s">
        <v>43</v>
      </c>
      <c r="B12" t="s">
        <v>8</v>
      </c>
      <c r="C12" t="s">
        <v>22</v>
      </c>
      <c r="D12">
        <v>0</v>
      </c>
      <c r="E12" t="s">
        <v>57</v>
      </c>
      <c r="F12" t="s">
        <v>11</v>
      </c>
      <c r="G12" t="s">
        <v>12</v>
      </c>
      <c r="H12">
        <f t="shared" si="0"/>
        <v>0</v>
      </c>
    </row>
    <row r="13" spans="1:8" x14ac:dyDescent="0.3">
      <c r="A13" t="s">
        <v>43</v>
      </c>
      <c r="B13" t="s">
        <v>23</v>
      </c>
      <c r="C13" t="s">
        <v>9</v>
      </c>
      <c r="D13">
        <v>0</v>
      </c>
      <c r="E13" t="s">
        <v>57</v>
      </c>
      <c r="F13" t="s">
        <v>11</v>
      </c>
      <c r="G13" t="s">
        <v>12</v>
      </c>
      <c r="H13">
        <f t="shared" si="0"/>
        <v>0</v>
      </c>
    </row>
    <row r="14" spans="1:8" x14ac:dyDescent="0.3">
      <c r="A14" t="s">
        <v>43</v>
      </c>
      <c r="B14" t="s">
        <v>23</v>
      </c>
      <c r="C14" t="s">
        <v>13</v>
      </c>
      <c r="D14">
        <v>0</v>
      </c>
      <c r="E14" t="s">
        <v>57</v>
      </c>
      <c r="F14" t="s">
        <v>11</v>
      </c>
      <c r="G14" t="s">
        <v>12</v>
      </c>
      <c r="H14">
        <f t="shared" si="0"/>
        <v>0</v>
      </c>
    </row>
    <row r="15" spans="1:8" x14ac:dyDescent="0.3">
      <c r="A15" t="s">
        <v>43</v>
      </c>
      <c r="B15" t="s">
        <v>23</v>
      </c>
      <c r="C15" t="s">
        <v>14</v>
      </c>
      <c r="D15">
        <v>638</v>
      </c>
      <c r="E15" t="s">
        <v>57</v>
      </c>
      <c r="F15" t="s">
        <v>11</v>
      </c>
      <c r="G15" t="s">
        <v>12</v>
      </c>
      <c r="H15">
        <f t="shared" si="0"/>
        <v>638</v>
      </c>
    </row>
    <row r="16" spans="1:8" x14ac:dyDescent="0.3">
      <c r="A16" t="s">
        <v>43</v>
      </c>
      <c r="B16" t="s">
        <v>23</v>
      </c>
      <c r="C16" t="s">
        <v>15</v>
      </c>
      <c r="D16">
        <v>4</v>
      </c>
      <c r="E16" t="s">
        <v>57</v>
      </c>
      <c r="F16" t="s">
        <v>11</v>
      </c>
      <c r="G16" t="s">
        <v>12</v>
      </c>
      <c r="H16">
        <f t="shared" si="0"/>
        <v>4</v>
      </c>
    </row>
    <row r="17" spans="1:8" x14ac:dyDescent="0.3">
      <c r="A17" t="s">
        <v>43</v>
      </c>
      <c r="B17" t="s">
        <v>23</v>
      </c>
      <c r="C17" t="s">
        <v>16</v>
      </c>
      <c r="D17">
        <v>91</v>
      </c>
      <c r="E17" t="s">
        <v>57</v>
      </c>
      <c r="F17" t="s">
        <v>11</v>
      </c>
      <c r="G17" t="s">
        <v>12</v>
      </c>
      <c r="H17">
        <f t="shared" si="0"/>
        <v>91</v>
      </c>
    </row>
    <row r="18" spans="1:8" x14ac:dyDescent="0.3">
      <c r="A18" t="s">
        <v>43</v>
      </c>
      <c r="B18" t="s">
        <v>23</v>
      </c>
      <c r="C18" t="s">
        <v>17</v>
      </c>
      <c r="D18">
        <v>0</v>
      </c>
      <c r="E18" t="s">
        <v>57</v>
      </c>
      <c r="F18" t="s">
        <v>11</v>
      </c>
      <c r="G18" t="s">
        <v>12</v>
      </c>
      <c r="H18">
        <f t="shared" si="0"/>
        <v>0</v>
      </c>
    </row>
    <row r="19" spans="1:8" x14ac:dyDescent="0.3">
      <c r="A19" t="s">
        <v>43</v>
      </c>
      <c r="B19" t="s">
        <v>23</v>
      </c>
      <c r="C19" t="s">
        <v>18</v>
      </c>
      <c r="D19">
        <v>0</v>
      </c>
      <c r="E19" t="s">
        <v>57</v>
      </c>
      <c r="F19" t="s">
        <v>11</v>
      </c>
      <c r="G19" t="s">
        <v>12</v>
      </c>
      <c r="H19">
        <f t="shared" si="0"/>
        <v>0</v>
      </c>
    </row>
    <row r="20" spans="1:8" x14ac:dyDescent="0.3">
      <c r="A20" t="s">
        <v>43</v>
      </c>
      <c r="B20" t="s">
        <v>23</v>
      </c>
      <c r="C20" t="s">
        <v>19</v>
      </c>
      <c r="D20">
        <v>4</v>
      </c>
      <c r="E20" t="s">
        <v>57</v>
      </c>
      <c r="F20" t="s">
        <v>11</v>
      </c>
      <c r="G20" t="s">
        <v>12</v>
      </c>
      <c r="H20">
        <f t="shared" si="0"/>
        <v>4</v>
      </c>
    </row>
    <row r="21" spans="1:8" x14ac:dyDescent="0.3">
      <c r="A21" t="s">
        <v>43</v>
      </c>
      <c r="B21" t="s">
        <v>23</v>
      </c>
      <c r="C21" t="s">
        <v>20</v>
      </c>
      <c r="D21">
        <v>2</v>
      </c>
      <c r="E21" t="s">
        <v>57</v>
      </c>
      <c r="F21" t="s">
        <v>11</v>
      </c>
      <c r="G21" t="s">
        <v>12</v>
      </c>
      <c r="H21">
        <f t="shared" si="0"/>
        <v>2</v>
      </c>
    </row>
    <row r="22" spans="1:8" x14ac:dyDescent="0.3">
      <c r="A22" t="s">
        <v>43</v>
      </c>
      <c r="B22" t="s">
        <v>23</v>
      </c>
      <c r="C22" t="s">
        <v>21</v>
      </c>
      <c r="D22">
        <v>2</v>
      </c>
      <c r="E22" t="s">
        <v>57</v>
      </c>
      <c r="F22" t="s">
        <v>11</v>
      </c>
      <c r="G22" t="s">
        <v>12</v>
      </c>
      <c r="H22">
        <f t="shared" si="0"/>
        <v>2</v>
      </c>
    </row>
    <row r="23" spans="1:8" x14ac:dyDescent="0.3">
      <c r="A23" t="s">
        <v>43</v>
      </c>
      <c r="B23" t="s">
        <v>23</v>
      </c>
      <c r="C23" t="s">
        <v>22</v>
      </c>
      <c r="D23">
        <v>1</v>
      </c>
      <c r="E23" t="s">
        <v>57</v>
      </c>
      <c r="F23" t="s">
        <v>11</v>
      </c>
      <c r="G23" t="s">
        <v>12</v>
      </c>
      <c r="H23">
        <f t="shared" si="0"/>
        <v>1</v>
      </c>
    </row>
    <row r="24" spans="1:8" x14ac:dyDescent="0.3">
      <c r="A24" t="s">
        <v>7</v>
      </c>
      <c r="B24" t="s">
        <v>8</v>
      </c>
      <c r="C24" t="s">
        <v>9</v>
      </c>
      <c r="D24">
        <v>0</v>
      </c>
      <c r="E24" t="s">
        <v>57</v>
      </c>
      <c r="F24" t="s">
        <v>11</v>
      </c>
      <c r="G24" t="s">
        <v>12</v>
      </c>
      <c r="H24">
        <f t="shared" si="0"/>
        <v>0</v>
      </c>
    </row>
    <row r="25" spans="1:8" x14ac:dyDescent="0.3">
      <c r="A25" t="s">
        <v>7</v>
      </c>
      <c r="B25" t="s">
        <v>8</v>
      </c>
      <c r="C25" t="s">
        <v>13</v>
      </c>
      <c r="D25">
        <v>0</v>
      </c>
      <c r="E25" t="s">
        <v>57</v>
      </c>
      <c r="F25" t="s">
        <v>11</v>
      </c>
      <c r="G25" t="s">
        <v>12</v>
      </c>
      <c r="H25">
        <f t="shared" si="0"/>
        <v>0</v>
      </c>
    </row>
    <row r="26" spans="1:8" x14ac:dyDescent="0.3">
      <c r="A26" t="s">
        <v>7</v>
      </c>
      <c r="B26" t="s">
        <v>8</v>
      </c>
      <c r="C26" t="s">
        <v>14</v>
      </c>
      <c r="D26">
        <v>1</v>
      </c>
      <c r="E26" t="s">
        <v>57</v>
      </c>
      <c r="F26" t="s">
        <v>11</v>
      </c>
      <c r="G26" t="s">
        <v>12</v>
      </c>
      <c r="H26">
        <f t="shared" si="0"/>
        <v>1</v>
      </c>
    </row>
    <row r="27" spans="1:8" x14ac:dyDescent="0.3">
      <c r="A27" t="s">
        <v>7</v>
      </c>
      <c r="B27" t="s">
        <v>8</v>
      </c>
      <c r="C27" t="s">
        <v>15</v>
      </c>
      <c r="D27">
        <v>0</v>
      </c>
      <c r="E27" t="s">
        <v>57</v>
      </c>
      <c r="F27" t="s">
        <v>11</v>
      </c>
      <c r="G27" t="s">
        <v>12</v>
      </c>
      <c r="H27">
        <f t="shared" si="0"/>
        <v>0</v>
      </c>
    </row>
    <row r="28" spans="1:8" x14ac:dyDescent="0.3">
      <c r="A28" t="s">
        <v>7</v>
      </c>
      <c r="B28" t="s">
        <v>8</v>
      </c>
      <c r="C28" t="s">
        <v>16</v>
      </c>
      <c r="D28">
        <v>2</v>
      </c>
      <c r="E28" t="s">
        <v>57</v>
      </c>
      <c r="F28" t="s">
        <v>11</v>
      </c>
      <c r="G28" t="s">
        <v>12</v>
      </c>
      <c r="H28">
        <f t="shared" si="0"/>
        <v>2</v>
      </c>
    </row>
    <row r="29" spans="1:8" x14ac:dyDescent="0.3">
      <c r="A29" t="s">
        <v>7</v>
      </c>
      <c r="B29" t="s">
        <v>8</v>
      </c>
      <c r="C29" t="s">
        <v>17</v>
      </c>
      <c r="D29">
        <v>0</v>
      </c>
      <c r="E29" t="s">
        <v>57</v>
      </c>
      <c r="F29" t="s">
        <v>11</v>
      </c>
      <c r="G29" t="s">
        <v>12</v>
      </c>
      <c r="H29">
        <f t="shared" si="0"/>
        <v>0</v>
      </c>
    </row>
    <row r="30" spans="1:8" x14ac:dyDescent="0.3">
      <c r="A30" t="s">
        <v>7</v>
      </c>
      <c r="B30" t="s">
        <v>8</v>
      </c>
      <c r="C30" t="s">
        <v>18</v>
      </c>
      <c r="D30">
        <v>0</v>
      </c>
      <c r="E30" t="s">
        <v>57</v>
      </c>
      <c r="F30" t="s">
        <v>11</v>
      </c>
      <c r="G30" t="s">
        <v>12</v>
      </c>
      <c r="H30">
        <f t="shared" si="0"/>
        <v>0</v>
      </c>
    </row>
    <row r="31" spans="1:8" x14ac:dyDescent="0.3">
      <c r="A31" t="s">
        <v>7</v>
      </c>
      <c r="B31" t="s">
        <v>8</v>
      </c>
      <c r="C31" t="s">
        <v>19</v>
      </c>
      <c r="D31">
        <v>0</v>
      </c>
      <c r="E31" t="s">
        <v>57</v>
      </c>
      <c r="F31" t="s">
        <v>11</v>
      </c>
      <c r="G31" t="s">
        <v>12</v>
      </c>
      <c r="H31">
        <f t="shared" si="0"/>
        <v>0</v>
      </c>
    </row>
    <row r="32" spans="1:8" x14ac:dyDescent="0.3">
      <c r="A32" t="s">
        <v>7</v>
      </c>
      <c r="B32" t="s">
        <v>8</v>
      </c>
      <c r="C32" t="s">
        <v>20</v>
      </c>
      <c r="D32">
        <v>0</v>
      </c>
      <c r="E32" t="s">
        <v>57</v>
      </c>
      <c r="F32" t="s">
        <v>11</v>
      </c>
      <c r="G32" t="s">
        <v>12</v>
      </c>
      <c r="H32">
        <f t="shared" si="0"/>
        <v>0</v>
      </c>
    </row>
    <row r="33" spans="1:8" x14ac:dyDescent="0.3">
      <c r="A33" t="s">
        <v>7</v>
      </c>
      <c r="B33" t="s">
        <v>8</v>
      </c>
      <c r="C33" t="s">
        <v>21</v>
      </c>
      <c r="D33">
        <v>0</v>
      </c>
      <c r="E33" t="s">
        <v>57</v>
      </c>
      <c r="F33" t="s">
        <v>11</v>
      </c>
      <c r="G33" t="s">
        <v>12</v>
      </c>
      <c r="H33">
        <f t="shared" si="0"/>
        <v>0</v>
      </c>
    </row>
    <row r="34" spans="1:8" x14ac:dyDescent="0.3">
      <c r="A34" t="s">
        <v>7</v>
      </c>
      <c r="B34" t="s">
        <v>8</v>
      </c>
      <c r="C34" t="s">
        <v>22</v>
      </c>
      <c r="D34">
        <v>49</v>
      </c>
      <c r="E34" t="s">
        <v>57</v>
      </c>
      <c r="F34" t="s">
        <v>11</v>
      </c>
      <c r="G34" t="s">
        <v>12</v>
      </c>
      <c r="H34">
        <f t="shared" si="0"/>
        <v>49</v>
      </c>
    </row>
    <row r="35" spans="1:8" x14ac:dyDescent="0.3">
      <c r="A35" t="s">
        <v>7</v>
      </c>
      <c r="B35" t="s">
        <v>23</v>
      </c>
      <c r="C35" t="s">
        <v>9</v>
      </c>
      <c r="D35">
        <v>9</v>
      </c>
      <c r="E35" t="s">
        <v>57</v>
      </c>
      <c r="F35" t="s">
        <v>11</v>
      </c>
      <c r="G35" t="s">
        <v>12</v>
      </c>
      <c r="H35">
        <f t="shared" si="0"/>
        <v>9</v>
      </c>
    </row>
    <row r="36" spans="1:8" x14ac:dyDescent="0.3">
      <c r="A36" t="s">
        <v>7</v>
      </c>
      <c r="B36" t="s">
        <v>23</v>
      </c>
      <c r="C36" t="s">
        <v>13</v>
      </c>
      <c r="D36">
        <v>152</v>
      </c>
      <c r="E36" t="s">
        <v>57</v>
      </c>
      <c r="F36" t="s">
        <v>11</v>
      </c>
      <c r="G36" t="s">
        <v>12</v>
      </c>
      <c r="H36">
        <f t="shared" si="0"/>
        <v>152</v>
      </c>
    </row>
    <row r="37" spans="1:8" x14ac:dyDescent="0.3">
      <c r="A37" t="s">
        <v>7</v>
      </c>
      <c r="B37" t="s">
        <v>23</v>
      </c>
      <c r="C37" t="s">
        <v>14</v>
      </c>
      <c r="D37">
        <v>119</v>
      </c>
      <c r="E37" t="s">
        <v>57</v>
      </c>
      <c r="F37" t="s">
        <v>11</v>
      </c>
      <c r="G37" t="s">
        <v>12</v>
      </c>
      <c r="H37">
        <f t="shared" si="0"/>
        <v>119</v>
      </c>
    </row>
    <row r="38" spans="1:8" x14ac:dyDescent="0.3">
      <c r="A38" t="s">
        <v>7</v>
      </c>
      <c r="B38" t="s">
        <v>23</v>
      </c>
      <c r="C38" t="s">
        <v>15</v>
      </c>
      <c r="D38">
        <v>7</v>
      </c>
      <c r="E38" t="s">
        <v>57</v>
      </c>
      <c r="F38" t="s">
        <v>11</v>
      </c>
      <c r="G38" t="s">
        <v>12</v>
      </c>
      <c r="H38">
        <f t="shared" si="0"/>
        <v>7</v>
      </c>
    </row>
    <row r="39" spans="1:8" x14ac:dyDescent="0.3">
      <c r="A39" t="s">
        <v>7</v>
      </c>
      <c r="B39" t="s">
        <v>23</v>
      </c>
      <c r="C39" t="s">
        <v>16</v>
      </c>
      <c r="D39">
        <v>56</v>
      </c>
      <c r="E39" t="s">
        <v>57</v>
      </c>
      <c r="F39" t="s">
        <v>11</v>
      </c>
      <c r="G39" t="s">
        <v>12</v>
      </c>
      <c r="H39">
        <f t="shared" si="0"/>
        <v>56</v>
      </c>
    </row>
    <row r="40" spans="1:8" x14ac:dyDescent="0.3">
      <c r="A40" t="s">
        <v>7</v>
      </c>
      <c r="B40" t="s">
        <v>23</v>
      </c>
      <c r="C40" t="s">
        <v>17</v>
      </c>
      <c r="D40">
        <v>12</v>
      </c>
      <c r="E40" t="s">
        <v>57</v>
      </c>
      <c r="F40" t="s">
        <v>11</v>
      </c>
      <c r="G40" t="s">
        <v>12</v>
      </c>
      <c r="H40">
        <f t="shared" si="0"/>
        <v>12</v>
      </c>
    </row>
    <row r="41" spans="1:8" x14ac:dyDescent="0.3">
      <c r="A41" t="s">
        <v>7</v>
      </c>
      <c r="B41" t="s">
        <v>23</v>
      </c>
      <c r="C41" t="s">
        <v>18</v>
      </c>
      <c r="D41">
        <v>0</v>
      </c>
      <c r="E41" t="s">
        <v>57</v>
      </c>
      <c r="F41" t="s">
        <v>11</v>
      </c>
      <c r="G41" t="s">
        <v>12</v>
      </c>
      <c r="H41">
        <f t="shared" si="0"/>
        <v>0</v>
      </c>
    </row>
    <row r="42" spans="1:8" x14ac:dyDescent="0.3">
      <c r="A42" t="s">
        <v>7</v>
      </c>
      <c r="B42" t="s">
        <v>23</v>
      </c>
      <c r="C42" t="s">
        <v>19</v>
      </c>
      <c r="D42">
        <v>22</v>
      </c>
      <c r="E42" t="s">
        <v>57</v>
      </c>
      <c r="F42" t="s">
        <v>11</v>
      </c>
      <c r="G42" t="s">
        <v>12</v>
      </c>
      <c r="H42">
        <f t="shared" si="0"/>
        <v>22</v>
      </c>
    </row>
    <row r="43" spans="1:8" x14ac:dyDescent="0.3">
      <c r="A43" t="s">
        <v>7</v>
      </c>
      <c r="B43" t="s">
        <v>23</v>
      </c>
      <c r="C43" t="s">
        <v>20</v>
      </c>
      <c r="D43">
        <v>7</v>
      </c>
      <c r="E43" t="s">
        <v>57</v>
      </c>
      <c r="F43" t="s">
        <v>11</v>
      </c>
      <c r="G43" t="s">
        <v>12</v>
      </c>
      <c r="H43">
        <f t="shared" si="0"/>
        <v>7</v>
      </c>
    </row>
    <row r="44" spans="1:8" x14ac:dyDescent="0.3">
      <c r="A44" t="s">
        <v>7</v>
      </c>
      <c r="B44" t="s">
        <v>23</v>
      </c>
      <c r="C44" t="s">
        <v>21</v>
      </c>
      <c r="D44">
        <v>3</v>
      </c>
      <c r="E44" t="s">
        <v>57</v>
      </c>
      <c r="F44" t="s">
        <v>11</v>
      </c>
      <c r="G44" t="s">
        <v>12</v>
      </c>
      <c r="H44">
        <f t="shared" si="0"/>
        <v>3</v>
      </c>
    </row>
    <row r="45" spans="1:8" x14ac:dyDescent="0.3">
      <c r="A45" t="s">
        <v>7</v>
      </c>
      <c r="B45" t="s">
        <v>23</v>
      </c>
      <c r="C45" t="s">
        <v>22</v>
      </c>
      <c r="D45">
        <v>571</v>
      </c>
      <c r="E45" t="s">
        <v>57</v>
      </c>
      <c r="F45" t="s">
        <v>11</v>
      </c>
      <c r="G45" t="s">
        <v>12</v>
      </c>
      <c r="H45">
        <f t="shared" si="0"/>
        <v>571</v>
      </c>
    </row>
    <row r="46" spans="1:8" x14ac:dyDescent="0.3">
      <c r="A46" t="s">
        <v>44</v>
      </c>
      <c r="B46" t="s">
        <v>8</v>
      </c>
      <c r="C46" t="s">
        <v>9</v>
      </c>
      <c r="D46">
        <v>0</v>
      </c>
      <c r="E46" t="s">
        <v>57</v>
      </c>
      <c r="F46" t="s">
        <v>11</v>
      </c>
      <c r="G46" t="s">
        <v>12</v>
      </c>
      <c r="H46">
        <f t="shared" si="0"/>
        <v>0</v>
      </c>
    </row>
    <row r="47" spans="1:8" x14ac:dyDescent="0.3">
      <c r="A47" t="s">
        <v>44</v>
      </c>
      <c r="B47" t="s">
        <v>8</v>
      </c>
      <c r="C47" t="s">
        <v>13</v>
      </c>
      <c r="D47">
        <v>0</v>
      </c>
      <c r="E47" t="s">
        <v>57</v>
      </c>
      <c r="F47" t="s">
        <v>11</v>
      </c>
      <c r="G47" t="s">
        <v>12</v>
      </c>
      <c r="H47">
        <f t="shared" si="0"/>
        <v>0</v>
      </c>
    </row>
    <row r="48" spans="1:8" x14ac:dyDescent="0.3">
      <c r="A48" t="s">
        <v>44</v>
      </c>
      <c r="B48" t="s">
        <v>8</v>
      </c>
      <c r="C48" t="s">
        <v>14</v>
      </c>
      <c r="D48">
        <v>93</v>
      </c>
      <c r="E48" t="s">
        <v>57</v>
      </c>
      <c r="F48" t="s">
        <v>11</v>
      </c>
      <c r="G48" t="s">
        <v>12</v>
      </c>
      <c r="H48">
        <f t="shared" si="0"/>
        <v>93</v>
      </c>
    </row>
    <row r="49" spans="1:8" x14ac:dyDescent="0.3">
      <c r="A49" t="s">
        <v>44</v>
      </c>
      <c r="B49" t="s">
        <v>8</v>
      </c>
      <c r="C49" t="s">
        <v>15</v>
      </c>
      <c r="D49">
        <v>0</v>
      </c>
      <c r="E49" t="s">
        <v>57</v>
      </c>
      <c r="F49" t="s">
        <v>11</v>
      </c>
      <c r="G49" t="s">
        <v>12</v>
      </c>
      <c r="H49">
        <f t="shared" si="0"/>
        <v>0</v>
      </c>
    </row>
    <row r="50" spans="1:8" x14ac:dyDescent="0.3">
      <c r="A50" t="s">
        <v>44</v>
      </c>
      <c r="B50" t="s">
        <v>8</v>
      </c>
      <c r="C50" t="s">
        <v>16</v>
      </c>
      <c r="D50">
        <v>1</v>
      </c>
      <c r="E50" t="s">
        <v>57</v>
      </c>
      <c r="F50" t="s">
        <v>11</v>
      </c>
      <c r="G50" t="s">
        <v>12</v>
      </c>
      <c r="H50">
        <f t="shared" si="0"/>
        <v>1</v>
      </c>
    </row>
    <row r="51" spans="1:8" x14ac:dyDescent="0.3">
      <c r="A51" t="s">
        <v>44</v>
      </c>
      <c r="B51" t="s">
        <v>8</v>
      </c>
      <c r="C51" t="s">
        <v>17</v>
      </c>
      <c r="D51">
        <v>0</v>
      </c>
      <c r="E51" t="s">
        <v>57</v>
      </c>
      <c r="F51" t="s">
        <v>11</v>
      </c>
      <c r="G51" t="s">
        <v>12</v>
      </c>
      <c r="H51">
        <f t="shared" si="0"/>
        <v>0</v>
      </c>
    </row>
    <row r="52" spans="1:8" x14ac:dyDescent="0.3">
      <c r="A52" t="s">
        <v>44</v>
      </c>
      <c r="B52" t="s">
        <v>8</v>
      </c>
      <c r="C52" t="s">
        <v>18</v>
      </c>
      <c r="D52">
        <v>0</v>
      </c>
      <c r="E52" t="s">
        <v>57</v>
      </c>
      <c r="F52" t="s">
        <v>11</v>
      </c>
      <c r="G52" t="s">
        <v>12</v>
      </c>
      <c r="H52">
        <f t="shared" si="0"/>
        <v>0</v>
      </c>
    </row>
    <row r="53" spans="1:8" x14ac:dyDescent="0.3">
      <c r="A53" t="s">
        <v>44</v>
      </c>
      <c r="B53" t="s">
        <v>8</v>
      </c>
      <c r="C53" t="s">
        <v>19</v>
      </c>
      <c r="D53">
        <v>0</v>
      </c>
      <c r="E53" t="s">
        <v>57</v>
      </c>
      <c r="F53" t="s">
        <v>11</v>
      </c>
      <c r="G53" t="s">
        <v>12</v>
      </c>
      <c r="H53">
        <f t="shared" si="0"/>
        <v>0</v>
      </c>
    </row>
    <row r="54" spans="1:8" x14ac:dyDescent="0.3">
      <c r="A54" t="s">
        <v>44</v>
      </c>
      <c r="B54" t="s">
        <v>8</v>
      </c>
      <c r="C54" t="s">
        <v>20</v>
      </c>
      <c r="D54">
        <v>0</v>
      </c>
      <c r="E54" t="s">
        <v>57</v>
      </c>
      <c r="F54" t="s">
        <v>11</v>
      </c>
      <c r="G54" t="s">
        <v>12</v>
      </c>
      <c r="H54">
        <f t="shared" si="0"/>
        <v>0</v>
      </c>
    </row>
    <row r="55" spans="1:8" x14ac:dyDescent="0.3">
      <c r="A55" t="s">
        <v>44</v>
      </c>
      <c r="B55" t="s">
        <v>8</v>
      </c>
      <c r="C55" t="s">
        <v>21</v>
      </c>
      <c r="D55">
        <v>0</v>
      </c>
      <c r="E55" t="s">
        <v>57</v>
      </c>
      <c r="F55" t="s">
        <v>11</v>
      </c>
      <c r="G55" t="s">
        <v>12</v>
      </c>
      <c r="H55">
        <f t="shared" si="0"/>
        <v>0</v>
      </c>
    </row>
    <row r="56" spans="1:8" x14ac:dyDescent="0.3">
      <c r="A56" t="s">
        <v>44</v>
      </c>
      <c r="B56" t="s">
        <v>8</v>
      </c>
      <c r="C56" t="s">
        <v>22</v>
      </c>
      <c r="D56">
        <v>0</v>
      </c>
      <c r="E56" t="s">
        <v>57</v>
      </c>
      <c r="F56" t="s">
        <v>11</v>
      </c>
      <c r="G56" t="s">
        <v>12</v>
      </c>
      <c r="H56">
        <f t="shared" si="0"/>
        <v>0</v>
      </c>
    </row>
    <row r="57" spans="1:8" x14ac:dyDescent="0.3">
      <c r="A57" t="s">
        <v>44</v>
      </c>
      <c r="B57" t="s">
        <v>23</v>
      </c>
      <c r="C57" t="s">
        <v>9</v>
      </c>
      <c r="D57">
        <v>0</v>
      </c>
      <c r="E57" t="s">
        <v>57</v>
      </c>
      <c r="F57" t="s">
        <v>11</v>
      </c>
      <c r="G57" t="s">
        <v>12</v>
      </c>
      <c r="H57">
        <f t="shared" si="0"/>
        <v>0</v>
      </c>
    </row>
    <row r="58" spans="1:8" x14ac:dyDescent="0.3">
      <c r="A58" t="s">
        <v>44</v>
      </c>
      <c r="B58" t="s">
        <v>23</v>
      </c>
      <c r="C58" t="s">
        <v>13</v>
      </c>
      <c r="D58">
        <v>1</v>
      </c>
      <c r="E58" t="s">
        <v>57</v>
      </c>
      <c r="F58" t="s">
        <v>11</v>
      </c>
      <c r="G58" t="s">
        <v>12</v>
      </c>
      <c r="H58">
        <f t="shared" si="0"/>
        <v>1</v>
      </c>
    </row>
    <row r="59" spans="1:8" x14ac:dyDescent="0.3">
      <c r="A59" t="s">
        <v>44</v>
      </c>
      <c r="B59" t="s">
        <v>23</v>
      </c>
      <c r="C59" t="s">
        <v>14</v>
      </c>
      <c r="D59">
        <v>842</v>
      </c>
      <c r="E59" t="s">
        <v>57</v>
      </c>
      <c r="F59" t="s">
        <v>11</v>
      </c>
      <c r="G59" t="s">
        <v>12</v>
      </c>
      <c r="H59">
        <f t="shared" si="0"/>
        <v>842</v>
      </c>
    </row>
    <row r="60" spans="1:8" x14ac:dyDescent="0.3">
      <c r="A60" t="s">
        <v>44</v>
      </c>
      <c r="B60" t="s">
        <v>23</v>
      </c>
      <c r="C60" t="s">
        <v>15</v>
      </c>
      <c r="D60">
        <v>5</v>
      </c>
      <c r="E60" t="s">
        <v>57</v>
      </c>
      <c r="F60" t="s">
        <v>11</v>
      </c>
      <c r="G60" t="s">
        <v>12</v>
      </c>
      <c r="H60">
        <f t="shared" si="0"/>
        <v>5</v>
      </c>
    </row>
    <row r="61" spans="1:8" x14ac:dyDescent="0.3">
      <c r="A61" t="s">
        <v>44</v>
      </c>
      <c r="B61" t="s">
        <v>23</v>
      </c>
      <c r="C61" t="s">
        <v>16</v>
      </c>
      <c r="D61">
        <v>120</v>
      </c>
      <c r="E61" t="s">
        <v>57</v>
      </c>
      <c r="F61" t="s">
        <v>11</v>
      </c>
      <c r="G61" t="s">
        <v>12</v>
      </c>
      <c r="H61">
        <f t="shared" si="0"/>
        <v>120</v>
      </c>
    </row>
    <row r="62" spans="1:8" x14ac:dyDescent="0.3">
      <c r="A62" t="s">
        <v>44</v>
      </c>
      <c r="B62" t="s">
        <v>23</v>
      </c>
      <c r="C62" t="s">
        <v>17</v>
      </c>
      <c r="D62">
        <v>0</v>
      </c>
      <c r="E62" t="s">
        <v>57</v>
      </c>
      <c r="F62" t="s">
        <v>11</v>
      </c>
      <c r="G62" t="s">
        <v>12</v>
      </c>
      <c r="H62">
        <f t="shared" si="0"/>
        <v>0</v>
      </c>
    </row>
    <row r="63" spans="1:8" x14ac:dyDescent="0.3">
      <c r="A63" t="s">
        <v>44</v>
      </c>
      <c r="B63" t="s">
        <v>23</v>
      </c>
      <c r="C63" t="s">
        <v>18</v>
      </c>
      <c r="D63">
        <v>0</v>
      </c>
      <c r="E63" t="s">
        <v>57</v>
      </c>
      <c r="F63" t="s">
        <v>11</v>
      </c>
      <c r="G63" t="s">
        <v>12</v>
      </c>
      <c r="H63">
        <f t="shared" si="0"/>
        <v>0</v>
      </c>
    </row>
    <row r="64" spans="1:8" x14ac:dyDescent="0.3">
      <c r="A64" t="s">
        <v>44</v>
      </c>
      <c r="B64" t="s">
        <v>23</v>
      </c>
      <c r="C64" t="s">
        <v>19</v>
      </c>
      <c r="D64">
        <v>5</v>
      </c>
      <c r="E64" t="s">
        <v>57</v>
      </c>
      <c r="F64" t="s">
        <v>11</v>
      </c>
      <c r="G64" t="s">
        <v>12</v>
      </c>
      <c r="H64">
        <f t="shared" si="0"/>
        <v>5</v>
      </c>
    </row>
    <row r="65" spans="1:8" x14ac:dyDescent="0.3">
      <c r="A65" t="s">
        <v>44</v>
      </c>
      <c r="B65" t="s">
        <v>23</v>
      </c>
      <c r="C65" t="s">
        <v>20</v>
      </c>
      <c r="D65">
        <v>2</v>
      </c>
      <c r="E65" t="s">
        <v>57</v>
      </c>
      <c r="F65" t="s">
        <v>11</v>
      </c>
      <c r="G65" t="s">
        <v>12</v>
      </c>
      <c r="H65">
        <f t="shared" si="0"/>
        <v>2</v>
      </c>
    </row>
    <row r="66" spans="1:8" x14ac:dyDescent="0.3">
      <c r="A66" t="s">
        <v>44</v>
      </c>
      <c r="B66" t="s">
        <v>23</v>
      </c>
      <c r="C66" t="s">
        <v>21</v>
      </c>
      <c r="D66">
        <v>2</v>
      </c>
      <c r="E66" t="s">
        <v>57</v>
      </c>
      <c r="F66" t="s">
        <v>11</v>
      </c>
      <c r="G66" t="s">
        <v>12</v>
      </c>
      <c r="H66">
        <f t="shared" si="0"/>
        <v>2</v>
      </c>
    </row>
    <row r="67" spans="1:8" x14ac:dyDescent="0.3">
      <c r="A67" t="s">
        <v>44</v>
      </c>
      <c r="B67" t="s">
        <v>23</v>
      </c>
      <c r="C67" t="s">
        <v>22</v>
      </c>
      <c r="D67">
        <v>1</v>
      </c>
      <c r="E67" t="s">
        <v>57</v>
      </c>
      <c r="F67" t="s">
        <v>11</v>
      </c>
      <c r="G67" t="s">
        <v>12</v>
      </c>
      <c r="H67">
        <f t="shared" ref="H67:H130" si="1">ROUND(D67, 3 - LEN(INT(ABS(D67))))</f>
        <v>1</v>
      </c>
    </row>
    <row r="68" spans="1:8" x14ac:dyDescent="0.3">
      <c r="A68" t="s">
        <v>45</v>
      </c>
      <c r="B68" t="s">
        <v>8</v>
      </c>
      <c r="C68" t="s">
        <v>9</v>
      </c>
      <c r="D68">
        <v>9</v>
      </c>
      <c r="E68" t="s">
        <v>57</v>
      </c>
      <c r="F68" t="s">
        <v>11</v>
      </c>
      <c r="G68" t="s">
        <v>12</v>
      </c>
      <c r="H68">
        <f t="shared" si="1"/>
        <v>9</v>
      </c>
    </row>
    <row r="69" spans="1:8" x14ac:dyDescent="0.3">
      <c r="A69" t="s">
        <v>45</v>
      </c>
      <c r="B69" t="s">
        <v>8</v>
      </c>
      <c r="C69" t="s">
        <v>13</v>
      </c>
      <c r="D69">
        <v>2</v>
      </c>
      <c r="E69" t="s">
        <v>57</v>
      </c>
      <c r="F69" t="s">
        <v>11</v>
      </c>
      <c r="G69" t="s">
        <v>12</v>
      </c>
      <c r="H69">
        <f t="shared" si="1"/>
        <v>2</v>
      </c>
    </row>
    <row r="70" spans="1:8" x14ac:dyDescent="0.3">
      <c r="A70" t="s">
        <v>45</v>
      </c>
      <c r="B70" t="s">
        <v>8</v>
      </c>
      <c r="C70" t="s">
        <v>14</v>
      </c>
      <c r="D70">
        <v>5</v>
      </c>
      <c r="E70" t="s">
        <v>57</v>
      </c>
      <c r="F70" t="s">
        <v>11</v>
      </c>
      <c r="G70" t="s">
        <v>12</v>
      </c>
      <c r="H70">
        <f t="shared" si="1"/>
        <v>5</v>
      </c>
    </row>
    <row r="71" spans="1:8" x14ac:dyDescent="0.3">
      <c r="A71" t="s">
        <v>45</v>
      </c>
      <c r="B71" t="s">
        <v>8</v>
      </c>
      <c r="C71" t="s">
        <v>15</v>
      </c>
      <c r="D71">
        <v>2</v>
      </c>
      <c r="E71" t="s">
        <v>57</v>
      </c>
      <c r="F71" t="s">
        <v>11</v>
      </c>
      <c r="G71" t="s">
        <v>12</v>
      </c>
      <c r="H71">
        <f t="shared" si="1"/>
        <v>2</v>
      </c>
    </row>
    <row r="72" spans="1:8" x14ac:dyDescent="0.3">
      <c r="A72" t="s">
        <v>45</v>
      </c>
      <c r="B72" t="s">
        <v>8</v>
      </c>
      <c r="C72" t="s">
        <v>16</v>
      </c>
      <c r="D72">
        <v>100</v>
      </c>
      <c r="E72" t="s">
        <v>57</v>
      </c>
      <c r="F72" t="s">
        <v>11</v>
      </c>
      <c r="G72" t="s">
        <v>12</v>
      </c>
      <c r="H72">
        <f t="shared" si="1"/>
        <v>100</v>
      </c>
    </row>
    <row r="73" spans="1:8" x14ac:dyDescent="0.3">
      <c r="A73" t="s">
        <v>45</v>
      </c>
      <c r="B73" t="s">
        <v>8</v>
      </c>
      <c r="C73" t="s">
        <v>17</v>
      </c>
      <c r="D73">
        <v>3</v>
      </c>
      <c r="E73" t="s">
        <v>57</v>
      </c>
      <c r="F73" t="s">
        <v>11</v>
      </c>
      <c r="G73" t="s">
        <v>12</v>
      </c>
      <c r="H73">
        <f t="shared" si="1"/>
        <v>3</v>
      </c>
    </row>
    <row r="74" spans="1:8" x14ac:dyDescent="0.3">
      <c r="A74" t="s">
        <v>45</v>
      </c>
      <c r="B74" t="s">
        <v>8</v>
      </c>
      <c r="C74" t="s">
        <v>18</v>
      </c>
      <c r="D74">
        <v>0</v>
      </c>
      <c r="E74" t="s">
        <v>57</v>
      </c>
      <c r="F74" t="s">
        <v>11</v>
      </c>
      <c r="G74" t="s">
        <v>12</v>
      </c>
      <c r="H74">
        <f t="shared" si="1"/>
        <v>0</v>
      </c>
    </row>
    <row r="75" spans="1:8" x14ac:dyDescent="0.3">
      <c r="A75" t="s">
        <v>45</v>
      </c>
      <c r="B75" t="s">
        <v>8</v>
      </c>
      <c r="C75" t="s">
        <v>19</v>
      </c>
      <c r="D75">
        <v>187</v>
      </c>
      <c r="E75" t="s">
        <v>57</v>
      </c>
      <c r="F75" t="s">
        <v>11</v>
      </c>
      <c r="G75" t="s">
        <v>12</v>
      </c>
      <c r="H75">
        <f t="shared" si="1"/>
        <v>187</v>
      </c>
    </row>
    <row r="76" spans="1:8" x14ac:dyDescent="0.3">
      <c r="A76" t="s">
        <v>45</v>
      </c>
      <c r="B76" t="s">
        <v>8</v>
      </c>
      <c r="C76" t="s">
        <v>20</v>
      </c>
      <c r="D76">
        <v>0</v>
      </c>
      <c r="E76" t="s">
        <v>57</v>
      </c>
      <c r="F76" t="s">
        <v>11</v>
      </c>
      <c r="G76" t="s">
        <v>12</v>
      </c>
      <c r="H76">
        <f t="shared" si="1"/>
        <v>0</v>
      </c>
    </row>
    <row r="77" spans="1:8" x14ac:dyDescent="0.3">
      <c r="A77" t="s">
        <v>45</v>
      </c>
      <c r="B77" t="s">
        <v>8</v>
      </c>
      <c r="C77" t="s">
        <v>21</v>
      </c>
      <c r="D77">
        <v>0</v>
      </c>
      <c r="E77" t="s">
        <v>57</v>
      </c>
      <c r="F77" t="s">
        <v>11</v>
      </c>
      <c r="G77" t="s">
        <v>12</v>
      </c>
      <c r="H77">
        <f t="shared" si="1"/>
        <v>0</v>
      </c>
    </row>
    <row r="78" spans="1:8" x14ac:dyDescent="0.3">
      <c r="A78" t="s">
        <v>45</v>
      </c>
      <c r="B78" t="s">
        <v>8</v>
      </c>
      <c r="C78" t="s">
        <v>22</v>
      </c>
      <c r="D78">
        <v>0</v>
      </c>
      <c r="E78" t="s">
        <v>57</v>
      </c>
      <c r="F78" t="s">
        <v>11</v>
      </c>
      <c r="G78" t="s">
        <v>12</v>
      </c>
      <c r="H78">
        <f t="shared" si="1"/>
        <v>0</v>
      </c>
    </row>
    <row r="79" spans="1:8" x14ac:dyDescent="0.3">
      <c r="A79" t="s">
        <v>45</v>
      </c>
      <c r="B79" t="s">
        <v>23</v>
      </c>
      <c r="C79" t="s">
        <v>9</v>
      </c>
      <c r="D79">
        <v>87</v>
      </c>
      <c r="E79" t="s">
        <v>57</v>
      </c>
      <c r="F79" t="s">
        <v>11</v>
      </c>
      <c r="G79" t="s">
        <v>12</v>
      </c>
      <c r="H79">
        <f t="shared" si="1"/>
        <v>87</v>
      </c>
    </row>
    <row r="80" spans="1:8" x14ac:dyDescent="0.3">
      <c r="A80" t="s">
        <v>45</v>
      </c>
      <c r="B80" t="s">
        <v>23</v>
      </c>
      <c r="C80" t="s">
        <v>13</v>
      </c>
      <c r="D80">
        <v>8</v>
      </c>
      <c r="E80" t="s">
        <v>57</v>
      </c>
      <c r="F80" t="s">
        <v>11</v>
      </c>
      <c r="G80" t="s">
        <v>12</v>
      </c>
      <c r="H80">
        <f t="shared" si="1"/>
        <v>8</v>
      </c>
    </row>
    <row r="81" spans="1:8" x14ac:dyDescent="0.3">
      <c r="A81" t="s">
        <v>45</v>
      </c>
      <c r="B81" t="s">
        <v>23</v>
      </c>
      <c r="C81" t="s">
        <v>14</v>
      </c>
      <c r="D81">
        <v>46</v>
      </c>
      <c r="E81" t="s">
        <v>57</v>
      </c>
      <c r="F81" t="s">
        <v>11</v>
      </c>
      <c r="G81" t="s">
        <v>12</v>
      </c>
      <c r="H81">
        <f t="shared" si="1"/>
        <v>46</v>
      </c>
    </row>
    <row r="82" spans="1:8" x14ac:dyDescent="0.3">
      <c r="A82" t="s">
        <v>45</v>
      </c>
      <c r="B82" t="s">
        <v>23</v>
      </c>
      <c r="C82" t="s">
        <v>15</v>
      </c>
      <c r="D82">
        <v>4</v>
      </c>
      <c r="E82" t="s">
        <v>57</v>
      </c>
      <c r="F82" t="s">
        <v>11</v>
      </c>
      <c r="G82" t="s">
        <v>12</v>
      </c>
      <c r="H82">
        <f t="shared" si="1"/>
        <v>4</v>
      </c>
    </row>
    <row r="83" spans="1:8" x14ac:dyDescent="0.3">
      <c r="A83" t="s">
        <v>45</v>
      </c>
      <c r="B83" t="s">
        <v>23</v>
      </c>
      <c r="C83" t="s">
        <v>16</v>
      </c>
      <c r="D83">
        <v>377</v>
      </c>
      <c r="E83" t="s">
        <v>57</v>
      </c>
      <c r="F83" t="s">
        <v>11</v>
      </c>
      <c r="G83" t="s">
        <v>12</v>
      </c>
      <c r="H83">
        <f t="shared" si="1"/>
        <v>377</v>
      </c>
    </row>
    <row r="84" spans="1:8" x14ac:dyDescent="0.3">
      <c r="A84" t="s">
        <v>45</v>
      </c>
      <c r="B84" t="s">
        <v>23</v>
      </c>
      <c r="C84" t="s">
        <v>17</v>
      </c>
      <c r="D84">
        <v>3</v>
      </c>
      <c r="E84" t="s">
        <v>57</v>
      </c>
      <c r="F84" t="s">
        <v>11</v>
      </c>
      <c r="G84" t="s">
        <v>12</v>
      </c>
      <c r="H84">
        <f t="shared" si="1"/>
        <v>3</v>
      </c>
    </row>
    <row r="85" spans="1:8" x14ac:dyDescent="0.3">
      <c r="A85" t="s">
        <v>45</v>
      </c>
      <c r="B85" t="s">
        <v>23</v>
      </c>
      <c r="C85" t="s">
        <v>18</v>
      </c>
      <c r="D85">
        <v>0</v>
      </c>
      <c r="E85" t="s">
        <v>57</v>
      </c>
      <c r="F85" t="s">
        <v>11</v>
      </c>
      <c r="G85" t="s">
        <v>12</v>
      </c>
      <c r="H85">
        <f t="shared" si="1"/>
        <v>0</v>
      </c>
    </row>
    <row r="86" spans="1:8" x14ac:dyDescent="0.3">
      <c r="A86" t="s">
        <v>45</v>
      </c>
      <c r="B86" t="s">
        <v>23</v>
      </c>
      <c r="C86" t="s">
        <v>19</v>
      </c>
      <c r="D86">
        <v>531</v>
      </c>
      <c r="E86" t="s">
        <v>57</v>
      </c>
      <c r="F86" t="s">
        <v>11</v>
      </c>
      <c r="G86" t="s">
        <v>12</v>
      </c>
      <c r="H86">
        <f t="shared" si="1"/>
        <v>531</v>
      </c>
    </row>
    <row r="87" spans="1:8" x14ac:dyDescent="0.3">
      <c r="A87" t="s">
        <v>45</v>
      </c>
      <c r="B87" t="s">
        <v>23</v>
      </c>
      <c r="C87" t="s">
        <v>20</v>
      </c>
      <c r="D87">
        <v>7</v>
      </c>
      <c r="E87" t="s">
        <v>57</v>
      </c>
      <c r="F87" t="s">
        <v>11</v>
      </c>
      <c r="G87" t="s">
        <v>12</v>
      </c>
      <c r="H87">
        <f t="shared" si="1"/>
        <v>7</v>
      </c>
    </row>
    <row r="88" spans="1:8" x14ac:dyDescent="0.3">
      <c r="A88" t="s">
        <v>45</v>
      </c>
      <c r="B88" t="s">
        <v>23</v>
      </c>
      <c r="C88" t="s">
        <v>21</v>
      </c>
      <c r="D88">
        <v>0</v>
      </c>
      <c r="E88" t="s">
        <v>57</v>
      </c>
      <c r="F88" t="s">
        <v>11</v>
      </c>
      <c r="G88" t="s">
        <v>12</v>
      </c>
      <c r="H88">
        <f t="shared" si="1"/>
        <v>0</v>
      </c>
    </row>
    <row r="89" spans="1:8" x14ac:dyDescent="0.3">
      <c r="A89" t="s">
        <v>45</v>
      </c>
      <c r="B89" t="s">
        <v>23</v>
      </c>
      <c r="C89" t="s">
        <v>22</v>
      </c>
      <c r="D89">
        <v>2</v>
      </c>
      <c r="E89" t="s">
        <v>57</v>
      </c>
      <c r="F89" t="s">
        <v>11</v>
      </c>
      <c r="G89" t="s">
        <v>12</v>
      </c>
      <c r="H89">
        <f t="shared" si="1"/>
        <v>2</v>
      </c>
    </row>
    <row r="90" spans="1:8" x14ac:dyDescent="0.3">
      <c r="A90" t="s">
        <v>58</v>
      </c>
      <c r="B90" t="s">
        <v>8</v>
      </c>
      <c r="C90" t="s">
        <v>9</v>
      </c>
      <c r="D90">
        <v>0</v>
      </c>
      <c r="E90" t="s">
        <v>57</v>
      </c>
      <c r="F90" t="s">
        <v>11</v>
      </c>
      <c r="G90" t="s">
        <v>12</v>
      </c>
      <c r="H90">
        <f t="shared" si="1"/>
        <v>0</v>
      </c>
    </row>
    <row r="91" spans="1:8" x14ac:dyDescent="0.3">
      <c r="A91" t="s">
        <v>58</v>
      </c>
      <c r="B91" t="s">
        <v>8</v>
      </c>
      <c r="C91" t="s">
        <v>13</v>
      </c>
      <c r="D91">
        <v>0</v>
      </c>
      <c r="E91" t="s">
        <v>57</v>
      </c>
      <c r="F91" t="s">
        <v>11</v>
      </c>
      <c r="G91" t="s">
        <v>12</v>
      </c>
      <c r="H91">
        <f t="shared" si="1"/>
        <v>0</v>
      </c>
    </row>
    <row r="92" spans="1:8" x14ac:dyDescent="0.3">
      <c r="A92" t="s">
        <v>58</v>
      </c>
      <c r="B92" t="s">
        <v>8</v>
      </c>
      <c r="C92" t="s">
        <v>14</v>
      </c>
      <c r="D92">
        <v>3</v>
      </c>
      <c r="E92" t="s">
        <v>57</v>
      </c>
      <c r="F92" t="s">
        <v>11</v>
      </c>
      <c r="G92" t="s">
        <v>12</v>
      </c>
      <c r="H92">
        <f t="shared" si="1"/>
        <v>3</v>
      </c>
    </row>
    <row r="93" spans="1:8" x14ac:dyDescent="0.3">
      <c r="A93" t="s">
        <v>58</v>
      </c>
      <c r="B93" t="s">
        <v>8</v>
      </c>
      <c r="C93" t="s">
        <v>15</v>
      </c>
      <c r="D93">
        <v>0</v>
      </c>
      <c r="E93" t="s">
        <v>57</v>
      </c>
      <c r="F93" t="s">
        <v>11</v>
      </c>
      <c r="G93" t="s">
        <v>12</v>
      </c>
      <c r="H93">
        <f t="shared" si="1"/>
        <v>0</v>
      </c>
    </row>
    <row r="94" spans="1:8" x14ac:dyDescent="0.3">
      <c r="A94" t="s">
        <v>58</v>
      </c>
      <c r="B94" t="s">
        <v>8</v>
      </c>
      <c r="C94" t="s">
        <v>16</v>
      </c>
      <c r="D94">
        <v>89</v>
      </c>
      <c r="E94" t="s">
        <v>57</v>
      </c>
      <c r="F94" t="s">
        <v>11</v>
      </c>
      <c r="G94" t="s">
        <v>12</v>
      </c>
      <c r="H94">
        <f t="shared" si="1"/>
        <v>89</v>
      </c>
    </row>
    <row r="95" spans="1:8" x14ac:dyDescent="0.3">
      <c r="A95" t="s">
        <v>58</v>
      </c>
      <c r="B95" t="s">
        <v>8</v>
      </c>
      <c r="C95" t="s">
        <v>17</v>
      </c>
      <c r="D95">
        <v>2</v>
      </c>
      <c r="E95" t="s">
        <v>57</v>
      </c>
      <c r="F95" t="s">
        <v>11</v>
      </c>
      <c r="G95" t="s">
        <v>12</v>
      </c>
      <c r="H95">
        <f t="shared" si="1"/>
        <v>2</v>
      </c>
    </row>
    <row r="96" spans="1:8" x14ac:dyDescent="0.3">
      <c r="A96" t="s">
        <v>58</v>
      </c>
      <c r="B96" t="s">
        <v>8</v>
      </c>
      <c r="C96" t="s">
        <v>18</v>
      </c>
      <c r="D96">
        <v>0</v>
      </c>
      <c r="E96" t="s">
        <v>57</v>
      </c>
      <c r="F96" t="s">
        <v>11</v>
      </c>
      <c r="G96" t="s">
        <v>12</v>
      </c>
      <c r="H96">
        <f t="shared" si="1"/>
        <v>0</v>
      </c>
    </row>
    <row r="97" spans="1:8" x14ac:dyDescent="0.3">
      <c r="A97" t="s">
        <v>58</v>
      </c>
      <c r="B97" t="s">
        <v>8</v>
      </c>
      <c r="C97" t="s">
        <v>19</v>
      </c>
      <c r="D97">
        <v>0</v>
      </c>
      <c r="E97" t="s">
        <v>57</v>
      </c>
      <c r="F97" t="s">
        <v>11</v>
      </c>
      <c r="G97" t="s">
        <v>12</v>
      </c>
      <c r="H97">
        <f t="shared" si="1"/>
        <v>0</v>
      </c>
    </row>
    <row r="98" spans="1:8" x14ac:dyDescent="0.3">
      <c r="A98" t="s">
        <v>58</v>
      </c>
      <c r="B98" t="s">
        <v>8</v>
      </c>
      <c r="C98" t="s">
        <v>20</v>
      </c>
      <c r="D98">
        <v>0</v>
      </c>
      <c r="E98" t="s">
        <v>57</v>
      </c>
      <c r="F98" t="s">
        <v>11</v>
      </c>
      <c r="G98" t="s">
        <v>12</v>
      </c>
      <c r="H98">
        <f t="shared" si="1"/>
        <v>0</v>
      </c>
    </row>
    <row r="99" spans="1:8" x14ac:dyDescent="0.3">
      <c r="A99" t="s">
        <v>58</v>
      </c>
      <c r="B99" t="s">
        <v>8</v>
      </c>
      <c r="C99" t="s">
        <v>21</v>
      </c>
      <c r="D99">
        <v>0</v>
      </c>
      <c r="E99" t="s">
        <v>57</v>
      </c>
      <c r="F99" t="s">
        <v>11</v>
      </c>
      <c r="G99" t="s">
        <v>12</v>
      </c>
      <c r="H99">
        <f t="shared" si="1"/>
        <v>0</v>
      </c>
    </row>
    <row r="100" spans="1:8" x14ac:dyDescent="0.3">
      <c r="A100" t="s">
        <v>58</v>
      </c>
      <c r="B100" t="s">
        <v>8</v>
      </c>
      <c r="C100" t="s">
        <v>22</v>
      </c>
      <c r="D100">
        <v>0</v>
      </c>
      <c r="E100" t="s">
        <v>57</v>
      </c>
      <c r="F100" t="s">
        <v>11</v>
      </c>
      <c r="G100" t="s">
        <v>12</v>
      </c>
      <c r="H100">
        <f t="shared" si="1"/>
        <v>0</v>
      </c>
    </row>
    <row r="101" spans="1:8" x14ac:dyDescent="0.3">
      <c r="A101" t="s">
        <v>58</v>
      </c>
      <c r="B101" t="s">
        <v>23</v>
      </c>
      <c r="C101" t="s">
        <v>9</v>
      </c>
      <c r="D101">
        <v>0</v>
      </c>
      <c r="E101" t="s">
        <v>57</v>
      </c>
      <c r="F101" t="s">
        <v>11</v>
      </c>
      <c r="G101" t="s">
        <v>12</v>
      </c>
      <c r="H101">
        <f t="shared" si="1"/>
        <v>0</v>
      </c>
    </row>
    <row r="102" spans="1:8" x14ac:dyDescent="0.3">
      <c r="A102" t="s">
        <v>58</v>
      </c>
      <c r="B102" t="s">
        <v>23</v>
      </c>
      <c r="C102" t="s">
        <v>13</v>
      </c>
      <c r="D102">
        <v>0</v>
      </c>
      <c r="E102" t="s">
        <v>57</v>
      </c>
      <c r="F102" t="s">
        <v>11</v>
      </c>
      <c r="G102" t="s">
        <v>12</v>
      </c>
      <c r="H102">
        <f t="shared" si="1"/>
        <v>0</v>
      </c>
    </row>
    <row r="103" spans="1:8" x14ac:dyDescent="0.3">
      <c r="A103" t="s">
        <v>58</v>
      </c>
      <c r="B103" t="s">
        <v>23</v>
      </c>
      <c r="C103" t="s">
        <v>14</v>
      </c>
      <c r="D103">
        <v>1</v>
      </c>
      <c r="E103" t="s">
        <v>57</v>
      </c>
      <c r="F103" t="s">
        <v>11</v>
      </c>
      <c r="G103" t="s">
        <v>12</v>
      </c>
      <c r="H103">
        <f t="shared" si="1"/>
        <v>1</v>
      </c>
    </row>
    <row r="104" spans="1:8" x14ac:dyDescent="0.3">
      <c r="A104" t="s">
        <v>58</v>
      </c>
      <c r="B104" t="s">
        <v>23</v>
      </c>
      <c r="C104" t="s">
        <v>15</v>
      </c>
      <c r="D104">
        <v>0</v>
      </c>
      <c r="E104" t="s">
        <v>57</v>
      </c>
      <c r="F104" t="s">
        <v>11</v>
      </c>
      <c r="G104" t="s">
        <v>12</v>
      </c>
      <c r="H104">
        <f t="shared" si="1"/>
        <v>0</v>
      </c>
    </row>
    <row r="105" spans="1:8" x14ac:dyDescent="0.3">
      <c r="A105" t="s">
        <v>58</v>
      </c>
      <c r="B105" t="s">
        <v>23</v>
      </c>
      <c r="C105" t="s">
        <v>16</v>
      </c>
      <c r="D105">
        <v>315</v>
      </c>
      <c r="E105" t="s">
        <v>57</v>
      </c>
      <c r="F105" t="s">
        <v>11</v>
      </c>
      <c r="G105" t="s">
        <v>12</v>
      </c>
      <c r="H105">
        <f t="shared" si="1"/>
        <v>315</v>
      </c>
    </row>
    <row r="106" spans="1:8" x14ac:dyDescent="0.3">
      <c r="A106" t="s">
        <v>58</v>
      </c>
      <c r="B106" t="s">
        <v>23</v>
      </c>
      <c r="C106" t="s">
        <v>17</v>
      </c>
      <c r="D106">
        <v>0</v>
      </c>
      <c r="E106" t="s">
        <v>57</v>
      </c>
      <c r="F106" t="s">
        <v>11</v>
      </c>
      <c r="G106" t="s">
        <v>12</v>
      </c>
      <c r="H106">
        <f t="shared" si="1"/>
        <v>0</v>
      </c>
    </row>
    <row r="107" spans="1:8" x14ac:dyDescent="0.3">
      <c r="A107" t="s">
        <v>58</v>
      </c>
      <c r="B107" t="s">
        <v>23</v>
      </c>
      <c r="C107" t="s">
        <v>18</v>
      </c>
      <c r="D107">
        <v>0</v>
      </c>
      <c r="E107" t="s">
        <v>57</v>
      </c>
      <c r="F107" t="s">
        <v>11</v>
      </c>
      <c r="G107" t="s">
        <v>12</v>
      </c>
      <c r="H107">
        <f t="shared" si="1"/>
        <v>0</v>
      </c>
    </row>
    <row r="108" spans="1:8" x14ac:dyDescent="0.3">
      <c r="A108" t="s">
        <v>58</v>
      </c>
      <c r="B108" t="s">
        <v>23</v>
      </c>
      <c r="C108" t="s">
        <v>19</v>
      </c>
      <c r="D108">
        <v>0</v>
      </c>
      <c r="E108" t="s">
        <v>57</v>
      </c>
      <c r="F108" t="s">
        <v>11</v>
      </c>
      <c r="G108" t="s">
        <v>12</v>
      </c>
      <c r="H108">
        <f t="shared" si="1"/>
        <v>0</v>
      </c>
    </row>
    <row r="109" spans="1:8" x14ac:dyDescent="0.3">
      <c r="A109" t="s">
        <v>58</v>
      </c>
      <c r="B109" t="s">
        <v>23</v>
      </c>
      <c r="C109" t="s">
        <v>20</v>
      </c>
      <c r="D109">
        <v>5</v>
      </c>
      <c r="E109" t="s">
        <v>57</v>
      </c>
      <c r="F109" t="s">
        <v>11</v>
      </c>
      <c r="G109" t="s">
        <v>12</v>
      </c>
      <c r="H109">
        <f t="shared" si="1"/>
        <v>5</v>
      </c>
    </row>
    <row r="110" spans="1:8" x14ac:dyDescent="0.3">
      <c r="A110" t="s">
        <v>58</v>
      </c>
      <c r="B110" t="s">
        <v>23</v>
      </c>
      <c r="C110" t="s">
        <v>21</v>
      </c>
      <c r="D110">
        <v>0</v>
      </c>
      <c r="E110" t="s">
        <v>57</v>
      </c>
      <c r="F110" t="s">
        <v>11</v>
      </c>
      <c r="G110" t="s">
        <v>12</v>
      </c>
      <c r="H110">
        <f t="shared" si="1"/>
        <v>0</v>
      </c>
    </row>
    <row r="111" spans="1:8" x14ac:dyDescent="0.3">
      <c r="A111" t="s">
        <v>58</v>
      </c>
      <c r="B111" t="s">
        <v>23</v>
      </c>
      <c r="C111" t="s">
        <v>22</v>
      </c>
      <c r="D111">
        <v>0</v>
      </c>
      <c r="E111" t="s">
        <v>57</v>
      </c>
      <c r="F111" t="s">
        <v>11</v>
      </c>
      <c r="G111" t="s">
        <v>12</v>
      </c>
      <c r="H111">
        <f t="shared" si="1"/>
        <v>0</v>
      </c>
    </row>
    <row r="112" spans="1:8" x14ac:dyDescent="0.3">
      <c r="A112" t="s">
        <v>59</v>
      </c>
      <c r="B112" t="s">
        <v>8</v>
      </c>
      <c r="C112" t="s">
        <v>9</v>
      </c>
      <c r="D112">
        <v>40</v>
      </c>
      <c r="E112" t="s">
        <v>57</v>
      </c>
      <c r="F112" t="s">
        <v>11</v>
      </c>
      <c r="G112" t="s">
        <v>12</v>
      </c>
      <c r="H112">
        <f t="shared" si="1"/>
        <v>40</v>
      </c>
    </row>
    <row r="113" spans="1:8" x14ac:dyDescent="0.3">
      <c r="A113" t="s">
        <v>59</v>
      </c>
      <c r="B113" t="s">
        <v>8</v>
      </c>
      <c r="C113" t="s">
        <v>13</v>
      </c>
      <c r="D113">
        <v>0</v>
      </c>
      <c r="E113" t="s">
        <v>57</v>
      </c>
      <c r="F113" t="s">
        <v>11</v>
      </c>
      <c r="G113" t="s">
        <v>12</v>
      </c>
      <c r="H113">
        <f t="shared" si="1"/>
        <v>0</v>
      </c>
    </row>
    <row r="114" spans="1:8" x14ac:dyDescent="0.3">
      <c r="A114" t="s">
        <v>59</v>
      </c>
      <c r="B114" t="s">
        <v>8</v>
      </c>
      <c r="C114" t="s">
        <v>14</v>
      </c>
      <c r="D114">
        <v>0</v>
      </c>
      <c r="E114" t="s">
        <v>57</v>
      </c>
      <c r="F114" t="s">
        <v>11</v>
      </c>
      <c r="G114" t="s">
        <v>12</v>
      </c>
      <c r="H114">
        <f t="shared" si="1"/>
        <v>0</v>
      </c>
    </row>
    <row r="115" spans="1:8" x14ac:dyDescent="0.3">
      <c r="A115" t="s">
        <v>59</v>
      </c>
      <c r="B115" t="s">
        <v>8</v>
      </c>
      <c r="C115" t="s">
        <v>15</v>
      </c>
      <c r="D115">
        <v>0</v>
      </c>
      <c r="E115" t="s">
        <v>57</v>
      </c>
      <c r="F115" t="s">
        <v>11</v>
      </c>
      <c r="G115" t="s">
        <v>12</v>
      </c>
      <c r="H115">
        <f t="shared" si="1"/>
        <v>0</v>
      </c>
    </row>
    <row r="116" spans="1:8" x14ac:dyDescent="0.3">
      <c r="A116" t="s">
        <v>59</v>
      </c>
      <c r="B116" t="s">
        <v>8</v>
      </c>
      <c r="C116" t="s">
        <v>16</v>
      </c>
      <c r="D116">
        <v>0</v>
      </c>
      <c r="E116" t="s">
        <v>57</v>
      </c>
      <c r="F116" t="s">
        <v>11</v>
      </c>
      <c r="G116" t="s">
        <v>12</v>
      </c>
      <c r="H116">
        <f t="shared" si="1"/>
        <v>0</v>
      </c>
    </row>
    <row r="117" spans="1:8" x14ac:dyDescent="0.3">
      <c r="A117" t="s">
        <v>59</v>
      </c>
      <c r="B117" t="s">
        <v>8</v>
      </c>
      <c r="C117" t="s">
        <v>17</v>
      </c>
      <c r="D117">
        <v>5</v>
      </c>
      <c r="E117" t="s">
        <v>57</v>
      </c>
      <c r="F117" t="s">
        <v>11</v>
      </c>
      <c r="G117" t="s">
        <v>12</v>
      </c>
      <c r="H117">
        <f t="shared" si="1"/>
        <v>5</v>
      </c>
    </row>
    <row r="118" spans="1:8" x14ac:dyDescent="0.3">
      <c r="A118" t="s">
        <v>59</v>
      </c>
      <c r="B118" t="s">
        <v>8</v>
      </c>
      <c r="C118" t="s">
        <v>18</v>
      </c>
      <c r="D118">
        <v>0</v>
      </c>
      <c r="E118" t="s">
        <v>57</v>
      </c>
      <c r="F118" t="s">
        <v>11</v>
      </c>
      <c r="G118" t="s">
        <v>12</v>
      </c>
      <c r="H118">
        <f t="shared" si="1"/>
        <v>0</v>
      </c>
    </row>
    <row r="119" spans="1:8" x14ac:dyDescent="0.3">
      <c r="A119" t="s">
        <v>59</v>
      </c>
      <c r="B119" t="s">
        <v>8</v>
      </c>
      <c r="C119" t="s">
        <v>19</v>
      </c>
      <c r="D119">
        <v>0</v>
      </c>
      <c r="E119" t="s">
        <v>57</v>
      </c>
      <c r="F119" t="s">
        <v>11</v>
      </c>
      <c r="G119" t="s">
        <v>12</v>
      </c>
      <c r="H119">
        <f t="shared" si="1"/>
        <v>0</v>
      </c>
    </row>
    <row r="120" spans="1:8" x14ac:dyDescent="0.3">
      <c r="A120" t="s">
        <v>59</v>
      </c>
      <c r="B120" t="s">
        <v>8</v>
      </c>
      <c r="C120" t="s">
        <v>20</v>
      </c>
      <c r="D120">
        <v>0</v>
      </c>
      <c r="E120" t="s">
        <v>57</v>
      </c>
      <c r="F120" t="s">
        <v>11</v>
      </c>
      <c r="G120" t="s">
        <v>12</v>
      </c>
      <c r="H120">
        <f t="shared" si="1"/>
        <v>0</v>
      </c>
    </row>
    <row r="121" spans="1:8" x14ac:dyDescent="0.3">
      <c r="A121" t="s">
        <v>59</v>
      </c>
      <c r="B121" t="s">
        <v>8</v>
      </c>
      <c r="C121" t="s">
        <v>21</v>
      </c>
      <c r="D121">
        <v>0</v>
      </c>
      <c r="E121" t="s">
        <v>57</v>
      </c>
      <c r="F121" t="s">
        <v>11</v>
      </c>
      <c r="G121" t="s">
        <v>12</v>
      </c>
      <c r="H121">
        <f t="shared" si="1"/>
        <v>0</v>
      </c>
    </row>
    <row r="122" spans="1:8" x14ac:dyDescent="0.3">
      <c r="A122" t="s">
        <v>59</v>
      </c>
      <c r="B122" t="s">
        <v>8</v>
      </c>
      <c r="C122" t="s">
        <v>22</v>
      </c>
      <c r="D122">
        <v>1</v>
      </c>
      <c r="E122" t="s">
        <v>57</v>
      </c>
      <c r="F122" t="s">
        <v>11</v>
      </c>
      <c r="G122" t="s">
        <v>12</v>
      </c>
      <c r="H122">
        <f t="shared" si="1"/>
        <v>1</v>
      </c>
    </row>
    <row r="123" spans="1:8" x14ac:dyDescent="0.3">
      <c r="A123" t="s">
        <v>59</v>
      </c>
      <c r="B123" t="s">
        <v>23</v>
      </c>
      <c r="C123" t="s">
        <v>9</v>
      </c>
      <c r="D123">
        <v>400</v>
      </c>
      <c r="E123" t="s">
        <v>57</v>
      </c>
      <c r="F123" t="s">
        <v>11</v>
      </c>
      <c r="G123" t="s">
        <v>12</v>
      </c>
      <c r="H123">
        <f t="shared" si="1"/>
        <v>400</v>
      </c>
    </row>
    <row r="124" spans="1:8" x14ac:dyDescent="0.3">
      <c r="A124" t="s">
        <v>59</v>
      </c>
      <c r="B124" t="s">
        <v>23</v>
      </c>
      <c r="C124" t="s">
        <v>13</v>
      </c>
      <c r="D124">
        <v>15</v>
      </c>
      <c r="E124" t="s">
        <v>57</v>
      </c>
      <c r="F124" t="s">
        <v>11</v>
      </c>
      <c r="G124" t="s">
        <v>12</v>
      </c>
      <c r="H124">
        <f t="shared" si="1"/>
        <v>15</v>
      </c>
    </row>
    <row r="125" spans="1:8" x14ac:dyDescent="0.3">
      <c r="A125" t="s">
        <v>59</v>
      </c>
      <c r="B125" t="s">
        <v>23</v>
      </c>
      <c r="C125" t="s">
        <v>14</v>
      </c>
      <c r="D125">
        <v>165</v>
      </c>
      <c r="E125" t="s">
        <v>57</v>
      </c>
      <c r="F125" t="s">
        <v>11</v>
      </c>
      <c r="G125" t="s">
        <v>12</v>
      </c>
      <c r="H125">
        <f t="shared" si="1"/>
        <v>165</v>
      </c>
    </row>
    <row r="126" spans="1:8" x14ac:dyDescent="0.3">
      <c r="A126" t="s">
        <v>59</v>
      </c>
      <c r="B126" t="s">
        <v>23</v>
      </c>
      <c r="C126" t="s">
        <v>15</v>
      </c>
      <c r="D126">
        <v>6</v>
      </c>
      <c r="E126" t="s">
        <v>57</v>
      </c>
      <c r="F126" t="s">
        <v>11</v>
      </c>
      <c r="G126" t="s">
        <v>12</v>
      </c>
      <c r="H126">
        <f t="shared" si="1"/>
        <v>6</v>
      </c>
    </row>
    <row r="127" spans="1:8" x14ac:dyDescent="0.3">
      <c r="A127" t="s">
        <v>59</v>
      </c>
      <c r="B127" t="s">
        <v>23</v>
      </c>
      <c r="C127" t="s">
        <v>16</v>
      </c>
      <c r="D127">
        <v>108</v>
      </c>
      <c r="E127" t="s">
        <v>57</v>
      </c>
      <c r="F127" t="s">
        <v>11</v>
      </c>
      <c r="G127" t="s">
        <v>12</v>
      </c>
      <c r="H127">
        <f t="shared" si="1"/>
        <v>108</v>
      </c>
    </row>
    <row r="128" spans="1:8" x14ac:dyDescent="0.3">
      <c r="A128" t="s">
        <v>59</v>
      </c>
      <c r="B128" t="s">
        <v>23</v>
      </c>
      <c r="C128" t="s">
        <v>17</v>
      </c>
      <c r="D128">
        <v>11</v>
      </c>
      <c r="E128" t="s">
        <v>57</v>
      </c>
      <c r="F128" t="s">
        <v>11</v>
      </c>
      <c r="G128" t="s">
        <v>12</v>
      </c>
      <c r="H128">
        <f t="shared" si="1"/>
        <v>11</v>
      </c>
    </row>
    <row r="129" spans="1:8" x14ac:dyDescent="0.3">
      <c r="A129" t="s">
        <v>59</v>
      </c>
      <c r="B129" t="s">
        <v>23</v>
      </c>
      <c r="C129" t="s">
        <v>18</v>
      </c>
      <c r="D129">
        <v>0</v>
      </c>
      <c r="E129" t="s">
        <v>57</v>
      </c>
      <c r="F129" t="s">
        <v>11</v>
      </c>
      <c r="G129" t="s">
        <v>12</v>
      </c>
      <c r="H129">
        <f t="shared" si="1"/>
        <v>0</v>
      </c>
    </row>
    <row r="130" spans="1:8" x14ac:dyDescent="0.3">
      <c r="A130" t="s">
        <v>59</v>
      </c>
      <c r="B130" t="s">
        <v>23</v>
      </c>
      <c r="C130" t="s">
        <v>19</v>
      </c>
      <c r="D130">
        <v>6</v>
      </c>
      <c r="E130" t="s">
        <v>57</v>
      </c>
      <c r="F130" t="s">
        <v>11</v>
      </c>
      <c r="G130" t="s">
        <v>12</v>
      </c>
      <c r="H130">
        <f t="shared" si="1"/>
        <v>6</v>
      </c>
    </row>
    <row r="131" spans="1:8" x14ac:dyDescent="0.3">
      <c r="A131" t="s">
        <v>59</v>
      </c>
      <c r="B131" t="s">
        <v>23</v>
      </c>
      <c r="C131" t="s">
        <v>20</v>
      </c>
      <c r="D131">
        <v>7</v>
      </c>
      <c r="E131" t="s">
        <v>57</v>
      </c>
      <c r="F131" t="s">
        <v>11</v>
      </c>
      <c r="G131" t="s">
        <v>12</v>
      </c>
      <c r="H131">
        <f t="shared" ref="H131:H194" si="2">ROUND(D131, 3 - LEN(INT(ABS(D131))))</f>
        <v>7</v>
      </c>
    </row>
    <row r="132" spans="1:8" x14ac:dyDescent="0.3">
      <c r="A132" t="s">
        <v>59</v>
      </c>
      <c r="B132" t="s">
        <v>23</v>
      </c>
      <c r="C132" t="s">
        <v>21</v>
      </c>
      <c r="D132">
        <v>3</v>
      </c>
      <c r="E132" t="s">
        <v>57</v>
      </c>
      <c r="F132" t="s">
        <v>11</v>
      </c>
      <c r="G132" t="s">
        <v>12</v>
      </c>
      <c r="H132">
        <f t="shared" si="2"/>
        <v>3</v>
      </c>
    </row>
    <row r="133" spans="1:8" x14ac:dyDescent="0.3">
      <c r="A133" t="s">
        <v>59</v>
      </c>
      <c r="B133" t="s">
        <v>23</v>
      </c>
      <c r="C133" t="s">
        <v>22</v>
      </c>
      <c r="D133">
        <v>2</v>
      </c>
      <c r="E133" t="s">
        <v>57</v>
      </c>
      <c r="F133" t="s">
        <v>11</v>
      </c>
      <c r="G133" t="s">
        <v>12</v>
      </c>
      <c r="H133">
        <f t="shared" si="2"/>
        <v>2</v>
      </c>
    </row>
    <row r="134" spans="1:8" x14ac:dyDescent="0.3">
      <c r="A134" t="s">
        <v>60</v>
      </c>
      <c r="B134" t="s">
        <v>8</v>
      </c>
      <c r="C134" t="s">
        <v>9</v>
      </c>
      <c r="D134">
        <v>0</v>
      </c>
      <c r="E134" t="s">
        <v>57</v>
      </c>
      <c r="F134" t="s">
        <v>11</v>
      </c>
      <c r="G134" t="s">
        <v>12</v>
      </c>
      <c r="H134">
        <f t="shared" si="2"/>
        <v>0</v>
      </c>
    </row>
    <row r="135" spans="1:8" x14ac:dyDescent="0.3">
      <c r="A135" t="s">
        <v>60</v>
      </c>
      <c r="B135" t="s">
        <v>8</v>
      </c>
      <c r="C135" t="s">
        <v>13</v>
      </c>
      <c r="D135">
        <v>0</v>
      </c>
      <c r="E135" t="s">
        <v>57</v>
      </c>
      <c r="F135" t="s">
        <v>11</v>
      </c>
      <c r="G135" t="s">
        <v>12</v>
      </c>
      <c r="H135">
        <f t="shared" si="2"/>
        <v>0</v>
      </c>
    </row>
    <row r="136" spans="1:8" x14ac:dyDescent="0.3">
      <c r="A136" t="s">
        <v>60</v>
      </c>
      <c r="B136" t="s">
        <v>8</v>
      </c>
      <c r="C136" t="s">
        <v>14</v>
      </c>
      <c r="D136">
        <v>0</v>
      </c>
      <c r="E136" t="s">
        <v>57</v>
      </c>
      <c r="F136" t="s">
        <v>11</v>
      </c>
      <c r="G136" t="s">
        <v>12</v>
      </c>
      <c r="H136">
        <f t="shared" si="2"/>
        <v>0</v>
      </c>
    </row>
    <row r="137" spans="1:8" x14ac:dyDescent="0.3">
      <c r="A137" t="s">
        <v>60</v>
      </c>
      <c r="B137" t="s">
        <v>8</v>
      </c>
      <c r="C137" t="s">
        <v>15</v>
      </c>
      <c r="D137">
        <v>0</v>
      </c>
      <c r="E137" t="s">
        <v>57</v>
      </c>
      <c r="F137" t="s">
        <v>11</v>
      </c>
      <c r="G137" t="s">
        <v>12</v>
      </c>
      <c r="H137">
        <f t="shared" si="2"/>
        <v>0</v>
      </c>
    </row>
    <row r="138" spans="1:8" x14ac:dyDescent="0.3">
      <c r="A138" t="s">
        <v>60</v>
      </c>
      <c r="B138" t="s">
        <v>8</v>
      </c>
      <c r="C138" t="s">
        <v>16</v>
      </c>
      <c r="D138">
        <v>1</v>
      </c>
      <c r="E138" t="s">
        <v>57</v>
      </c>
      <c r="F138" t="s">
        <v>11</v>
      </c>
      <c r="G138" t="s">
        <v>12</v>
      </c>
      <c r="H138">
        <f t="shared" si="2"/>
        <v>1</v>
      </c>
    </row>
    <row r="139" spans="1:8" x14ac:dyDescent="0.3">
      <c r="A139" t="s">
        <v>60</v>
      </c>
      <c r="B139" t="s">
        <v>8</v>
      </c>
      <c r="C139" t="s">
        <v>17</v>
      </c>
      <c r="D139">
        <v>0</v>
      </c>
      <c r="E139" t="s">
        <v>57</v>
      </c>
      <c r="F139" t="s">
        <v>11</v>
      </c>
      <c r="G139" t="s">
        <v>12</v>
      </c>
      <c r="H139">
        <f t="shared" si="2"/>
        <v>0</v>
      </c>
    </row>
    <row r="140" spans="1:8" x14ac:dyDescent="0.3">
      <c r="A140" t="s">
        <v>60</v>
      </c>
      <c r="B140" t="s">
        <v>8</v>
      </c>
      <c r="C140" t="s">
        <v>18</v>
      </c>
      <c r="D140">
        <v>0</v>
      </c>
      <c r="E140" t="s">
        <v>57</v>
      </c>
      <c r="F140" t="s">
        <v>11</v>
      </c>
      <c r="G140" t="s">
        <v>12</v>
      </c>
      <c r="H140">
        <f t="shared" si="2"/>
        <v>0</v>
      </c>
    </row>
    <row r="141" spans="1:8" x14ac:dyDescent="0.3">
      <c r="A141" t="s">
        <v>60</v>
      </c>
      <c r="B141" t="s">
        <v>8</v>
      </c>
      <c r="C141" t="s">
        <v>19</v>
      </c>
      <c r="D141">
        <v>0</v>
      </c>
      <c r="E141" t="s">
        <v>57</v>
      </c>
      <c r="F141" t="s">
        <v>11</v>
      </c>
      <c r="G141" t="s">
        <v>12</v>
      </c>
      <c r="H141">
        <f t="shared" si="2"/>
        <v>0</v>
      </c>
    </row>
    <row r="142" spans="1:8" x14ac:dyDescent="0.3">
      <c r="A142" t="s">
        <v>60</v>
      </c>
      <c r="B142" t="s">
        <v>8</v>
      </c>
      <c r="C142" t="s">
        <v>20</v>
      </c>
      <c r="D142">
        <v>0</v>
      </c>
      <c r="E142" t="s">
        <v>57</v>
      </c>
      <c r="F142" t="s">
        <v>11</v>
      </c>
      <c r="G142" t="s">
        <v>12</v>
      </c>
      <c r="H142">
        <f t="shared" si="2"/>
        <v>0</v>
      </c>
    </row>
    <row r="143" spans="1:8" x14ac:dyDescent="0.3">
      <c r="A143" t="s">
        <v>60</v>
      </c>
      <c r="B143" t="s">
        <v>8</v>
      </c>
      <c r="C143" t="s">
        <v>21</v>
      </c>
      <c r="D143">
        <v>0</v>
      </c>
      <c r="E143" t="s">
        <v>57</v>
      </c>
      <c r="F143" t="s">
        <v>11</v>
      </c>
      <c r="G143" t="s">
        <v>12</v>
      </c>
      <c r="H143">
        <f t="shared" si="2"/>
        <v>0</v>
      </c>
    </row>
    <row r="144" spans="1:8" x14ac:dyDescent="0.3">
      <c r="A144" t="s">
        <v>60</v>
      </c>
      <c r="B144" t="s">
        <v>8</v>
      </c>
      <c r="C144" t="s">
        <v>22</v>
      </c>
      <c r="D144">
        <v>25</v>
      </c>
      <c r="E144" t="s">
        <v>57</v>
      </c>
      <c r="F144" t="s">
        <v>11</v>
      </c>
      <c r="G144" t="s">
        <v>12</v>
      </c>
      <c r="H144">
        <f t="shared" si="2"/>
        <v>25</v>
      </c>
    </row>
    <row r="145" spans="1:8" x14ac:dyDescent="0.3">
      <c r="A145" t="s">
        <v>60</v>
      </c>
      <c r="B145" t="s">
        <v>23</v>
      </c>
      <c r="C145" t="s">
        <v>9</v>
      </c>
      <c r="D145">
        <v>5</v>
      </c>
      <c r="E145" t="s">
        <v>57</v>
      </c>
      <c r="F145" t="s">
        <v>11</v>
      </c>
      <c r="G145" t="s">
        <v>12</v>
      </c>
      <c r="H145">
        <f t="shared" si="2"/>
        <v>5</v>
      </c>
    </row>
    <row r="146" spans="1:8" x14ac:dyDescent="0.3">
      <c r="A146" t="s">
        <v>60</v>
      </c>
      <c r="B146" t="s">
        <v>23</v>
      </c>
      <c r="C146" t="s">
        <v>13</v>
      </c>
      <c r="D146">
        <v>78</v>
      </c>
      <c r="E146" t="s">
        <v>57</v>
      </c>
      <c r="F146" t="s">
        <v>11</v>
      </c>
      <c r="G146" t="s">
        <v>12</v>
      </c>
      <c r="H146">
        <f t="shared" si="2"/>
        <v>78</v>
      </c>
    </row>
    <row r="147" spans="1:8" x14ac:dyDescent="0.3">
      <c r="A147" t="s">
        <v>60</v>
      </c>
      <c r="B147" t="s">
        <v>23</v>
      </c>
      <c r="C147" t="s">
        <v>14</v>
      </c>
      <c r="D147">
        <v>61</v>
      </c>
      <c r="E147" t="s">
        <v>57</v>
      </c>
      <c r="F147" t="s">
        <v>11</v>
      </c>
      <c r="G147" t="s">
        <v>12</v>
      </c>
      <c r="H147">
        <f t="shared" si="2"/>
        <v>61</v>
      </c>
    </row>
    <row r="148" spans="1:8" x14ac:dyDescent="0.3">
      <c r="A148" t="s">
        <v>60</v>
      </c>
      <c r="B148" t="s">
        <v>23</v>
      </c>
      <c r="C148" t="s">
        <v>15</v>
      </c>
      <c r="D148">
        <v>4</v>
      </c>
      <c r="E148" t="s">
        <v>57</v>
      </c>
      <c r="F148" t="s">
        <v>11</v>
      </c>
      <c r="G148" t="s">
        <v>12</v>
      </c>
      <c r="H148">
        <f t="shared" si="2"/>
        <v>4</v>
      </c>
    </row>
    <row r="149" spans="1:8" x14ac:dyDescent="0.3">
      <c r="A149" t="s">
        <v>60</v>
      </c>
      <c r="B149" t="s">
        <v>23</v>
      </c>
      <c r="C149" t="s">
        <v>16</v>
      </c>
      <c r="D149">
        <v>29</v>
      </c>
      <c r="E149" t="s">
        <v>57</v>
      </c>
      <c r="F149" t="s">
        <v>11</v>
      </c>
      <c r="G149" t="s">
        <v>12</v>
      </c>
      <c r="H149">
        <f t="shared" si="2"/>
        <v>29</v>
      </c>
    </row>
    <row r="150" spans="1:8" x14ac:dyDescent="0.3">
      <c r="A150" t="s">
        <v>60</v>
      </c>
      <c r="B150" t="s">
        <v>23</v>
      </c>
      <c r="C150" t="s">
        <v>17</v>
      </c>
      <c r="D150">
        <v>6</v>
      </c>
      <c r="E150" t="s">
        <v>57</v>
      </c>
      <c r="F150" t="s">
        <v>11</v>
      </c>
      <c r="G150" t="s">
        <v>12</v>
      </c>
      <c r="H150">
        <f t="shared" si="2"/>
        <v>6</v>
      </c>
    </row>
    <row r="151" spans="1:8" x14ac:dyDescent="0.3">
      <c r="A151" t="s">
        <v>60</v>
      </c>
      <c r="B151" t="s">
        <v>23</v>
      </c>
      <c r="C151" t="s">
        <v>18</v>
      </c>
      <c r="D151">
        <v>0</v>
      </c>
      <c r="E151" t="s">
        <v>57</v>
      </c>
      <c r="F151" t="s">
        <v>11</v>
      </c>
      <c r="G151" t="s">
        <v>12</v>
      </c>
      <c r="H151">
        <f t="shared" si="2"/>
        <v>0</v>
      </c>
    </row>
    <row r="152" spans="1:8" x14ac:dyDescent="0.3">
      <c r="A152" t="s">
        <v>60</v>
      </c>
      <c r="B152" t="s">
        <v>23</v>
      </c>
      <c r="C152" t="s">
        <v>19</v>
      </c>
      <c r="D152">
        <v>11</v>
      </c>
      <c r="E152" t="s">
        <v>57</v>
      </c>
      <c r="F152" t="s">
        <v>11</v>
      </c>
      <c r="G152" t="s">
        <v>12</v>
      </c>
      <c r="H152">
        <f t="shared" si="2"/>
        <v>11</v>
      </c>
    </row>
    <row r="153" spans="1:8" x14ac:dyDescent="0.3">
      <c r="A153" t="s">
        <v>60</v>
      </c>
      <c r="B153" t="s">
        <v>23</v>
      </c>
      <c r="C153" t="s">
        <v>20</v>
      </c>
      <c r="D153">
        <v>4</v>
      </c>
      <c r="E153" t="s">
        <v>57</v>
      </c>
      <c r="F153" t="s">
        <v>11</v>
      </c>
      <c r="G153" t="s">
        <v>12</v>
      </c>
      <c r="H153">
        <f t="shared" si="2"/>
        <v>4</v>
      </c>
    </row>
    <row r="154" spans="1:8" x14ac:dyDescent="0.3">
      <c r="A154" t="s">
        <v>60</v>
      </c>
      <c r="B154" t="s">
        <v>23</v>
      </c>
      <c r="C154" t="s">
        <v>21</v>
      </c>
      <c r="D154">
        <v>2</v>
      </c>
      <c r="E154" t="s">
        <v>57</v>
      </c>
      <c r="F154" t="s">
        <v>11</v>
      </c>
      <c r="G154" t="s">
        <v>12</v>
      </c>
      <c r="H154">
        <f t="shared" si="2"/>
        <v>2</v>
      </c>
    </row>
    <row r="155" spans="1:8" x14ac:dyDescent="0.3">
      <c r="A155" t="s">
        <v>60</v>
      </c>
      <c r="B155" t="s">
        <v>23</v>
      </c>
      <c r="C155" t="s">
        <v>22</v>
      </c>
      <c r="D155">
        <v>293</v>
      </c>
      <c r="E155" t="s">
        <v>57</v>
      </c>
      <c r="F155" t="s">
        <v>11</v>
      </c>
      <c r="G155" t="s">
        <v>12</v>
      </c>
      <c r="H155">
        <f t="shared" si="2"/>
        <v>293</v>
      </c>
    </row>
    <row r="156" spans="1:8" x14ac:dyDescent="0.3">
      <c r="A156" t="s">
        <v>25</v>
      </c>
      <c r="B156" t="s">
        <v>8</v>
      </c>
      <c r="C156" t="s">
        <v>9</v>
      </c>
      <c r="D156">
        <v>0</v>
      </c>
      <c r="E156" t="s">
        <v>57</v>
      </c>
      <c r="F156" t="s">
        <v>11</v>
      </c>
      <c r="G156" t="s">
        <v>12</v>
      </c>
      <c r="H156">
        <f t="shared" si="2"/>
        <v>0</v>
      </c>
    </row>
    <row r="157" spans="1:8" x14ac:dyDescent="0.3">
      <c r="A157" t="s">
        <v>25</v>
      </c>
      <c r="B157" t="s">
        <v>8</v>
      </c>
      <c r="C157" t="s">
        <v>13</v>
      </c>
      <c r="D157">
        <v>10</v>
      </c>
      <c r="E157" t="s">
        <v>57</v>
      </c>
      <c r="F157" t="s">
        <v>11</v>
      </c>
      <c r="G157" t="s">
        <v>12</v>
      </c>
      <c r="H157">
        <f t="shared" si="2"/>
        <v>10</v>
      </c>
    </row>
    <row r="158" spans="1:8" x14ac:dyDescent="0.3">
      <c r="A158" t="s">
        <v>25</v>
      </c>
      <c r="B158" t="s">
        <v>8</v>
      </c>
      <c r="C158" t="s">
        <v>14</v>
      </c>
      <c r="D158">
        <v>2</v>
      </c>
      <c r="E158" t="s">
        <v>57</v>
      </c>
      <c r="F158" t="s">
        <v>11</v>
      </c>
      <c r="G158" t="s">
        <v>12</v>
      </c>
      <c r="H158">
        <f t="shared" si="2"/>
        <v>2</v>
      </c>
    </row>
    <row r="159" spans="1:8" x14ac:dyDescent="0.3">
      <c r="A159" t="s">
        <v>25</v>
      </c>
      <c r="B159" t="s">
        <v>8</v>
      </c>
      <c r="C159" t="s">
        <v>15</v>
      </c>
      <c r="D159">
        <v>0</v>
      </c>
      <c r="E159" t="s">
        <v>57</v>
      </c>
      <c r="F159" t="s">
        <v>11</v>
      </c>
      <c r="G159" t="s">
        <v>12</v>
      </c>
      <c r="H159">
        <f t="shared" si="2"/>
        <v>0</v>
      </c>
    </row>
    <row r="160" spans="1:8" x14ac:dyDescent="0.3">
      <c r="A160" t="s">
        <v>25</v>
      </c>
      <c r="B160" t="s">
        <v>8</v>
      </c>
      <c r="C160" t="s">
        <v>16</v>
      </c>
      <c r="D160">
        <v>4</v>
      </c>
      <c r="E160" t="s">
        <v>57</v>
      </c>
      <c r="F160" t="s">
        <v>11</v>
      </c>
      <c r="G160" t="s">
        <v>12</v>
      </c>
      <c r="H160">
        <f t="shared" si="2"/>
        <v>4</v>
      </c>
    </row>
    <row r="161" spans="1:8" x14ac:dyDescent="0.3">
      <c r="A161" t="s">
        <v>25</v>
      </c>
      <c r="B161" t="s">
        <v>8</v>
      </c>
      <c r="C161" t="s">
        <v>17</v>
      </c>
      <c r="D161">
        <v>1</v>
      </c>
      <c r="E161" t="s">
        <v>57</v>
      </c>
      <c r="F161" t="s">
        <v>11</v>
      </c>
      <c r="G161" t="s">
        <v>12</v>
      </c>
      <c r="H161">
        <f t="shared" si="2"/>
        <v>1</v>
      </c>
    </row>
    <row r="162" spans="1:8" x14ac:dyDescent="0.3">
      <c r="A162" t="s">
        <v>25</v>
      </c>
      <c r="B162" t="s">
        <v>8</v>
      </c>
      <c r="C162" t="s">
        <v>18</v>
      </c>
      <c r="D162">
        <v>0</v>
      </c>
      <c r="E162" t="s">
        <v>57</v>
      </c>
      <c r="F162" t="s">
        <v>11</v>
      </c>
      <c r="G162" t="s">
        <v>12</v>
      </c>
      <c r="H162">
        <f t="shared" si="2"/>
        <v>0</v>
      </c>
    </row>
    <row r="163" spans="1:8" x14ac:dyDescent="0.3">
      <c r="A163" t="s">
        <v>25</v>
      </c>
      <c r="B163" t="s">
        <v>8</v>
      </c>
      <c r="C163" t="s">
        <v>19</v>
      </c>
      <c r="D163">
        <v>0</v>
      </c>
      <c r="E163" t="s">
        <v>57</v>
      </c>
      <c r="F163" t="s">
        <v>11</v>
      </c>
      <c r="G163" t="s">
        <v>12</v>
      </c>
      <c r="H163">
        <f t="shared" si="2"/>
        <v>0</v>
      </c>
    </row>
    <row r="164" spans="1:8" x14ac:dyDescent="0.3">
      <c r="A164" t="s">
        <v>25</v>
      </c>
      <c r="B164" t="s">
        <v>8</v>
      </c>
      <c r="C164" t="s">
        <v>20</v>
      </c>
      <c r="D164">
        <v>0</v>
      </c>
      <c r="E164" t="s">
        <v>57</v>
      </c>
      <c r="F164" t="s">
        <v>11</v>
      </c>
      <c r="G164" t="s">
        <v>12</v>
      </c>
      <c r="H164">
        <f t="shared" si="2"/>
        <v>0</v>
      </c>
    </row>
    <row r="165" spans="1:8" x14ac:dyDescent="0.3">
      <c r="A165" t="s">
        <v>25</v>
      </c>
      <c r="B165" t="s">
        <v>8</v>
      </c>
      <c r="C165" t="s">
        <v>21</v>
      </c>
      <c r="D165">
        <v>2</v>
      </c>
      <c r="E165" t="s">
        <v>57</v>
      </c>
      <c r="F165" t="s">
        <v>11</v>
      </c>
      <c r="G165" t="s">
        <v>12</v>
      </c>
      <c r="H165">
        <f t="shared" si="2"/>
        <v>2</v>
      </c>
    </row>
    <row r="166" spans="1:8" x14ac:dyDescent="0.3">
      <c r="A166" t="s">
        <v>25</v>
      </c>
      <c r="B166" t="s">
        <v>8</v>
      </c>
      <c r="C166" t="s">
        <v>22</v>
      </c>
      <c r="D166">
        <v>87</v>
      </c>
      <c r="E166" t="s">
        <v>57</v>
      </c>
      <c r="F166" t="s">
        <v>11</v>
      </c>
      <c r="G166" t="s">
        <v>12</v>
      </c>
      <c r="H166">
        <f t="shared" si="2"/>
        <v>87</v>
      </c>
    </row>
    <row r="167" spans="1:8" x14ac:dyDescent="0.3">
      <c r="A167" t="s">
        <v>25</v>
      </c>
      <c r="B167" t="s">
        <v>23</v>
      </c>
      <c r="C167" t="s">
        <v>9</v>
      </c>
      <c r="D167">
        <v>16</v>
      </c>
      <c r="E167" t="s">
        <v>57</v>
      </c>
      <c r="F167" t="s">
        <v>11</v>
      </c>
      <c r="G167" t="s">
        <v>12</v>
      </c>
      <c r="H167">
        <f t="shared" si="2"/>
        <v>16</v>
      </c>
    </row>
    <row r="168" spans="1:8" x14ac:dyDescent="0.3">
      <c r="A168" t="s">
        <v>25</v>
      </c>
      <c r="B168" t="s">
        <v>23</v>
      </c>
      <c r="C168" t="s">
        <v>13</v>
      </c>
      <c r="D168">
        <v>442</v>
      </c>
      <c r="E168" t="s">
        <v>57</v>
      </c>
      <c r="F168" t="s">
        <v>11</v>
      </c>
      <c r="G168" t="s">
        <v>12</v>
      </c>
      <c r="H168">
        <f t="shared" si="2"/>
        <v>442</v>
      </c>
    </row>
    <row r="169" spans="1:8" x14ac:dyDescent="0.3">
      <c r="A169" t="s">
        <v>25</v>
      </c>
      <c r="B169" t="s">
        <v>23</v>
      </c>
      <c r="C169" t="s">
        <v>14</v>
      </c>
      <c r="D169">
        <v>222</v>
      </c>
      <c r="E169" t="s">
        <v>57</v>
      </c>
      <c r="F169" t="s">
        <v>11</v>
      </c>
      <c r="G169" t="s">
        <v>12</v>
      </c>
      <c r="H169">
        <f t="shared" si="2"/>
        <v>222</v>
      </c>
    </row>
    <row r="170" spans="1:8" x14ac:dyDescent="0.3">
      <c r="A170" t="s">
        <v>25</v>
      </c>
      <c r="B170" t="s">
        <v>23</v>
      </c>
      <c r="C170" t="s">
        <v>15</v>
      </c>
      <c r="D170">
        <v>13</v>
      </c>
      <c r="E170" t="s">
        <v>57</v>
      </c>
      <c r="F170" t="s">
        <v>11</v>
      </c>
      <c r="G170" t="s">
        <v>12</v>
      </c>
      <c r="H170">
        <f t="shared" si="2"/>
        <v>13</v>
      </c>
    </row>
    <row r="171" spans="1:8" x14ac:dyDescent="0.3">
      <c r="A171" t="s">
        <v>25</v>
      </c>
      <c r="B171" t="s">
        <v>23</v>
      </c>
      <c r="C171" t="s">
        <v>16</v>
      </c>
      <c r="D171">
        <v>99</v>
      </c>
      <c r="E171" t="s">
        <v>57</v>
      </c>
      <c r="F171" t="s">
        <v>11</v>
      </c>
      <c r="G171" t="s">
        <v>12</v>
      </c>
      <c r="H171">
        <f t="shared" si="2"/>
        <v>99</v>
      </c>
    </row>
    <row r="172" spans="1:8" x14ac:dyDescent="0.3">
      <c r="A172" t="s">
        <v>25</v>
      </c>
      <c r="B172" t="s">
        <v>23</v>
      </c>
      <c r="C172" t="s">
        <v>17</v>
      </c>
      <c r="D172">
        <v>22</v>
      </c>
      <c r="E172" t="s">
        <v>57</v>
      </c>
      <c r="F172" t="s">
        <v>11</v>
      </c>
      <c r="G172" t="s">
        <v>12</v>
      </c>
      <c r="H172">
        <f t="shared" si="2"/>
        <v>22</v>
      </c>
    </row>
    <row r="173" spans="1:8" x14ac:dyDescent="0.3">
      <c r="A173" t="s">
        <v>25</v>
      </c>
      <c r="B173" t="s">
        <v>23</v>
      </c>
      <c r="C173" t="s">
        <v>18</v>
      </c>
      <c r="D173">
        <v>0</v>
      </c>
      <c r="E173" t="s">
        <v>57</v>
      </c>
      <c r="F173" t="s">
        <v>11</v>
      </c>
      <c r="G173" t="s">
        <v>12</v>
      </c>
      <c r="H173">
        <f t="shared" si="2"/>
        <v>0</v>
      </c>
    </row>
    <row r="174" spans="1:8" x14ac:dyDescent="0.3">
      <c r="A174" t="s">
        <v>25</v>
      </c>
      <c r="B174" t="s">
        <v>23</v>
      </c>
      <c r="C174" t="s">
        <v>19</v>
      </c>
      <c r="D174">
        <v>42</v>
      </c>
      <c r="E174" t="s">
        <v>57</v>
      </c>
      <c r="F174" t="s">
        <v>11</v>
      </c>
      <c r="G174" t="s">
        <v>12</v>
      </c>
      <c r="H174">
        <f t="shared" si="2"/>
        <v>42</v>
      </c>
    </row>
    <row r="175" spans="1:8" x14ac:dyDescent="0.3">
      <c r="A175" t="s">
        <v>25</v>
      </c>
      <c r="B175" t="s">
        <v>23</v>
      </c>
      <c r="C175" t="s">
        <v>20</v>
      </c>
      <c r="D175">
        <v>13</v>
      </c>
      <c r="E175" t="s">
        <v>57</v>
      </c>
      <c r="F175" t="s">
        <v>11</v>
      </c>
      <c r="G175" t="s">
        <v>12</v>
      </c>
      <c r="H175">
        <f t="shared" si="2"/>
        <v>13</v>
      </c>
    </row>
    <row r="176" spans="1:8" x14ac:dyDescent="0.3">
      <c r="A176" t="s">
        <v>25</v>
      </c>
      <c r="B176" t="s">
        <v>23</v>
      </c>
      <c r="C176" t="s">
        <v>21</v>
      </c>
      <c r="D176">
        <v>5</v>
      </c>
      <c r="E176" t="s">
        <v>57</v>
      </c>
      <c r="F176" t="s">
        <v>11</v>
      </c>
      <c r="G176" t="s">
        <v>12</v>
      </c>
      <c r="H176">
        <f t="shared" si="2"/>
        <v>5</v>
      </c>
    </row>
    <row r="177" spans="1:8" x14ac:dyDescent="0.3">
      <c r="A177" t="s">
        <v>25</v>
      </c>
      <c r="B177" t="s">
        <v>23</v>
      </c>
      <c r="C177" t="s">
        <v>22</v>
      </c>
      <c r="D177">
        <v>1008</v>
      </c>
      <c r="E177" t="s">
        <v>57</v>
      </c>
      <c r="F177" t="s">
        <v>11</v>
      </c>
      <c r="G177" t="s">
        <v>12</v>
      </c>
      <c r="H177">
        <f t="shared" si="2"/>
        <v>1010</v>
      </c>
    </row>
    <row r="178" spans="1:8" x14ac:dyDescent="0.3">
      <c r="A178" t="s">
        <v>61</v>
      </c>
      <c r="B178" t="s">
        <v>8</v>
      </c>
      <c r="C178" t="s">
        <v>9</v>
      </c>
      <c r="D178">
        <v>0</v>
      </c>
      <c r="E178" t="s">
        <v>57</v>
      </c>
      <c r="F178" t="s">
        <v>11</v>
      </c>
      <c r="G178" t="s">
        <v>12</v>
      </c>
      <c r="H178">
        <f t="shared" si="2"/>
        <v>0</v>
      </c>
    </row>
    <row r="179" spans="1:8" x14ac:dyDescent="0.3">
      <c r="A179" t="s">
        <v>61</v>
      </c>
      <c r="B179" t="s">
        <v>8</v>
      </c>
      <c r="C179" t="s">
        <v>13</v>
      </c>
      <c r="D179">
        <v>0</v>
      </c>
      <c r="E179" t="s">
        <v>57</v>
      </c>
      <c r="F179" t="s">
        <v>11</v>
      </c>
      <c r="G179" t="s">
        <v>12</v>
      </c>
      <c r="H179">
        <f t="shared" si="2"/>
        <v>0</v>
      </c>
    </row>
    <row r="180" spans="1:8" x14ac:dyDescent="0.3">
      <c r="A180" t="s">
        <v>61</v>
      </c>
      <c r="B180" t="s">
        <v>8</v>
      </c>
      <c r="C180" t="s">
        <v>14</v>
      </c>
      <c r="D180">
        <v>0</v>
      </c>
      <c r="E180" t="s">
        <v>57</v>
      </c>
      <c r="F180" t="s">
        <v>11</v>
      </c>
      <c r="G180" t="s">
        <v>12</v>
      </c>
      <c r="H180">
        <f t="shared" si="2"/>
        <v>0</v>
      </c>
    </row>
    <row r="181" spans="1:8" x14ac:dyDescent="0.3">
      <c r="A181" t="s">
        <v>61</v>
      </c>
      <c r="B181" t="s">
        <v>8</v>
      </c>
      <c r="C181" t="s">
        <v>15</v>
      </c>
      <c r="D181">
        <v>0</v>
      </c>
      <c r="E181" t="s">
        <v>57</v>
      </c>
      <c r="F181" t="s">
        <v>11</v>
      </c>
      <c r="G181" t="s">
        <v>12</v>
      </c>
      <c r="H181">
        <f t="shared" si="2"/>
        <v>0</v>
      </c>
    </row>
    <row r="182" spans="1:8" x14ac:dyDescent="0.3">
      <c r="A182" t="s">
        <v>61</v>
      </c>
      <c r="B182" t="s">
        <v>8</v>
      </c>
      <c r="C182" t="s">
        <v>16</v>
      </c>
      <c r="D182">
        <v>2</v>
      </c>
      <c r="E182" t="s">
        <v>57</v>
      </c>
      <c r="F182" t="s">
        <v>11</v>
      </c>
      <c r="G182" t="s">
        <v>12</v>
      </c>
      <c r="H182">
        <f t="shared" si="2"/>
        <v>2</v>
      </c>
    </row>
    <row r="183" spans="1:8" x14ac:dyDescent="0.3">
      <c r="A183" t="s">
        <v>61</v>
      </c>
      <c r="B183" t="s">
        <v>8</v>
      </c>
      <c r="C183" t="s">
        <v>17</v>
      </c>
      <c r="D183">
        <v>0</v>
      </c>
      <c r="E183" t="s">
        <v>57</v>
      </c>
      <c r="F183" t="s">
        <v>11</v>
      </c>
      <c r="G183" t="s">
        <v>12</v>
      </c>
      <c r="H183">
        <f t="shared" si="2"/>
        <v>0</v>
      </c>
    </row>
    <row r="184" spans="1:8" x14ac:dyDescent="0.3">
      <c r="A184" t="s">
        <v>61</v>
      </c>
      <c r="B184" t="s">
        <v>8</v>
      </c>
      <c r="C184" t="s">
        <v>18</v>
      </c>
      <c r="D184">
        <v>0</v>
      </c>
      <c r="E184" t="s">
        <v>57</v>
      </c>
      <c r="F184" t="s">
        <v>11</v>
      </c>
      <c r="G184" t="s">
        <v>12</v>
      </c>
      <c r="H184">
        <f t="shared" si="2"/>
        <v>0</v>
      </c>
    </row>
    <row r="185" spans="1:8" x14ac:dyDescent="0.3">
      <c r="A185" t="s">
        <v>61</v>
      </c>
      <c r="B185" t="s">
        <v>8</v>
      </c>
      <c r="C185" t="s">
        <v>19</v>
      </c>
      <c r="D185">
        <v>0</v>
      </c>
      <c r="E185" t="s">
        <v>57</v>
      </c>
      <c r="F185" t="s">
        <v>11</v>
      </c>
      <c r="G185" t="s">
        <v>12</v>
      </c>
      <c r="H185">
        <f t="shared" si="2"/>
        <v>0</v>
      </c>
    </row>
    <row r="186" spans="1:8" x14ac:dyDescent="0.3">
      <c r="A186" t="s">
        <v>61</v>
      </c>
      <c r="B186" t="s">
        <v>8</v>
      </c>
      <c r="C186" t="s">
        <v>20</v>
      </c>
      <c r="D186">
        <v>0</v>
      </c>
      <c r="E186" t="s">
        <v>57</v>
      </c>
      <c r="F186" t="s">
        <v>11</v>
      </c>
      <c r="G186" t="s">
        <v>12</v>
      </c>
      <c r="H186">
        <f t="shared" si="2"/>
        <v>0</v>
      </c>
    </row>
    <row r="187" spans="1:8" x14ac:dyDescent="0.3">
      <c r="A187" t="s">
        <v>61</v>
      </c>
      <c r="B187" t="s">
        <v>8</v>
      </c>
      <c r="C187" t="s">
        <v>21</v>
      </c>
      <c r="D187">
        <v>0</v>
      </c>
      <c r="E187" t="s">
        <v>57</v>
      </c>
      <c r="F187" t="s">
        <v>11</v>
      </c>
      <c r="G187" t="s">
        <v>12</v>
      </c>
      <c r="H187">
        <f t="shared" si="2"/>
        <v>0</v>
      </c>
    </row>
    <row r="188" spans="1:8" x14ac:dyDescent="0.3">
      <c r="A188" t="s">
        <v>61</v>
      </c>
      <c r="B188" t="s">
        <v>8</v>
      </c>
      <c r="C188" t="s">
        <v>22</v>
      </c>
      <c r="D188">
        <v>38</v>
      </c>
      <c r="E188" t="s">
        <v>57</v>
      </c>
      <c r="F188" t="s">
        <v>11</v>
      </c>
      <c r="G188" t="s">
        <v>12</v>
      </c>
      <c r="H188">
        <f t="shared" si="2"/>
        <v>38</v>
      </c>
    </row>
    <row r="189" spans="1:8" x14ac:dyDescent="0.3">
      <c r="A189" t="s">
        <v>61</v>
      </c>
      <c r="B189" t="s">
        <v>23</v>
      </c>
      <c r="C189" t="s">
        <v>9</v>
      </c>
      <c r="D189">
        <v>7</v>
      </c>
      <c r="E189" t="s">
        <v>57</v>
      </c>
      <c r="F189" t="s">
        <v>11</v>
      </c>
      <c r="G189" t="s">
        <v>12</v>
      </c>
      <c r="H189">
        <f t="shared" si="2"/>
        <v>7</v>
      </c>
    </row>
    <row r="190" spans="1:8" x14ac:dyDescent="0.3">
      <c r="A190" t="s">
        <v>61</v>
      </c>
      <c r="B190" t="s">
        <v>23</v>
      </c>
      <c r="C190" t="s">
        <v>13</v>
      </c>
      <c r="D190">
        <v>116</v>
      </c>
      <c r="E190" t="s">
        <v>57</v>
      </c>
      <c r="F190" t="s">
        <v>11</v>
      </c>
      <c r="G190" t="s">
        <v>12</v>
      </c>
      <c r="H190">
        <f t="shared" si="2"/>
        <v>116</v>
      </c>
    </row>
    <row r="191" spans="1:8" x14ac:dyDescent="0.3">
      <c r="A191" t="s">
        <v>61</v>
      </c>
      <c r="B191" t="s">
        <v>23</v>
      </c>
      <c r="C191" t="s">
        <v>14</v>
      </c>
      <c r="D191">
        <v>91</v>
      </c>
      <c r="E191" t="s">
        <v>57</v>
      </c>
      <c r="F191" t="s">
        <v>11</v>
      </c>
      <c r="G191" t="s">
        <v>12</v>
      </c>
      <c r="H191">
        <f t="shared" si="2"/>
        <v>91</v>
      </c>
    </row>
    <row r="192" spans="1:8" x14ac:dyDescent="0.3">
      <c r="A192" t="s">
        <v>61</v>
      </c>
      <c r="B192" t="s">
        <v>23</v>
      </c>
      <c r="C192" t="s">
        <v>15</v>
      </c>
      <c r="D192">
        <v>6</v>
      </c>
      <c r="E192" t="s">
        <v>57</v>
      </c>
      <c r="F192" t="s">
        <v>11</v>
      </c>
      <c r="G192" t="s">
        <v>12</v>
      </c>
      <c r="H192">
        <f t="shared" si="2"/>
        <v>6</v>
      </c>
    </row>
    <row r="193" spans="1:8" x14ac:dyDescent="0.3">
      <c r="A193" t="s">
        <v>61</v>
      </c>
      <c r="B193" t="s">
        <v>23</v>
      </c>
      <c r="C193" t="s">
        <v>16</v>
      </c>
      <c r="D193">
        <v>43</v>
      </c>
      <c r="E193" t="s">
        <v>57</v>
      </c>
      <c r="F193" t="s">
        <v>11</v>
      </c>
      <c r="G193" t="s">
        <v>12</v>
      </c>
      <c r="H193">
        <f t="shared" si="2"/>
        <v>43</v>
      </c>
    </row>
    <row r="194" spans="1:8" x14ac:dyDescent="0.3">
      <c r="A194" t="s">
        <v>61</v>
      </c>
      <c r="B194" t="s">
        <v>23</v>
      </c>
      <c r="C194" t="s">
        <v>17</v>
      </c>
      <c r="D194">
        <v>10</v>
      </c>
      <c r="E194" t="s">
        <v>57</v>
      </c>
      <c r="F194" t="s">
        <v>11</v>
      </c>
      <c r="G194" t="s">
        <v>12</v>
      </c>
      <c r="H194">
        <f t="shared" si="2"/>
        <v>10</v>
      </c>
    </row>
    <row r="195" spans="1:8" x14ac:dyDescent="0.3">
      <c r="A195" t="s">
        <v>61</v>
      </c>
      <c r="B195" t="s">
        <v>23</v>
      </c>
      <c r="C195" t="s">
        <v>18</v>
      </c>
      <c r="D195">
        <v>0</v>
      </c>
      <c r="E195" t="s">
        <v>57</v>
      </c>
      <c r="F195" t="s">
        <v>11</v>
      </c>
      <c r="G195" t="s">
        <v>12</v>
      </c>
      <c r="H195">
        <f t="shared" ref="H195:H258" si="3">ROUND(D195, 3 - LEN(INT(ABS(D195))))</f>
        <v>0</v>
      </c>
    </row>
    <row r="196" spans="1:8" x14ac:dyDescent="0.3">
      <c r="A196" t="s">
        <v>61</v>
      </c>
      <c r="B196" t="s">
        <v>23</v>
      </c>
      <c r="C196" t="s">
        <v>19</v>
      </c>
      <c r="D196">
        <v>17</v>
      </c>
      <c r="E196" t="s">
        <v>57</v>
      </c>
      <c r="F196" t="s">
        <v>11</v>
      </c>
      <c r="G196" t="s">
        <v>12</v>
      </c>
      <c r="H196">
        <f t="shared" si="3"/>
        <v>17</v>
      </c>
    </row>
    <row r="197" spans="1:8" x14ac:dyDescent="0.3">
      <c r="A197" t="s">
        <v>61</v>
      </c>
      <c r="B197" t="s">
        <v>23</v>
      </c>
      <c r="C197" t="s">
        <v>20</v>
      </c>
      <c r="D197">
        <v>5</v>
      </c>
      <c r="E197" t="s">
        <v>57</v>
      </c>
      <c r="F197" t="s">
        <v>11</v>
      </c>
      <c r="G197" t="s">
        <v>12</v>
      </c>
      <c r="H197">
        <f t="shared" si="3"/>
        <v>5</v>
      </c>
    </row>
    <row r="198" spans="1:8" x14ac:dyDescent="0.3">
      <c r="A198" t="s">
        <v>61</v>
      </c>
      <c r="B198" t="s">
        <v>23</v>
      </c>
      <c r="C198" t="s">
        <v>21</v>
      </c>
      <c r="D198">
        <v>2</v>
      </c>
      <c r="E198" t="s">
        <v>57</v>
      </c>
      <c r="F198" t="s">
        <v>11</v>
      </c>
      <c r="G198" t="s">
        <v>12</v>
      </c>
      <c r="H198">
        <f t="shared" si="3"/>
        <v>2</v>
      </c>
    </row>
    <row r="199" spans="1:8" x14ac:dyDescent="0.3">
      <c r="A199" t="s">
        <v>61</v>
      </c>
      <c r="B199" t="s">
        <v>23</v>
      </c>
      <c r="C199" t="s">
        <v>22</v>
      </c>
      <c r="D199">
        <v>436</v>
      </c>
      <c r="E199" t="s">
        <v>57</v>
      </c>
      <c r="F199" t="s">
        <v>11</v>
      </c>
      <c r="G199" t="s">
        <v>12</v>
      </c>
      <c r="H199">
        <f t="shared" si="3"/>
        <v>436</v>
      </c>
    </row>
    <row r="200" spans="1:8" x14ac:dyDescent="0.3">
      <c r="A200" t="s">
        <v>62</v>
      </c>
      <c r="B200" t="s">
        <v>8</v>
      </c>
      <c r="C200" t="s">
        <v>9</v>
      </c>
      <c r="D200">
        <v>0</v>
      </c>
      <c r="E200" t="s">
        <v>57</v>
      </c>
      <c r="F200" t="s">
        <v>11</v>
      </c>
      <c r="G200" t="s">
        <v>12</v>
      </c>
      <c r="H200">
        <f t="shared" si="3"/>
        <v>0</v>
      </c>
    </row>
    <row r="201" spans="1:8" x14ac:dyDescent="0.3">
      <c r="A201" t="s">
        <v>62</v>
      </c>
      <c r="B201" t="s">
        <v>8</v>
      </c>
      <c r="C201" t="s">
        <v>13</v>
      </c>
      <c r="D201">
        <v>1</v>
      </c>
      <c r="E201" t="s">
        <v>57</v>
      </c>
      <c r="F201" t="s">
        <v>11</v>
      </c>
      <c r="G201" t="s">
        <v>12</v>
      </c>
      <c r="H201">
        <f t="shared" si="3"/>
        <v>1</v>
      </c>
    </row>
    <row r="202" spans="1:8" x14ac:dyDescent="0.3">
      <c r="A202" t="s">
        <v>62</v>
      </c>
      <c r="B202" t="s">
        <v>8</v>
      </c>
      <c r="C202" t="s">
        <v>14</v>
      </c>
      <c r="D202">
        <v>1</v>
      </c>
      <c r="E202" t="s">
        <v>57</v>
      </c>
      <c r="F202" t="s">
        <v>11</v>
      </c>
      <c r="G202" t="s">
        <v>12</v>
      </c>
      <c r="H202">
        <f t="shared" si="3"/>
        <v>1</v>
      </c>
    </row>
    <row r="203" spans="1:8" x14ac:dyDescent="0.3">
      <c r="A203" t="s">
        <v>62</v>
      </c>
      <c r="B203" t="s">
        <v>8</v>
      </c>
      <c r="C203" t="s">
        <v>15</v>
      </c>
      <c r="D203">
        <v>0</v>
      </c>
      <c r="E203" t="s">
        <v>57</v>
      </c>
      <c r="F203" t="s">
        <v>11</v>
      </c>
      <c r="G203" t="s">
        <v>12</v>
      </c>
      <c r="H203">
        <f t="shared" si="3"/>
        <v>0</v>
      </c>
    </row>
    <row r="204" spans="1:8" x14ac:dyDescent="0.3">
      <c r="A204" t="s">
        <v>62</v>
      </c>
      <c r="B204" t="s">
        <v>8</v>
      </c>
      <c r="C204" t="s">
        <v>16</v>
      </c>
      <c r="D204">
        <v>2</v>
      </c>
      <c r="E204" t="s">
        <v>57</v>
      </c>
      <c r="F204" t="s">
        <v>11</v>
      </c>
      <c r="G204" t="s">
        <v>12</v>
      </c>
      <c r="H204">
        <f t="shared" si="3"/>
        <v>2</v>
      </c>
    </row>
    <row r="205" spans="1:8" x14ac:dyDescent="0.3">
      <c r="A205" t="s">
        <v>62</v>
      </c>
      <c r="B205" t="s">
        <v>8</v>
      </c>
      <c r="C205" t="s">
        <v>17</v>
      </c>
      <c r="D205">
        <v>0</v>
      </c>
      <c r="E205" t="s">
        <v>57</v>
      </c>
      <c r="F205" t="s">
        <v>11</v>
      </c>
      <c r="G205" t="s">
        <v>12</v>
      </c>
      <c r="H205">
        <f t="shared" si="3"/>
        <v>0</v>
      </c>
    </row>
    <row r="206" spans="1:8" x14ac:dyDescent="0.3">
      <c r="A206" t="s">
        <v>62</v>
      </c>
      <c r="B206" t="s">
        <v>8</v>
      </c>
      <c r="C206" t="s">
        <v>18</v>
      </c>
      <c r="D206">
        <v>0</v>
      </c>
      <c r="E206" t="s">
        <v>57</v>
      </c>
      <c r="F206" t="s">
        <v>11</v>
      </c>
      <c r="G206" t="s">
        <v>12</v>
      </c>
      <c r="H206">
        <f t="shared" si="3"/>
        <v>0</v>
      </c>
    </row>
    <row r="207" spans="1:8" x14ac:dyDescent="0.3">
      <c r="A207" t="s">
        <v>62</v>
      </c>
      <c r="B207" t="s">
        <v>8</v>
      </c>
      <c r="C207" t="s">
        <v>19</v>
      </c>
      <c r="D207">
        <v>0</v>
      </c>
      <c r="E207" t="s">
        <v>57</v>
      </c>
      <c r="F207" t="s">
        <v>11</v>
      </c>
      <c r="G207" t="s">
        <v>12</v>
      </c>
      <c r="H207">
        <f t="shared" si="3"/>
        <v>0</v>
      </c>
    </row>
    <row r="208" spans="1:8" x14ac:dyDescent="0.3">
      <c r="A208" t="s">
        <v>62</v>
      </c>
      <c r="B208" t="s">
        <v>8</v>
      </c>
      <c r="C208" t="s">
        <v>20</v>
      </c>
      <c r="D208">
        <v>0</v>
      </c>
      <c r="E208" t="s">
        <v>57</v>
      </c>
      <c r="F208" t="s">
        <v>11</v>
      </c>
      <c r="G208" t="s">
        <v>12</v>
      </c>
      <c r="H208">
        <f t="shared" si="3"/>
        <v>0</v>
      </c>
    </row>
    <row r="209" spans="1:8" x14ac:dyDescent="0.3">
      <c r="A209" t="s">
        <v>62</v>
      </c>
      <c r="B209" t="s">
        <v>8</v>
      </c>
      <c r="C209" t="s">
        <v>21</v>
      </c>
      <c r="D209">
        <v>0</v>
      </c>
      <c r="E209" t="s">
        <v>57</v>
      </c>
      <c r="F209" t="s">
        <v>11</v>
      </c>
      <c r="G209" t="s">
        <v>12</v>
      </c>
      <c r="H209">
        <f t="shared" si="3"/>
        <v>0</v>
      </c>
    </row>
    <row r="210" spans="1:8" x14ac:dyDescent="0.3">
      <c r="A210" t="s">
        <v>62</v>
      </c>
      <c r="B210" t="s">
        <v>8</v>
      </c>
      <c r="C210" t="s">
        <v>22</v>
      </c>
      <c r="D210">
        <v>50</v>
      </c>
      <c r="E210" t="s">
        <v>57</v>
      </c>
      <c r="F210" t="s">
        <v>11</v>
      </c>
      <c r="G210" t="s">
        <v>12</v>
      </c>
      <c r="H210">
        <f t="shared" si="3"/>
        <v>50</v>
      </c>
    </row>
    <row r="211" spans="1:8" x14ac:dyDescent="0.3">
      <c r="A211" t="s">
        <v>62</v>
      </c>
      <c r="B211" t="s">
        <v>23</v>
      </c>
      <c r="C211" t="s">
        <v>9</v>
      </c>
      <c r="D211">
        <v>9</v>
      </c>
      <c r="E211" t="s">
        <v>57</v>
      </c>
      <c r="F211" t="s">
        <v>11</v>
      </c>
      <c r="G211" t="s">
        <v>12</v>
      </c>
      <c r="H211">
        <f t="shared" si="3"/>
        <v>9</v>
      </c>
    </row>
    <row r="212" spans="1:8" x14ac:dyDescent="0.3">
      <c r="A212" t="s">
        <v>62</v>
      </c>
      <c r="B212" t="s">
        <v>23</v>
      </c>
      <c r="C212" t="s">
        <v>13</v>
      </c>
      <c r="D212">
        <v>154</v>
      </c>
      <c r="E212" t="s">
        <v>57</v>
      </c>
      <c r="F212" t="s">
        <v>11</v>
      </c>
      <c r="G212" t="s">
        <v>12</v>
      </c>
      <c r="H212">
        <f t="shared" si="3"/>
        <v>154</v>
      </c>
    </row>
    <row r="213" spans="1:8" x14ac:dyDescent="0.3">
      <c r="A213" t="s">
        <v>62</v>
      </c>
      <c r="B213" t="s">
        <v>23</v>
      </c>
      <c r="C213" t="s">
        <v>14</v>
      </c>
      <c r="D213">
        <v>121</v>
      </c>
      <c r="E213" t="s">
        <v>57</v>
      </c>
      <c r="F213" t="s">
        <v>11</v>
      </c>
      <c r="G213" t="s">
        <v>12</v>
      </c>
      <c r="H213">
        <f t="shared" si="3"/>
        <v>121</v>
      </c>
    </row>
    <row r="214" spans="1:8" x14ac:dyDescent="0.3">
      <c r="A214" t="s">
        <v>62</v>
      </c>
      <c r="B214" t="s">
        <v>23</v>
      </c>
      <c r="C214" t="s">
        <v>15</v>
      </c>
      <c r="D214">
        <v>7</v>
      </c>
      <c r="E214" t="s">
        <v>57</v>
      </c>
      <c r="F214" t="s">
        <v>11</v>
      </c>
      <c r="G214" t="s">
        <v>12</v>
      </c>
      <c r="H214">
        <f t="shared" si="3"/>
        <v>7</v>
      </c>
    </row>
    <row r="215" spans="1:8" x14ac:dyDescent="0.3">
      <c r="A215" t="s">
        <v>62</v>
      </c>
      <c r="B215" t="s">
        <v>23</v>
      </c>
      <c r="C215" t="s">
        <v>16</v>
      </c>
      <c r="D215">
        <v>57</v>
      </c>
      <c r="E215" t="s">
        <v>57</v>
      </c>
      <c r="F215" t="s">
        <v>11</v>
      </c>
      <c r="G215" t="s">
        <v>12</v>
      </c>
      <c r="H215">
        <f t="shared" si="3"/>
        <v>57</v>
      </c>
    </row>
    <row r="216" spans="1:8" x14ac:dyDescent="0.3">
      <c r="A216" t="s">
        <v>62</v>
      </c>
      <c r="B216" t="s">
        <v>23</v>
      </c>
      <c r="C216" t="s">
        <v>17</v>
      </c>
      <c r="D216">
        <v>13</v>
      </c>
      <c r="E216" t="s">
        <v>57</v>
      </c>
      <c r="F216" t="s">
        <v>11</v>
      </c>
      <c r="G216" t="s">
        <v>12</v>
      </c>
      <c r="H216">
        <f t="shared" si="3"/>
        <v>13</v>
      </c>
    </row>
    <row r="217" spans="1:8" x14ac:dyDescent="0.3">
      <c r="A217" t="s">
        <v>62</v>
      </c>
      <c r="B217" t="s">
        <v>23</v>
      </c>
      <c r="C217" t="s">
        <v>18</v>
      </c>
      <c r="D217">
        <v>0</v>
      </c>
      <c r="E217" t="s">
        <v>57</v>
      </c>
      <c r="F217" t="s">
        <v>11</v>
      </c>
      <c r="G217" t="s">
        <v>12</v>
      </c>
      <c r="H217">
        <f t="shared" si="3"/>
        <v>0</v>
      </c>
    </row>
    <row r="218" spans="1:8" x14ac:dyDescent="0.3">
      <c r="A218" t="s">
        <v>62</v>
      </c>
      <c r="B218" t="s">
        <v>23</v>
      </c>
      <c r="C218" t="s">
        <v>19</v>
      </c>
      <c r="D218">
        <v>22</v>
      </c>
      <c r="E218" t="s">
        <v>57</v>
      </c>
      <c r="F218" t="s">
        <v>11</v>
      </c>
      <c r="G218" t="s">
        <v>12</v>
      </c>
      <c r="H218">
        <f t="shared" si="3"/>
        <v>22</v>
      </c>
    </row>
    <row r="219" spans="1:8" x14ac:dyDescent="0.3">
      <c r="A219" t="s">
        <v>62</v>
      </c>
      <c r="B219" t="s">
        <v>23</v>
      </c>
      <c r="C219" t="s">
        <v>20</v>
      </c>
      <c r="D219">
        <v>7</v>
      </c>
      <c r="E219" t="s">
        <v>57</v>
      </c>
      <c r="F219" t="s">
        <v>11</v>
      </c>
      <c r="G219" t="s">
        <v>12</v>
      </c>
      <c r="H219">
        <f t="shared" si="3"/>
        <v>7</v>
      </c>
    </row>
    <row r="220" spans="1:8" x14ac:dyDescent="0.3">
      <c r="A220" t="s">
        <v>62</v>
      </c>
      <c r="B220" t="s">
        <v>23</v>
      </c>
      <c r="C220" t="s">
        <v>21</v>
      </c>
      <c r="D220">
        <v>3</v>
      </c>
      <c r="E220" t="s">
        <v>57</v>
      </c>
      <c r="F220" t="s">
        <v>11</v>
      </c>
      <c r="G220" t="s">
        <v>12</v>
      </c>
      <c r="H220">
        <f t="shared" si="3"/>
        <v>3</v>
      </c>
    </row>
    <row r="221" spans="1:8" x14ac:dyDescent="0.3">
      <c r="A221" t="s">
        <v>62</v>
      </c>
      <c r="B221" t="s">
        <v>23</v>
      </c>
      <c r="C221" t="s">
        <v>22</v>
      </c>
      <c r="D221">
        <v>580</v>
      </c>
      <c r="E221" t="s">
        <v>57</v>
      </c>
      <c r="F221" t="s">
        <v>11</v>
      </c>
      <c r="G221" t="s">
        <v>12</v>
      </c>
      <c r="H221">
        <f t="shared" si="3"/>
        <v>580</v>
      </c>
    </row>
    <row r="222" spans="1:8" x14ac:dyDescent="0.3">
      <c r="A222" t="s">
        <v>26</v>
      </c>
      <c r="B222" t="s">
        <v>8</v>
      </c>
      <c r="C222" t="s">
        <v>9</v>
      </c>
      <c r="D222">
        <v>0</v>
      </c>
      <c r="E222" t="s">
        <v>57</v>
      </c>
      <c r="F222" t="s">
        <v>11</v>
      </c>
      <c r="G222" t="s">
        <v>12</v>
      </c>
      <c r="H222">
        <f t="shared" si="3"/>
        <v>0</v>
      </c>
    </row>
    <row r="223" spans="1:8" x14ac:dyDescent="0.3">
      <c r="A223" t="s">
        <v>26</v>
      </c>
      <c r="B223" t="s">
        <v>8</v>
      </c>
      <c r="C223" t="s">
        <v>13</v>
      </c>
      <c r="D223">
        <v>0</v>
      </c>
      <c r="E223" t="s">
        <v>57</v>
      </c>
      <c r="F223" t="s">
        <v>11</v>
      </c>
      <c r="G223" t="s">
        <v>12</v>
      </c>
      <c r="H223">
        <f t="shared" si="3"/>
        <v>0</v>
      </c>
    </row>
    <row r="224" spans="1:8" x14ac:dyDescent="0.3">
      <c r="A224" t="s">
        <v>26</v>
      </c>
      <c r="B224" t="s">
        <v>8</v>
      </c>
      <c r="C224" t="s">
        <v>14</v>
      </c>
      <c r="D224">
        <v>0</v>
      </c>
      <c r="E224" t="s">
        <v>57</v>
      </c>
      <c r="F224" t="s">
        <v>11</v>
      </c>
      <c r="G224" t="s">
        <v>12</v>
      </c>
      <c r="H224">
        <f t="shared" si="3"/>
        <v>0</v>
      </c>
    </row>
    <row r="225" spans="1:8" x14ac:dyDescent="0.3">
      <c r="A225" t="s">
        <v>26</v>
      </c>
      <c r="B225" t="s">
        <v>8</v>
      </c>
      <c r="C225" t="s">
        <v>15</v>
      </c>
      <c r="D225">
        <v>0</v>
      </c>
      <c r="E225" t="s">
        <v>57</v>
      </c>
      <c r="F225" t="s">
        <v>11</v>
      </c>
      <c r="G225" t="s">
        <v>12</v>
      </c>
      <c r="H225">
        <f t="shared" si="3"/>
        <v>0</v>
      </c>
    </row>
    <row r="226" spans="1:8" x14ac:dyDescent="0.3">
      <c r="A226" t="s">
        <v>26</v>
      </c>
      <c r="B226" t="s">
        <v>8</v>
      </c>
      <c r="C226" t="s">
        <v>16</v>
      </c>
      <c r="D226">
        <v>0</v>
      </c>
      <c r="E226" t="s">
        <v>57</v>
      </c>
      <c r="F226" t="s">
        <v>11</v>
      </c>
      <c r="G226" t="s">
        <v>12</v>
      </c>
      <c r="H226">
        <f t="shared" si="3"/>
        <v>0</v>
      </c>
    </row>
    <row r="227" spans="1:8" x14ac:dyDescent="0.3">
      <c r="A227" t="s">
        <v>26</v>
      </c>
      <c r="B227" t="s">
        <v>8</v>
      </c>
      <c r="C227" t="s">
        <v>17</v>
      </c>
      <c r="D227">
        <v>0</v>
      </c>
      <c r="E227" t="s">
        <v>57</v>
      </c>
      <c r="F227" t="s">
        <v>11</v>
      </c>
      <c r="G227" t="s">
        <v>12</v>
      </c>
      <c r="H227">
        <f t="shared" si="3"/>
        <v>0</v>
      </c>
    </row>
    <row r="228" spans="1:8" x14ac:dyDescent="0.3">
      <c r="A228" t="s">
        <v>26</v>
      </c>
      <c r="B228" t="s">
        <v>8</v>
      </c>
      <c r="C228" t="s">
        <v>18</v>
      </c>
      <c r="D228">
        <v>0</v>
      </c>
      <c r="E228" t="s">
        <v>57</v>
      </c>
      <c r="F228" t="s">
        <v>11</v>
      </c>
      <c r="G228" t="s">
        <v>12</v>
      </c>
      <c r="H228">
        <f t="shared" si="3"/>
        <v>0</v>
      </c>
    </row>
    <row r="229" spans="1:8" x14ac:dyDescent="0.3">
      <c r="A229" t="s">
        <v>26</v>
      </c>
      <c r="B229" t="s">
        <v>8</v>
      </c>
      <c r="C229" t="s">
        <v>19</v>
      </c>
      <c r="D229">
        <v>0</v>
      </c>
      <c r="E229" t="s">
        <v>57</v>
      </c>
      <c r="F229" t="s">
        <v>11</v>
      </c>
      <c r="G229" t="s">
        <v>12</v>
      </c>
      <c r="H229">
        <f t="shared" si="3"/>
        <v>0</v>
      </c>
    </row>
    <row r="230" spans="1:8" x14ac:dyDescent="0.3">
      <c r="A230" t="s">
        <v>26</v>
      </c>
      <c r="B230" t="s">
        <v>8</v>
      </c>
      <c r="C230" t="s">
        <v>20</v>
      </c>
      <c r="D230">
        <v>0</v>
      </c>
      <c r="E230" t="s">
        <v>57</v>
      </c>
      <c r="F230" t="s">
        <v>11</v>
      </c>
      <c r="G230" t="s">
        <v>12</v>
      </c>
      <c r="H230">
        <f t="shared" si="3"/>
        <v>0</v>
      </c>
    </row>
    <row r="231" spans="1:8" x14ac:dyDescent="0.3">
      <c r="A231" t="s">
        <v>26</v>
      </c>
      <c r="B231" t="s">
        <v>8</v>
      </c>
      <c r="C231" t="s">
        <v>21</v>
      </c>
      <c r="D231">
        <v>0</v>
      </c>
      <c r="E231" t="s">
        <v>57</v>
      </c>
      <c r="F231" t="s">
        <v>11</v>
      </c>
      <c r="G231" t="s">
        <v>12</v>
      </c>
      <c r="H231">
        <f t="shared" si="3"/>
        <v>0</v>
      </c>
    </row>
    <row r="232" spans="1:8" x14ac:dyDescent="0.3">
      <c r="A232" t="s">
        <v>26</v>
      </c>
      <c r="B232" t="s">
        <v>8</v>
      </c>
      <c r="C232" t="s">
        <v>22</v>
      </c>
      <c r="D232">
        <v>4</v>
      </c>
      <c r="E232" t="s">
        <v>57</v>
      </c>
      <c r="F232" t="s">
        <v>11</v>
      </c>
      <c r="G232" t="s">
        <v>12</v>
      </c>
      <c r="H232">
        <f t="shared" si="3"/>
        <v>4</v>
      </c>
    </row>
    <row r="233" spans="1:8" x14ac:dyDescent="0.3">
      <c r="A233" t="s">
        <v>26</v>
      </c>
      <c r="B233" t="s">
        <v>23</v>
      </c>
      <c r="C233" t="s">
        <v>9</v>
      </c>
      <c r="D233">
        <v>0</v>
      </c>
      <c r="E233" t="s">
        <v>57</v>
      </c>
      <c r="F233" t="s">
        <v>11</v>
      </c>
      <c r="G233" t="s">
        <v>12</v>
      </c>
      <c r="H233">
        <f t="shared" si="3"/>
        <v>0</v>
      </c>
    </row>
    <row r="234" spans="1:8" x14ac:dyDescent="0.3">
      <c r="A234" t="s">
        <v>26</v>
      </c>
      <c r="B234" t="s">
        <v>23</v>
      </c>
      <c r="C234" t="s">
        <v>13</v>
      </c>
      <c r="D234">
        <v>13</v>
      </c>
      <c r="E234" t="s">
        <v>57</v>
      </c>
      <c r="F234" t="s">
        <v>11</v>
      </c>
      <c r="G234" t="s">
        <v>12</v>
      </c>
      <c r="H234">
        <f t="shared" si="3"/>
        <v>13</v>
      </c>
    </row>
    <row r="235" spans="1:8" x14ac:dyDescent="0.3">
      <c r="A235" t="s">
        <v>26</v>
      </c>
      <c r="B235" t="s">
        <v>23</v>
      </c>
      <c r="C235" t="s">
        <v>14</v>
      </c>
      <c r="D235">
        <v>10</v>
      </c>
      <c r="E235" t="s">
        <v>57</v>
      </c>
      <c r="F235" t="s">
        <v>11</v>
      </c>
      <c r="G235" t="s">
        <v>12</v>
      </c>
      <c r="H235">
        <f t="shared" si="3"/>
        <v>10</v>
      </c>
    </row>
    <row r="236" spans="1:8" x14ac:dyDescent="0.3">
      <c r="A236" t="s">
        <v>26</v>
      </c>
      <c r="B236" t="s">
        <v>23</v>
      </c>
      <c r="C236" t="s">
        <v>15</v>
      </c>
      <c r="D236">
        <v>0</v>
      </c>
      <c r="E236" t="s">
        <v>57</v>
      </c>
      <c r="F236" t="s">
        <v>11</v>
      </c>
      <c r="G236" t="s">
        <v>12</v>
      </c>
      <c r="H236">
        <f t="shared" si="3"/>
        <v>0</v>
      </c>
    </row>
    <row r="237" spans="1:8" x14ac:dyDescent="0.3">
      <c r="A237" t="s">
        <v>26</v>
      </c>
      <c r="B237" t="s">
        <v>23</v>
      </c>
      <c r="C237" t="s">
        <v>16</v>
      </c>
      <c r="D237">
        <v>5</v>
      </c>
      <c r="E237" t="s">
        <v>57</v>
      </c>
      <c r="F237" t="s">
        <v>11</v>
      </c>
      <c r="G237" t="s">
        <v>12</v>
      </c>
      <c r="H237">
        <f t="shared" si="3"/>
        <v>5</v>
      </c>
    </row>
    <row r="238" spans="1:8" x14ac:dyDescent="0.3">
      <c r="A238" t="s">
        <v>26</v>
      </c>
      <c r="B238" t="s">
        <v>23</v>
      </c>
      <c r="C238" t="s">
        <v>17</v>
      </c>
      <c r="D238">
        <v>1</v>
      </c>
      <c r="E238" t="s">
        <v>57</v>
      </c>
      <c r="F238" t="s">
        <v>11</v>
      </c>
      <c r="G238" t="s">
        <v>12</v>
      </c>
      <c r="H238">
        <f t="shared" si="3"/>
        <v>1</v>
      </c>
    </row>
    <row r="239" spans="1:8" x14ac:dyDescent="0.3">
      <c r="A239" t="s">
        <v>26</v>
      </c>
      <c r="B239" t="s">
        <v>23</v>
      </c>
      <c r="C239" t="s">
        <v>18</v>
      </c>
      <c r="D239">
        <v>0</v>
      </c>
      <c r="E239" t="s">
        <v>57</v>
      </c>
      <c r="F239" t="s">
        <v>11</v>
      </c>
      <c r="G239" t="s">
        <v>12</v>
      </c>
      <c r="H239">
        <f t="shared" si="3"/>
        <v>0</v>
      </c>
    </row>
    <row r="240" spans="1:8" x14ac:dyDescent="0.3">
      <c r="A240" t="s">
        <v>26</v>
      </c>
      <c r="B240" t="s">
        <v>23</v>
      </c>
      <c r="C240" t="s">
        <v>19</v>
      </c>
      <c r="D240">
        <v>2</v>
      </c>
      <c r="E240" t="s">
        <v>57</v>
      </c>
      <c r="F240" t="s">
        <v>11</v>
      </c>
      <c r="G240" t="s">
        <v>12</v>
      </c>
      <c r="H240">
        <f t="shared" si="3"/>
        <v>2</v>
      </c>
    </row>
    <row r="241" spans="1:8" x14ac:dyDescent="0.3">
      <c r="A241" t="s">
        <v>26</v>
      </c>
      <c r="B241" t="s">
        <v>23</v>
      </c>
      <c r="C241" t="s">
        <v>20</v>
      </c>
      <c r="D241">
        <v>0</v>
      </c>
      <c r="E241" t="s">
        <v>57</v>
      </c>
      <c r="F241" t="s">
        <v>11</v>
      </c>
      <c r="G241" t="s">
        <v>12</v>
      </c>
      <c r="H241">
        <f t="shared" si="3"/>
        <v>0</v>
      </c>
    </row>
    <row r="242" spans="1:8" x14ac:dyDescent="0.3">
      <c r="A242" t="s">
        <v>26</v>
      </c>
      <c r="B242" t="s">
        <v>23</v>
      </c>
      <c r="C242" t="s">
        <v>21</v>
      </c>
      <c r="D242">
        <v>0</v>
      </c>
      <c r="E242" t="s">
        <v>57</v>
      </c>
      <c r="F242" t="s">
        <v>11</v>
      </c>
      <c r="G242" t="s">
        <v>12</v>
      </c>
      <c r="H242">
        <f t="shared" si="3"/>
        <v>0</v>
      </c>
    </row>
    <row r="243" spans="1:8" x14ac:dyDescent="0.3">
      <c r="A243" t="s">
        <v>26</v>
      </c>
      <c r="B243" t="s">
        <v>23</v>
      </c>
      <c r="C243" t="s">
        <v>22</v>
      </c>
      <c r="D243">
        <v>48</v>
      </c>
      <c r="E243" t="s">
        <v>57</v>
      </c>
      <c r="F243" t="s">
        <v>11</v>
      </c>
      <c r="G243" t="s">
        <v>12</v>
      </c>
      <c r="H243">
        <f t="shared" si="3"/>
        <v>48</v>
      </c>
    </row>
    <row r="244" spans="1:8" x14ac:dyDescent="0.3">
      <c r="A244" t="s">
        <v>27</v>
      </c>
      <c r="B244" t="s">
        <v>8</v>
      </c>
      <c r="C244" t="s">
        <v>9</v>
      </c>
      <c r="D244">
        <v>2</v>
      </c>
      <c r="E244" t="s">
        <v>57</v>
      </c>
      <c r="F244" t="s">
        <v>11</v>
      </c>
      <c r="G244" t="s">
        <v>12</v>
      </c>
      <c r="H244">
        <f t="shared" si="3"/>
        <v>2</v>
      </c>
    </row>
    <row r="245" spans="1:8" x14ac:dyDescent="0.3">
      <c r="A245" t="s">
        <v>27</v>
      </c>
      <c r="B245" t="s">
        <v>8</v>
      </c>
      <c r="C245" t="s">
        <v>13</v>
      </c>
      <c r="D245">
        <v>0</v>
      </c>
      <c r="E245" t="s">
        <v>57</v>
      </c>
      <c r="F245" t="s">
        <v>11</v>
      </c>
      <c r="G245" t="s">
        <v>12</v>
      </c>
      <c r="H245">
        <f t="shared" si="3"/>
        <v>0</v>
      </c>
    </row>
    <row r="246" spans="1:8" x14ac:dyDescent="0.3">
      <c r="A246" t="s">
        <v>27</v>
      </c>
      <c r="B246" t="s">
        <v>8</v>
      </c>
      <c r="C246" t="s">
        <v>14</v>
      </c>
      <c r="D246">
        <v>108</v>
      </c>
      <c r="E246" t="s">
        <v>57</v>
      </c>
      <c r="F246" t="s">
        <v>11</v>
      </c>
      <c r="G246" t="s">
        <v>12</v>
      </c>
      <c r="H246">
        <f t="shared" si="3"/>
        <v>108</v>
      </c>
    </row>
    <row r="247" spans="1:8" x14ac:dyDescent="0.3">
      <c r="A247" t="s">
        <v>27</v>
      </c>
      <c r="B247" t="s">
        <v>8</v>
      </c>
      <c r="C247" t="s">
        <v>15</v>
      </c>
      <c r="D247">
        <v>0</v>
      </c>
      <c r="E247" t="s">
        <v>57</v>
      </c>
      <c r="F247" t="s">
        <v>11</v>
      </c>
      <c r="G247" t="s">
        <v>12</v>
      </c>
      <c r="H247">
        <f t="shared" si="3"/>
        <v>0</v>
      </c>
    </row>
    <row r="248" spans="1:8" x14ac:dyDescent="0.3">
      <c r="A248" t="s">
        <v>27</v>
      </c>
      <c r="B248" t="s">
        <v>8</v>
      </c>
      <c r="C248" t="s">
        <v>16</v>
      </c>
      <c r="D248">
        <v>710</v>
      </c>
      <c r="E248" t="s">
        <v>57</v>
      </c>
      <c r="F248" t="s">
        <v>11</v>
      </c>
      <c r="G248" t="s">
        <v>12</v>
      </c>
      <c r="H248">
        <f t="shared" si="3"/>
        <v>710</v>
      </c>
    </row>
    <row r="249" spans="1:8" x14ac:dyDescent="0.3">
      <c r="A249" t="s">
        <v>27</v>
      </c>
      <c r="B249" t="s">
        <v>8</v>
      </c>
      <c r="C249" t="s">
        <v>17</v>
      </c>
      <c r="D249">
        <v>90</v>
      </c>
      <c r="E249" t="s">
        <v>57</v>
      </c>
      <c r="F249" t="s">
        <v>11</v>
      </c>
      <c r="G249" t="s">
        <v>12</v>
      </c>
      <c r="H249">
        <f t="shared" si="3"/>
        <v>90</v>
      </c>
    </row>
    <row r="250" spans="1:8" x14ac:dyDescent="0.3">
      <c r="A250" t="s">
        <v>27</v>
      </c>
      <c r="B250" t="s">
        <v>8</v>
      </c>
      <c r="C250" t="s">
        <v>18</v>
      </c>
      <c r="D250">
        <v>0</v>
      </c>
      <c r="E250" t="s">
        <v>57</v>
      </c>
      <c r="F250" t="s">
        <v>11</v>
      </c>
      <c r="G250" t="s">
        <v>12</v>
      </c>
      <c r="H250">
        <f t="shared" si="3"/>
        <v>0</v>
      </c>
    </row>
    <row r="251" spans="1:8" x14ac:dyDescent="0.3">
      <c r="A251" t="s">
        <v>27</v>
      </c>
      <c r="B251" t="s">
        <v>8</v>
      </c>
      <c r="C251" t="s">
        <v>19</v>
      </c>
      <c r="D251">
        <v>0</v>
      </c>
      <c r="E251" t="s">
        <v>57</v>
      </c>
      <c r="F251" t="s">
        <v>11</v>
      </c>
      <c r="G251" t="s">
        <v>12</v>
      </c>
      <c r="H251">
        <f t="shared" si="3"/>
        <v>0</v>
      </c>
    </row>
    <row r="252" spans="1:8" x14ac:dyDescent="0.3">
      <c r="A252" t="s">
        <v>27</v>
      </c>
      <c r="B252" t="s">
        <v>8</v>
      </c>
      <c r="C252" t="s">
        <v>20</v>
      </c>
      <c r="D252">
        <v>0</v>
      </c>
      <c r="E252" t="s">
        <v>57</v>
      </c>
      <c r="F252" t="s">
        <v>11</v>
      </c>
      <c r="G252" t="s">
        <v>12</v>
      </c>
      <c r="H252">
        <f t="shared" si="3"/>
        <v>0</v>
      </c>
    </row>
    <row r="253" spans="1:8" x14ac:dyDescent="0.3">
      <c r="A253" t="s">
        <v>27</v>
      </c>
      <c r="B253" t="s">
        <v>8</v>
      </c>
      <c r="C253" t="s">
        <v>21</v>
      </c>
      <c r="D253">
        <v>0</v>
      </c>
      <c r="E253" t="s">
        <v>57</v>
      </c>
      <c r="F253" t="s">
        <v>11</v>
      </c>
      <c r="G253" t="s">
        <v>12</v>
      </c>
      <c r="H253">
        <f t="shared" si="3"/>
        <v>0</v>
      </c>
    </row>
    <row r="254" spans="1:8" x14ac:dyDescent="0.3">
      <c r="A254" t="s">
        <v>27</v>
      </c>
      <c r="B254" t="s">
        <v>8</v>
      </c>
      <c r="C254" t="s">
        <v>22</v>
      </c>
      <c r="D254">
        <v>14</v>
      </c>
      <c r="E254" t="s">
        <v>57</v>
      </c>
      <c r="F254" t="s">
        <v>11</v>
      </c>
      <c r="G254" t="s">
        <v>12</v>
      </c>
      <c r="H254">
        <f t="shared" si="3"/>
        <v>14</v>
      </c>
    </row>
    <row r="255" spans="1:8" x14ac:dyDescent="0.3">
      <c r="A255" t="s">
        <v>27</v>
      </c>
      <c r="B255" t="s">
        <v>23</v>
      </c>
      <c r="C255" t="s">
        <v>9</v>
      </c>
      <c r="D255">
        <v>8</v>
      </c>
      <c r="E255" t="s">
        <v>57</v>
      </c>
      <c r="F255" t="s">
        <v>11</v>
      </c>
      <c r="G255" t="s">
        <v>12</v>
      </c>
      <c r="H255">
        <f t="shared" si="3"/>
        <v>8</v>
      </c>
    </row>
    <row r="256" spans="1:8" x14ac:dyDescent="0.3">
      <c r="A256" t="s">
        <v>27</v>
      </c>
      <c r="B256" t="s">
        <v>23</v>
      </c>
      <c r="C256" t="s">
        <v>13</v>
      </c>
      <c r="D256">
        <v>43</v>
      </c>
      <c r="E256" t="s">
        <v>57</v>
      </c>
      <c r="F256" t="s">
        <v>11</v>
      </c>
      <c r="G256" t="s">
        <v>12</v>
      </c>
      <c r="H256">
        <f t="shared" si="3"/>
        <v>43</v>
      </c>
    </row>
    <row r="257" spans="1:8" x14ac:dyDescent="0.3">
      <c r="A257" t="s">
        <v>27</v>
      </c>
      <c r="B257" t="s">
        <v>23</v>
      </c>
      <c r="C257" t="s">
        <v>14</v>
      </c>
      <c r="D257">
        <v>824</v>
      </c>
      <c r="E257" t="s">
        <v>57</v>
      </c>
      <c r="F257" t="s">
        <v>11</v>
      </c>
      <c r="G257" t="s">
        <v>12</v>
      </c>
      <c r="H257">
        <f t="shared" si="3"/>
        <v>824</v>
      </c>
    </row>
    <row r="258" spans="1:8" x14ac:dyDescent="0.3">
      <c r="A258" t="s">
        <v>27</v>
      </c>
      <c r="B258" t="s">
        <v>23</v>
      </c>
      <c r="C258" t="s">
        <v>15</v>
      </c>
      <c r="D258">
        <v>7</v>
      </c>
      <c r="E258" t="s">
        <v>57</v>
      </c>
      <c r="F258" t="s">
        <v>11</v>
      </c>
      <c r="G258" t="s">
        <v>12</v>
      </c>
      <c r="H258">
        <f t="shared" si="3"/>
        <v>7</v>
      </c>
    </row>
    <row r="259" spans="1:8" x14ac:dyDescent="0.3">
      <c r="A259" t="s">
        <v>27</v>
      </c>
      <c r="B259" t="s">
        <v>23</v>
      </c>
      <c r="C259" t="s">
        <v>16</v>
      </c>
      <c r="D259">
        <v>2628</v>
      </c>
      <c r="E259" t="s">
        <v>57</v>
      </c>
      <c r="F259" t="s">
        <v>11</v>
      </c>
      <c r="G259" t="s">
        <v>12</v>
      </c>
      <c r="H259">
        <f t="shared" ref="H259:H322" si="4">ROUND(D259, 3 - LEN(INT(ABS(D259))))</f>
        <v>2630</v>
      </c>
    </row>
    <row r="260" spans="1:8" x14ac:dyDescent="0.3">
      <c r="A260" t="s">
        <v>27</v>
      </c>
      <c r="B260" t="s">
        <v>23</v>
      </c>
      <c r="C260" t="s">
        <v>17</v>
      </c>
      <c r="D260">
        <v>496</v>
      </c>
      <c r="E260" t="s">
        <v>57</v>
      </c>
      <c r="F260" t="s">
        <v>11</v>
      </c>
      <c r="G260" t="s">
        <v>12</v>
      </c>
      <c r="H260">
        <f t="shared" si="4"/>
        <v>496</v>
      </c>
    </row>
    <row r="261" spans="1:8" x14ac:dyDescent="0.3">
      <c r="A261" t="s">
        <v>27</v>
      </c>
      <c r="B261" t="s">
        <v>23</v>
      </c>
      <c r="C261" t="s">
        <v>18</v>
      </c>
      <c r="D261">
        <v>0</v>
      </c>
      <c r="E261" t="s">
        <v>57</v>
      </c>
      <c r="F261" t="s">
        <v>11</v>
      </c>
      <c r="G261" t="s">
        <v>12</v>
      </c>
      <c r="H261">
        <f t="shared" si="4"/>
        <v>0</v>
      </c>
    </row>
    <row r="262" spans="1:8" x14ac:dyDescent="0.3">
      <c r="A262" t="s">
        <v>27</v>
      </c>
      <c r="B262" t="s">
        <v>23</v>
      </c>
      <c r="C262" t="s">
        <v>19</v>
      </c>
      <c r="D262">
        <v>12</v>
      </c>
      <c r="E262" t="s">
        <v>57</v>
      </c>
      <c r="F262" t="s">
        <v>11</v>
      </c>
      <c r="G262" t="s">
        <v>12</v>
      </c>
      <c r="H262">
        <f t="shared" si="4"/>
        <v>12</v>
      </c>
    </row>
    <row r="263" spans="1:8" x14ac:dyDescent="0.3">
      <c r="A263" t="s">
        <v>27</v>
      </c>
      <c r="B263" t="s">
        <v>23</v>
      </c>
      <c r="C263" t="s">
        <v>20</v>
      </c>
      <c r="D263">
        <v>44</v>
      </c>
      <c r="E263" t="s">
        <v>57</v>
      </c>
      <c r="F263" t="s">
        <v>11</v>
      </c>
      <c r="G263" t="s">
        <v>12</v>
      </c>
      <c r="H263">
        <f t="shared" si="4"/>
        <v>44</v>
      </c>
    </row>
    <row r="264" spans="1:8" x14ac:dyDescent="0.3">
      <c r="A264" t="s">
        <v>27</v>
      </c>
      <c r="B264" t="s">
        <v>23</v>
      </c>
      <c r="C264" t="s">
        <v>21</v>
      </c>
      <c r="D264">
        <v>4</v>
      </c>
      <c r="E264" t="s">
        <v>57</v>
      </c>
      <c r="F264" t="s">
        <v>11</v>
      </c>
      <c r="G264" t="s">
        <v>12</v>
      </c>
      <c r="H264">
        <f t="shared" si="4"/>
        <v>4</v>
      </c>
    </row>
    <row r="265" spans="1:8" x14ac:dyDescent="0.3">
      <c r="A265" t="s">
        <v>27</v>
      </c>
      <c r="B265" t="s">
        <v>23</v>
      </c>
      <c r="C265" t="s">
        <v>22</v>
      </c>
      <c r="D265">
        <v>148</v>
      </c>
      <c r="E265" t="s">
        <v>57</v>
      </c>
      <c r="F265" t="s">
        <v>11</v>
      </c>
      <c r="G265" t="s">
        <v>12</v>
      </c>
      <c r="H265">
        <f t="shared" si="4"/>
        <v>148</v>
      </c>
    </row>
    <row r="266" spans="1:8" x14ac:dyDescent="0.3">
      <c r="A266" t="s">
        <v>63</v>
      </c>
      <c r="B266" t="s">
        <v>8</v>
      </c>
      <c r="C266" t="s">
        <v>9</v>
      </c>
      <c r="D266">
        <v>103</v>
      </c>
      <c r="E266" t="s">
        <v>57</v>
      </c>
      <c r="F266" t="s">
        <v>11</v>
      </c>
      <c r="G266" t="s">
        <v>12</v>
      </c>
      <c r="H266">
        <f t="shared" si="4"/>
        <v>103</v>
      </c>
    </row>
    <row r="267" spans="1:8" x14ac:dyDescent="0.3">
      <c r="A267" t="s">
        <v>63</v>
      </c>
      <c r="B267" t="s">
        <v>8</v>
      </c>
      <c r="C267" t="s">
        <v>13</v>
      </c>
      <c r="D267">
        <v>0</v>
      </c>
      <c r="E267" t="s">
        <v>57</v>
      </c>
      <c r="F267" t="s">
        <v>11</v>
      </c>
      <c r="G267" t="s">
        <v>12</v>
      </c>
      <c r="H267">
        <f t="shared" si="4"/>
        <v>0</v>
      </c>
    </row>
    <row r="268" spans="1:8" x14ac:dyDescent="0.3">
      <c r="A268" t="s">
        <v>63</v>
      </c>
      <c r="B268" t="s">
        <v>8</v>
      </c>
      <c r="C268" t="s">
        <v>14</v>
      </c>
      <c r="D268">
        <v>2</v>
      </c>
      <c r="E268" t="s">
        <v>57</v>
      </c>
      <c r="F268" t="s">
        <v>11</v>
      </c>
      <c r="G268" t="s">
        <v>12</v>
      </c>
      <c r="H268">
        <f t="shared" si="4"/>
        <v>2</v>
      </c>
    </row>
    <row r="269" spans="1:8" x14ac:dyDescent="0.3">
      <c r="A269" t="s">
        <v>63</v>
      </c>
      <c r="B269" t="s">
        <v>8</v>
      </c>
      <c r="C269" t="s">
        <v>15</v>
      </c>
      <c r="D269">
        <v>0</v>
      </c>
      <c r="E269" t="s">
        <v>57</v>
      </c>
      <c r="F269" t="s">
        <v>11</v>
      </c>
      <c r="G269" t="s">
        <v>12</v>
      </c>
      <c r="H269">
        <f t="shared" si="4"/>
        <v>0</v>
      </c>
    </row>
    <row r="270" spans="1:8" x14ac:dyDescent="0.3">
      <c r="A270" t="s">
        <v>63</v>
      </c>
      <c r="B270" t="s">
        <v>8</v>
      </c>
      <c r="C270" t="s">
        <v>16</v>
      </c>
      <c r="D270">
        <v>2</v>
      </c>
      <c r="E270" t="s">
        <v>57</v>
      </c>
      <c r="F270" t="s">
        <v>11</v>
      </c>
      <c r="G270" t="s">
        <v>12</v>
      </c>
      <c r="H270">
        <f t="shared" si="4"/>
        <v>2</v>
      </c>
    </row>
    <row r="271" spans="1:8" x14ac:dyDescent="0.3">
      <c r="A271" t="s">
        <v>63</v>
      </c>
      <c r="B271" t="s">
        <v>8</v>
      </c>
      <c r="C271" t="s">
        <v>17</v>
      </c>
      <c r="D271">
        <v>12</v>
      </c>
      <c r="E271" t="s">
        <v>57</v>
      </c>
      <c r="F271" t="s">
        <v>11</v>
      </c>
      <c r="G271" t="s">
        <v>12</v>
      </c>
      <c r="H271">
        <f t="shared" si="4"/>
        <v>12</v>
      </c>
    </row>
    <row r="272" spans="1:8" x14ac:dyDescent="0.3">
      <c r="A272" t="s">
        <v>63</v>
      </c>
      <c r="B272" t="s">
        <v>8</v>
      </c>
      <c r="C272" t="s">
        <v>18</v>
      </c>
      <c r="D272">
        <v>0</v>
      </c>
      <c r="E272" t="s">
        <v>57</v>
      </c>
      <c r="F272" t="s">
        <v>11</v>
      </c>
      <c r="G272" t="s">
        <v>12</v>
      </c>
      <c r="H272">
        <f t="shared" si="4"/>
        <v>0</v>
      </c>
    </row>
    <row r="273" spans="1:8" x14ac:dyDescent="0.3">
      <c r="A273" t="s">
        <v>63</v>
      </c>
      <c r="B273" t="s">
        <v>8</v>
      </c>
      <c r="C273" t="s">
        <v>19</v>
      </c>
      <c r="D273">
        <v>0</v>
      </c>
      <c r="E273" t="s">
        <v>57</v>
      </c>
      <c r="F273" t="s">
        <v>11</v>
      </c>
      <c r="G273" t="s">
        <v>12</v>
      </c>
      <c r="H273">
        <f t="shared" si="4"/>
        <v>0</v>
      </c>
    </row>
    <row r="274" spans="1:8" x14ac:dyDescent="0.3">
      <c r="A274" t="s">
        <v>63</v>
      </c>
      <c r="B274" t="s">
        <v>8</v>
      </c>
      <c r="C274" t="s">
        <v>20</v>
      </c>
      <c r="D274">
        <v>0</v>
      </c>
      <c r="E274" t="s">
        <v>57</v>
      </c>
      <c r="F274" t="s">
        <v>11</v>
      </c>
      <c r="G274" t="s">
        <v>12</v>
      </c>
      <c r="H274">
        <f t="shared" si="4"/>
        <v>0</v>
      </c>
    </row>
    <row r="275" spans="1:8" x14ac:dyDescent="0.3">
      <c r="A275" t="s">
        <v>63</v>
      </c>
      <c r="B275" t="s">
        <v>8</v>
      </c>
      <c r="C275" t="s">
        <v>21</v>
      </c>
      <c r="D275">
        <v>0</v>
      </c>
      <c r="E275" t="s">
        <v>57</v>
      </c>
      <c r="F275" t="s">
        <v>11</v>
      </c>
      <c r="G275" t="s">
        <v>12</v>
      </c>
      <c r="H275">
        <f t="shared" si="4"/>
        <v>0</v>
      </c>
    </row>
    <row r="276" spans="1:8" x14ac:dyDescent="0.3">
      <c r="A276" t="s">
        <v>63</v>
      </c>
      <c r="B276" t="s">
        <v>8</v>
      </c>
      <c r="C276" t="s">
        <v>22</v>
      </c>
      <c r="D276">
        <v>3</v>
      </c>
      <c r="E276" t="s">
        <v>57</v>
      </c>
      <c r="F276" t="s">
        <v>11</v>
      </c>
      <c r="G276" t="s">
        <v>12</v>
      </c>
      <c r="H276">
        <f t="shared" si="4"/>
        <v>3</v>
      </c>
    </row>
    <row r="277" spans="1:8" x14ac:dyDescent="0.3">
      <c r="A277" t="s">
        <v>63</v>
      </c>
      <c r="B277" t="s">
        <v>23</v>
      </c>
      <c r="C277" t="s">
        <v>9</v>
      </c>
      <c r="D277">
        <v>1020</v>
      </c>
      <c r="E277" t="s">
        <v>57</v>
      </c>
      <c r="F277" t="s">
        <v>11</v>
      </c>
      <c r="G277" t="s">
        <v>12</v>
      </c>
      <c r="H277">
        <f t="shared" si="4"/>
        <v>1020</v>
      </c>
    </row>
    <row r="278" spans="1:8" x14ac:dyDescent="0.3">
      <c r="A278" t="s">
        <v>63</v>
      </c>
      <c r="B278" t="s">
        <v>23</v>
      </c>
      <c r="C278" t="s">
        <v>13</v>
      </c>
      <c r="D278">
        <v>38</v>
      </c>
      <c r="E278" t="s">
        <v>57</v>
      </c>
      <c r="F278" t="s">
        <v>11</v>
      </c>
      <c r="G278" t="s">
        <v>12</v>
      </c>
      <c r="H278">
        <f t="shared" si="4"/>
        <v>38</v>
      </c>
    </row>
    <row r="279" spans="1:8" x14ac:dyDescent="0.3">
      <c r="A279" t="s">
        <v>63</v>
      </c>
      <c r="B279" t="s">
        <v>23</v>
      </c>
      <c r="C279" t="s">
        <v>14</v>
      </c>
      <c r="D279">
        <v>420</v>
      </c>
      <c r="E279" t="s">
        <v>57</v>
      </c>
      <c r="F279" t="s">
        <v>11</v>
      </c>
      <c r="G279" t="s">
        <v>12</v>
      </c>
      <c r="H279">
        <f t="shared" si="4"/>
        <v>420</v>
      </c>
    </row>
    <row r="280" spans="1:8" x14ac:dyDescent="0.3">
      <c r="A280" t="s">
        <v>63</v>
      </c>
      <c r="B280" t="s">
        <v>23</v>
      </c>
      <c r="C280" t="s">
        <v>15</v>
      </c>
      <c r="D280">
        <v>15</v>
      </c>
      <c r="E280" t="s">
        <v>57</v>
      </c>
      <c r="F280" t="s">
        <v>11</v>
      </c>
      <c r="G280" t="s">
        <v>12</v>
      </c>
      <c r="H280">
        <f t="shared" si="4"/>
        <v>15</v>
      </c>
    </row>
    <row r="281" spans="1:8" x14ac:dyDescent="0.3">
      <c r="A281" t="s">
        <v>63</v>
      </c>
      <c r="B281" t="s">
        <v>23</v>
      </c>
      <c r="C281" t="s">
        <v>16</v>
      </c>
      <c r="D281">
        <v>277</v>
      </c>
      <c r="E281" t="s">
        <v>57</v>
      </c>
      <c r="F281" t="s">
        <v>11</v>
      </c>
      <c r="G281" t="s">
        <v>12</v>
      </c>
      <c r="H281">
        <f t="shared" si="4"/>
        <v>277</v>
      </c>
    </row>
    <row r="282" spans="1:8" x14ac:dyDescent="0.3">
      <c r="A282" t="s">
        <v>63</v>
      </c>
      <c r="B282" t="s">
        <v>23</v>
      </c>
      <c r="C282" t="s">
        <v>17</v>
      </c>
      <c r="D282">
        <v>28</v>
      </c>
      <c r="E282" t="s">
        <v>57</v>
      </c>
      <c r="F282" t="s">
        <v>11</v>
      </c>
      <c r="G282" t="s">
        <v>12</v>
      </c>
      <c r="H282">
        <f t="shared" si="4"/>
        <v>28</v>
      </c>
    </row>
    <row r="283" spans="1:8" x14ac:dyDescent="0.3">
      <c r="A283" t="s">
        <v>63</v>
      </c>
      <c r="B283" t="s">
        <v>23</v>
      </c>
      <c r="C283" t="s">
        <v>18</v>
      </c>
      <c r="D283">
        <v>0</v>
      </c>
      <c r="E283" t="s">
        <v>57</v>
      </c>
      <c r="F283" t="s">
        <v>11</v>
      </c>
      <c r="G283" t="s">
        <v>12</v>
      </c>
      <c r="H283">
        <f t="shared" si="4"/>
        <v>0</v>
      </c>
    </row>
    <row r="284" spans="1:8" x14ac:dyDescent="0.3">
      <c r="A284" t="s">
        <v>63</v>
      </c>
      <c r="B284" t="s">
        <v>23</v>
      </c>
      <c r="C284" t="s">
        <v>19</v>
      </c>
      <c r="D284">
        <v>16</v>
      </c>
      <c r="E284" t="s">
        <v>57</v>
      </c>
      <c r="F284" t="s">
        <v>11</v>
      </c>
      <c r="G284" t="s">
        <v>12</v>
      </c>
      <c r="H284">
        <f t="shared" si="4"/>
        <v>16</v>
      </c>
    </row>
    <row r="285" spans="1:8" x14ac:dyDescent="0.3">
      <c r="A285" t="s">
        <v>63</v>
      </c>
      <c r="B285" t="s">
        <v>23</v>
      </c>
      <c r="C285" t="s">
        <v>20</v>
      </c>
      <c r="D285">
        <v>17</v>
      </c>
      <c r="E285" t="s">
        <v>57</v>
      </c>
      <c r="F285" t="s">
        <v>11</v>
      </c>
      <c r="G285" t="s">
        <v>12</v>
      </c>
      <c r="H285">
        <f t="shared" si="4"/>
        <v>17</v>
      </c>
    </row>
    <row r="286" spans="1:8" x14ac:dyDescent="0.3">
      <c r="A286" t="s">
        <v>63</v>
      </c>
      <c r="B286" t="s">
        <v>23</v>
      </c>
      <c r="C286" t="s">
        <v>21</v>
      </c>
      <c r="D286">
        <v>8</v>
      </c>
      <c r="E286" t="s">
        <v>57</v>
      </c>
      <c r="F286" t="s">
        <v>11</v>
      </c>
      <c r="G286" t="s">
        <v>12</v>
      </c>
      <c r="H286">
        <f t="shared" si="4"/>
        <v>8</v>
      </c>
    </row>
    <row r="287" spans="1:8" x14ac:dyDescent="0.3">
      <c r="A287" t="s">
        <v>63</v>
      </c>
      <c r="B287" t="s">
        <v>23</v>
      </c>
      <c r="C287" t="s">
        <v>22</v>
      </c>
      <c r="D287">
        <v>5</v>
      </c>
      <c r="E287" t="s">
        <v>57</v>
      </c>
      <c r="F287" t="s">
        <v>11</v>
      </c>
      <c r="G287" t="s">
        <v>12</v>
      </c>
      <c r="H287">
        <f t="shared" si="4"/>
        <v>5</v>
      </c>
    </row>
    <row r="288" spans="1:8" x14ac:dyDescent="0.3">
      <c r="A288" t="s">
        <v>52</v>
      </c>
      <c r="B288" t="s">
        <v>8</v>
      </c>
      <c r="C288" t="s">
        <v>9</v>
      </c>
      <c r="D288">
        <v>31</v>
      </c>
      <c r="E288" t="s">
        <v>57</v>
      </c>
      <c r="F288" t="s">
        <v>11</v>
      </c>
      <c r="G288" t="s">
        <v>12</v>
      </c>
      <c r="H288">
        <f t="shared" si="4"/>
        <v>31</v>
      </c>
    </row>
    <row r="289" spans="1:8" x14ac:dyDescent="0.3">
      <c r="A289" t="s">
        <v>52</v>
      </c>
      <c r="B289" t="s">
        <v>8</v>
      </c>
      <c r="C289" t="s">
        <v>13</v>
      </c>
      <c r="D289">
        <v>0</v>
      </c>
      <c r="E289" t="s">
        <v>57</v>
      </c>
      <c r="F289" t="s">
        <v>11</v>
      </c>
      <c r="G289" t="s">
        <v>12</v>
      </c>
      <c r="H289">
        <f t="shared" si="4"/>
        <v>0</v>
      </c>
    </row>
    <row r="290" spans="1:8" x14ac:dyDescent="0.3">
      <c r="A290" t="s">
        <v>52</v>
      </c>
      <c r="B290" t="s">
        <v>8</v>
      </c>
      <c r="C290" t="s">
        <v>14</v>
      </c>
      <c r="D290">
        <v>0</v>
      </c>
      <c r="E290" t="s">
        <v>57</v>
      </c>
      <c r="F290" t="s">
        <v>11</v>
      </c>
      <c r="G290" t="s">
        <v>12</v>
      </c>
      <c r="H290">
        <f t="shared" si="4"/>
        <v>0</v>
      </c>
    </row>
    <row r="291" spans="1:8" x14ac:dyDescent="0.3">
      <c r="A291" t="s">
        <v>52</v>
      </c>
      <c r="B291" t="s">
        <v>8</v>
      </c>
      <c r="C291" t="s">
        <v>15</v>
      </c>
      <c r="D291">
        <v>0</v>
      </c>
      <c r="E291" t="s">
        <v>57</v>
      </c>
      <c r="F291" t="s">
        <v>11</v>
      </c>
      <c r="G291" t="s">
        <v>12</v>
      </c>
      <c r="H291">
        <f t="shared" si="4"/>
        <v>0</v>
      </c>
    </row>
    <row r="292" spans="1:8" x14ac:dyDescent="0.3">
      <c r="A292" t="s">
        <v>52</v>
      </c>
      <c r="B292" t="s">
        <v>8</v>
      </c>
      <c r="C292" t="s">
        <v>16</v>
      </c>
      <c r="D292">
        <v>0</v>
      </c>
      <c r="E292" t="s">
        <v>57</v>
      </c>
      <c r="F292" t="s">
        <v>11</v>
      </c>
      <c r="G292" t="s">
        <v>12</v>
      </c>
      <c r="H292">
        <f t="shared" si="4"/>
        <v>0</v>
      </c>
    </row>
    <row r="293" spans="1:8" x14ac:dyDescent="0.3">
      <c r="A293" t="s">
        <v>52</v>
      </c>
      <c r="B293" t="s">
        <v>8</v>
      </c>
      <c r="C293" t="s">
        <v>17</v>
      </c>
      <c r="D293">
        <v>3</v>
      </c>
      <c r="E293" t="s">
        <v>57</v>
      </c>
      <c r="F293" t="s">
        <v>11</v>
      </c>
      <c r="G293" t="s">
        <v>12</v>
      </c>
      <c r="H293">
        <f t="shared" si="4"/>
        <v>3</v>
      </c>
    </row>
    <row r="294" spans="1:8" x14ac:dyDescent="0.3">
      <c r="A294" t="s">
        <v>52</v>
      </c>
      <c r="B294" t="s">
        <v>8</v>
      </c>
      <c r="C294" t="s">
        <v>18</v>
      </c>
      <c r="D294">
        <v>0</v>
      </c>
      <c r="E294" t="s">
        <v>57</v>
      </c>
      <c r="F294" t="s">
        <v>11</v>
      </c>
      <c r="G294" t="s">
        <v>12</v>
      </c>
      <c r="H294">
        <f t="shared" si="4"/>
        <v>0</v>
      </c>
    </row>
    <row r="295" spans="1:8" x14ac:dyDescent="0.3">
      <c r="A295" t="s">
        <v>52</v>
      </c>
      <c r="B295" t="s">
        <v>8</v>
      </c>
      <c r="C295" t="s">
        <v>19</v>
      </c>
      <c r="D295">
        <v>0</v>
      </c>
      <c r="E295" t="s">
        <v>57</v>
      </c>
      <c r="F295" t="s">
        <v>11</v>
      </c>
      <c r="G295" t="s">
        <v>12</v>
      </c>
      <c r="H295">
        <f t="shared" si="4"/>
        <v>0</v>
      </c>
    </row>
    <row r="296" spans="1:8" x14ac:dyDescent="0.3">
      <c r="A296" t="s">
        <v>52</v>
      </c>
      <c r="B296" t="s">
        <v>8</v>
      </c>
      <c r="C296" t="s">
        <v>20</v>
      </c>
      <c r="D296">
        <v>0</v>
      </c>
      <c r="E296" t="s">
        <v>57</v>
      </c>
      <c r="F296" t="s">
        <v>11</v>
      </c>
      <c r="G296" t="s">
        <v>12</v>
      </c>
      <c r="H296">
        <f t="shared" si="4"/>
        <v>0</v>
      </c>
    </row>
    <row r="297" spans="1:8" x14ac:dyDescent="0.3">
      <c r="A297" t="s">
        <v>52</v>
      </c>
      <c r="B297" t="s">
        <v>8</v>
      </c>
      <c r="C297" t="s">
        <v>21</v>
      </c>
      <c r="D297">
        <v>0</v>
      </c>
      <c r="E297" t="s">
        <v>57</v>
      </c>
      <c r="F297" t="s">
        <v>11</v>
      </c>
      <c r="G297" t="s">
        <v>12</v>
      </c>
      <c r="H297">
        <f t="shared" si="4"/>
        <v>0</v>
      </c>
    </row>
    <row r="298" spans="1:8" x14ac:dyDescent="0.3">
      <c r="A298" t="s">
        <v>52</v>
      </c>
      <c r="B298" t="s">
        <v>8</v>
      </c>
      <c r="C298" t="s">
        <v>22</v>
      </c>
      <c r="D298">
        <v>0</v>
      </c>
      <c r="E298" t="s">
        <v>57</v>
      </c>
      <c r="F298" t="s">
        <v>11</v>
      </c>
      <c r="G298" t="s">
        <v>12</v>
      </c>
      <c r="H298">
        <f t="shared" si="4"/>
        <v>0</v>
      </c>
    </row>
    <row r="299" spans="1:8" x14ac:dyDescent="0.3">
      <c r="A299" t="s">
        <v>52</v>
      </c>
      <c r="B299" t="s">
        <v>23</v>
      </c>
      <c r="C299" t="s">
        <v>9</v>
      </c>
      <c r="D299">
        <v>304</v>
      </c>
      <c r="E299" t="s">
        <v>57</v>
      </c>
      <c r="F299" t="s">
        <v>11</v>
      </c>
      <c r="G299" t="s">
        <v>12</v>
      </c>
      <c r="H299">
        <f t="shared" si="4"/>
        <v>304</v>
      </c>
    </row>
    <row r="300" spans="1:8" x14ac:dyDescent="0.3">
      <c r="A300" t="s">
        <v>52</v>
      </c>
      <c r="B300" t="s">
        <v>23</v>
      </c>
      <c r="C300" t="s">
        <v>13</v>
      </c>
      <c r="D300">
        <v>11</v>
      </c>
      <c r="E300" t="s">
        <v>57</v>
      </c>
      <c r="F300" t="s">
        <v>11</v>
      </c>
      <c r="G300" t="s">
        <v>12</v>
      </c>
      <c r="H300">
        <f t="shared" si="4"/>
        <v>11</v>
      </c>
    </row>
    <row r="301" spans="1:8" x14ac:dyDescent="0.3">
      <c r="A301" t="s">
        <v>52</v>
      </c>
      <c r="B301" t="s">
        <v>23</v>
      </c>
      <c r="C301" t="s">
        <v>14</v>
      </c>
      <c r="D301">
        <v>125</v>
      </c>
      <c r="E301" t="s">
        <v>57</v>
      </c>
      <c r="F301" t="s">
        <v>11</v>
      </c>
      <c r="G301" t="s">
        <v>12</v>
      </c>
      <c r="H301">
        <f t="shared" si="4"/>
        <v>125</v>
      </c>
    </row>
    <row r="302" spans="1:8" x14ac:dyDescent="0.3">
      <c r="A302" t="s">
        <v>52</v>
      </c>
      <c r="B302" t="s">
        <v>23</v>
      </c>
      <c r="C302" t="s">
        <v>15</v>
      </c>
      <c r="D302">
        <v>5</v>
      </c>
      <c r="E302" t="s">
        <v>57</v>
      </c>
      <c r="F302" t="s">
        <v>11</v>
      </c>
      <c r="G302" t="s">
        <v>12</v>
      </c>
      <c r="H302">
        <f t="shared" si="4"/>
        <v>5</v>
      </c>
    </row>
    <row r="303" spans="1:8" x14ac:dyDescent="0.3">
      <c r="A303" t="s">
        <v>52</v>
      </c>
      <c r="B303" t="s">
        <v>23</v>
      </c>
      <c r="C303" t="s">
        <v>16</v>
      </c>
      <c r="D303">
        <v>83</v>
      </c>
      <c r="E303" t="s">
        <v>57</v>
      </c>
      <c r="F303" t="s">
        <v>11</v>
      </c>
      <c r="G303" t="s">
        <v>12</v>
      </c>
      <c r="H303">
        <f t="shared" si="4"/>
        <v>83</v>
      </c>
    </row>
    <row r="304" spans="1:8" x14ac:dyDescent="0.3">
      <c r="A304" t="s">
        <v>52</v>
      </c>
      <c r="B304" t="s">
        <v>23</v>
      </c>
      <c r="C304" t="s">
        <v>17</v>
      </c>
      <c r="D304">
        <v>9</v>
      </c>
      <c r="E304" t="s">
        <v>57</v>
      </c>
      <c r="F304" t="s">
        <v>11</v>
      </c>
      <c r="G304" t="s">
        <v>12</v>
      </c>
      <c r="H304">
        <f t="shared" si="4"/>
        <v>9</v>
      </c>
    </row>
    <row r="305" spans="1:8" x14ac:dyDescent="0.3">
      <c r="A305" t="s">
        <v>52</v>
      </c>
      <c r="B305" t="s">
        <v>23</v>
      </c>
      <c r="C305" t="s">
        <v>18</v>
      </c>
      <c r="D305">
        <v>0</v>
      </c>
      <c r="E305" t="s">
        <v>57</v>
      </c>
      <c r="F305" t="s">
        <v>11</v>
      </c>
      <c r="G305" t="s">
        <v>12</v>
      </c>
      <c r="H305">
        <f t="shared" si="4"/>
        <v>0</v>
      </c>
    </row>
    <row r="306" spans="1:8" x14ac:dyDescent="0.3">
      <c r="A306" t="s">
        <v>52</v>
      </c>
      <c r="B306" t="s">
        <v>23</v>
      </c>
      <c r="C306" t="s">
        <v>19</v>
      </c>
      <c r="D306">
        <v>5</v>
      </c>
      <c r="E306" t="s">
        <v>57</v>
      </c>
      <c r="F306" t="s">
        <v>11</v>
      </c>
      <c r="G306" t="s">
        <v>12</v>
      </c>
      <c r="H306">
        <f t="shared" si="4"/>
        <v>5</v>
      </c>
    </row>
    <row r="307" spans="1:8" x14ac:dyDescent="0.3">
      <c r="A307" t="s">
        <v>52</v>
      </c>
      <c r="B307" t="s">
        <v>23</v>
      </c>
      <c r="C307" t="s">
        <v>20</v>
      </c>
      <c r="D307">
        <v>5</v>
      </c>
      <c r="E307" t="s">
        <v>57</v>
      </c>
      <c r="F307" t="s">
        <v>11</v>
      </c>
      <c r="G307" t="s">
        <v>12</v>
      </c>
      <c r="H307">
        <f t="shared" si="4"/>
        <v>5</v>
      </c>
    </row>
    <row r="308" spans="1:8" x14ac:dyDescent="0.3">
      <c r="A308" t="s">
        <v>52</v>
      </c>
      <c r="B308" t="s">
        <v>23</v>
      </c>
      <c r="C308" t="s">
        <v>21</v>
      </c>
      <c r="D308">
        <v>2</v>
      </c>
      <c r="E308" t="s">
        <v>57</v>
      </c>
      <c r="F308" t="s">
        <v>11</v>
      </c>
      <c r="G308" t="s">
        <v>12</v>
      </c>
      <c r="H308">
        <f t="shared" si="4"/>
        <v>2</v>
      </c>
    </row>
    <row r="309" spans="1:8" x14ac:dyDescent="0.3">
      <c r="A309" t="s">
        <v>52</v>
      </c>
      <c r="B309" t="s">
        <v>23</v>
      </c>
      <c r="C309" t="s">
        <v>22</v>
      </c>
      <c r="D309">
        <v>1</v>
      </c>
      <c r="E309" t="s">
        <v>57</v>
      </c>
      <c r="F309" t="s">
        <v>11</v>
      </c>
      <c r="G309" t="s">
        <v>12</v>
      </c>
      <c r="H309">
        <f t="shared" si="4"/>
        <v>1</v>
      </c>
    </row>
    <row r="310" spans="1:8" x14ac:dyDescent="0.3">
      <c r="A310" t="s">
        <v>64</v>
      </c>
      <c r="B310" t="s">
        <v>8</v>
      </c>
      <c r="C310" t="s">
        <v>9</v>
      </c>
      <c r="D310">
        <v>0</v>
      </c>
      <c r="E310" t="s">
        <v>57</v>
      </c>
      <c r="F310" t="s">
        <v>11</v>
      </c>
      <c r="G310" t="s">
        <v>12</v>
      </c>
      <c r="H310">
        <f t="shared" si="4"/>
        <v>0</v>
      </c>
    </row>
    <row r="311" spans="1:8" x14ac:dyDescent="0.3">
      <c r="A311" t="s">
        <v>64</v>
      </c>
      <c r="B311" t="s">
        <v>8</v>
      </c>
      <c r="C311" t="s">
        <v>13</v>
      </c>
      <c r="D311">
        <v>0</v>
      </c>
      <c r="E311" t="s">
        <v>57</v>
      </c>
      <c r="F311" t="s">
        <v>11</v>
      </c>
      <c r="G311" t="s">
        <v>12</v>
      </c>
      <c r="H311">
        <f t="shared" si="4"/>
        <v>0</v>
      </c>
    </row>
    <row r="312" spans="1:8" x14ac:dyDescent="0.3">
      <c r="A312" t="s">
        <v>64</v>
      </c>
      <c r="B312" t="s">
        <v>8</v>
      </c>
      <c r="C312" t="s">
        <v>14</v>
      </c>
      <c r="D312">
        <v>5</v>
      </c>
      <c r="E312" t="s">
        <v>57</v>
      </c>
      <c r="F312" t="s">
        <v>11</v>
      </c>
      <c r="G312" t="s">
        <v>12</v>
      </c>
      <c r="H312">
        <f t="shared" si="4"/>
        <v>5</v>
      </c>
    </row>
    <row r="313" spans="1:8" x14ac:dyDescent="0.3">
      <c r="A313" t="s">
        <v>64</v>
      </c>
      <c r="B313" t="s">
        <v>8</v>
      </c>
      <c r="C313" t="s">
        <v>15</v>
      </c>
      <c r="D313">
        <v>0</v>
      </c>
      <c r="E313" t="s">
        <v>57</v>
      </c>
      <c r="F313" t="s">
        <v>11</v>
      </c>
      <c r="G313" t="s">
        <v>12</v>
      </c>
      <c r="H313">
        <f t="shared" si="4"/>
        <v>0</v>
      </c>
    </row>
    <row r="314" spans="1:8" x14ac:dyDescent="0.3">
      <c r="A314" t="s">
        <v>64</v>
      </c>
      <c r="B314" t="s">
        <v>8</v>
      </c>
      <c r="C314" t="s">
        <v>16</v>
      </c>
      <c r="D314">
        <v>158</v>
      </c>
      <c r="E314" t="s">
        <v>57</v>
      </c>
      <c r="F314" t="s">
        <v>11</v>
      </c>
      <c r="G314" t="s">
        <v>12</v>
      </c>
      <c r="H314">
        <f t="shared" si="4"/>
        <v>158</v>
      </c>
    </row>
    <row r="315" spans="1:8" x14ac:dyDescent="0.3">
      <c r="A315" t="s">
        <v>64</v>
      </c>
      <c r="B315" t="s">
        <v>8</v>
      </c>
      <c r="C315" t="s">
        <v>17</v>
      </c>
      <c r="D315">
        <v>4</v>
      </c>
      <c r="E315" t="s">
        <v>57</v>
      </c>
      <c r="F315" t="s">
        <v>11</v>
      </c>
      <c r="G315" t="s">
        <v>12</v>
      </c>
      <c r="H315">
        <f t="shared" si="4"/>
        <v>4</v>
      </c>
    </row>
    <row r="316" spans="1:8" x14ac:dyDescent="0.3">
      <c r="A316" t="s">
        <v>64</v>
      </c>
      <c r="B316" t="s">
        <v>8</v>
      </c>
      <c r="C316" t="s">
        <v>18</v>
      </c>
      <c r="D316">
        <v>0</v>
      </c>
      <c r="E316" t="s">
        <v>57</v>
      </c>
      <c r="F316" t="s">
        <v>11</v>
      </c>
      <c r="G316" t="s">
        <v>12</v>
      </c>
      <c r="H316">
        <f t="shared" si="4"/>
        <v>0</v>
      </c>
    </row>
    <row r="317" spans="1:8" x14ac:dyDescent="0.3">
      <c r="A317" t="s">
        <v>64</v>
      </c>
      <c r="B317" t="s">
        <v>8</v>
      </c>
      <c r="C317" t="s">
        <v>19</v>
      </c>
      <c r="D317">
        <v>0</v>
      </c>
      <c r="E317" t="s">
        <v>57</v>
      </c>
      <c r="F317" t="s">
        <v>11</v>
      </c>
      <c r="G317" t="s">
        <v>12</v>
      </c>
      <c r="H317">
        <f t="shared" si="4"/>
        <v>0</v>
      </c>
    </row>
    <row r="318" spans="1:8" x14ac:dyDescent="0.3">
      <c r="A318" t="s">
        <v>64</v>
      </c>
      <c r="B318" t="s">
        <v>8</v>
      </c>
      <c r="C318" t="s">
        <v>20</v>
      </c>
      <c r="D318">
        <v>0</v>
      </c>
      <c r="E318" t="s">
        <v>57</v>
      </c>
      <c r="F318" t="s">
        <v>11</v>
      </c>
      <c r="G318" t="s">
        <v>12</v>
      </c>
      <c r="H318">
        <f t="shared" si="4"/>
        <v>0</v>
      </c>
    </row>
    <row r="319" spans="1:8" x14ac:dyDescent="0.3">
      <c r="A319" t="s">
        <v>64</v>
      </c>
      <c r="B319" t="s">
        <v>8</v>
      </c>
      <c r="C319" t="s">
        <v>21</v>
      </c>
      <c r="D319">
        <v>0</v>
      </c>
      <c r="E319" t="s">
        <v>57</v>
      </c>
      <c r="F319" t="s">
        <v>11</v>
      </c>
      <c r="G319" t="s">
        <v>12</v>
      </c>
      <c r="H319">
        <f t="shared" si="4"/>
        <v>0</v>
      </c>
    </row>
    <row r="320" spans="1:8" x14ac:dyDescent="0.3">
      <c r="A320" t="s">
        <v>64</v>
      </c>
      <c r="B320" t="s">
        <v>8</v>
      </c>
      <c r="C320" t="s">
        <v>22</v>
      </c>
      <c r="D320">
        <v>0</v>
      </c>
      <c r="E320" t="s">
        <v>57</v>
      </c>
      <c r="F320" t="s">
        <v>11</v>
      </c>
      <c r="G320" t="s">
        <v>12</v>
      </c>
      <c r="H320">
        <f t="shared" si="4"/>
        <v>0</v>
      </c>
    </row>
    <row r="321" spans="1:8" x14ac:dyDescent="0.3">
      <c r="A321" t="s">
        <v>64</v>
      </c>
      <c r="B321" t="s">
        <v>23</v>
      </c>
      <c r="C321" t="s">
        <v>9</v>
      </c>
      <c r="D321">
        <v>0</v>
      </c>
      <c r="E321" t="s">
        <v>57</v>
      </c>
      <c r="F321" t="s">
        <v>11</v>
      </c>
      <c r="G321" t="s">
        <v>12</v>
      </c>
      <c r="H321">
        <f t="shared" si="4"/>
        <v>0</v>
      </c>
    </row>
    <row r="322" spans="1:8" x14ac:dyDescent="0.3">
      <c r="A322" t="s">
        <v>64</v>
      </c>
      <c r="B322" t="s">
        <v>23</v>
      </c>
      <c r="C322" t="s">
        <v>13</v>
      </c>
      <c r="D322">
        <v>0</v>
      </c>
      <c r="E322" t="s">
        <v>57</v>
      </c>
      <c r="F322" t="s">
        <v>11</v>
      </c>
      <c r="G322" t="s">
        <v>12</v>
      </c>
      <c r="H322">
        <f t="shared" si="4"/>
        <v>0</v>
      </c>
    </row>
    <row r="323" spans="1:8" x14ac:dyDescent="0.3">
      <c r="A323" t="s">
        <v>64</v>
      </c>
      <c r="B323" t="s">
        <v>23</v>
      </c>
      <c r="C323" t="s">
        <v>14</v>
      </c>
      <c r="D323">
        <v>2</v>
      </c>
      <c r="E323" t="s">
        <v>57</v>
      </c>
      <c r="F323" t="s">
        <v>11</v>
      </c>
      <c r="G323" t="s">
        <v>12</v>
      </c>
      <c r="H323">
        <f t="shared" ref="H323:H386" si="5">ROUND(D323, 3 - LEN(INT(ABS(D323))))</f>
        <v>2</v>
      </c>
    </row>
    <row r="324" spans="1:8" x14ac:dyDescent="0.3">
      <c r="A324" t="s">
        <v>64</v>
      </c>
      <c r="B324" t="s">
        <v>23</v>
      </c>
      <c r="C324" t="s">
        <v>15</v>
      </c>
      <c r="D324">
        <v>0</v>
      </c>
      <c r="E324" t="s">
        <v>57</v>
      </c>
      <c r="F324" t="s">
        <v>11</v>
      </c>
      <c r="G324" t="s">
        <v>12</v>
      </c>
      <c r="H324">
        <f t="shared" si="5"/>
        <v>0</v>
      </c>
    </row>
    <row r="325" spans="1:8" x14ac:dyDescent="0.3">
      <c r="A325" t="s">
        <v>64</v>
      </c>
      <c r="B325" t="s">
        <v>23</v>
      </c>
      <c r="C325" t="s">
        <v>16</v>
      </c>
      <c r="D325">
        <v>558</v>
      </c>
      <c r="E325" t="s">
        <v>57</v>
      </c>
      <c r="F325" t="s">
        <v>11</v>
      </c>
      <c r="G325" t="s">
        <v>12</v>
      </c>
      <c r="H325">
        <f t="shared" si="5"/>
        <v>558</v>
      </c>
    </row>
    <row r="326" spans="1:8" x14ac:dyDescent="0.3">
      <c r="A326" t="s">
        <v>64</v>
      </c>
      <c r="B326" t="s">
        <v>23</v>
      </c>
      <c r="C326" t="s">
        <v>17</v>
      </c>
      <c r="D326">
        <v>0</v>
      </c>
      <c r="E326" t="s">
        <v>57</v>
      </c>
      <c r="F326" t="s">
        <v>11</v>
      </c>
      <c r="G326" t="s">
        <v>12</v>
      </c>
      <c r="H326">
        <f t="shared" si="5"/>
        <v>0</v>
      </c>
    </row>
    <row r="327" spans="1:8" x14ac:dyDescent="0.3">
      <c r="A327" t="s">
        <v>64</v>
      </c>
      <c r="B327" t="s">
        <v>23</v>
      </c>
      <c r="C327" t="s">
        <v>18</v>
      </c>
      <c r="D327">
        <v>0</v>
      </c>
      <c r="E327" t="s">
        <v>57</v>
      </c>
      <c r="F327" t="s">
        <v>11</v>
      </c>
      <c r="G327" t="s">
        <v>12</v>
      </c>
      <c r="H327">
        <f t="shared" si="5"/>
        <v>0</v>
      </c>
    </row>
    <row r="328" spans="1:8" x14ac:dyDescent="0.3">
      <c r="A328" t="s">
        <v>64</v>
      </c>
      <c r="B328" t="s">
        <v>23</v>
      </c>
      <c r="C328" t="s">
        <v>19</v>
      </c>
      <c r="D328">
        <v>0</v>
      </c>
      <c r="E328" t="s">
        <v>57</v>
      </c>
      <c r="F328" t="s">
        <v>11</v>
      </c>
      <c r="G328" t="s">
        <v>12</v>
      </c>
      <c r="H328">
        <f t="shared" si="5"/>
        <v>0</v>
      </c>
    </row>
    <row r="329" spans="1:8" x14ac:dyDescent="0.3">
      <c r="A329" t="s">
        <v>64</v>
      </c>
      <c r="B329" t="s">
        <v>23</v>
      </c>
      <c r="C329" t="s">
        <v>20</v>
      </c>
      <c r="D329">
        <v>9</v>
      </c>
      <c r="E329" t="s">
        <v>57</v>
      </c>
      <c r="F329" t="s">
        <v>11</v>
      </c>
      <c r="G329" t="s">
        <v>12</v>
      </c>
      <c r="H329">
        <f t="shared" si="5"/>
        <v>9</v>
      </c>
    </row>
    <row r="330" spans="1:8" x14ac:dyDescent="0.3">
      <c r="A330" t="s">
        <v>64</v>
      </c>
      <c r="B330" t="s">
        <v>23</v>
      </c>
      <c r="C330" t="s">
        <v>21</v>
      </c>
      <c r="D330">
        <v>0</v>
      </c>
      <c r="E330" t="s">
        <v>57</v>
      </c>
      <c r="F330" t="s">
        <v>11</v>
      </c>
      <c r="G330" t="s">
        <v>12</v>
      </c>
      <c r="H330">
        <f t="shared" si="5"/>
        <v>0</v>
      </c>
    </row>
    <row r="331" spans="1:8" x14ac:dyDescent="0.3">
      <c r="A331" t="s">
        <v>64</v>
      </c>
      <c r="B331" t="s">
        <v>23</v>
      </c>
      <c r="C331" t="s">
        <v>22</v>
      </c>
      <c r="D331">
        <v>1</v>
      </c>
      <c r="E331" t="s">
        <v>57</v>
      </c>
      <c r="F331" t="s">
        <v>11</v>
      </c>
      <c r="G331" t="s">
        <v>12</v>
      </c>
      <c r="H331">
        <f t="shared" si="5"/>
        <v>1</v>
      </c>
    </row>
    <row r="332" spans="1:8" x14ac:dyDescent="0.3">
      <c r="A332" t="s">
        <v>32</v>
      </c>
      <c r="B332" t="s">
        <v>8</v>
      </c>
      <c r="C332" t="s">
        <v>9</v>
      </c>
      <c r="D332">
        <v>0</v>
      </c>
      <c r="E332" t="s">
        <v>57</v>
      </c>
      <c r="F332" t="s">
        <v>11</v>
      </c>
      <c r="G332" t="s">
        <v>12</v>
      </c>
      <c r="H332">
        <f t="shared" si="5"/>
        <v>0</v>
      </c>
    </row>
    <row r="333" spans="1:8" x14ac:dyDescent="0.3">
      <c r="A333" t="s">
        <v>32</v>
      </c>
      <c r="B333" t="s">
        <v>8</v>
      </c>
      <c r="C333" t="s">
        <v>13</v>
      </c>
      <c r="D333">
        <v>2</v>
      </c>
      <c r="E333" t="s">
        <v>57</v>
      </c>
      <c r="F333" t="s">
        <v>11</v>
      </c>
      <c r="G333" t="s">
        <v>12</v>
      </c>
      <c r="H333">
        <f t="shared" si="5"/>
        <v>2</v>
      </c>
    </row>
    <row r="334" spans="1:8" x14ac:dyDescent="0.3">
      <c r="A334" t="s">
        <v>32</v>
      </c>
      <c r="B334" t="s">
        <v>8</v>
      </c>
      <c r="C334" t="s">
        <v>14</v>
      </c>
      <c r="D334">
        <v>2</v>
      </c>
      <c r="E334" t="s">
        <v>57</v>
      </c>
      <c r="F334" t="s">
        <v>11</v>
      </c>
      <c r="G334" t="s">
        <v>12</v>
      </c>
      <c r="H334">
        <f t="shared" si="5"/>
        <v>2</v>
      </c>
    </row>
    <row r="335" spans="1:8" x14ac:dyDescent="0.3">
      <c r="A335" t="s">
        <v>32</v>
      </c>
      <c r="B335" t="s">
        <v>8</v>
      </c>
      <c r="C335" t="s">
        <v>15</v>
      </c>
      <c r="D335">
        <v>0</v>
      </c>
      <c r="E335" t="s">
        <v>57</v>
      </c>
      <c r="F335" t="s">
        <v>11</v>
      </c>
      <c r="G335" t="s">
        <v>12</v>
      </c>
      <c r="H335">
        <f t="shared" si="5"/>
        <v>0</v>
      </c>
    </row>
    <row r="336" spans="1:8" x14ac:dyDescent="0.3">
      <c r="A336" t="s">
        <v>32</v>
      </c>
      <c r="B336" t="s">
        <v>8</v>
      </c>
      <c r="C336" t="s">
        <v>16</v>
      </c>
      <c r="D336">
        <v>5</v>
      </c>
      <c r="E336" t="s">
        <v>57</v>
      </c>
      <c r="F336" t="s">
        <v>11</v>
      </c>
      <c r="G336" t="s">
        <v>12</v>
      </c>
      <c r="H336">
        <f t="shared" si="5"/>
        <v>5</v>
      </c>
    </row>
    <row r="337" spans="1:8" x14ac:dyDescent="0.3">
      <c r="A337" t="s">
        <v>32</v>
      </c>
      <c r="B337" t="s">
        <v>8</v>
      </c>
      <c r="C337" t="s">
        <v>17</v>
      </c>
      <c r="D337">
        <v>1</v>
      </c>
      <c r="E337" t="s">
        <v>57</v>
      </c>
      <c r="F337" t="s">
        <v>11</v>
      </c>
      <c r="G337" t="s">
        <v>12</v>
      </c>
      <c r="H337">
        <f t="shared" si="5"/>
        <v>1</v>
      </c>
    </row>
    <row r="338" spans="1:8" x14ac:dyDescent="0.3">
      <c r="A338" t="s">
        <v>32</v>
      </c>
      <c r="B338" t="s">
        <v>8</v>
      </c>
      <c r="C338" t="s">
        <v>18</v>
      </c>
      <c r="D338">
        <v>0</v>
      </c>
      <c r="E338" t="s">
        <v>57</v>
      </c>
      <c r="F338" t="s">
        <v>11</v>
      </c>
      <c r="G338" t="s">
        <v>12</v>
      </c>
      <c r="H338">
        <f t="shared" si="5"/>
        <v>0</v>
      </c>
    </row>
    <row r="339" spans="1:8" x14ac:dyDescent="0.3">
      <c r="A339" t="s">
        <v>32</v>
      </c>
      <c r="B339" t="s">
        <v>8</v>
      </c>
      <c r="C339" t="s">
        <v>19</v>
      </c>
      <c r="D339">
        <v>0</v>
      </c>
      <c r="E339" t="s">
        <v>57</v>
      </c>
      <c r="F339" t="s">
        <v>11</v>
      </c>
      <c r="G339" t="s">
        <v>12</v>
      </c>
      <c r="H339">
        <f t="shared" si="5"/>
        <v>0</v>
      </c>
    </row>
    <row r="340" spans="1:8" x14ac:dyDescent="0.3">
      <c r="A340" t="s">
        <v>32</v>
      </c>
      <c r="B340" t="s">
        <v>8</v>
      </c>
      <c r="C340" t="s">
        <v>20</v>
      </c>
      <c r="D340">
        <v>0</v>
      </c>
      <c r="E340" t="s">
        <v>57</v>
      </c>
      <c r="F340" t="s">
        <v>11</v>
      </c>
      <c r="G340" t="s">
        <v>12</v>
      </c>
      <c r="H340">
        <f t="shared" si="5"/>
        <v>0</v>
      </c>
    </row>
    <row r="341" spans="1:8" x14ac:dyDescent="0.3">
      <c r="A341" t="s">
        <v>32</v>
      </c>
      <c r="B341" t="s">
        <v>8</v>
      </c>
      <c r="C341" t="s">
        <v>21</v>
      </c>
      <c r="D341">
        <v>2</v>
      </c>
      <c r="E341" t="s">
        <v>57</v>
      </c>
      <c r="F341" t="s">
        <v>11</v>
      </c>
      <c r="G341" t="s">
        <v>12</v>
      </c>
      <c r="H341">
        <f t="shared" si="5"/>
        <v>2</v>
      </c>
    </row>
    <row r="342" spans="1:8" x14ac:dyDescent="0.3">
      <c r="A342" t="s">
        <v>32</v>
      </c>
      <c r="B342" t="s">
        <v>8</v>
      </c>
      <c r="C342" t="s">
        <v>22</v>
      </c>
      <c r="D342">
        <v>105</v>
      </c>
      <c r="E342" t="s">
        <v>57</v>
      </c>
      <c r="F342" t="s">
        <v>11</v>
      </c>
      <c r="G342" t="s">
        <v>12</v>
      </c>
      <c r="H342">
        <f t="shared" si="5"/>
        <v>105</v>
      </c>
    </row>
    <row r="343" spans="1:8" x14ac:dyDescent="0.3">
      <c r="A343" t="s">
        <v>32</v>
      </c>
      <c r="B343" t="s">
        <v>23</v>
      </c>
      <c r="C343" t="s">
        <v>9</v>
      </c>
      <c r="D343">
        <v>19</v>
      </c>
      <c r="E343" t="s">
        <v>57</v>
      </c>
      <c r="F343" t="s">
        <v>11</v>
      </c>
      <c r="G343" t="s">
        <v>12</v>
      </c>
      <c r="H343">
        <f t="shared" si="5"/>
        <v>19</v>
      </c>
    </row>
    <row r="344" spans="1:8" x14ac:dyDescent="0.3">
      <c r="A344" t="s">
        <v>32</v>
      </c>
      <c r="B344" t="s">
        <v>23</v>
      </c>
      <c r="C344" t="s">
        <v>13</v>
      </c>
      <c r="D344">
        <v>323</v>
      </c>
      <c r="E344" t="s">
        <v>57</v>
      </c>
      <c r="F344" t="s">
        <v>11</v>
      </c>
      <c r="G344" t="s">
        <v>12</v>
      </c>
      <c r="H344">
        <f t="shared" si="5"/>
        <v>323</v>
      </c>
    </row>
    <row r="345" spans="1:8" x14ac:dyDescent="0.3">
      <c r="A345" t="s">
        <v>32</v>
      </c>
      <c r="B345" t="s">
        <v>23</v>
      </c>
      <c r="C345" t="s">
        <v>14</v>
      </c>
      <c r="D345">
        <v>253</v>
      </c>
      <c r="E345" t="s">
        <v>57</v>
      </c>
      <c r="F345" t="s">
        <v>11</v>
      </c>
      <c r="G345" t="s">
        <v>12</v>
      </c>
      <c r="H345">
        <f t="shared" si="5"/>
        <v>253</v>
      </c>
    </row>
    <row r="346" spans="1:8" x14ac:dyDescent="0.3">
      <c r="A346" t="s">
        <v>32</v>
      </c>
      <c r="B346" t="s">
        <v>23</v>
      </c>
      <c r="C346" t="s">
        <v>15</v>
      </c>
      <c r="D346">
        <v>16</v>
      </c>
      <c r="E346" t="s">
        <v>57</v>
      </c>
      <c r="F346" t="s">
        <v>11</v>
      </c>
      <c r="G346" t="s">
        <v>12</v>
      </c>
      <c r="H346">
        <f t="shared" si="5"/>
        <v>16</v>
      </c>
    </row>
    <row r="347" spans="1:8" x14ac:dyDescent="0.3">
      <c r="A347" t="s">
        <v>32</v>
      </c>
      <c r="B347" t="s">
        <v>23</v>
      </c>
      <c r="C347" t="s">
        <v>16</v>
      </c>
      <c r="D347">
        <v>119</v>
      </c>
      <c r="E347" t="s">
        <v>57</v>
      </c>
      <c r="F347" t="s">
        <v>11</v>
      </c>
      <c r="G347" t="s">
        <v>12</v>
      </c>
      <c r="H347">
        <f t="shared" si="5"/>
        <v>119</v>
      </c>
    </row>
    <row r="348" spans="1:8" x14ac:dyDescent="0.3">
      <c r="A348" t="s">
        <v>32</v>
      </c>
      <c r="B348" t="s">
        <v>23</v>
      </c>
      <c r="C348" t="s">
        <v>17</v>
      </c>
      <c r="D348">
        <v>26</v>
      </c>
      <c r="E348" t="s">
        <v>57</v>
      </c>
      <c r="F348" t="s">
        <v>11</v>
      </c>
      <c r="G348" t="s">
        <v>12</v>
      </c>
      <c r="H348">
        <f t="shared" si="5"/>
        <v>26</v>
      </c>
    </row>
    <row r="349" spans="1:8" x14ac:dyDescent="0.3">
      <c r="A349" t="s">
        <v>32</v>
      </c>
      <c r="B349" t="s">
        <v>23</v>
      </c>
      <c r="C349" t="s">
        <v>18</v>
      </c>
      <c r="D349">
        <v>0</v>
      </c>
      <c r="E349" t="s">
        <v>57</v>
      </c>
      <c r="F349" t="s">
        <v>11</v>
      </c>
      <c r="G349" t="s">
        <v>12</v>
      </c>
      <c r="H349">
        <f t="shared" si="5"/>
        <v>0</v>
      </c>
    </row>
    <row r="350" spans="1:8" x14ac:dyDescent="0.3">
      <c r="A350" t="s">
        <v>32</v>
      </c>
      <c r="B350" t="s">
        <v>23</v>
      </c>
      <c r="C350" t="s">
        <v>19</v>
      </c>
      <c r="D350">
        <v>46</v>
      </c>
      <c r="E350" t="s">
        <v>57</v>
      </c>
      <c r="F350" t="s">
        <v>11</v>
      </c>
      <c r="G350" t="s">
        <v>12</v>
      </c>
      <c r="H350">
        <f t="shared" si="5"/>
        <v>46</v>
      </c>
    </row>
    <row r="351" spans="1:8" x14ac:dyDescent="0.3">
      <c r="A351" t="s">
        <v>32</v>
      </c>
      <c r="B351" t="s">
        <v>23</v>
      </c>
      <c r="C351" t="s">
        <v>20</v>
      </c>
      <c r="D351">
        <v>15</v>
      </c>
      <c r="E351" t="s">
        <v>57</v>
      </c>
      <c r="F351" t="s">
        <v>11</v>
      </c>
      <c r="G351" t="s">
        <v>12</v>
      </c>
      <c r="H351">
        <f t="shared" si="5"/>
        <v>15</v>
      </c>
    </row>
    <row r="352" spans="1:8" x14ac:dyDescent="0.3">
      <c r="A352" t="s">
        <v>32</v>
      </c>
      <c r="B352" t="s">
        <v>23</v>
      </c>
      <c r="C352" t="s">
        <v>21</v>
      </c>
      <c r="D352">
        <v>6</v>
      </c>
      <c r="E352" t="s">
        <v>57</v>
      </c>
      <c r="F352" t="s">
        <v>11</v>
      </c>
      <c r="G352" t="s">
        <v>12</v>
      </c>
      <c r="H352">
        <f t="shared" si="5"/>
        <v>6</v>
      </c>
    </row>
    <row r="353" spans="1:8" x14ac:dyDescent="0.3">
      <c r="A353" t="s">
        <v>32</v>
      </c>
      <c r="B353" t="s">
        <v>23</v>
      </c>
      <c r="C353" t="s">
        <v>22</v>
      </c>
      <c r="D353">
        <v>1213</v>
      </c>
      <c r="E353" t="s">
        <v>57</v>
      </c>
      <c r="F353" t="s">
        <v>11</v>
      </c>
      <c r="G353" t="s">
        <v>12</v>
      </c>
      <c r="H353">
        <f t="shared" si="5"/>
        <v>1210</v>
      </c>
    </row>
    <row r="354" spans="1:8" x14ac:dyDescent="0.3">
      <c r="A354" t="s">
        <v>65</v>
      </c>
      <c r="B354" t="s">
        <v>8</v>
      </c>
      <c r="C354" t="s">
        <v>9</v>
      </c>
      <c r="D354">
        <v>0</v>
      </c>
      <c r="E354" t="s">
        <v>57</v>
      </c>
      <c r="F354" t="s">
        <v>11</v>
      </c>
      <c r="G354" t="s">
        <v>12</v>
      </c>
      <c r="H354">
        <f t="shared" si="5"/>
        <v>0</v>
      </c>
    </row>
    <row r="355" spans="1:8" x14ac:dyDescent="0.3">
      <c r="A355" t="s">
        <v>65</v>
      </c>
      <c r="B355" t="s">
        <v>8</v>
      </c>
      <c r="C355" t="s">
        <v>13</v>
      </c>
      <c r="D355">
        <v>0</v>
      </c>
      <c r="E355" t="s">
        <v>57</v>
      </c>
      <c r="F355" t="s">
        <v>11</v>
      </c>
      <c r="G355" t="s">
        <v>12</v>
      </c>
      <c r="H355">
        <f t="shared" si="5"/>
        <v>0</v>
      </c>
    </row>
    <row r="356" spans="1:8" x14ac:dyDescent="0.3">
      <c r="A356" t="s">
        <v>65</v>
      </c>
      <c r="B356" t="s">
        <v>8</v>
      </c>
      <c r="C356" t="s">
        <v>14</v>
      </c>
      <c r="D356">
        <v>4</v>
      </c>
      <c r="E356" t="s">
        <v>57</v>
      </c>
      <c r="F356" t="s">
        <v>11</v>
      </c>
      <c r="G356" t="s">
        <v>12</v>
      </c>
      <c r="H356">
        <f t="shared" si="5"/>
        <v>4</v>
      </c>
    </row>
    <row r="357" spans="1:8" x14ac:dyDescent="0.3">
      <c r="A357" t="s">
        <v>65</v>
      </c>
      <c r="B357" t="s">
        <v>8</v>
      </c>
      <c r="C357" t="s">
        <v>15</v>
      </c>
      <c r="D357">
        <v>0</v>
      </c>
      <c r="E357" t="s">
        <v>57</v>
      </c>
      <c r="F357" t="s">
        <v>11</v>
      </c>
      <c r="G357" t="s">
        <v>12</v>
      </c>
      <c r="H357">
        <f t="shared" si="5"/>
        <v>0</v>
      </c>
    </row>
    <row r="358" spans="1:8" x14ac:dyDescent="0.3">
      <c r="A358" t="s">
        <v>65</v>
      </c>
      <c r="B358" t="s">
        <v>8</v>
      </c>
      <c r="C358" t="s">
        <v>16</v>
      </c>
      <c r="D358">
        <v>137</v>
      </c>
      <c r="E358" t="s">
        <v>57</v>
      </c>
      <c r="F358" t="s">
        <v>11</v>
      </c>
      <c r="G358" t="s">
        <v>12</v>
      </c>
      <c r="H358">
        <f t="shared" si="5"/>
        <v>137</v>
      </c>
    </row>
    <row r="359" spans="1:8" x14ac:dyDescent="0.3">
      <c r="A359" t="s">
        <v>65</v>
      </c>
      <c r="B359" t="s">
        <v>8</v>
      </c>
      <c r="C359" t="s">
        <v>17</v>
      </c>
      <c r="D359">
        <v>3</v>
      </c>
      <c r="E359" t="s">
        <v>57</v>
      </c>
      <c r="F359" t="s">
        <v>11</v>
      </c>
      <c r="G359" t="s">
        <v>12</v>
      </c>
      <c r="H359">
        <f t="shared" si="5"/>
        <v>3</v>
      </c>
    </row>
    <row r="360" spans="1:8" x14ac:dyDescent="0.3">
      <c r="A360" t="s">
        <v>65</v>
      </c>
      <c r="B360" t="s">
        <v>8</v>
      </c>
      <c r="C360" t="s">
        <v>18</v>
      </c>
      <c r="D360">
        <v>0</v>
      </c>
      <c r="E360" t="s">
        <v>57</v>
      </c>
      <c r="F360" t="s">
        <v>11</v>
      </c>
      <c r="G360" t="s">
        <v>12</v>
      </c>
      <c r="H360">
        <f t="shared" si="5"/>
        <v>0</v>
      </c>
    </row>
    <row r="361" spans="1:8" x14ac:dyDescent="0.3">
      <c r="A361" t="s">
        <v>65</v>
      </c>
      <c r="B361" t="s">
        <v>8</v>
      </c>
      <c r="C361" t="s">
        <v>19</v>
      </c>
      <c r="D361">
        <v>0</v>
      </c>
      <c r="E361" t="s">
        <v>57</v>
      </c>
      <c r="F361" t="s">
        <v>11</v>
      </c>
      <c r="G361" t="s">
        <v>12</v>
      </c>
      <c r="H361">
        <f t="shared" si="5"/>
        <v>0</v>
      </c>
    </row>
    <row r="362" spans="1:8" x14ac:dyDescent="0.3">
      <c r="A362" t="s">
        <v>65</v>
      </c>
      <c r="B362" t="s">
        <v>8</v>
      </c>
      <c r="C362" t="s">
        <v>20</v>
      </c>
      <c r="D362">
        <v>0</v>
      </c>
      <c r="E362" t="s">
        <v>57</v>
      </c>
      <c r="F362" t="s">
        <v>11</v>
      </c>
      <c r="G362" t="s">
        <v>12</v>
      </c>
      <c r="H362">
        <f t="shared" si="5"/>
        <v>0</v>
      </c>
    </row>
    <row r="363" spans="1:8" x14ac:dyDescent="0.3">
      <c r="A363" t="s">
        <v>65</v>
      </c>
      <c r="B363" t="s">
        <v>8</v>
      </c>
      <c r="C363" t="s">
        <v>21</v>
      </c>
      <c r="D363">
        <v>0</v>
      </c>
      <c r="E363" t="s">
        <v>57</v>
      </c>
      <c r="F363" t="s">
        <v>11</v>
      </c>
      <c r="G363" t="s">
        <v>12</v>
      </c>
      <c r="H363">
        <f t="shared" si="5"/>
        <v>0</v>
      </c>
    </row>
    <row r="364" spans="1:8" x14ac:dyDescent="0.3">
      <c r="A364" t="s">
        <v>65</v>
      </c>
      <c r="B364" t="s">
        <v>8</v>
      </c>
      <c r="C364" t="s">
        <v>22</v>
      </c>
      <c r="D364">
        <v>0</v>
      </c>
      <c r="E364" t="s">
        <v>57</v>
      </c>
      <c r="F364" t="s">
        <v>11</v>
      </c>
      <c r="G364" t="s">
        <v>12</v>
      </c>
      <c r="H364">
        <f t="shared" si="5"/>
        <v>0</v>
      </c>
    </row>
    <row r="365" spans="1:8" x14ac:dyDescent="0.3">
      <c r="A365" t="s">
        <v>65</v>
      </c>
      <c r="B365" t="s">
        <v>23</v>
      </c>
      <c r="C365" t="s">
        <v>9</v>
      </c>
      <c r="D365">
        <v>0</v>
      </c>
      <c r="E365" t="s">
        <v>57</v>
      </c>
      <c r="F365" t="s">
        <v>11</v>
      </c>
      <c r="G365" t="s">
        <v>12</v>
      </c>
      <c r="H365">
        <f t="shared" si="5"/>
        <v>0</v>
      </c>
    </row>
    <row r="366" spans="1:8" x14ac:dyDescent="0.3">
      <c r="A366" t="s">
        <v>65</v>
      </c>
      <c r="B366" t="s">
        <v>23</v>
      </c>
      <c r="C366" t="s">
        <v>13</v>
      </c>
      <c r="D366">
        <v>0</v>
      </c>
      <c r="E366" t="s">
        <v>57</v>
      </c>
      <c r="F366" t="s">
        <v>11</v>
      </c>
      <c r="G366" t="s">
        <v>12</v>
      </c>
      <c r="H366">
        <f t="shared" si="5"/>
        <v>0</v>
      </c>
    </row>
    <row r="367" spans="1:8" x14ac:dyDescent="0.3">
      <c r="A367" t="s">
        <v>65</v>
      </c>
      <c r="B367" t="s">
        <v>23</v>
      </c>
      <c r="C367" t="s">
        <v>14</v>
      </c>
      <c r="D367">
        <v>2</v>
      </c>
      <c r="E367" t="s">
        <v>57</v>
      </c>
      <c r="F367" t="s">
        <v>11</v>
      </c>
      <c r="G367" t="s">
        <v>12</v>
      </c>
      <c r="H367">
        <f t="shared" si="5"/>
        <v>2</v>
      </c>
    </row>
    <row r="368" spans="1:8" x14ac:dyDescent="0.3">
      <c r="A368" t="s">
        <v>65</v>
      </c>
      <c r="B368" t="s">
        <v>23</v>
      </c>
      <c r="C368" t="s">
        <v>15</v>
      </c>
      <c r="D368">
        <v>0</v>
      </c>
      <c r="E368" t="s">
        <v>57</v>
      </c>
      <c r="F368" t="s">
        <v>11</v>
      </c>
      <c r="G368" t="s">
        <v>12</v>
      </c>
      <c r="H368">
        <f t="shared" si="5"/>
        <v>0</v>
      </c>
    </row>
    <row r="369" spans="1:8" x14ac:dyDescent="0.3">
      <c r="A369" t="s">
        <v>65</v>
      </c>
      <c r="B369" t="s">
        <v>23</v>
      </c>
      <c r="C369" t="s">
        <v>16</v>
      </c>
      <c r="D369">
        <v>484</v>
      </c>
      <c r="E369" t="s">
        <v>57</v>
      </c>
      <c r="F369" t="s">
        <v>11</v>
      </c>
      <c r="G369" t="s">
        <v>12</v>
      </c>
      <c r="H369">
        <f t="shared" si="5"/>
        <v>484</v>
      </c>
    </row>
    <row r="370" spans="1:8" x14ac:dyDescent="0.3">
      <c r="A370" t="s">
        <v>65</v>
      </c>
      <c r="B370" t="s">
        <v>23</v>
      </c>
      <c r="C370" t="s">
        <v>17</v>
      </c>
      <c r="D370">
        <v>0</v>
      </c>
      <c r="E370" t="s">
        <v>57</v>
      </c>
      <c r="F370" t="s">
        <v>11</v>
      </c>
      <c r="G370" t="s">
        <v>12</v>
      </c>
      <c r="H370">
        <f t="shared" si="5"/>
        <v>0</v>
      </c>
    </row>
    <row r="371" spans="1:8" x14ac:dyDescent="0.3">
      <c r="A371" t="s">
        <v>65</v>
      </c>
      <c r="B371" t="s">
        <v>23</v>
      </c>
      <c r="C371" t="s">
        <v>18</v>
      </c>
      <c r="D371">
        <v>0</v>
      </c>
      <c r="E371" t="s">
        <v>57</v>
      </c>
      <c r="F371" t="s">
        <v>11</v>
      </c>
      <c r="G371" t="s">
        <v>12</v>
      </c>
      <c r="H371">
        <f t="shared" si="5"/>
        <v>0</v>
      </c>
    </row>
    <row r="372" spans="1:8" x14ac:dyDescent="0.3">
      <c r="A372" t="s">
        <v>65</v>
      </c>
      <c r="B372" t="s">
        <v>23</v>
      </c>
      <c r="C372" t="s">
        <v>19</v>
      </c>
      <c r="D372">
        <v>0</v>
      </c>
      <c r="E372" t="s">
        <v>57</v>
      </c>
      <c r="F372" t="s">
        <v>11</v>
      </c>
      <c r="G372" t="s">
        <v>12</v>
      </c>
      <c r="H372">
        <f t="shared" si="5"/>
        <v>0</v>
      </c>
    </row>
    <row r="373" spans="1:8" x14ac:dyDescent="0.3">
      <c r="A373" t="s">
        <v>65</v>
      </c>
      <c r="B373" t="s">
        <v>23</v>
      </c>
      <c r="C373" t="s">
        <v>20</v>
      </c>
      <c r="D373">
        <v>7</v>
      </c>
      <c r="E373" t="s">
        <v>57</v>
      </c>
      <c r="F373" t="s">
        <v>11</v>
      </c>
      <c r="G373" t="s">
        <v>12</v>
      </c>
      <c r="H373">
        <f t="shared" si="5"/>
        <v>7</v>
      </c>
    </row>
    <row r="374" spans="1:8" x14ac:dyDescent="0.3">
      <c r="A374" t="s">
        <v>65</v>
      </c>
      <c r="B374" t="s">
        <v>23</v>
      </c>
      <c r="C374" t="s">
        <v>21</v>
      </c>
      <c r="D374">
        <v>0</v>
      </c>
      <c r="E374" t="s">
        <v>57</v>
      </c>
      <c r="F374" t="s">
        <v>11</v>
      </c>
      <c r="G374" t="s">
        <v>12</v>
      </c>
      <c r="H374">
        <f t="shared" si="5"/>
        <v>0</v>
      </c>
    </row>
    <row r="375" spans="1:8" x14ac:dyDescent="0.3">
      <c r="A375" t="s">
        <v>65</v>
      </c>
      <c r="B375" t="s">
        <v>23</v>
      </c>
      <c r="C375" t="s">
        <v>22</v>
      </c>
      <c r="D375">
        <v>1</v>
      </c>
      <c r="E375" t="s">
        <v>57</v>
      </c>
      <c r="F375" t="s">
        <v>11</v>
      </c>
      <c r="G375" t="s">
        <v>12</v>
      </c>
      <c r="H375">
        <f t="shared" si="5"/>
        <v>1</v>
      </c>
    </row>
    <row r="376" spans="1:8" x14ac:dyDescent="0.3">
      <c r="A376" t="s">
        <v>33</v>
      </c>
      <c r="B376" t="s">
        <v>8</v>
      </c>
      <c r="C376" t="s">
        <v>9</v>
      </c>
      <c r="D376">
        <v>1</v>
      </c>
      <c r="E376" t="s">
        <v>57</v>
      </c>
      <c r="F376" t="s">
        <v>11</v>
      </c>
      <c r="G376" t="s">
        <v>12</v>
      </c>
      <c r="H376">
        <f t="shared" si="5"/>
        <v>1</v>
      </c>
    </row>
    <row r="377" spans="1:8" x14ac:dyDescent="0.3">
      <c r="A377" t="s">
        <v>33</v>
      </c>
      <c r="B377" t="s">
        <v>8</v>
      </c>
      <c r="C377" t="s">
        <v>13</v>
      </c>
      <c r="D377">
        <v>0</v>
      </c>
      <c r="E377" t="s">
        <v>57</v>
      </c>
      <c r="F377" t="s">
        <v>11</v>
      </c>
      <c r="G377" t="s">
        <v>12</v>
      </c>
      <c r="H377">
        <f t="shared" si="5"/>
        <v>0</v>
      </c>
    </row>
    <row r="378" spans="1:8" x14ac:dyDescent="0.3">
      <c r="A378" t="s">
        <v>33</v>
      </c>
      <c r="B378" t="s">
        <v>8</v>
      </c>
      <c r="C378" t="s">
        <v>14</v>
      </c>
      <c r="D378">
        <v>17</v>
      </c>
      <c r="E378" t="s">
        <v>57</v>
      </c>
      <c r="F378" t="s">
        <v>11</v>
      </c>
      <c r="G378" t="s">
        <v>12</v>
      </c>
      <c r="H378">
        <f t="shared" si="5"/>
        <v>17</v>
      </c>
    </row>
    <row r="379" spans="1:8" x14ac:dyDescent="0.3">
      <c r="A379" t="s">
        <v>33</v>
      </c>
      <c r="B379" t="s">
        <v>8</v>
      </c>
      <c r="C379" t="s">
        <v>15</v>
      </c>
      <c r="D379">
        <v>0</v>
      </c>
      <c r="E379" t="s">
        <v>57</v>
      </c>
      <c r="F379" t="s">
        <v>11</v>
      </c>
      <c r="G379" t="s">
        <v>12</v>
      </c>
      <c r="H379">
        <f t="shared" si="5"/>
        <v>0</v>
      </c>
    </row>
    <row r="380" spans="1:8" x14ac:dyDescent="0.3">
      <c r="A380" t="s">
        <v>33</v>
      </c>
      <c r="B380" t="s">
        <v>8</v>
      </c>
      <c r="C380" t="s">
        <v>16</v>
      </c>
      <c r="D380">
        <v>542</v>
      </c>
      <c r="E380" t="s">
        <v>57</v>
      </c>
      <c r="F380" t="s">
        <v>11</v>
      </c>
      <c r="G380" t="s">
        <v>12</v>
      </c>
      <c r="H380">
        <f t="shared" si="5"/>
        <v>542</v>
      </c>
    </row>
    <row r="381" spans="1:8" x14ac:dyDescent="0.3">
      <c r="A381" t="s">
        <v>33</v>
      </c>
      <c r="B381" t="s">
        <v>8</v>
      </c>
      <c r="C381" t="s">
        <v>17</v>
      </c>
      <c r="D381">
        <v>13</v>
      </c>
      <c r="E381" t="s">
        <v>57</v>
      </c>
      <c r="F381" t="s">
        <v>11</v>
      </c>
      <c r="G381" t="s">
        <v>12</v>
      </c>
      <c r="H381">
        <f t="shared" si="5"/>
        <v>13</v>
      </c>
    </row>
    <row r="382" spans="1:8" x14ac:dyDescent="0.3">
      <c r="A382" t="s">
        <v>33</v>
      </c>
      <c r="B382" t="s">
        <v>8</v>
      </c>
      <c r="C382" t="s">
        <v>18</v>
      </c>
      <c r="D382">
        <v>0</v>
      </c>
      <c r="E382" t="s">
        <v>57</v>
      </c>
      <c r="F382" t="s">
        <v>11</v>
      </c>
      <c r="G382" t="s">
        <v>12</v>
      </c>
      <c r="H382">
        <f t="shared" si="5"/>
        <v>0</v>
      </c>
    </row>
    <row r="383" spans="1:8" x14ac:dyDescent="0.3">
      <c r="A383" t="s">
        <v>33</v>
      </c>
      <c r="B383" t="s">
        <v>8</v>
      </c>
      <c r="C383" t="s">
        <v>19</v>
      </c>
      <c r="D383">
        <v>0</v>
      </c>
      <c r="E383" t="s">
        <v>57</v>
      </c>
      <c r="F383" t="s">
        <v>11</v>
      </c>
      <c r="G383" t="s">
        <v>12</v>
      </c>
      <c r="H383">
        <f t="shared" si="5"/>
        <v>0</v>
      </c>
    </row>
    <row r="384" spans="1:8" x14ac:dyDescent="0.3">
      <c r="A384" t="s">
        <v>33</v>
      </c>
      <c r="B384" t="s">
        <v>8</v>
      </c>
      <c r="C384" t="s">
        <v>20</v>
      </c>
      <c r="D384">
        <v>0</v>
      </c>
      <c r="E384" t="s">
        <v>57</v>
      </c>
      <c r="F384" t="s">
        <v>11</v>
      </c>
      <c r="G384" t="s">
        <v>12</v>
      </c>
      <c r="H384">
        <f t="shared" si="5"/>
        <v>0</v>
      </c>
    </row>
    <row r="385" spans="1:8" x14ac:dyDescent="0.3">
      <c r="A385" t="s">
        <v>33</v>
      </c>
      <c r="B385" t="s">
        <v>8</v>
      </c>
      <c r="C385" t="s">
        <v>21</v>
      </c>
      <c r="D385">
        <v>0</v>
      </c>
      <c r="E385" t="s">
        <v>57</v>
      </c>
      <c r="F385" t="s">
        <v>11</v>
      </c>
      <c r="G385" t="s">
        <v>12</v>
      </c>
      <c r="H385">
        <f t="shared" si="5"/>
        <v>0</v>
      </c>
    </row>
    <row r="386" spans="1:8" x14ac:dyDescent="0.3">
      <c r="A386" t="s">
        <v>33</v>
      </c>
      <c r="B386" t="s">
        <v>8</v>
      </c>
      <c r="C386" t="s">
        <v>22</v>
      </c>
      <c r="D386">
        <v>0</v>
      </c>
      <c r="E386" t="s">
        <v>57</v>
      </c>
      <c r="F386" t="s">
        <v>11</v>
      </c>
      <c r="G386" t="s">
        <v>12</v>
      </c>
      <c r="H386">
        <f t="shared" si="5"/>
        <v>0</v>
      </c>
    </row>
    <row r="387" spans="1:8" x14ac:dyDescent="0.3">
      <c r="A387" t="s">
        <v>33</v>
      </c>
      <c r="B387" t="s">
        <v>23</v>
      </c>
      <c r="C387" t="s">
        <v>9</v>
      </c>
      <c r="D387">
        <v>1</v>
      </c>
      <c r="E387" t="s">
        <v>57</v>
      </c>
      <c r="F387" t="s">
        <v>11</v>
      </c>
      <c r="G387" t="s">
        <v>12</v>
      </c>
      <c r="H387">
        <f t="shared" ref="H387:H450" si="6">ROUND(D387, 3 - LEN(INT(ABS(D387))))</f>
        <v>1</v>
      </c>
    </row>
    <row r="388" spans="1:8" x14ac:dyDescent="0.3">
      <c r="A388" t="s">
        <v>33</v>
      </c>
      <c r="B388" t="s">
        <v>23</v>
      </c>
      <c r="C388" t="s">
        <v>13</v>
      </c>
      <c r="D388">
        <v>3</v>
      </c>
      <c r="E388" t="s">
        <v>57</v>
      </c>
      <c r="F388" t="s">
        <v>11</v>
      </c>
      <c r="G388" t="s">
        <v>12</v>
      </c>
      <c r="H388">
        <f t="shared" si="6"/>
        <v>3</v>
      </c>
    </row>
    <row r="389" spans="1:8" x14ac:dyDescent="0.3">
      <c r="A389" t="s">
        <v>33</v>
      </c>
      <c r="B389" t="s">
        <v>23</v>
      </c>
      <c r="C389" t="s">
        <v>14</v>
      </c>
      <c r="D389">
        <v>7</v>
      </c>
      <c r="E389" t="s">
        <v>57</v>
      </c>
      <c r="F389" t="s">
        <v>11</v>
      </c>
      <c r="G389" t="s">
        <v>12</v>
      </c>
      <c r="H389">
        <f t="shared" si="6"/>
        <v>7</v>
      </c>
    </row>
    <row r="390" spans="1:8" x14ac:dyDescent="0.3">
      <c r="A390" t="s">
        <v>33</v>
      </c>
      <c r="B390" t="s">
        <v>23</v>
      </c>
      <c r="C390" t="s">
        <v>15</v>
      </c>
      <c r="D390">
        <v>0</v>
      </c>
      <c r="E390" t="s">
        <v>57</v>
      </c>
      <c r="F390" t="s">
        <v>11</v>
      </c>
      <c r="G390" t="s">
        <v>12</v>
      </c>
      <c r="H390">
        <f t="shared" si="6"/>
        <v>0</v>
      </c>
    </row>
    <row r="391" spans="1:8" x14ac:dyDescent="0.3">
      <c r="A391" t="s">
        <v>33</v>
      </c>
      <c r="B391" t="s">
        <v>23</v>
      </c>
      <c r="C391" t="s">
        <v>16</v>
      </c>
      <c r="D391">
        <v>1915</v>
      </c>
      <c r="E391" t="s">
        <v>57</v>
      </c>
      <c r="F391" t="s">
        <v>11</v>
      </c>
      <c r="G391" t="s">
        <v>12</v>
      </c>
      <c r="H391">
        <f t="shared" si="6"/>
        <v>1920</v>
      </c>
    </row>
    <row r="392" spans="1:8" x14ac:dyDescent="0.3">
      <c r="A392" t="s">
        <v>33</v>
      </c>
      <c r="B392" t="s">
        <v>23</v>
      </c>
      <c r="C392" t="s">
        <v>17</v>
      </c>
      <c r="D392">
        <v>0</v>
      </c>
      <c r="E392" t="s">
        <v>57</v>
      </c>
      <c r="F392" t="s">
        <v>11</v>
      </c>
      <c r="G392" t="s">
        <v>12</v>
      </c>
      <c r="H392">
        <f t="shared" si="6"/>
        <v>0</v>
      </c>
    </row>
    <row r="393" spans="1:8" x14ac:dyDescent="0.3">
      <c r="A393" t="s">
        <v>33</v>
      </c>
      <c r="B393" t="s">
        <v>23</v>
      </c>
      <c r="C393" t="s">
        <v>18</v>
      </c>
      <c r="D393">
        <v>0</v>
      </c>
      <c r="E393" t="s">
        <v>57</v>
      </c>
      <c r="F393" t="s">
        <v>11</v>
      </c>
      <c r="G393" t="s">
        <v>12</v>
      </c>
      <c r="H393">
        <f t="shared" si="6"/>
        <v>0</v>
      </c>
    </row>
    <row r="394" spans="1:8" x14ac:dyDescent="0.3">
      <c r="A394" t="s">
        <v>33</v>
      </c>
      <c r="B394" t="s">
        <v>23</v>
      </c>
      <c r="C394" t="s">
        <v>19</v>
      </c>
      <c r="D394">
        <v>0</v>
      </c>
      <c r="E394" t="s">
        <v>57</v>
      </c>
      <c r="F394" t="s">
        <v>11</v>
      </c>
      <c r="G394" t="s">
        <v>12</v>
      </c>
      <c r="H394">
        <f t="shared" si="6"/>
        <v>0</v>
      </c>
    </row>
    <row r="395" spans="1:8" x14ac:dyDescent="0.3">
      <c r="A395" t="s">
        <v>33</v>
      </c>
      <c r="B395" t="s">
        <v>23</v>
      </c>
      <c r="C395" t="s">
        <v>20</v>
      </c>
      <c r="D395">
        <v>30</v>
      </c>
      <c r="E395" t="s">
        <v>57</v>
      </c>
      <c r="F395" t="s">
        <v>11</v>
      </c>
      <c r="G395" t="s">
        <v>12</v>
      </c>
      <c r="H395">
        <f t="shared" si="6"/>
        <v>30</v>
      </c>
    </row>
    <row r="396" spans="1:8" x14ac:dyDescent="0.3">
      <c r="A396" t="s">
        <v>33</v>
      </c>
      <c r="B396" t="s">
        <v>23</v>
      </c>
      <c r="C396" t="s">
        <v>21</v>
      </c>
      <c r="D396">
        <v>0</v>
      </c>
      <c r="E396" t="s">
        <v>57</v>
      </c>
      <c r="F396" t="s">
        <v>11</v>
      </c>
      <c r="G396" t="s">
        <v>12</v>
      </c>
      <c r="H396">
        <f t="shared" si="6"/>
        <v>0</v>
      </c>
    </row>
    <row r="397" spans="1:8" x14ac:dyDescent="0.3">
      <c r="A397" t="s">
        <v>33</v>
      </c>
      <c r="B397" t="s">
        <v>23</v>
      </c>
      <c r="C397" t="s">
        <v>22</v>
      </c>
      <c r="D397">
        <v>5</v>
      </c>
      <c r="E397" t="s">
        <v>57</v>
      </c>
      <c r="F397" t="s">
        <v>11</v>
      </c>
      <c r="G397" t="s">
        <v>12</v>
      </c>
      <c r="H397">
        <f t="shared" si="6"/>
        <v>5</v>
      </c>
    </row>
    <row r="398" spans="1:8" x14ac:dyDescent="0.3">
      <c r="A398" t="s">
        <v>34</v>
      </c>
      <c r="B398" t="s">
        <v>8</v>
      </c>
      <c r="C398" t="s">
        <v>9</v>
      </c>
      <c r="D398">
        <v>0</v>
      </c>
      <c r="E398" t="s">
        <v>57</v>
      </c>
      <c r="F398" t="s">
        <v>11</v>
      </c>
      <c r="G398" t="s">
        <v>12</v>
      </c>
      <c r="H398">
        <f t="shared" si="6"/>
        <v>0</v>
      </c>
    </row>
    <row r="399" spans="1:8" x14ac:dyDescent="0.3">
      <c r="A399" t="s">
        <v>34</v>
      </c>
      <c r="B399" t="s">
        <v>8</v>
      </c>
      <c r="C399" t="s">
        <v>13</v>
      </c>
      <c r="D399">
        <v>2</v>
      </c>
      <c r="E399" t="s">
        <v>57</v>
      </c>
      <c r="F399" t="s">
        <v>11</v>
      </c>
      <c r="G399" t="s">
        <v>12</v>
      </c>
      <c r="H399">
        <f t="shared" si="6"/>
        <v>2</v>
      </c>
    </row>
    <row r="400" spans="1:8" x14ac:dyDescent="0.3">
      <c r="A400" t="s">
        <v>34</v>
      </c>
      <c r="B400" t="s">
        <v>8</v>
      </c>
      <c r="C400" t="s">
        <v>14</v>
      </c>
      <c r="D400">
        <v>2</v>
      </c>
      <c r="E400" t="s">
        <v>57</v>
      </c>
      <c r="F400" t="s">
        <v>11</v>
      </c>
      <c r="G400" t="s">
        <v>12</v>
      </c>
      <c r="H400">
        <f t="shared" si="6"/>
        <v>2</v>
      </c>
    </row>
    <row r="401" spans="1:8" x14ac:dyDescent="0.3">
      <c r="A401" t="s">
        <v>34</v>
      </c>
      <c r="B401" t="s">
        <v>8</v>
      </c>
      <c r="C401" t="s">
        <v>15</v>
      </c>
      <c r="D401">
        <v>0</v>
      </c>
      <c r="E401" t="s">
        <v>57</v>
      </c>
      <c r="F401" t="s">
        <v>11</v>
      </c>
      <c r="G401" t="s">
        <v>12</v>
      </c>
      <c r="H401">
        <f t="shared" si="6"/>
        <v>0</v>
      </c>
    </row>
    <row r="402" spans="1:8" x14ac:dyDescent="0.3">
      <c r="A402" t="s">
        <v>34</v>
      </c>
      <c r="B402" t="s">
        <v>8</v>
      </c>
      <c r="C402" t="s">
        <v>16</v>
      </c>
      <c r="D402">
        <v>4</v>
      </c>
      <c r="E402" t="s">
        <v>57</v>
      </c>
      <c r="F402" t="s">
        <v>11</v>
      </c>
      <c r="G402" t="s">
        <v>12</v>
      </c>
      <c r="H402">
        <f t="shared" si="6"/>
        <v>4</v>
      </c>
    </row>
    <row r="403" spans="1:8" x14ac:dyDescent="0.3">
      <c r="A403" t="s">
        <v>34</v>
      </c>
      <c r="B403" t="s">
        <v>8</v>
      </c>
      <c r="C403" t="s">
        <v>17</v>
      </c>
      <c r="D403">
        <v>1</v>
      </c>
      <c r="E403" t="s">
        <v>57</v>
      </c>
      <c r="F403" t="s">
        <v>11</v>
      </c>
      <c r="G403" t="s">
        <v>12</v>
      </c>
      <c r="H403">
        <f t="shared" si="6"/>
        <v>1</v>
      </c>
    </row>
    <row r="404" spans="1:8" x14ac:dyDescent="0.3">
      <c r="A404" t="s">
        <v>34</v>
      </c>
      <c r="B404" t="s">
        <v>8</v>
      </c>
      <c r="C404" t="s">
        <v>18</v>
      </c>
      <c r="D404">
        <v>0</v>
      </c>
      <c r="E404" t="s">
        <v>57</v>
      </c>
      <c r="F404" t="s">
        <v>11</v>
      </c>
      <c r="G404" t="s">
        <v>12</v>
      </c>
      <c r="H404">
        <f t="shared" si="6"/>
        <v>0</v>
      </c>
    </row>
    <row r="405" spans="1:8" x14ac:dyDescent="0.3">
      <c r="A405" t="s">
        <v>34</v>
      </c>
      <c r="B405" t="s">
        <v>8</v>
      </c>
      <c r="C405" t="s">
        <v>19</v>
      </c>
      <c r="D405">
        <v>0</v>
      </c>
      <c r="E405" t="s">
        <v>57</v>
      </c>
      <c r="F405" t="s">
        <v>11</v>
      </c>
      <c r="G405" t="s">
        <v>12</v>
      </c>
      <c r="H405">
        <f t="shared" si="6"/>
        <v>0</v>
      </c>
    </row>
    <row r="406" spans="1:8" x14ac:dyDescent="0.3">
      <c r="A406" t="s">
        <v>34</v>
      </c>
      <c r="B406" t="s">
        <v>8</v>
      </c>
      <c r="C406" t="s">
        <v>20</v>
      </c>
      <c r="D406">
        <v>0</v>
      </c>
      <c r="E406" t="s">
        <v>57</v>
      </c>
      <c r="F406" t="s">
        <v>11</v>
      </c>
      <c r="G406" t="s">
        <v>12</v>
      </c>
      <c r="H406">
        <f t="shared" si="6"/>
        <v>0</v>
      </c>
    </row>
    <row r="407" spans="1:8" x14ac:dyDescent="0.3">
      <c r="A407" t="s">
        <v>34</v>
      </c>
      <c r="B407" t="s">
        <v>8</v>
      </c>
      <c r="C407" t="s">
        <v>21</v>
      </c>
      <c r="D407">
        <v>2</v>
      </c>
      <c r="E407" t="s">
        <v>57</v>
      </c>
      <c r="F407" t="s">
        <v>11</v>
      </c>
      <c r="G407" t="s">
        <v>12</v>
      </c>
      <c r="H407">
        <f t="shared" si="6"/>
        <v>2</v>
      </c>
    </row>
    <row r="408" spans="1:8" x14ac:dyDescent="0.3">
      <c r="A408" t="s">
        <v>34</v>
      </c>
      <c r="B408" t="s">
        <v>8</v>
      </c>
      <c r="C408" t="s">
        <v>22</v>
      </c>
      <c r="D408">
        <v>90</v>
      </c>
      <c r="E408" t="s">
        <v>57</v>
      </c>
      <c r="F408" t="s">
        <v>11</v>
      </c>
      <c r="G408" t="s">
        <v>12</v>
      </c>
      <c r="H408">
        <f t="shared" si="6"/>
        <v>90</v>
      </c>
    </row>
    <row r="409" spans="1:8" x14ac:dyDescent="0.3">
      <c r="A409" t="s">
        <v>34</v>
      </c>
      <c r="B409" t="s">
        <v>23</v>
      </c>
      <c r="C409" t="s">
        <v>9</v>
      </c>
      <c r="D409">
        <v>16</v>
      </c>
      <c r="E409" t="s">
        <v>57</v>
      </c>
      <c r="F409" t="s">
        <v>11</v>
      </c>
      <c r="G409" t="s">
        <v>12</v>
      </c>
      <c r="H409">
        <f t="shared" si="6"/>
        <v>16</v>
      </c>
    </row>
    <row r="410" spans="1:8" x14ac:dyDescent="0.3">
      <c r="A410" t="s">
        <v>34</v>
      </c>
      <c r="B410" t="s">
        <v>23</v>
      </c>
      <c r="C410" t="s">
        <v>13</v>
      </c>
      <c r="D410">
        <v>276</v>
      </c>
      <c r="E410" t="s">
        <v>57</v>
      </c>
      <c r="F410" t="s">
        <v>11</v>
      </c>
      <c r="G410" t="s">
        <v>12</v>
      </c>
      <c r="H410">
        <f t="shared" si="6"/>
        <v>276</v>
      </c>
    </row>
    <row r="411" spans="1:8" x14ac:dyDescent="0.3">
      <c r="A411" t="s">
        <v>34</v>
      </c>
      <c r="B411" t="s">
        <v>23</v>
      </c>
      <c r="C411" t="s">
        <v>14</v>
      </c>
      <c r="D411">
        <v>217</v>
      </c>
      <c r="E411" t="s">
        <v>57</v>
      </c>
      <c r="F411" t="s">
        <v>11</v>
      </c>
      <c r="G411" t="s">
        <v>12</v>
      </c>
      <c r="H411">
        <f t="shared" si="6"/>
        <v>217</v>
      </c>
    </row>
    <row r="412" spans="1:8" x14ac:dyDescent="0.3">
      <c r="A412" t="s">
        <v>34</v>
      </c>
      <c r="B412" t="s">
        <v>23</v>
      </c>
      <c r="C412" t="s">
        <v>15</v>
      </c>
      <c r="D412">
        <v>13</v>
      </c>
      <c r="E412" t="s">
        <v>57</v>
      </c>
      <c r="F412" t="s">
        <v>11</v>
      </c>
      <c r="G412" t="s">
        <v>12</v>
      </c>
      <c r="H412">
        <f t="shared" si="6"/>
        <v>13</v>
      </c>
    </row>
    <row r="413" spans="1:8" x14ac:dyDescent="0.3">
      <c r="A413" t="s">
        <v>34</v>
      </c>
      <c r="B413" t="s">
        <v>23</v>
      </c>
      <c r="C413" t="s">
        <v>16</v>
      </c>
      <c r="D413">
        <v>102</v>
      </c>
      <c r="E413" t="s">
        <v>57</v>
      </c>
      <c r="F413" t="s">
        <v>11</v>
      </c>
      <c r="G413" t="s">
        <v>12</v>
      </c>
      <c r="H413">
        <f t="shared" si="6"/>
        <v>102</v>
      </c>
    </row>
    <row r="414" spans="1:8" x14ac:dyDescent="0.3">
      <c r="A414" t="s">
        <v>34</v>
      </c>
      <c r="B414" t="s">
        <v>23</v>
      </c>
      <c r="C414" t="s">
        <v>17</v>
      </c>
      <c r="D414">
        <v>23</v>
      </c>
      <c r="E414" t="s">
        <v>57</v>
      </c>
      <c r="F414" t="s">
        <v>11</v>
      </c>
      <c r="G414" t="s">
        <v>12</v>
      </c>
      <c r="H414">
        <f t="shared" si="6"/>
        <v>23</v>
      </c>
    </row>
    <row r="415" spans="1:8" x14ac:dyDescent="0.3">
      <c r="A415" t="s">
        <v>34</v>
      </c>
      <c r="B415" t="s">
        <v>23</v>
      </c>
      <c r="C415" t="s">
        <v>18</v>
      </c>
      <c r="D415">
        <v>0</v>
      </c>
      <c r="E415" t="s">
        <v>57</v>
      </c>
      <c r="F415" t="s">
        <v>11</v>
      </c>
      <c r="G415" t="s">
        <v>12</v>
      </c>
      <c r="H415">
        <f t="shared" si="6"/>
        <v>0</v>
      </c>
    </row>
    <row r="416" spans="1:8" x14ac:dyDescent="0.3">
      <c r="A416" t="s">
        <v>34</v>
      </c>
      <c r="B416" t="s">
        <v>23</v>
      </c>
      <c r="C416" t="s">
        <v>19</v>
      </c>
      <c r="D416">
        <v>40</v>
      </c>
      <c r="E416" t="s">
        <v>57</v>
      </c>
      <c r="F416" t="s">
        <v>11</v>
      </c>
      <c r="G416" t="s">
        <v>12</v>
      </c>
      <c r="H416">
        <f t="shared" si="6"/>
        <v>40</v>
      </c>
    </row>
    <row r="417" spans="1:8" x14ac:dyDescent="0.3">
      <c r="A417" t="s">
        <v>34</v>
      </c>
      <c r="B417" t="s">
        <v>23</v>
      </c>
      <c r="C417" t="s">
        <v>20</v>
      </c>
      <c r="D417">
        <v>13</v>
      </c>
      <c r="E417" t="s">
        <v>57</v>
      </c>
      <c r="F417" t="s">
        <v>11</v>
      </c>
      <c r="G417" t="s">
        <v>12</v>
      </c>
      <c r="H417">
        <f t="shared" si="6"/>
        <v>13</v>
      </c>
    </row>
    <row r="418" spans="1:8" x14ac:dyDescent="0.3">
      <c r="A418" t="s">
        <v>34</v>
      </c>
      <c r="B418" t="s">
        <v>23</v>
      </c>
      <c r="C418" t="s">
        <v>21</v>
      </c>
      <c r="D418">
        <v>5</v>
      </c>
      <c r="E418" t="s">
        <v>57</v>
      </c>
      <c r="F418" t="s">
        <v>11</v>
      </c>
      <c r="G418" t="s">
        <v>12</v>
      </c>
      <c r="H418">
        <f t="shared" si="6"/>
        <v>5</v>
      </c>
    </row>
    <row r="419" spans="1:8" x14ac:dyDescent="0.3">
      <c r="A419" t="s">
        <v>34</v>
      </c>
      <c r="B419" t="s">
        <v>23</v>
      </c>
      <c r="C419" t="s">
        <v>22</v>
      </c>
      <c r="D419">
        <v>1038</v>
      </c>
      <c r="E419" t="s">
        <v>57</v>
      </c>
      <c r="F419" t="s">
        <v>11</v>
      </c>
      <c r="G419" t="s">
        <v>12</v>
      </c>
      <c r="H419">
        <f t="shared" si="6"/>
        <v>1040</v>
      </c>
    </row>
    <row r="420" spans="1:8" x14ac:dyDescent="0.3">
      <c r="A420" t="s">
        <v>55</v>
      </c>
      <c r="B420" t="s">
        <v>8</v>
      </c>
      <c r="C420" t="s">
        <v>9</v>
      </c>
      <c r="D420">
        <v>30</v>
      </c>
      <c r="E420" t="s">
        <v>57</v>
      </c>
      <c r="F420" t="s">
        <v>11</v>
      </c>
      <c r="G420" t="s">
        <v>12</v>
      </c>
      <c r="H420">
        <f t="shared" si="6"/>
        <v>30</v>
      </c>
    </row>
    <row r="421" spans="1:8" x14ac:dyDescent="0.3">
      <c r="A421" t="s">
        <v>55</v>
      </c>
      <c r="B421" t="s">
        <v>8</v>
      </c>
      <c r="C421" t="s">
        <v>13</v>
      </c>
      <c r="D421">
        <v>0</v>
      </c>
      <c r="E421" t="s">
        <v>57</v>
      </c>
      <c r="F421" t="s">
        <v>11</v>
      </c>
      <c r="G421" t="s">
        <v>12</v>
      </c>
      <c r="H421">
        <f t="shared" si="6"/>
        <v>0</v>
      </c>
    </row>
    <row r="422" spans="1:8" x14ac:dyDescent="0.3">
      <c r="A422" t="s">
        <v>55</v>
      </c>
      <c r="B422" t="s">
        <v>8</v>
      </c>
      <c r="C422" t="s">
        <v>14</v>
      </c>
      <c r="D422">
        <v>0</v>
      </c>
      <c r="E422" t="s">
        <v>57</v>
      </c>
      <c r="F422" t="s">
        <v>11</v>
      </c>
      <c r="G422" t="s">
        <v>12</v>
      </c>
      <c r="H422">
        <f t="shared" si="6"/>
        <v>0</v>
      </c>
    </row>
    <row r="423" spans="1:8" x14ac:dyDescent="0.3">
      <c r="A423" t="s">
        <v>55</v>
      </c>
      <c r="B423" t="s">
        <v>8</v>
      </c>
      <c r="C423" t="s">
        <v>15</v>
      </c>
      <c r="D423">
        <v>0</v>
      </c>
      <c r="E423" t="s">
        <v>57</v>
      </c>
      <c r="F423" t="s">
        <v>11</v>
      </c>
      <c r="G423" t="s">
        <v>12</v>
      </c>
      <c r="H423">
        <f t="shared" si="6"/>
        <v>0</v>
      </c>
    </row>
    <row r="424" spans="1:8" x14ac:dyDescent="0.3">
      <c r="A424" t="s">
        <v>55</v>
      </c>
      <c r="B424" t="s">
        <v>8</v>
      </c>
      <c r="C424" t="s">
        <v>16</v>
      </c>
      <c r="D424">
        <v>0</v>
      </c>
      <c r="E424" t="s">
        <v>57</v>
      </c>
      <c r="F424" t="s">
        <v>11</v>
      </c>
      <c r="G424" t="s">
        <v>12</v>
      </c>
      <c r="H424">
        <f t="shared" si="6"/>
        <v>0</v>
      </c>
    </row>
    <row r="425" spans="1:8" x14ac:dyDescent="0.3">
      <c r="A425" t="s">
        <v>55</v>
      </c>
      <c r="B425" t="s">
        <v>8</v>
      </c>
      <c r="C425" t="s">
        <v>17</v>
      </c>
      <c r="D425">
        <v>3</v>
      </c>
      <c r="E425" t="s">
        <v>57</v>
      </c>
      <c r="F425" t="s">
        <v>11</v>
      </c>
      <c r="G425" t="s">
        <v>12</v>
      </c>
      <c r="H425">
        <f t="shared" si="6"/>
        <v>3</v>
      </c>
    </row>
    <row r="426" spans="1:8" x14ac:dyDescent="0.3">
      <c r="A426" t="s">
        <v>55</v>
      </c>
      <c r="B426" t="s">
        <v>8</v>
      </c>
      <c r="C426" t="s">
        <v>18</v>
      </c>
      <c r="D426">
        <v>0</v>
      </c>
      <c r="E426" t="s">
        <v>57</v>
      </c>
      <c r="F426" t="s">
        <v>11</v>
      </c>
      <c r="G426" t="s">
        <v>12</v>
      </c>
      <c r="H426">
        <f t="shared" si="6"/>
        <v>0</v>
      </c>
    </row>
    <row r="427" spans="1:8" x14ac:dyDescent="0.3">
      <c r="A427" t="s">
        <v>55</v>
      </c>
      <c r="B427" t="s">
        <v>8</v>
      </c>
      <c r="C427" t="s">
        <v>19</v>
      </c>
      <c r="D427">
        <v>0</v>
      </c>
      <c r="E427" t="s">
        <v>57</v>
      </c>
      <c r="F427" t="s">
        <v>11</v>
      </c>
      <c r="G427" t="s">
        <v>12</v>
      </c>
      <c r="H427">
        <f t="shared" si="6"/>
        <v>0</v>
      </c>
    </row>
    <row r="428" spans="1:8" x14ac:dyDescent="0.3">
      <c r="A428" t="s">
        <v>55</v>
      </c>
      <c r="B428" t="s">
        <v>8</v>
      </c>
      <c r="C428" t="s">
        <v>20</v>
      </c>
      <c r="D428">
        <v>0</v>
      </c>
      <c r="E428" t="s">
        <v>57</v>
      </c>
      <c r="F428" t="s">
        <v>11</v>
      </c>
      <c r="G428" t="s">
        <v>12</v>
      </c>
      <c r="H428">
        <f t="shared" si="6"/>
        <v>0</v>
      </c>
    </row>
    <row r="429" spans="1:8" x14ac:dyDescent="0.3">
      <c r="A429" t="s">
        <v>55</v>
      </c>
      <c r="B429" t="s">
        <v>8</v>
      </c>
      <c r="C429" t="s">
        <v>21</v>
      </c>
      <c r="D429">
        <v>0</v>
      </c>
      <c r="E429" t="s">
        <v>57</v>
      </c>
      <c r="F429" t="s">
        <v>11</v>
      </c>
      <c r="G429" t="s">
        <v>12</v>
      </c>
      <c r="H429">
        <f t="shared" si="6"/>
        <v>0</v>
      </c>
    </row>
    <row r="430" spans="1:8" x14ac:dyDescent="0.3">
      <c r="A430" t="s">
        <v>55</v>
      </c>
      <c r="B430" t="s">
        <v>8</v>
      </c>
      <c r="C430" t="s">
        <v>22</v>
      </c>
      <c r="D430">
        <v>0</v>
      </c>
      <c r="E430" t="s">
        <v>57</v>
      </c>
      <c r="F430" t="s">
        <v>11</v>
      </c>
      <c r="G430" t="s">
        <v>12</v>
      </c>
      <c r="H430">
        <f t="shared" si="6"/>
        <v>0</v>
      </c>
    </row>
    <row r="431" spans="1:8" x14ac:dyDescent="0.3">
      <c r="A431" t="s">
        <v>55</v>
      </c>
      <c r="B431" t="s">
        <v>23</v>
      </c>
      <c r="C431" t="s">
        <v>9</v>
      </c>
      <c r="D431">
        <v>295</v>
      </c>
      <c r="E431" t="s">
        <v>57</v>
      </c>
      <c r="F431" t="s">
        <v>11</v>
      </c>
      <c r="G431" t="s">
        <v>12</v>
      </c>
      <c r="H431">
        <f t="shared" si="6"/>
        <v>295</v>
      </c>
    </row>
    <row r="432" spans="1:8" x14ac:dyDescent="0.3">
      <c r="A432" t="s">
        <v>55</v>
      </c>
      <c r="B432" t="s">
        <v>23</v>
      </c>
      <c r="C432" t="s">
        <v>13</v>
      </c>
      <c r="D432">
        <v>11</v>
      </c>
      <c r="E432" t="s">
        <v>57</v>
      </c>
      <c r="F432" t="s">
        <v>11</v>
      </c>
      <c r="G432" t="s">
        <v>12</v>
      </c>
      <c r="H432">
        <f t="shared" si="6"/>
        <v>11</v>
      </c>
    </row>
    <row r="433" spans="1:8" x14ac:dyDescent="0.3">
      <c r="A433" t="s">
        <v>55</v>
      </c>
      <c r="B433" t="s">
        <v>23</v>
      </c>
      <c r="C433" t="s">
        <v>14</v>
      </c>
      <c r="D433">
        <v>122</v>
      </c>
      <c r="E433" t="s">
        <v>57</v>
      </c>
      <c r="F433" t="s">
        <v>11</v>
      </c>
      <c r="G433" t="s">
        <v>12</v>
      </c>
      <c r="H433">
        <f t="shared" si="6"/>
        <v>122</v>
      </c>
    </row>
    <row r="434" spans="1:8" x14ac:dyDescent="0.3">
      <c r="A434" t="s">
        <v>55</v>
      </c>
      <c r="B434" t="s">
        <v>23</v>
      </c>
      <c r="C434" t="s">
        <v>15</v>
      </c>
      <c r="D434">
        <v>4</v>
      </c>
      <c r="E434" t="s">
        <v>57</v>
      </c>
      <c r="F434" t="s">
        <v>11</v>
      </c>
      <c r="G434" t="s">
        <v>12</v>
      </c>
      <c r="H434">
        <f t="shared" si="6"/>
        <v>4</v>
      </c>
    </row>
    <row r="435" spans="1:8" x14ac:dyDescent="0.3">
      <c r="A435" t="s">
        <v>55</v>
      </c>
      <c r="B435" t="s">
        <v>23</v>
      </c>
      <c r="C435" t="s">
        <v>16</v>
      </c>
      <c r="D435">
        <v>80</v>
      </c>
      <c r="E435" t="s">
        <v>57</v>
      </c>
      <c r="F435" t="s">
        <v>11</v>
      </c>
      <c r="G435" t="s">
        <v>12</v>
      </c>
      <c r="H435">
        <f t="shared" si="6"/>
        <v>80</v>
      </c>
    </row>
    <row r="436" spans="1:8" x14ac:dyDescent="0.3">
      <c r="A436" t="s">
        <v>55</v>
      </c>
      <c r="B436" t="s">
        <v>23</v>
      </c>
      <c r="C436" t="s">
        <v>17</v>
      </c>
      <c r="D436">
        <v>8</v>
      </c>
      <c r="E436" t="s">
        <v>57</v>
      </c>
      <c r="F436" t="s">
        <v>11</v>
      </c>
      <c r="G436" t="s">
        <v>12</v>
      </c>
      <c r="H436">
        <f t="shared" si="6"/>
        <v>8</v>
      </c>
    </row>
    <row r="437" spans="1:8" x14ac:dyDescent="0.3">
      <c r="A437" t="s">
        <v>55</v>
      </c>
      <c r="B437" t="s">
        <v>23</v>
      </c>
      <c r="C437" t="s">
        <v>18</v>
      </c>
      <c r="D437">
        <v>0</v>
      </c>
      <c r="E437" t="s">
        <v>57</v>
      </c>
      <c r="F437" t="s">
        <v>11</v>
      </c>
      <c r="G437" t="s">
        <v>12</v>
      </c>
      <c r="H437">
        <f t="shared" si="6"/>
        <v>0</v>
      </c>
    </row>
    <row r="438" spans="1:8" x14ac:dyDescent="0.3">
      <c r="A438" t="s">
        <v>55</v>
      </c>
      <c r="B438" t="s">
        <v>23</v>
      </c>
      <c r="C438" t="s">
        <v>19</v>
      </c>
      <c r="D438">
        <v>5</v>
      </c>
      <c r="E438" t="s">
        <v>57</v>
      </c>
      <c r="F438" t="s">
        <v>11</v>
      </c>
      <c r="G438" t="s">
        <v>12</v>
      </c>
      <c r="H438">
        <f t="shared" si="6"/>
        <v>5</v>
      </c>
    </row>
    <row r="439" spans="1:8" x14ac:dyDescent="0.3">
      <c r="A439" t="s">
        <v>55</v>
      </c>
      <c r="B439" t="s">
        <v>23</v>
      </c>
      <c r="C439" t="s">
        <v>20</v>
      </c>
      <c r="D439">
        <v>5</v>
      </c>
      <c r="E439" t="s">
        <v>57</v>
      </c>
      <c r="F439" t="s">
        <v>11</v>
      </c>
      <c r="G439" t="s">
        <v>12</v>
      </c>
      <c r="H439">
        <f t="shared" si="6"/>
        <v>5</v>
      </c>
    </row>
    <row r="440" spans="1:8" x14ac:dyDescent="0.3">
      <c r="A440" t="s">
        <v>55</v>
      </c>
      <c r="B440" t="s">
        <v>23</v>
      </c>
      <c r="C440" t="s">
        <v>21</v>
      </c>
      <c r="D440">
        <v>2</v>
      </c>
      <c r="E440" t="s">
        <v>57</v>
      </c>
      <c r="F440" t="s">
        <v>11</v>
      </c>
      <c r="G440" t="s">
        <v>12</v>
      </c>
      <c r="H440">
        <f t="shared" si="6"/>
        <v>2</v>
      </c>
    </row>
    <row r="441" spans="1:8" x14ac:dyDescent="0.3">
      <c r="A441" t="s">
        <v>55</v>
      </c>
      <c r="B441" t="s">
        <v>23</v>
      </c>
      <c r="C441" t="s">
        <v>22</v>
      </c>
      <c r="D441">
        <v>1</v>
      </c>
      <c r="E441" t="s">
        <v>57</v>
      </c>
      <c r="F441" t="s">
        <v>11</v>
      </c>
      <c r="G441" t="s">
        <v>12</v>
      </c>
      <c r="H441">
        <f t="shared" si="6"/>
        <v>1</v>
      </c>
    </row>
    <row r="442" spans="1:8" x14ac:dyDescent="0.3">
      <c r="A442" t="s">
        <v>35</v>
      </c>
      <c r="B442" t="s">
        <v>8</v>
      </c>
      <c r="C442" t="s">
        <v>9</v>
      </c>
      <c r="D442">
        <v>0</v>
      </c>
      <c r="E442" t="s">
        <v>57</v>
      </c>
      <c r="F442" t="s">
        <v>11</v>
      </c>
      <c r="G442" t="s">
        <v>12</v>
      </c>
      <c r="H442">
        <f t="shared" si="6"/>
        <v>0</v>
      </c>
    </row>
    <row r="443" spans="1:8" x14ac:dyDescent="0.3">
      <c r="A443" t="s">
        <v>35</v>
      </c>
      <c r="B443" t="s">
        <v>8</v>
      </c>
      <c r="C443" t="s">
        <v>13</v>
      </c>
      <c r="D443">
        <v>0</v>
      </c>
      <c r="E443" t="s">
        <v>57</v>
      </c>
      <c r="F443" t="s">
        <v>11</v>
      </c>
      <c r="G443" t="s">
        <v>12</v>
      </c>
      <c r="H443">
        <f t="shared" si="6"/>
        <v>0</v>
      </c>
    </row>
    <row r="444" spans="1:8" x14ac:dyDescent="0.3">
      <c r="A444" t="s">
        <v>35</v>
      </c>
      <c r="B444" t="s">
        <v>8</v>
      </c>
      <c r="C444" t="s">
        <v>14</v>
      </c>
      <c r="D444">
        <v>0</v>
      </c>
      <c r="E444" t="s">
        <v>57</v>
      </c>
      <c r="F444" t="s">
        <v>11</v>
      </c>
      <c r="G444" t="s">
        <v>12</v>
      </c>
      <c r="H444">
        <f t="shared" si="6"/>
        <v>0</v>
      </c>
    </row>
    <row r="445" spans="1:8" x14ac:dyDescent="0.3">
      <c r="A445" t="s">
        <v>35</v>
      </c>
      <c r="B445" t="s">
        <v>8</v>
      </c>
      <c r="C445" t="s">
        <v>15</v>
      </c>
      <c r="D445">
        <v>0</v>
      </c>
      <c r="E445" t="s">
        <v>57</v>
      </c>
      <c r="F445" t="s">
        <v>11</v>
      </c>
      <c r="G445" t="s">
        <v>12</v>
      </c>
      <c r="H445">
        <f t="shared" si="6"/>
        <v>0</v>
      </c>
    </row>
    <row r="446" spans="1:8" x14ac:dyDescent="0.3">
      <c r="A446" t="s">
        <v>35</v>
      </c>
      <c r="B446" t="s">
        <v>8</v>
      </c>
      <c r="C446" t="s">
        <v>16</v>
      </c>
      <c r="D446">
        <v>2</v>
      </c>
      <c r="E446" t="s">
        <v>57</v>
      </c>
      <c r="F446" t="s">
        <v>11</v>
      </c>
      <c r="G446" t="s">
        <v>12</v>
      </c>
      <c r="H446">
        <f t="shared" si="6"/>
        <v>2</v>
      </c>
    </row>
    <row r="447" spans="1:8" x14ac:dyDescent="0.3">
      <c r="A447" t="s">
        <v>35</v>
      </c>
      <c r="B447" t="s">
        <v>8</v>
      </c>
      <c r="C447" t="s">
        <v>17</v>
      </c>
      <c r="D447">
        <v>0</v>
      </c>
      <c r="E447" t="s">
        <v>57</v>
      </c>
      <c r="F447" t="s">
        <v>11</v>
      </c>
      <c r="G447" t="s">
        <v>12</v>
      </c>
      <c r="H447">
        <f t="shared" si="6"/>
        <v>0</v>
      </c>
    </row>
    <row r="448" spans="1:8" x14ac:dyDescent="0.3">
      <c r="A448" t="s">
        <v>35</v>
      </c>
      <c r="B448" t="s">
        <v>8</v>
      </c>
      <c r="C448" t="s">
        <v>18</v>
      </c>
      <c r="D448">
        <v>0</v>
      </c>
      <c r="E448" t="s">
        <v>57</v>
      </c>
      <c r="F448" t="s">
        <v>11</v>
      </c>
      <c r="G448" t="s">
        <v>12</v>
      </c>
      <c r="H448">
        <f t="shared" si="6"/>
        <v>0</v>
      </c>
    </row>
    <row r="449" spans="1:8" x14ac:dyDescent="0.3">
      <c r="A449" t="s">
        <v>35</v>
      </c>
      <c r="B449" t="s">
        <v>8</v>
      </c>
      <c r="C449" t="s">
        <v>19</v>
      </c>
      <c r="D449">
        <v>0</v>
      </c>
      <c r="E449" t="s">
        <v>57</v>
      </c>
      <c r="F449" t="s">
        <v>11</v>
      </c>
      <c r="G449" t="s">
        <v>12</v>
      </c>
      <c r="H449">
        <f t="shared" si="6"/>
        <v>0</v>
      </c>
    </row>
    <row r="450" spans="1:8" x14ac:dyDescent="0.3">
      <c r="A450" t="s">
        <v>35</v>
      </c>
      <c r="B450" t="s">
        <v>8</v>
      </c>
      <c r="C450" t="s">
        <v>20</v>
      </c>
      <c r="D450">
        <v>0</v>
      </c>
      <c r="E450" t="s">
        <v>57</v>
      </c>
      <c r="F450" t="s">
        <v>11</v>
      </c>
      <c r="G450" t="s">
        <v>12</v>
      </c>
      <c r="H450">
        <f t="shared" si="6"/>
        <v>0</v>
      </c>
    </row>
    <row r="451" spans="1:8" x14ac:dyDescent="0.3">
      <c r="A451" t="s">
        <v>35</v>
      </c>
      <c r="B451" t="s">
        <v>8</v>
      </c>
      <c r="C451" t="s">
        <v>21</v>
      </c>
      <c r="D451">
        <v>0</v>
      </c>
      <c r="E451" t="s">
        <v>57</v>
      </c>
      <c r="F451" t="s">
        <v>11</v>
      </c>
      <c r="G451" t="s">
        <v>12</v>
      </c>
      <c r="H451">
        <f t="shared" ref="H451:H514" si="7">ROUND(D451, 3 - LEN(INT(ABS(D451))))</f>
        <v>0</v>
      </c>
    </row>
    <row r="452" spans="1:8" x14ac:dyDescent="0.3">
      <c r="A452" t="s">
        <v>35</v>
      </c>
      <c r="B452" t="s">
        <v>8</v>
      </c>
      <c r="C452" t="s">
        <v>22</v>
      </c>
      <c r="D452">
        <v>39</v>
      </c>
      <c r="E452" t="s">
        <v>57</v>
      </c>
      <c r="F452" t="s">
        <v>11</v>
      </c>
      <c r="G452" t="s">
        <v>12</v>
      </c>
      <c r="H452">
        <f t="shared" si="7"/>
        <v>39</v>
      </c>
    </row>
    <row r="453" spans="1:8" x14ac:dyDescent="0.3">
      <c r="A453" t="s">
        <v>35</v>
      </c>
      <c r="B453" t="s">
        <v>23</v>
      </c>
      <c r="C453" t="s">
        <v>9</v>
      </c>
      <c r="D453">
        <v>7</v>
      </c>
      <c r="E453" t="s">
        <v>57</v>
      </c>
      <c r="F453" t="s">
        <v>11</v>
      </c>
      <c r="G453" t="s">
        <v>12</v>
      </c>
      <c r="H453">
        <f t="shared" si="7"/>
        <v>7</v>
      </c>
    </row>
    <row r="454" spans="1:8" x14ac:dyDescent="0.3">
      <c r="A454" t="s">
        <v>35</v>
      </c>
      <c r="B454" t="s">
        <v>23</v>
      </c>
      <c r="C454" t="s">
        <v>13</v>
      </c>
      <c r="D454">
        <v>120</v>
      </c>
      <c r="E454" t="s">
        <v>57</v>
      </c>
      <c r="F454" t="s">
        <v>11</v>
      </c>
      <c r="G454" t="s">
        <v>12</v>
      </c>
      <c r="H454">
        <f t="shared" si="7"/>
        <v>120</v>
      </c>
    </row>
    <row r="455" spans="1:8" x14ac:dyDescent="0.3">
      <c r="A455" t="s">
        <v>35</v>
      </c>
      <c r="B455" t="s">
        <v>23</v>
      </c>
      <c r="C455" t="s">
        <v>14</v>
      </c>
      <c r="D455">
        <v>94</v>
      </c>
      <c r="E455" t="s">
        <v>57</v>
      </c>
      <c r="F455" t="s">
        <v>11</v>
      </c>
      <c r="G455" t="s">
        <v>12</v>
      </c>
      <c r="H455">
        <f t="shared" si="7"/>
        <v>94</v>
      </c>
    </row>
    <row r="456" spans="1:8" x14ac:dyDescent="0.3">
      <c r="A456" t="s">
        <v>35</v>
      </c>
      <c r="B456" t="s">
        <v>23</v>
      </c>
      <c r="C456" t="s">
        <v>15</v>
      </c>
      <c r="D456">
        <v>6</v>
      </c>
      <c r="E456" t="s">
        <v>57</v>
      </c>
      <c r="F456" t="s">
        <v>11</v>
      </c>
      <c r="G456" t="s">
        <v>12</v>
      </c>
      <c r="H456">
        <f t="shared" si="7"/>
        <v>6</v>
      </c>
    </row>
    <row r="457" spans="1:8" x14ac:dyDescent="0.3">
      <c r="A457" t="s">
        <v>35</v>
      </c>
      <c r="B457" t="s">
        <v>23</v>
      </c>
      <c r="C457" t="s">
        <v>16</v>
      </c>
      <c r="D457">
        <v>44</v>
      </c>
      <c r="E457" t="s">
        <v>57</v>
      </c>
      <c r="F457" t="s">
        <v>11</v>
      </c>
      <c r="G457" t="s">
        <v>12</v>
      </c>
      <c r="H457">
        <f t="shared" si="7"/>
        <v>44</v>
      </c>
    </row>
    <row r="458" spans="1:8" x14ac:dyDescent="0.3">
      <c r="A458" t="s">
        <v>35</v>
      </c>
      <c r="B458" t="s">
        <v>23</v>
      </c>
      <c r="C458" t="s">
        <v>17</v>
      </c>
      <c r="D458">
        <v>10</v>
      </c>
      <c r="E458" t="s">
        <v>57</v>
      </c>
      <c r="F458" t="s">
        <v>11</v>
      </c>
      <c r="G458" t="s">
        <v>12</v>
      </c>
      <c r="H458">
        <f t="shared" si="7"/>
        <v>10</v>
      </c>
    </row>
    <row r="459" spans="1:8" x14ac:dyDescent="0.3">
      <c r="A459" t="s">
        <v>35</v>
      </c>
      <c r="B459" t="s">
        <v>23</v>
      </c>
      <c r="C459" t="s">
        <v>18</v>
      </c>
      <c r="D459">
        <v>0</v>
      </c>
      <c r="E459" t="s">
        <v>57</v>
      </c>
      <c r="F459" t="s">
        <v>11</v>
      </c>
      <c r="G459" t="s">
        <v>12</v>
      </c>
      <c r="H459">
        <f t="shared" si="7"/>
        <v>0</v>
      </c>
    </row>
    <row r="460" spans="1:8" x14ac:dyDescent="0.3">
      <c r="A460" t="s">
        <v>35</v>
      </c>
      <c r="B460" t="s">
        <v>23</v>
      </c>
      <c r="C460" t="s">
        <v>19</v>
      </c>
      <c r="D460">
        <v>17</v>
      </c>
      <c r="E460" t="s">
        <v>57</v>
      </c>
      <c r="F460" t="s">
        <v>11</v>
      </c>
      <c r="G460" t="s">
        <v>12</v>
      </c>
      <c r="H460">
        <f t="shared" si="7"/>
        <v>17</v>
      </c>
    </row>
    <row r="461" spans="1:8" x14ac:dyDescent="0.3">
      <c r="A461" t="s">
        <v>35</v>
      </c>
      <c r="B461" t="s">
        <v>23</v>
      </c>
      <c r="C461" t="s">
        <v>20</v>
      </c>
      <c r="D461">
        <v>6</v>
      </c>
      <c r="E461" t="s">
        <v>57</v>
      </c>
      <c r="F461" t="s">
        <v>11</v>
      </c>
      <c r="G461" t="s">
        <v>12</v>
      </c>
      <c r="H461">
        <f t="shared" si="7"/>
        <v>6</v>
      </c>
    </row>
    <row r="462" spans="1:8" x14ac:dyDescent="0.3">
      <c r="A462" t="s">
        <v>35</v>
      </c>
      <c r="B462" t="s">
        <v>23</v>
      </c>
      <c r="C462" t="s">
        <v>21</v>
      </c>
      <c r="D462">
        <v>2</v>
      </c>
      <c r="E462" t="s">
        <v>57</v>
      </c>
      <c r="F462" t="s">
        <v>11</v>
      </c>
      <c r="G462" t="s">
        <v>12</v>
      </c>
      <c r="H462">
        <f t="shared" si="7"/>
        <v>2</v>
      </c>
    </row>
    <row r="463" spans="1:8" x14ac:dyDescent="0.3">
      <c r="A463" t="s">
        <v>35</v>
      </c>
      <c r="B463" t="s">
        <v>23</v>
      </c>
      <c r="C463" t="s">
        <v>22</v>
      </c>
      <c r="D463">
        <v>450</v>
      </c>
      <c r="E463" t="s">
        <v>57</v>
      </c>
      <c r="F463" t="s">
        <v>11</v>
      </c>
      <c r="G463" t="s">
        <v>12</v>
      </c>
      <c r="H463">
        <f t="shared" si="7"/>
        <v>450</v>
      </c>
    </row>
    <row r="464" spans="1:8" x14ac:dyDescent="0.3">
      <c r="A464" t="s">
        <v>56</v>
      </c>
      <c r="B464" t="s">
        <v>8</v>
      </c>
      <c r="C464" t="s">
        <v>9</v>
      </c>
      <c r="D464">
        <v>104</v>
      </c>
      <c r="E464" t="s">
        <v>57</v>
      </c>
      <c r="F464" t="s">
        <v>11</v>
      </c>
      <c r="G464" t="s">
        <v>12</v>
      </c>
      <c r="H464">
        <f t="shared" si="7"/>
        <v>104</v>
      </c>
    </row>
    <row r="465" spans="1:8" x14ac:dyDescent="0.3">
      <c r="A465" t="s">
        <v>56</v>
      </c>
      <c r="B465" t="s">
        <v>8</v>
      </c>
      <c r="C465" t="s">
        <v>13</v>
      </c>
      <c r="D465">
        <v>40</v>
      </c>
      <c r="E465" t="s">
        <v>57</v>
      </c>
      <c r="F465" t="s">
        <v>11</v>
      </c>
      <c r="G465" t="s">
        <v>12</v>
      </c>
      <c r="H465">
        <f t="shared" si="7"/>
        <v>40</v>
      </c>
    </row>
    <row r="466" spans="1:8" x14ac:dyDescent="0.3">
      <c r="A466" t="s">
        <v>56</v>
      </c>
      <c r="B466" t="s">
        <v>8</v>
      </c>
      <c r="C466" t="s">
        <v>14</v>
      </c>
      <c r="D466">
        <v>27</v>
      </c>
      <c r="E466" t="s">
        <v>57</v>
      </c>
      <c r="F466" t="s">
        <v>11</v>
      </c>
      <c r="G466" t="s">
        <v>12</v>
      </c>
      <c r="H466">
        <f t="shared" si="7"/>
        <v>27</v>
      </c>
    </row>
    <row r="467" spans="1:8" x14ac:dyDescent="0.3">
      <c r="A467" t="s">
        <v>56</v>
      </c>
      <c r="B467" t="s">
        <v>8</v>
      </c>
      <c r="C467" t="s">
        <v>15</v>
      </c>
      <c r="D467">
        <v>0</v>
      </c>
      <c r="E467" t="s">
        <v>57</v>
      </c>
      <c r="F467" t="s">
        <v>11</v>
      </c>
      <c r="G467" t="s">
        <v>12</v>
      </c>
      <c r="H467">
        <f t="shared" si="7"/>
        <v>0</v>
      </c>
    </row>
    <row r="468" spans="1:8" x14ac:dyDescent="0.3">
      <c r="A468" t="s">
        <v>56</v>
      </c>
      <c r="B468" t="s">
        <v>8</v>
      </c>
      <c r="C468" t="s">
        <v>16</v>
      </c>
      <c r="D468">
        <v>786</v>
      </c>
      <c r="E468" t="s">
        <v>57</v>
      </c>
      <c r="F468" t="s">
        <v>11</v>
      </c>
      <c r="G468" t="s">
        <v>12</v>
      </c>
      <c r="H468">
        <f t="shared" si="7"/>
        <v>786</v>
      </c>
    </row>
    <row r="469" spans="1:8" x14ac:dyDescent="0.3">
      <c r="A469" t="s">
        <v>56</v>
      </c>
      <c r="B469" t="s">
        <v>8</v>
      </c>
      <c r="C469" t="s">
        <v>17</v>
      </c>
      <c r="D469">
        <v>31</v>
      </c>
      <c r="E469" t="s">
        <v>57</v>
      </c>
      <c r="F469" t="s">
        <v>11</v>
      </c>
      <c r="G469" t="s">
        <v>12</v>
      </c>
      <c r="H469">
        <f t="shared" si="7"/>
        <v>31</v>
      </c>
    </row>
    <row r="470" spans="1:8" x14ac:dyDescent="0.3">
      <c r="A470" t="s">
        <v>56</v>
      </c>
      <c r="B470" t="s">
        <v>8</v>
      </c>
      <c r="C470" t="s">
        <v>18</v>
      </c>
      <c r="D470">
        <v>0</v>
      </c>
      <c r="E470" t="s">
        <v>57</v>
      </c>
      <c r="F470" t="s">
        <v>11</v>
      </c>
      <c r="G470" t="s">
        <v>12</v>
      </c>
      <c r="H470">
        <f t="shared" si="7"/>
        <v>0</v>
      </c>
    </row>
    <row r="471" spans="1:8" x14ac:dyDescent="0.3">
      <c r="A471" t="s">
        <v>56</v>
      </c>
      <c r="B471" t="s">
        <v>8</v>
      </c>
      <c r="C471" t="s">
        <v>19</v>
      </c>
      <c r="D471">
        <v>0</v>
      </c>
      <c r="E471" t="s">
        <v>57</v>
      </c>
      <c r="F471" t="s">
        <v>11</v>
      </c>
      <c r="G471" t="s">
        <v>12</v>
      </c>
      <c r="H471">
        <f t="shared" si="7"/>
        <v>0</v>
      </c>
    </row>
    <row r="472" spans="1:8" x14ac:dyDescent="0.3">
      <c r="A472" t="s">
        <v>56</v>
      </c>
      <c r="B472" t="s">
        <v>8</v>
      </c>
      <c r="C472" t="s">
        <v>20</v>
      </c>
      <c r="D472">
        <v>0</v>
      </c>
      <c r="E472" t="s">
        <v>57</v>
      </c>
      <c r="F472" t="s">
        <v>11</v>
      </c>
      <c r="G472" t="s">
        <v>12</v>
      </c>
      <c r="H472">
        <f t="shared" si="7"/>
        <v>0</v>
      </c>
    </row>
    <row r="473" spans="1:8" x14ac:dyDescent="0.3">
      <c r="A473" t="s">
        <v>56</v>
      </c>
      <c r="B473" t="s">
        <v>8</v>
      </c>
      <c r="C473" t="s">
        <v>21</v>
      </c>
      <c r="D473">
        <v>0</v>
      </c>
      <c r="E473" t="s">
        <v>57</v>
      </c>
      <c r="F473" t="s">
        <v>11</v>
      </c>
      <c r="G473" t="s">
        <v>12</v>
      </c>
      <c r="H473">
        <f t="shared" si="7"/>
        <v>0</v>
      </c>
    </row>
    <row r="474" spans="1:8" x14ac:dyDescent="0.3">
      <c r="A474" t="s">
        <v>56</v>
      </c>
      <c r="B474" t="s">
        <v>8</v>
      </c>
      <c r="C474" t="s">
        <v>22</v>
      </c>
      <c r="D474">
        <v>7</v>
      </c>
      <c r="E474" t="s">
        <v>57</v>
      </c>
      <c r="F474" t="s">
        <v>11</v>
      </c>
      <c r="G474" t="s">
        <v>12</v>
      </c>
      <c r="H474">
        <f t="shared" si="7"/>
        <v>7</v>
      </c>
    </row>
    <row r="475" spans="1:8" x14ac:dyDescent="0.3">
      <c r="A475" t="s">
        <v>56</v>
      </c>
      <c r="B475" t="s">
        <v>23</v>
      </c>
      <c r="C475" t="s">
        <v>9</v>
      </c>
      <c r="D475">
        <v>1017</v>
      </c>
      <c r="E475" t="s">
        <v>57</v>
      </c>
      <c r="F475" t="s">
        <v>11</v>
      </c>
      <c r="G475" t="s">
        <v>12</v>
      </c>
      <c r="H475">
        <f t="shared" si="7"/>
        <v>1020</v>
      </c>
    </row>
    <row r="476" spans="1:8" x14ac:dyDescent="0.3">
      <c r="A476" t="s">
        <v>56</v>
      </c>
      <c r="B476" t="s">
        <v>23</v>
      </c>
      <c r="C476" t="s">
        <v>13</v>
      </c>
      <c r="D476">
        <v>913</v>
      </c>
      <c r="E476" t="s">
        <v>57</v>
      </c>
      <c r="F476" t="s">
        <v>11</v>
      </c>
      <c r="G476" t="s">
        <v>12</v>
      </c>
      <c r="H476">
        <f t="shared" si="7"/>
        <v>913</v>
      </c>
    </row>
    <row r="477" spans="1:8" x14ac:dyDescent="0.3">
      <c r="A477" t="s">
        <v>56</v>
      </c>
      <c r="B477" t="s">
        <v>23</v>
      </c>
      <c r="C477" t="s">
        <v>14</v>
      </c>
      <c r="D477">
        <v>495</v>
      </c>
      <c r="E477" t="s">
        <v>57</v>
      </c>
      <c r="F477" t="s">
        <v>11</v>
      </c>
      <c r="G477" t="s">
        <v>12</v>
      </c>
      <c r="H477">
        <f t="shared" si="7"/>
        <v>495</v>
      </c>
    </row>
    <row r="478" spans="1:8" x14ac:dyDescent="0.3">
      <c r="A478" t="s">
        <v>56</v>
      </c>
      <c r="B478" t="s">
        <v>23</v>
      </c>
      <c r="C478" t="s">
        <v>15</v>
      </c>
      <c r="D478">
        <v>19</v>
      </c>
      <c r="E478" t="s">
        <v>57</v>
      </c>
      <c r="F478" t="s">
        <v>11</v>
      </c>
      <c r="G478" t="s">
        <v>12</v>
      </c>
      <c r="H478">
        <f t="shared" si="7"/>
        <v>19</v>
      </c>
    </row>
    <row r="479" spans="1:8" x14ac:dyDescent="0.3">
      <c r="A479" t="s">
        <v>56</v>
      </c>
      <c r="B479" t="s">
        <v>23</v>
      </c>
      <c r="C479" t="s">
        <v>16</v>
      </c>
      <c r="D479">
        <v>3050</v>
      </c>
      <c r="E479" t="s">
        <v>57</v>
      </c>
      <c r="F479" t="s">
        <v>11</v>
      </c>
      <c r="G479" t="s">
        <v>12</v>
      </c>
      <c r="H479">
        <f t="shared" si="7"/>
        <v>3050</v>
      </c>
    </row>
    <row r="480" spans="1:8" x14ac:dyDescent="0.3">
      <c r="A480" t="s">
        <v>56</v>
      </c>
      <c r="B480" t="s">
        <v>23</v>
      </c>
      <c r="C480" t="s">
        <v>17</v>
      </c>
      <c r="D480">
        <v>30</v>
      </c>
      <c r="E480" t="s">
        <v>57</v>
      </c>
      <c r="F480" t="s">
        <v>11</v>
      </c>
      <c r="G480" t="s">
        <v>12</v>
      </c>
      <c r="H480">
        <f t="shared" si="7"/>
        <v>30</v>
      </c>
    </row>
    <row r="481" spans="1:8" x14ac:dyDescent="0.3">
      <c r="A481" t="s">
        <v>56</v>
      </c>
      <c r="B481" t="s">
        <v>23</v>
      </c>
      <c r="C481" t="s">
        <v>18</v>
      </c>
      <c r="D481">
        <v>0</v>
      </c>
      <c r="E481" t="s">
        <v>57</v>
      </c>
      <c r="F481" t="s">
        <v>11</v>
      </c>
      <c r="G481" t="s">
        <v>12</v>
      </c>
      <c r="H481">
        <f t="shared" si="7"/>
        <v>0</v>
      </c>
    </row>
    <row r="482" spans="1:8" x14ac:dyDescent="0.3">
      <c r="A482" t="s">
        <v>56</v>
      </c>
      <c r="B482" t="s">
        <v>23</v>
      </c>
      <c r="C482" t="s">
        <v>19</v>
      </c>
      <c r="D482">
        <v>38</v>
      </c>
      <c r="E482" t="s">
        <v>57</v>
      </c>
      <c r="F482" t="s">
        <v>11</v>
      </c>
      <c r="G482" t="s">
        <v>12</v>
      </c>
      <c r="H482">
        <f t="shared" si="7"/>
        <v>38</v>
      </c>
    </row>
    <row r="483" spans="1:8" x14ac:dyDescent="0.3">
      <c r="A483" t="s">
        <v>56</v>
      </c>
      <c r="B483" t="s">
        <v>23</v>
      </c>
      <c r="C483" t="s">
        <v>20</v>
      </c>
      <c r="D483">
        <v>61</v>
      </c>
      <c r="E483" t="s">
        <v>57</v>
      </c>
      <c r="F483" t="s">
        <v>11</v>
      </c>
      <c r="G483" t="s">
        <v>12</v>
      </c>
      <c r="H483">
        <f t="shared" si="7"/>
        <v>61</v>
      </c>
    </row>
    <row r="484" spans="1:8" x14ac:dyDescent="0.3">
      <c r="A484" t="s">
        <v>56</v>
      </c>
      <c r="B484" t="s">
        <v>23</v>
      </c>
      <c r="C484" t="s">
        <v>21</v>
      </c>
      <c r="D484">
        <v>10</v>
      </c>
      <c r="E484" t="s">
        <v>57</v>
      </c>
      <c r="F484" t="s">
        <v>11</v>
      </c>
      <c r="G484" t="s">
        <v>12</v>
      </c>
      <c r="H484">
        <f t="shared" si="7"/>
        <v>10</v>
      </c>
    </row>
    <row r="485" spans="1:8" x14ac:dyDescent="0.3">
      <c r="A485" t="s">
        <v>56</v>
      </c>
      <c r="B485" t="s">
        <v>23</v>
      </c>
      <c r="C485" t="s">
        <v>22</v>
      </c>
      <c r="D485">
        <v>72</v>
      </c>
      <c r="E485" t="s">
        <v>57</v>
      </c>
      <c r="F485" t="s">
        <v>11</v>
      </c>
      <c r="G485" t="s">
        <v>12</v>
      </c>
      <c r="H485">
        <f t="shared" si="7"/>
        <v>72</v>
      </c>
    </row>
    <row r="486" spans="1:8" x14ac:dyDescent="0.3">
      <c r="A486" t="s">
        <v>66</v>
      </c>
      <c r="B486" t="s">
        <v>8</v>
      </c>
      <c r="C486" t="s">
        <v>9</v>
      </c>
      <c r="D486">
        <v>66</v>
      </c>
      <c r="E486" t="s">
        <v>57</v>
      </c>
      <c r="F486" t="s">
        <v>11</v>
      </c>
      <c r="G486" t="s">
        <v>12</v>
      </c>
      <c r="H486">
        <f t="shared" si="7"/>
        <v>66</v>
      </c>
    </row>
    <row r="487" spans="1:8" x14ac:dyDescent="0.3">
      <c r="A487" t="s">
        <v>66</v>
      </c>
      <c r="B487" t="s">
        <v>8</v>
      </c>
      <c r="C487" t="s">
        <v>13</v>
      </c>
      <c r="D487">
        <v>0</v>
      </c>
      <c r="E487" t="s">
        <v>57</v>
      </c>
      <c r="F487" t="s">
        <v>11</v>
      </c>
      <c r="G487" t="s">
        <v>12</v>
      </c>
      <c r="H487">
        <f t="shared" si="7"/>
        <v>0</v>
      </c>
    </row>
    <row r="488" spans="1:8" x14ac:dyDescent="0.3">
      <c r="A488" t="s">
        <v>66</v>
      </c>
      <c r="B488" t="s">
        <v>8</v>
      </c>
      <c r="C488" t="s">
        <v>14</v>
      </c>
      <c r="D488">
        <v>1</v>
      </c>
      <c r="E488" t="s">
        <v>57</v>
      </c>
      <c r="F488" t="s">
        <v>11</v>
      </c>
      <c r="G488" t="s">
        <v>12</v>
      </c>
      <c r="H488">
        <f t="shared" si="7"/>
        <v>1</v>
      </c>
    </row>
    <row r="489" spans="1:8" x14ac:dyDescent="0.3">
      <c r="A489" t="s">
        <v>66</v>
      </c>
      <c r="B489" t="s">
        <v>8</v>
      </c>
      <c r="C489" t="s">
        <v>15</v>
      </c>
      <c r="D489">
        <v>0</v>
      </c>
      <c r="E489" t="s">
        <v>57</v>
      </c>
      <c r="F489" t="s">
        <v>11</v>
      </c>
      <c r="G489" t="s">
        <v>12</v>
      </c>
      <c r="H489">
        <f t="shared" si="7"/>
        <v>0</v>
      </c>
    </row>
    <row r="490" spans="1:8" x14ac:dyDescent="0.3">
      <c r="A490" t="s">
        <v>66</v>
      </c>
      <c r="B490" t="s">
        <v>8</v>
      </c>
      <c r="C490" t="s">
        <v>16</v>
      </c>
      <c r="D490">
        <v>1</v>
      </c>
      <c r="E490" t="s">
        <v>57</v>
      </c>
      <c r="F490" t="s">
        <v>11</v>
      </c>
      <c r="G490" t="s">
        <v>12</v>
      </c>
      <c r="H490">
        <f t="shared" si="7"/>
        <v>1</v>
      </c>
    </row>
    <row r="491" spans="1:8" x14ac:dyDescent="0.3">
      <c r="A491" t="s">
        <v>66</v>
      </c>
      <c r="B491" t="s">
        <v>8</v>
      </c>
      <c r="C491" t="s">
        <v>17</v>
      </c>
      <c r="D491">
        <v>7</v>
      </c>
      <c r="E491" t="s">
        <v>57</v>
      </c>
      <c r="F491" t="s">
        <v>11</v>
      </c>
      <c r="G491" t="s">
        <v>12</v>
      </c>
      <c r="H491">
        <f t="shared" si="7"/>
        <v>7</v>
      </c>
    </row>
    <row r="492" spans="1:8" x14ac:dyDescent="0.3">
      <c r="A492" t="s">
        <v>66</v>
      </c>
      <c r="B492" t="s">
        <v>8</v>
      </c>
      <c r="C492" t="s">
        <v>18</v>
      </c>
      <c r="D492">
        <v>0</v>
      </c>
      <c r="E492" t="s">
        <v>57</v>
      </c>
      <c r="F492" t="s">
        <v>11</v>
      </c>
      <c r="G492" t="s">
        <v>12</v>
      </c>
      <c r="H492">
        <f t="shared" si="7"/>
        <v>0</v>
      </c>
    </row>
    <row r="493" spans="1:8" x14ac:dyDescent="0.3">
      <c r="A493" t="s">
        <v>66</v>
      </c>
      <c r="B493" t="s">
        <v>8</v>
      </c>
      <c r="C493" t="s">
        <v>19</v>
      </c>
      <c r="D493">
        <v>0</v>
      </c>
      <c r="E493" t="s">
        <v>57</v>
      </c>
      <c r="F493" t="s">
        <v>11</v>
      </c>
      <c r="G493" t="s">
        <v>12</v>
      </c>
      <c r="H493">
        <f t="shared" si="7"/>
        <v>0</v>
      </c>
    </row>
    <row r="494" spans="1:8" x14ac:dyDescent="0.3">
      <c r="A494" t="s">
        <v>66</v>
      </c>
      <c r="B494" t="s">
        <v>8</v>
      </c>
      <c r="C494" t="s">
        <v>20</v>
      </c>
      <c r="D494">
        <v>0</v>
      </c>
      <c r="E494" t="s">
        <v>57</v>
      </c>
      <c r="F494" t="s">
        <v>11</v>
      </c>
      <c r="G494" t="s">
        <v>12</v>
      </c>
      <c r="H494">
        <f t="shared" si="7"/>
        <v>0</v>
      </c>
    </row>
    <row r="495" spans="1:8" x14ac:dyDescent="0.3">
      <c r="A495" t="s">
        <v>66</v>
      </c>
      <c r="B495" t="s">
        <v>8</v>
      </c>
      <c r="C495" t="s">
        <v>21</v>
      </c>
      <c r="D495">
        <v>0</v>
      </c>
      <c r="E495" t="s">
        <v>57</v>
      </c>
      <c r="F495" t="s">
        <v>11</v>
      </c>
      <c r="G495" t="s">
        <v>12</v>
      </c>
      <c r="H495">
        <f t="shared" si="7"/>
        <v>0</v>
      </c>
    </row>
    <row r="496" spans="1:8" x14ac:dyDescent="0.3">
      <c r="A496" t="s">
        <v>66</v>
      </c>
      <c r="B496" t="s">
        <v>8</v>
      </c>
      <c r="C496" t="s">
        <v>22</v>
      </c>
      <c r="D496">
        <v>2</v>
      </c>
      <c r="E496" t="s">
        <v>57</v>
      </c>
      <c r="F496" t="s">
        <v>11</v>
      </c>
      <c r="G496" t="s">
        <v>12</v>
      </c>
      <c r="H496">
        <f t="shared" si="7"/>
        <v>2</v>
      </c>
    </row>
    <row r="497" spans="1:8" x14ac:dyDescent="0.3">
      <c r="A497" t="s">
        <v>66</v>
      </c>
      <c r="B497" t="s">
        <v>23</v>
      </c>
      <c r="C497" t="s">
        <v>9</v>
      </c>
      <c r="D497">
        <v>650</v>
      </c>
      <c r="E497" t="s">
        <v>57</v>
      </c>
      <c r="F497" t="s">
        <v>11</v>
      </c>
      <c r="G497" t="s">
        <v>12</v>
      </c>
      <c r="H497">
        <f t="shared" si="7"/>
        <v>650</v>
      </c>
    </row>
    <row r="498" spans="1:8" x14ac:dyDescent="0.3">
      <c r="A498" t="s">
        <v>66</v>
      </c>
      <c r="B498" t="s">
        <v>23</v>
      </c>
      <c r="C498" t="s">
        <v>13</v>
      </c>
      <c r="D498">
        <v>24</v>
      </c>
      <c r="E498" t="s">
        <v>57</v>
      </c>
      <c r="F498" t="s">
        <v>11</v>
      </c>
      <c r="G498" t="s">
        <v>12</v>
      </c>
      <c r="H498">
        <f t="shared" si="7"/>
        <v>24</v>
      </c>
    </row>
    <row r="499" spans="1:8" x14ac:dyDescent="0.3">
      <c r="A499" t="s">
        <v>66</v>
      </c>
      <c r="B499" t="s">
        <v>23</v>
      </c>
      <c r="C499" t="s">
        <v>14</v>
      </c>
      <c r="D499">
        <v>268</v>
      </c>
      <c r="E499" t="s">
        <v>57</v>
      </c>
      <c r="F499" t="s">
        <v>11</v>
      </c>
      <c r="G499" t="s">
        <v>12</v>
      </c>
      <c r="H499">
        <f t="shared" si="7"/>
        <v>268</v>
      </c>
    </row>
    <row r="500" spans="1:8" x14ac:dyDescent="0.3">
      <c r="A500" t="s">
        <v>66</v>
      </c>
      <c r="B500" t="s">
        <v>23</v>
      </c>
      <c r="C500" t="s">
        <v>15</v>
      </c>
      <c r="D500">
        <v>10</v>
      </c>
      <c r="E500" t="s">
        <v>57</v>
      </c>
      <c r="F500" t="s">
        <v>11</v>
      </c>
      <c r="G500" t="s">
        <v>12</v>
      </c>
      <c r="H500">
        <f t="shared" si="7"/>
        <v>10</v>
      </c>
    </row>
    <row r="501" spans="1:8" x14ac:dyDescent="0.3">
      <c r="A501" t="s">
        <v>66</v>
      </c>
      <c r="B501" t="s">
        <v>23</v>
      </c>
      <c r="C501" t="s">
        <v>16</v>
      </c>
      <c r="D501">
        <v>176</v>
      </c>
      <c r="E501" t="s">
        <v>57</v>
      </c>
      <c r="F501" t="s">
        <v>11</v>
      </c>
      <c r="G501" t="s">
        <v>12</v>
      </c>
      <c r="H501">
        <f t="shared" si="7"/>
        <v>176</v>
      </c>
    </row>
    <row r="502" spans="1:8" x14ac:dyDescent="0.3">
      <c r="A502" t="s">
        <v>66</v>
      </c>
      <c r="B502" t="s">
        <v>23</v>
      </c>
      <c r="C502" t="s">
        <v>17</v>
      </c>
      <c r="D502">
        <v>18</v>
      </c>
      <c r="E502" t="s">
        <v>57</v>
      </c>
      <c r="F502" t="s">
        <v>11</v>
      </c>
      <c r="G502" t="s">
        <v>12</v>
      </c>
      <c r="H502">
        <f t="shared" si="7"/>
        <v>18</v>
      </c>
    </row>
    <row r="503" spans="1:8" x14ac:dyDescent="0.3">
      <c r="A503" t="s">
        <v>66</v>
      </c>
      <c r="B503" t="s">
        <v>23</v>
      </c>
      <c r="C503" t="s">
        <v>18</v>
      </c>
      <c r="D503">
        <v>0</v>
      </c>
      <c r="E503" t="s">
        <v>57</v>
      </c>
      <c r="F503" t="s">
        <v>11</v>
      </c>
      <c r="G503" t="s">
        <v>12</v>
      </c>
      <c r="H503">
        <f t="shared" si="7"/>
        <v>0</v>
      </c>
    </row>
    <row r="504" spans="1:8" x14ac:dyDescent="0.3">
      <c r="A504" t="s">
        <v>66</v>
      </c>
      <c r="B504" t="s">
        <v>23</v>
      </c>
      <c r="C504" t="s">
        <v>19</v>
      </c>
      <c r="D504">
        <v>10</v>
      </c>
      <c r="E504" t="s">
        <v>57</v>
      </c>
      <c r="F504" t="s">
        <v>11</v>
      </c>
      <c r="G504" t="s">
        <v>12</v>
      </c>
      <c r="H504">
        <f t="shared" si="7"/>
        <v>10</v>
      </c>
    </row>
    <row r="505" spans="1:8" x14ac:dyDescent="0.3">
      <c r="A505" t="s">
        <v>66</v>
      </c>
      <c r="B505" t="s">
        <v>23</v>
      </c>
      <c r="C505" t="s">
        <v>20</v>
      </c>
      <c r="D505">
        <v>11</v>
      </c>
      <c r="E505" t="s">
        <v>57</v>
      </c>
      <c r="F505" t="s">
        <v>11</v>
      </c>
      <c r="G505" t="s">
        <v>12</v>
      </c>
      <c r="H505">
        <f t="shared" si="7"/>
        <v>11</v>
      </c>
    </row>
    <row r="506" spans="1:8" x14ac:dyDescent="0.3">
      <c r="A506" t="s">
        <v>66</v>
      </c>
      <c r="B506" t="s">
        <v>23</v>
      </c>
      <c r="C506" t="s">
        <v>21</v>
      </c>
      <c r="D506">
        <v>5</v>
      </c>
      <c r="E506" t="s">
        <v>57</v>
      </c>
      <c r="F506" t="s">
        <v>11</v>
      </c>
      <c r="G506" t="s">
        <v>12</v>
      </c>
      <c r="H506">
        <f t="shared" si="7"/>
        <v>5</v>
      </c>
    </row>
    <row r="507" spans="1:8" x14ac:dyDescent="0.3">
      <c r="A507" t="s">
        <v>66</v>
      </c>
      <c r="B507" t="s">
        <v>23</v>
      </c>
      <c r="C507" t="s">
        <v>22</v>
      </c>
      <c r="D507">
        <v>3</v>
      </c>
      <c r="E507" t="s">
        <v>57</v>
      </c>
      <c r="F507" t="s">
        <v>11</v>
      </c>
      <c r="G507" t="s">
        <v>12</v>
      </c>
      <c r="H507">
        <f t="shared" si="7"/>
        <v>3</v>
      </c>
    </row>
    <row r="508" spans="1:8" x14ac:dyDescent="0.3">
      <c r="A508" t="s">
        <v>43</v>
      </c>
      <c r="B508" t="s">
        <v>8</v>
      </c>
      <c r="C508" t="s">
        <v>9</v>
      </c>
      <c r="D508">
        <v>0</v>
      </c>
      <c r="E508" t="s">
        <v>57</v>
      </c>
      <c r="F508" t="s">
        <v>36</v>
      </c>
      <c r="G508" t="s">
        <v>37</v>
      </c>
      <c r="H508">
        <f t="shared" si="7"/>
        <v>0</v>
      </c>
    </row>
    <row r="509" spans="1:8" x14ac:dyDescent="0.3">
      <c r="A509" t="s">
        <v>43</v>
      </c>
      <c r="B509" t="s">
        <v>8</v>
      </c>
      <c r="C509" t="s">
        <v>13</v>
      </c>
      <c r="D509">
        <v>0</v>
      </c>
      <c r="E509" t="s">
        <v>57</v>
      </c>
      <c r="F509" t="s">
        <v>36</v>
      </c>
      <c r="G509" t="s">
        <v>37</v>
      </c>
      <c r="H509">
        <f t="shared" si="7"/>
        <v>0</v>
      </c>
    </row>
    <row r="510" spans="1:8" x14ac:dyDescent="0.3">
      <c r="A510" t="s">
        <v>43</v>
      </c>
      <c r="B510" t="s">
        <v>8</v>
      </c>
      <c r="C510" t="s">
        <v>14</v>
      </c>
      <c r="D510">
        <v>0</v>
      </c>
      <c r="E510" t="s">
        <v>57</v>
      </c>
      <c r="F510" t="s">
        <v>36</v>
      </c>
      <c r="G510" t="s">
        <v>37</v>
      </c>
      <c r="H510">
        <f t="shared" si="7"/>
        <v>0</v>
      </c>
    </row>
    <row r="511" spans="1:8" x14ac:dyDescent="0.3">
      <c r="A511" t="s">
        <v>43</v>
      </c>
      <c r="B511" t="s">
        <v>8</v>
      </c>
      <c r="C511" t="s">
        <v>15</v>
      </c>
      <c r="D511">
        <v>0</v>
      </c>
      <c r="E511" t="s">
        <v>57</v>
      </c>
      <c r="F511" t="s">
        <v>36</v>
      </c>
      <c r="G511" t="s">
        <v>37</v>
      </c>
      <c r="H511">
        <f t="shared" si="7"/>
        <v>0</v>
      </c>
    </row>
    <row r="512" spans="1:8" x14ac:dyDescent="0.3">
      <c r="A512" t="s">
        <v>43</v>
      </c>
      <c r="B512" t="s">
        <v>8</v>
      </c>
      <c r="C512" t="s">
        <v>16</v>
      </c>
      <c r="D512">
        <v>0</v>
      </c>
      <c r="E512" t="s">
        <v>57</v>
      </c>
      <c r="F512" t="s">
        <v>36</v>
      </c>
      <c r="G512" t="s">
        <v>37</v>
      </c>
      <c r="H512">
        <f t="shared" si="7"/>
        <v>0</v>
      </c>
    </row>
    <row r="513" spans="1:8" x14ac:dyDescent="0.3">
      <c r="A513" t="s">
        <v>43</v>
      </c>
      <c r="B513" t="s">
        <v>8</v>
      </c>
      <c r="C513" t="s">
        <v>17</v>
      </c>
      <c r="D513">
        <v>0</v>
      </c>
      <c r="E513" t="s">
        <v>57</v>
      </c>
      <c r="F513" t="s">
        <v>36</v>
      </c>
      <c r="G513" t="s">
        <v>37</v>
      </c>
      <c r="H513">
        <f t="shared" si="7"/>
        <v>0</v>
      </c>
    </row>
    <row r="514" spans="1:8" x14ac:dyDescent="0.3">
      <c r="A514" t="s">
        <v>43</v>
      </c>
      <c r="B514" t="s">
        <v>8</v>
      </c>
      <c r="C514" t="s">
        <v>18</v>
      </c>
      <c r="D514">
        <v>0</v>
      </c>
      <c r="E514" t="s">
        <v>57</v>
      </c>
      <c r="F514" t="s">
        <v>36</v>
      </c>
      <c r="G514" t="s">
        <v>37</v>
      </c>
      <c r="H514">
        <f t="shared" si="7"/>
        <v>0</v>
      </c>
    </row>
    <row r="515" spans="1:8" x14ac:dyDescent="0.3">
      <c r="A515" t="s">
        <v>43</v>
      </c>
      <c r="B515" t="s">
        <v>8</v>
      </c>
      <c r="C515" t="s">
        <v>19</v>
      </c>
      <c r="D515">
        <v>0</v>
      </c>
      <c r="E515" t="s">
        <v>57</v>
      </c>
      <c r="F515" t="s">
        <v>36</v>
      </c>
      <c r="G515" t="s">
        <v>37</v>
      </c>
      <c r="H515">
        <f t="shared" ref="H515:H578" si="8">ROUND(D515, 3 - LEN(INT(ABS(D515))))</f>
        <v>0</v>
      </c>
    </row>
    <row r="516" spans="1:8" x14ac:dyDescent="0.3">
      <c r="A516" t="s">
        <v>43</v>
      </c>
      <c r="B516" t="s">
        <v>8</v>
      </c>
      <c r="C516" t="s">
        <v>20</v>
      </c>
      <c r="D516">
        <v>0</v>
      </c>
      <c r="E516" t="s">
        <v>57</v>
      </c>
      <c r="F516" t="s">
        <v>36</v>
      </c>
      <c r="G516" t="s">
        <v>37</v>
      </c>
      <c r="H516">
        <f t="shared" si="8"/>
        <v>0</v>
      </c>
    </row>
    <row r="517" spans="1:8" x14ac:dyDescent="0.3">
      <c r="A517" t="s">
        <v>43</v>
      </c>
      <c r="B517" t="s">
        <v>8</v>
      </c>
      <c r="C517" t="s">
        <v>21</v>
      </c>
      <c r="D517">
        <v>0</v>
      </c>
      <c r="E517" t="s">
        <v>57</v>
      </c>
      <c r="F517" t="s">
        <v>36</v>
      </c>
      <c r="G517" t="s">
        <v>37</v>
      </c>
      <c r="H517">
        <f t="shared" si="8"/>
        <v>0</v>
      </c>
    </row>
    <row r="518" spans="1:8" x14ac:dyDescent="0.3">
      <c r="A518" t="s">
        <v>43</v>
      </c>
      <c r="B518" t="s">
        <v>8</v>
      </c>
      <c r="C518" t="s">
        <v>22</v>
      </c>
      <c r="D518">
        <v>0</v>
      </c>
      <c r="E518" t="s">
        <v>57</v>
      </c>
      <c r="F518" t="s">
        <v>36</v>
      </c>
      <c r="G518" t="s">
        <v>37</v>
      </c>
      <c r="H518">
        <f t="shared" si="8"/>
        <v>0</v>
      </c>
    </row>
    <row r="519" spans="1:8" x14ac:dyDescent="0.3">
      <c r="A519" t="s">
        <v>43</v>
      </c>
      <c r="B519" t="s">
        <v>23</v>
      </c>
      <c r="C519" t="s">
        <v>9</v>
      </c>
      <c r="D519">
        <v>371</v>
      </c>
      <c r="E519" t="s">
        <v>57</v>
      </c>
      <c r="F519" t="s">
        <v>36</v>
      </c>
      <c r="G519" t="s">
        <v>37</v>
      </c>
      <c r="H519">
        <f t="shared" si="8"/>
        <v>371</v>
      </c>
    </row>
    <row r="520" spans="1:8" x14ac:dyDescent="0.3">
      <c r="A520" t="s">
        <v>43</v>
      </c>
      <c r="B520" t="s">
        <v>23</v>
      </c>
      <c r="C520" t="s">
        <v>13</v>
      </c>
      <c r="D520">
        <v>52</v>
      </c>
      <c r="E520" t="s">
        <v>57</v>
      </c>
      <c r="F520" t="s">
        <v>36</v>
      </c>
      <c r="G520" t="s">
        <v>37</v>
      </c>
      <c r="H520">
        <f t="shared" si="8"/>
        <v>52</v>
      </c>
    </row>
    <row r="521" spans="1:8" x14ac:dyDescent="0.3">
      <c r="A521" t="s">
        <v>43</v>
      </c>
      <c r="B521" t="s">
        <v>23</v>
      </c>
      <c r="C521" t="s">
        <v>14</v>
      </c>
      <c r="D521">
        <v>175938</v>
      </c>
      <c r="E521" t="s">
        <v>57</v>
      </c>
      <c r="F521" t="s">
        <v>36</v>
      </c>
      <c r="G521" t="s">
        <v>37</v>
      </c>
      <c r="H521">
        <f t="shared" si="8"/>
        <v>176000</v>
      </c>
    </row>
    <row r="522" spans="1:8" x14ac:dyDescent="0.3">
      <c r="A522" t="s">
        <v>43</v>
      </c>
      <c r="B522" t="s">
        <v>23</v>
      </c>
      <c r="C522" t="s">
        <v>15</v>
      </c>
      <c r="D522">
        <v>11067</v>
      </c>
      <c r="E522" t="s">
        <v>57</v>
      </c>
      <c r="F522" t="s">
        <v>36</v>
      </c>
      <c r="G522" t="s">
        <v>37</v>
      </c>
      <c r="H522">
        <f t="shared" si="8"/>
        <v>11100</v>
      </c>
    </row>
    <row r="523" spans="1:8" x14ac:dyDescent="0.3">
      <c r="A523" t="s">
        <v>43</v>
      </c>
      <c r="B523" t="s">
        <v>23</v>
      </c>
      <c r="C523" t="s">
        <v>16</v>
      </c>
      <c r="D523">
        <v>37421</v>
      </c>
      <c r="E523" t="s">
        <v>57</v>
      </c>
      <c r="F523" t="s">
        <v>36</v>
      </c>
      <c r="G523" t="s">
        <v>37</v>
      </c>
      <c r="H523">
        <f t="shared" si="8"/>
        <v>37400</v>
      </c>
    </row>
    <row r="524" spans="1:8" x14ac:dyDescent="0.3">
      <c r="A524" t="s">
        <v>43</v>
      </c>
      <c r="B524" t="s">
        <v>23</v>
      </c>
      <c r="C524" t="s">
        <v>17</v>
      </c>
      <c r="D524">
        <v>25</v>
      </c>
      <c r="E524" t="s">
        <v>57</v>
      </c>
      <c r="F524" t="s">
        <v>36</v>
      </c>
      <c r="G524" t="s">
        <v>37</v>
      </c>
      <c r="H524">
        <f t="shared" si="8"/>
        <v>25</v>
      </c>
    </row>
    <row r="525" spans="1:8" x14ac:dyDescent="0.3">
      <c r="A525" t="s">
        <v>43</v>
      </c>
      <c r="B525" t="s">
        <v>23</v>
      </c>
      <c r="C525" t="s">
        <v>18</v>
      </c>
      <c r="D525">
        <v>0</v>
      </c>
      <c r="E525" t="s">
        <v>57</v>
      </c>
      <c r="F525" t="s">
        <v>36</v>
      </c>
      <c r="G525" t="s">
        <v>37</v>
      </c>
      <c r="H525">
        <f t="shared" si="8"/>
        <v>0</v>
      </c>
    </row>
    <row r="526" spans="1:8" x14ac:dyDescent="0.3">
      <c r="A526" t="s">
        <v>43</v>
      </c>
      <c r="B526" t="s">
        <v>23</v>
      </c>
      <c r="C526" t="s">
        <v>19</v>
      </c>
      <c r="D526">
        <v>414</v>
      </c>
      <c r="E526" t="s">
        <v>57</v>
      </c>
      <c r="F526" t="s">
        <v>36</v>
      </c>
      <c r="G526" t="s">
        <v>37</v>
      </c>
      <c r="H526">
        <f t="shared" si="8"/>
        <v>414</v>
      </c>
    </row>
    <row r="527" spans="1:8" x14ac:dyDescent="0.3">
      <c r="A527" t="s">
        <v>43</v>
      </c>
      <c r="B527" t="s">
        <v>23</v>
      </c>
      <c r="C527" t="s">
        <v>20</v>
      </c>
      <c r="D527">
        <v>2016</v>
      </c>
      <c r="E527" t="s">
        <v>57</v>
      </c>
      <c r="F527" t="s">
        <v>36</v>
      </c>
      <c r="G527" t="s">
        <v>37</v>
      </c>
      <c r="H527">
        <f t="shared" si="8"/>
        <v>2020</v>
      </c>
    </row>
    <row r="528" spans="1:8" x14ac:dyDescent="0.3">
      <c r="A528" t="s">
        <v>43</v>
      </c>
      <c r="B528" t="s">
        <v>23</v>
      </c>
      <c r="C528" t="s">
        <v>21</v>
      </c>
      <c r="D528">
        <v>367</v>
      </c>
      <c r="E528" t="s">
        <v>57</v>
      </c>
      <c r="F528" t="s">
        <v>36</v>
      </c>
      <c r="G528" t="s">
        <v>37</v>
      </c>
      <c r="H528">
        <f t="shared" si="8"/>
        <v>367</v>
      </c>
    </row>
    <row r="529" spans="1:8" x14ac:dyDescent="0.3">
      <c r="A529" t="s">
        <v>43</v>
      </c>
      <c r="B529" t="s">
        <v>23</v>
      </c>
      <c r="C529" t="s">
        <v>22</v>
      </c>
      <c r="D529">
        <v>359</v>
      </c>
      <c r="E529" t="s">
        <v>57</v>
      </c>
      <c r="F529" t="s">
        <v>36</v>
      </c>
      <c r="G529" t="s">
        <v>37</v>
      </c>
      <c r="H529">
        <f t="shared" si="8"/>
        <v>359</v>
      </c>
    </row>
    <row r="530" spans="1:8" x14ac:dyDescent="0.3">
      <c r="A530" t="s">
        <v>7</v>
      </c>
      <c r="B530" t="s">
        <v>8</v>
      </c>
      <c r="C530" t="s">
        <v>9</v>
      </c>
      <c r="D530">
        <v>0</v>
      </c>
      <c r="E530" t="s">
        <v>57</v>
      </c>
      <c r="F530" t="s">
        <v>36</v>
      </c>
      <c r="G530" t="s">
        <v>37</v>
      </c>
      <c r="H530">
        <f t="shared" si="8"/>
        <v>0</v>
      </c>
    </row>
    <row r="531" spans="1:8" x14ac:dyDescent="0.3">
      <c r="A531" t="s">
        <v>7</v>
      </c>
      <c r="B531" t="s">
        <v>8</v>
      </c>
      <c r="C531" t="s">
        <v>13</v>
      </c>
      <c r="D531">
        <v>0</v>
      </c>
      <c r="E531" t="s">
        <v>57</v>
      </c>
      <c r="F531" t="s">
        <v>36</v>
      </c>
      <c r="G531" t="s">
        <v>37</v>
      </c>
      <c r="H531">
        <f t="shared" si="8"/>
        <v>0</v>
      </c>
    </row>
    <row r="532" spans="1:8" x14ac:dyDescent="0.3">
      <c r="A532" t="s">
        <v>7</v>
      </c>
      <c r="B532" t="s">
        <v>8</v>
      </c>
      <c r="C532" t="s">
        <v>14</v>
      </c>
      <c r="D532">
        <v>0</v>
      </c>
      <c r="E532" t="s">
        <v>57</v>
      </c>
      <c r="F532" t="s">
        <v>36</v>
      </c>
      <c r="G532" t="s">
        <v>37</v>
      </c>
      <c r="H532">
        <f t="shared" si="8"/>
        <v>0</v>
      </c>
    </row>
    <row r="533" spans="1:8" x14ac:dyDescent="0.3">
      <c r="A533" t="s">
        <v>7</v>
      </c>
      <c r="B533" t="s">
        <v>8</v>
      </c>
      <c r="C533" t="s">
        <v>15</v>
      </c>
      <c r="D533">
        <v>0</v>
      </c>
      <c r="E533" t="s">
        <v>57</v>
      </c>
      <c r="F533" t="s">
        <v>36</v>
      </c>
      <c r="G533" t="s">
        <v>37</v>
      </c>
      <c r="H533">
        <f t="shared" si="8"/>
        <v>0</v>
      </c>
    </row>
    <row r="534" spans="1:8" x14ac:dyDescent="0.3">
      <c r="A534" t="s">
        <v>7</v>
      </c>
      <c r="B534" t="s">
        <v>8</v>
      </c>
      <c r="C534" t="s">
        <v>16</v>
      </c>
      <c r="D534">
        <v>0</v>
      </c>
      <c r="E534" t="s">
        <v>57</v>
      </c>
      <c r="F534" t="s">
        <v>36</v>
      </c>
      <c r="G534" t="s">
        <v>37</v>
      </c>
      <c r="H534">
        <f t="shared" si="8"/>
        <v>0</v>
      </c>
    </row>
    <row r="535" spans="1:8" x14ac:dyDescent="0.3">
      <c r="A535" t="s">
        <v>7</v>
      </c>
      <c r="B535" t="s">
        <v>8</v>
      </c>
      <c r="C535" t="s">
        <v>17</v>
      </c>
      <c r="D535">
        <v>0</v>
      </c>
      <c r="E535" t="s">
        <v>57</v>
      </c>
      <c r="F535" t="s">
        <v>36</v>
      </c>
      <c r="G535" t="s">
        <v>37</v>
      </c>
      <c r="H535">
        <f t="shared" si="8"/>
        <v>0</v>
      </c>
    </row>
    <row r="536" spans="1:8" x14ac:dyDescent="0.3">
      <c r="A536" t="s">
        <v>7</v>
      </c>
      <c r="B536" t="s">
        <v>8</v>
      </c>
      <c r="C536" t="s">
        <v>18</v>
      </c>
      <c r="D536">
        <v>0</v>
      </c>
      <c r="E536" t="s">
        <v>57</v>
      </c>
      <c r="F536" t="s">
        <v>36</v>
      </c>
      <c r="G536" t="s">
        <v>37</v>
      </c>
      <c r="H536">
        <f t="shared" si="8"/>
        <v>0</v>
      </c>
    </row>
    <row r="537" spans="1:8" x14ac:dyDescent="0.3">
      <c r="A537" t="s">
        <v>7</v>
      </c>
      <c r="B537" t="s">
        <v>8</v>
      </c>
      <c r="C537" t="s">
        <v>19</v>
      </c>
      <c r="D537">
        <v>0</v>
      </c>
      <c r="E537" t="s">
        <v>57</v>
      </c>
      <c r="F537" t="s">
        <v>36</v>
      </c>
      <c r="G537" t="s">
        <v>37</v>
      </c>
      <c r="H537">
        <f t="shared" si="8"/>
        <v>0</v>
      </c>
    </row>
    <row r="538" spans="1:8" x14ac:dyDescent="0.3">
      <c r="A538" t="s">
        <v>7</v>
      </c>
      <c r="B538" t="s">
        <v>8</v>
      </c>
      <c r="C538" t="s">
        <v>20</v>
      </c>
      <c r="D538">
        <v>0</v>
      </c>
      <c r="E538" t="s">
        <v>57</v>
      </c>
      <c r="F538" t="s">
        <v>36</v>
      </c>
      <c r="G538" t="s">
        <v>37</v>
      </c>
      <c r="H538">
        <f t="shared" si="8"/>
        <v>0</v>
      </c>
    </row>
    <row r="539" spans="1:8" x14ac:dyDescent="0.3">
      <c r="A539" t="s">
        <v>7</v>
      </c>
      <c r="B539" t="s">
        <v>8</v>
      </c>
      <c r="C539" t="s">
        <v>21</v>
      </c>
      <c r="D539">
        <v>0</v>
      </c>
      <c r="E539" t="s">
        <v>57</v>
      </c>
      <c r="F539" t="s">
        <v>36</v>
      </c>
      <c r="G539" t="s">
        <v>37</v>
      </c>
      <c r="H539">
        <f t="shared" si="8"/>
        <v>0</v>
      </c>
    </row>
    <row r="540" spans="1:8" x14ac:dyDescent="0.3">
      <c r="A540" t="s">
        <v>7</v>
      </c>
      <c r="B540" t="s">
        <v>8</v>
      </c>
      <c r="C540" t="s">
        <v>22</v>
      </c>
      <c r="D540">
        <v>0</v>
      </c>
      <c r="E540" t="s">
        <v>57</v>
      </c>
      <c r="F540" t="s">
        <v>36</v>
      </c>
      <c r="G540" t="s">
        <v>37</v>
      </c>
      <c r="H540">
        <f t="shared" si="8"/>
        <v>0</v>
      </c>
    </row>
    <row r="541" spans="1:8" x14ac:dyDescent="0.3">
      <c r="A541" t="s">
        <v>7</v>
      </c>
      <c r="B541" t="s">
        <v>23</v>
      </c>
      <c r="C541" t="s">
        <v>9</v>
      </c>
      <c r="D541">
        <v>1709</v>
      </c>
      <c r="E541" t="s">
        <v>57</v>
      </c>
      <c r="F541" t="s">
        <v>36</v>
      </c>
      <c r="G541" t="s">
        <v>37</v>
      </c>
      <c r="H541">
        <f t="shared" si="8"/>
        <v>1710</v>
      </c>
    </row>
    <row r="542" spans="1:8" x14ac:dyDescent="0.3">
      <c r="A542" t="s">
        <v>7</v>
      </c>
      <c r="B542" t="s">
        <v>23</v>
      </c>
      <c r="C542" t="s">
        <v>13</v>
      </c>
      <c r="D542">
        <v>21039</v>
      </c>
      <c r="E542" t="s">
        <v>57</v>
      </c>
      <c r="F542" t="s">
        <v>36</v>
      </c>
      <c r="G542" t="s">
        <v>37</v>
      </c>
      <c r="H542">
        <f t="shared" si="8"/>
        <v>21000</v>
      </c>
    </row>
    <row r="543" spans="1:8" x14ac:dyDescent="0.3">
      <c r="A543" t="s">
        <v>7</v>
      </c>
      <c r="B543" t="s">
        <v>23</v>
      </c>
      <c r="C543" t="s">
        <v>14</v>
      </c>
      <c r="D543">
        <v>1653</v>
      </c>
      <c r="E543" t="s">
        <v>57</v>
      </c>
      <c r="F543" t="s">
        <v>36</v>
      </c>
      <c r="G543" t="s">
        <v>37</v>
      </c>
      <c r="H543">
        <f t="shared" si="8"/>
        <v>1650</v>
      </c>
    </row>
    <row r="544" spans="1:8" x14ac:dyDescent="0.3">
      <c r="A544" t="s">
        <v>7</v>
      </c>
      <c r="B544" t="s">
        <v>23</v>
      </c>
      <c r="C544" t="s">
        <v>15</v>
      </c>
      <c r="D544">
        <v>15421</v>
      </c>
      <c r="E544" t="s">
        <v>57</v>
      </c>
      <c r="F544" t="s">
        <v>36</v>
      </c>
      <c r="G544" t="s">
        <v>37</v>
      </c>
      <c r="H544">
        <f t="shared" si="8"/>
        <v>15400</v>
      </c>
    </row>
    <row r="545" spans="1:8" x14ac:dyDescent="0.3">
      <c r="A545" t="s">
        <v>7</v>
      </c>
      <c r="B545" t="s">
        <v>23</v>
      </c>
      <c r="C545" t="s">
        <v>16</v>
      </c>
      <c r="D545">
        <v>8947</v>
      </c>
      <c r="E545" t="s">
        <v>57</v>
      </c>
      <c r="F545" t="s">
        <v>36</v>
      </c>
      <c r="G545" t="s">
        <v>37</v>
      </c>
      <c r="H545">
        <f t="shared" si="8"/>
        <v>8950</v>
      </c>
    </row>
    <row r="546" spans="1:8" x14ac:dyDescent="0.3">
      <c r="A546" t="s">
        <v>7</v>
      </c>
      <c r="B546" t="s">
        <v>23</v>
      </c>
      <c r="C546" t="s">
        <v>17</v>
      </c>
      <c r="D546">
        <v>53</v>
      </c>
      <c r="E546" t="s">
        <v>57</v>
      </c>
      <c r="F546" t="s">
        <v>36</v>
      </c>
      <c r="G546" t="s">
        <v>37</v>
      </c>
      <c r="H546">
        <f t="shared" si="8"/>
        <v>53</v>
      </c>
    </row>
    <row r="547" spans="1:8" x14ac:dyDescent="0.3">
      <c r="A547" t="s">
        <v>7</v>
      </c>
      <c r="B547" t="s">
        <v>23</v>
      </c>
      <c r="C547" t="s">
        <v>18</v>
      </c>
      <c r="D547">
        <v>0</v>
      </c>
      <c r="E547" t="s">
        <v>57</v>
      </c>
      <c r="F547" t="s">
        <v>36</v>
      </c>
      <c r="G547" t="s">
        <v>37</v>
      </c>
      <c r="H547">
        <f t="shared" si="8"/>
        <v>0</v>
      </c>
    </row>
    <row r="548" spans="1:8" x14ac:dyDescent="0.3">
      <c r="A548" t="s">
        <v>7</v>
      </c>
      <c r="B548" t="s">
        <v>23</v>
      </c>
      <c r="C548" t="s">
        <v>19</v>
      </c>
      <c r="D548">
        <v>3668</v>
      </c>
      <c r="E548" t="s">
        <v>57</v>
      </c>
      <c r="F548" t="s">
        <v>36</v>
      </c>
      <c r="G548" t="s">
        <v>37</v>
      </c>
      <c r="H548">
        <f t="shared" si="8"/>
        <v>3670</v>
      </c>
    </row>
    <row r="549" spans="1:8" x14ac:dyDescent="0.3">
      <c r="A549" t="s">
        <v>7</v>
      </c>
      <c r="B549" t="s">
        <v>23</v>
      </c>
      <c r="C549" t="s">
        <v>20</v>
      </c>
      <c r="D549">
        <v>5519</v>
      </c>
      <c r="E549" t="s">
        <v>57</v>
      </c>
      <c r="F549" t="s">
        <v>36</v>
      </c>
      <c r="G549" t="s">
        <v>37</v>
      </c>
      <c r="H549">
        <f t="shared" si="8"/>
        <v>5520</v>
      </c>
    </row>
    <row r="550" spans="1:8" x14ac:dyDescent="0.3">
      <c r="A550" t="s">
        <v>7</v>
      </c>
      <c r="B550" t="s">
        <v>23</v>
      </c>
      <c r="C550" t="s">
        <v>21</v>
      </c>
      <c r="D550">
        <v>417</v>
      </c>
      <c r="E550" t="s">
        <v>57</v>
      </c>
      <c r="F550" t="s">
        <v>36</v>
      </c>
      <c r="G550" t="s">
        <v>37</v>
      </c>
      <c r="H550">
        <f t="shared" si="8"/>
        <v>417</v>
      </c>
    </row>
    <row r="551" spans="1:8" x14ac:dyDescent="0.3">
      <c r="A551" t="s">
        <v>7</v>
      </c>
      <c r="B551" t="s">
        <v>23</v>
      </c>
      <c r="C551" t="s">
        <v>22</v>
      </c>
      <c r="D551">
        <v>273042</v>
      </c>
      <c r="E551" t="s">
        <v>57</v>
      </c>
      <c r="F551" t="s">
        <v>36</v>
      </c>
      <c r="G551" t="s">
        <v>37</v>
      </c>
      <c r="H551">
        <f t="shared" si="8"/>
        <v>273000</v>
      </c>
    </row>
    <row r="552" spans="1:8" x14ac:dyDescent="0.3">
      <c r="A552" t="s">
        <v>44</v>
      </c>
      <c r="B552" t="s">
        <v>8</v>
      </c>
      <c r="C552" t="s">
        <v>9</v>
      </c>
      <c r="D552">
        <v>0</v>
      </c>
      <c r="E552" t="s">
        <v>57</v>
      </c>
      <c r="F552" t="s">
        <v>36</v>
      </c>
      <c r="G552" t="s">
        <v>37</v>
      </c>
      <c r="H552">
        <f t="shared" si="8"/>
        <v>0</v>
      </c>
    </row>
    <row r="553" spans="1:8" x14ac:dyDescent="0.3">
      <c r="A553" t="s">
        <v>44</v>
      </c>
      <c r="B553" t="s">
        <v>8</v>
      </c>
      <c r="C553" t="s">
        <v>13</v>
      </c>
      <c r="D553">
        <v>0</v>
      </c>
      <c r="E553" t="s">
        <v>57</v>
      </c>
      <c r="F553" t="s">
        <v>36</v>
      </c>
      <c r="G553" t="s">
        <v>37</v>
      </c>
      <c r="H553">
        <f t="shared" si="8"/>
        <v>0</v>
      </c>
    </row>
    <row r="554" spans="1:8" x14ac:dyDescent="0.3">
      <c r="A554" t="s">
        <v>44</v>
      </c>
      <c r="B554" t="s">
        <v>8</v>
      </c>
      <c r="C554" t="s">
        <v>14</v>
      </c>
      <c r="D554">
        <v>0</v>
      </c>
      <c r="E554" t="s">
        <v>57</v>
      </c>
      <c r="F554" t="s">
        <v>36</v>
      </c>
      <c r="G554" t="s">
        <v>37</v>
      </c>
      <c r="H554">
        <f t="shared" si="8"/>
        <v>0</v>
      </c>
    </row>
    <row r="555" spans="1:8" x14ac:dyDescent="0.3">
      <c r="A555" t="s">
        <v>44</v>
      </c>
      <c r="B555" t="s">
        <v>8</v>
      </c>
      <c r="C555" t="s">
        <v>15</v>
      </c>
      <c r="D555">
        <v>0</v>
      </c>
      <c r="E555" t="s">
        <v>57</v>
      </c>
      <c r="F555" t="s">
        <v>36</v>
      </c>
      <c r="G555" t="s">
        <v>37</v>
      </c>
      <c r="H555">
        <f t="shared" si="8"/>
        <v>0</v>
      </c>
    </row>
    <row r="556" spans="1:8" x14ac:dyDescent="0.3">
      <c r="A556" t="s">
        <v>44</v>
      </c>
      <c r="B556" t="s">
        <v>8</v>
      </c>
      <c r="C556" t="s">
        <v>16</v>
      </c>
      <c r="D556">
        <v>0</v>
      </c>
      <c r="E556" t="s">
        <v>57</v>
      </c>
      <c r="F556" t="s">
        <v>36</v>
      </c>
      <c r="G556" t="s">
        <v>37</v>
      </c>
      <c r="H556">
        <f t="shared" si="8"/>
        <v>0</v>
      </c>
    </row>
    <row r="557" spans="1:8" x14ac:dyDescent="0.3">
      <c r="A557" t="s">
        <v>44</v>
      </c>
      <c r="B557" t="s">
        <v>8</v>
      </c>
      <c r="C557" t="s">
        <v>17</v>
      </c>
      <c r="D557">
        <v>0</v>
      </c>
      <c r="E557" t="s">
        <v>57</v>
      </c>
      <c r="F557" t="s">
        <v>36</v>
      </c>
      <c r="G557" t="s">
        <v>37</v>
      </c>
      <c r="H557">
        <f t="shared" si="8"/>
        <v>0</v>
      </c>
    </row>
    <row r="558" spans="1:8" x14ac:dyDescent="0.3">
      <c r="A558" t="s">
        <v>44</v>
      </c>
      <c r="B558" t="s">
        <v>8</v>
      </c>
      <c r="C558" t="s">
        <v>18</v>
      </c>
      <c r="D558">
        <v>0</v>
      </c>
      <c r="E558" t="s">
        <v>57</v>
      </c>
      <c r="F558" t="s">
        <v>36</v>
      </c>
      <c r="G558" t="s">
        <v>37</v>
      </c>
      <c r="H558">
        <f t="shared" si="8"/>
        <v>0</v>
      </c>
    </row>
    <row r="559" spans="1:8" x14ac:dyDescent="0.3">
      <c r="A559" t="s">
        <v>44</v>
      </c>
      <c r="B559" t="s">
        <v>8</v>
      </c>
      <c r="C559" t="s">
        <v>19</v>
      </c>
      <c r="D559">
        <v>0</v>
      </c>
      <c r="E559" t="s">
        <v>57</v>
      </c>
      <c r="F559" t="s">
        <v>36</v>
      </c>
      <c r="G559" t="s">
        <v>37</v>
      </c>
      <c r="H559">
        <f t="shared" si="8"/>
        <v>0</v>
      </c>
    </row>
    <row r="560" spans="1:8" x14ac:dyDescent="0.3">
      <c r="A560" t="s">
        <v>44</v>
      </c>
      <c r="B560" t="s">
        <v>8</v>
      </c>
      <c r="C560" t="s">
        <v>20</v>
      </c>
      <c r="D560">
        <v>0</v>
      </c>
      <c r="E560" t="s">
        <v>57</v>
      </c>
      <c r="F560" t="s">
        <v>36</v>
      </c>
      <c r="G560" t="s">
        <v>37</v>
      </c>
      <c r="H560">
        <f t="shared" si="8"/>
        <v>0</v>
      </c>
    </row>
    <row r="561" spans="1:8" x14ac:dyDescent="0.3">
      <c r="A561" t="s">
        <v>44</v>
      </c>
      <c r="B561" t="s">
        <v>8</v>
      </c>
      <c r="C561" t="s">
        <v>21</v>
      </c>
      <c r="D561">
        <v>0</v>
      </c>
      <c r="E561" t="s">
        <v>57</v>
      </c>
      <c r="F561" t="s">
        <v>36</v>
      </c>
      <c r="G561" t="s">
        <v>37</v>
      </c>
      <c r="H561">
        <f t="shared" si="8"/>
        <v>0</v>
      </c>
    </row>
    <row r="562" spans="1:8" x14ac:dyDescent="0.3">
      <c r="A562" t="s">
        <v>44</v>
      </c>
      <c r="B562" t="s">
        <v>8</v>
      </c>
      <c r="C562" t="s">
        <v>22</v>
      </c>
      <c r="D562">
        <v>0</v>
      </c>
      <c r="E562" t="s">
        <v>57</v>
      </c>
      <c r="F562" t="s">
        <v>36</v>
      </c>
      <c r="G562" t="s">
        <v>37</v>
      </c>
      <c r="H562">
        <f t="shared" si="8"/>
        <v>0</v>
      </c>
    </row>
    <row r="563" spans="1:8" x14ac:dyDescent="0.3">
      <c r="A563" t="s">
        <v>44</v>
      </c>
      <c r="B563" t="s">
        <v>23</v>
      </c>
      <c r="C563" t="s">
        <v>9</v>
      </c>
      <c r="D563">
        <v>490</v>
      </c>
      <c r="E563" t="s">
        <v>57</v>
      </c>
      <c r="F563" t="s">
        <v>36</v>
      </c>
      <c r="G563" t="s">
        <v>37</v>
      </c>
      <c r="H563">
        <f t="shared" si="8"/>
        <v>490</v>
      </c>
    </row>
    <row r="564" spans="1:8" x14ac:dyDescent="0.3">
      <c r="A564" t="s">
        <v>44</v>
      </c>
      <c r="B564" t="s">
        <v>23</v>
      </c>
      <c r="C564" t="s">
        <v>13</v>
      </c>
      <c r="D564">
        <v>68</v>
      </c>
      <c r="E564" t="s">
        <v>57</v>
      </c>
      <c r="F564" t="s">
        <v>36</v>
      </c>
      <c r="G564" t="s">
        <v>37</v>
      </c>
      <c r="H564">
        <f t="shared" si="8"/>
        <v>68</v>
      </c>
    </row>
    <row r="565" spans="1:8" x14ac:dyDescent="0.3">
      <c r="A565" t="s">
        <v>44</v>
      </c>
      <c r="B565" t="s">
        <v>23</v>
      </c>
      <c r="C565" t="s">
        <v>14</v>
      </c>
      <c r="D565">
        <v>232323</v>
      </c>
      <c r="E565" t="s">
        <v>57</v>
      </c>
      <c r="F565" t="s">
        <v>36</v>
      </c>
      <c r="G565" t="s">
        <v>37</v>
      </c>
      <c r="H565">
        <f t="shared" si="8"/>
        <v>232000</v>
      </c>
    </row>
    <row r="566" spans="1:8" x14ac:dyDescent="0.3">
      <c r="A566" t="s">
        <v>44</v>
      </c>
      <c r="B566" t="s">
        <v>23</v>
      </c>
      <c r="C566" t="s">
        <v>15</v>
      </c>
      <c r="D566">
        <v>14614</v>
      </c>
      <c r="E566" t="s">
        <v>57</v>
      </c>
      <c r="F566" t="s">
        <v>36</v>
      </c>
      <c r="G566" t="s">
        <v>37</v>
      </c>
      <c r="H566">
        <f t="shared" si="8"/>
        <v>14600</v>
      </c>
    </row>
    <row r="567" spans="1:8" x14ac:dyDescent="0.3">
      <c r="A567" t="s">
        <v>44</v>
      </c>
      <c r="B567" t="s">
        <v>23</v>
      </c>
      <c r="C567" t="s">
        <v>16</v>
      </c>
      <c r="D567">
        <v>49415</v>
      </c>
      <c r="E567" t="s">
        <v>57</v>
      </c>
      <c r="F567" t="s">
        <v>36</v>
      </c>
      <c r="G567" t="s">
        <v>37</v>
      </c>
      <c r="H567">
        <f t="shared" si="8"/>
        <v>49400</v>
      </c>
    </row>
    <row r="568" spans="1:8" x14ac:dyDescent="0.3">
      <c r="A568" t="s">
        <v>44</v>
      </c>
      <c r="B568" t="s">
        <v>23</v>
      </c>
      <c r="C568" t="s">
        <v>17</v>
      </c>
      <c r="D568">
        <v>33</v>
      </c>
      <c r="E568" t="s">
        <v>57</v>
      </c>
      <c r="F568" t="s">
        <v>36</v>
      </c>
      <c r="G568" t="s">
        <v>37</v>
      </c>
      <c r="H568">
        <f t="shared" si="8"/>
        <v>33</v>
      </c>
    </row>
    <row r="569" spans="1:8" x14ac:dyDescent="0.3">
      <c r="A569" t="s">
        <v>44</v>
      </c>
      <c r="B569" t="s">
        <v>23</v>
      </c>
      <c r="C569" t="s">
        <v>18</v>
      </c>
      <c r="D569">
        <v>0</v>
      </c>
      <c r="E569" t="s">
        <v>57</v>
      </c>
      <c r="F569" t="s">
        <v>36</v>
      </c>
      <c r="G569" t="s">
        <v>37</v>
      </c>
      <c r="H569">
        <f t="shared" si="8"/>
        <v>0</v>
      </c>
    </row>
    <row r="570" spans="1:8" x14ac:dyDescent="0.3">
      <c r="A570" t="s">
        <v>44</v>
      </c>
      <c r="B570" t="s">
        <v>23</v>
      </c>
      <c r="C570" t="s">
        <v>19</v>
      </c>
      <c r="D570">
        <v>546</v>
      </c>
      <c r="E570" t="s">
        <v>57</v>
      </c>
      <c r="F570" t="s">
        <v>36</v>
      </c>
      <c r="G570" t="s">
        <v>37</v>
      </c>
      <c r="H570">
        <f t="shared" si="8"/>
        <v>546</v>
      </c>
    </row>
    <row r="571" spans="1:8" x14ac:dyDescent="0.3">
      <c r="A571" t="s">
        <v>44</v>
      </c>
      <c r="B571" t="s">
        <v>23</v>
      </c>
      <c r="C571" t="s">
        <v>20</v>
      </c>
      <c r="D571">
        <v>2662</v>
      </c>
      <c r="E571" t="s">
        <v>57</v>
      </c>
      <c r="F571" t="s">
        <v>36</v>
      </c>
      <c r="G571" t="s">
        <v>37</v>
      </c>
      <c r="H571">
        <f t="shared" si="8"/>
        <v>2660</v>
      </c>
    </row>
    <row r="572" spans="1:8" x14ac:dyDescent="0.3">
      <c r="A572" t="s">
        <v>44</v>
      </c>
      <c r="B572" t="s">
        <v>23</v>
      </c>
      <c r="C572" t="s">
        <v>21</v>
      </c>
      <c r="D572">
        <v>484</v>
      </c>
      <c r="E572" t="s">
        <v>57</v>
      </c>
      <c r="F572" t="s">
        <v>36</v>
      </c>
      <c r="G572" t="s">
        <v>37</v>
      </c>
      <c r="H572">
        <f t="shared" si="8"/>
        <v>484</v>
      </c>
    </row>
    <row r="573" spans="1:8" x14ac:dyDescent="0.3">
      <c r="A573" t="s">
        <v>44</v>
      </c>
      <c r="B573" t="s">
        <v>23</v>
      </c>
      <c r="C573" t="s">
        <v>22</v>
      </c>
      <c r="D573">
        <v>474</v>
      </c>
      <c r="E573" t="s">
        <v>57</v>
      </c>
      <c r="F573" t="s">
        <v>36</v>
      </c>
      <c r="G573" t="s">
        <v>37</v>
      </c>
      <c r="H573">
        <f t="shared" si="8"/>
        <v>474</v>
      </c>
    </row>
    <row r="574" spans="1:8" x14ac:dyDescent="0.3">
      <c r="A574" t="s">
        <v>45</v>
      </c>
      <c r="B574" t="s">
        <v>8</v>
      </c>
      <c r="C574" t="s">
        <v>9</v>
      </c>
      <c r="D574">
        <v>0</v>
      </c>
      <c r="E574" t="s">
        <v>57</v>
      </c>
      <c r="F574" t="s">
        <v>36</v>
      </c>
      <c r="G574" t="s">
        <v>37</v>
      </c>
      <c r="H574">
        <f t="shared" si="8"/>
        <v>0</v>
      </c>
    </row>
    <row r="575" spans="1:8" x14ac:dyDescent="0.3">
      <c r="A575" t="s">
        <v>45</v>
      </c>
      <c r="B575" t="s">
        <v>8</v>
      </c>
      <c r="C575" t="s">
        <v>13</v>
      </c>
      <c r="D575">
        <v>0</v>
      </c>
      <c r="E575" t="s">
        <v>57</v>
      </c>
      <c r="F575" t="s">
        <v>36</v>
      </c>
      <c r="G575" t="s">
        <v>37</v>
      </c>
      <c r="H575">
        <f t="shared" si="8"/>
        <v>0</v>
      </c>
    </row>
    <row r="576" spans="1:8" x14ac:dyDescent="0.3">
      <c r="A576" t="s">
        <v>45</v>
      </c>
      <c r="B576" t="s">
        <v>8</v>
      </c>
      <c r="C576" t="s">
        <v>14</v>
      </c>
      <c r="D576">
        <v>0</v>
      </c>
      <c r="E576" t="s">
        <v>57</v>
      </c>
      <c r="F576" t="s">
        <v>36</v>
      </c>
      <c r="G576" t="s">
        <v>37</v>
      </c>
      <c r="H576">
        <f t="shared" si="8"/>
        <v>0</v>
      </c>
    </row>
    <row r="577" spans="1:8" x14ac:dyDescent="0.3">
      <c r="A577" t="s">
        <v>45</v>
      </c>
      <c r="B577" t="s">
        <v>8</v>
      </c>
      <c r="C577" t="s">
        <v>15</v>
      </c>
      <c r="D577">
        <v>0</v>
      </c>
      <c r="E577" t="s">
        <v>57</v>
      </c>
      <c r="F577" t="s">
        <v>36</v>
      </c>
      <c r="G577" t="s">
        <v>37</v>
      </c>
      <c r="H577">
        <f t="shared" si="8"/>
        <v>0</v>
      </c>
    </row>
    <row r="578" spans="1:8" x14ac:dyDescent="0.3">
      <c r="A578" t="s">
        <v>45</v>
      </c>
      <c r="B578" t="s">
        <v>8</v>
      </c>
      <c r="C578" t="s">
        <v>16</v>
      </c>
      <c r="D578">
        <v>0</v>
      </c>
      <c r="E578" t="s">
        <v>57</v>
      </c>
      <c r="F578" t="s">
        <v>36</v>
      </c>
      <c r="G578" t="s">
        <v>37</v>
      </c>
      <c r="H578">
        <f t="shared" si="8"/>
        <v>0</v>
      </c>
    </row>
    <row r="579" spans="1:8" x14ac:dyDescent="0.3">
      <c r="A579" t="s">
        <v>45</v>
      </c>
      <c r="B579" t="s">
        <v>8</v>
      </c>
      <c r="C579" t="s">
        <v>17</v>
      </c>
      <c r="D579">
        <v>0</v>
      </c>
      <c r="E579" t="s">
        <v>57</v>
      </c>
      <c r="F579" t="s">
        <v>36</v>
      </c>
      <c r="G579" t="s">
        <v>37</v>
      </c>
      <c r="H579">
        <f t="shared" ref="H579:H642" si="9">ROUND(D579, 3 - LEN(INT(ABS(D579))))</f>
        <v>0</v>
      </c>
    </row>
    <row r="580" spans="1:8" x14ac:dyDescent="0.3">
      <c r="A580" t="s">
        <v>45</v>
      </c>
      <c r="B580" t="s">
        <v>8</v>
      </c>
      <c r="C580" t="s">
        <v>18</v>
      </c>
      <c r="D580">
        <v>0</v>
      </c>
      <c r="E580" t="s">
        <v>57</v>
      </c>
      <c r="F580" t="s">
        <v>36</v>
      </c>
      <c r="G580" t="s">
        <v>37</v>
      </c>
      <c r="H580">
        <f t="shared" si="9"/>
        <v>0</v>
      </c>
    </row>
    <row r="581" spans="1:8" x14ac:dyDescent="0.3">
      <c r="A581" t="s">
        <v>45</v>
      </c>
      <c r="B581" t="s">
        <v>8</v>
      </c>
      <c r="C581" t="s">
        <v>19</v>
      </c>
      <c r="D581">
        <v>0</v>
      </c>
      <c r="E581" t="s">
        <v>57</v>
      </c>
      <c r="F581" t="s">
        <v>36</v>
      </c>
      <c r="G581" t="s">
        <v>37</v>
      </c>
      <c r="H581">
        <f t="shared" si="9"/>
        <v>0</v>
      </c>
    </row>
    <row r="582" spans="1:8" x14ac:dyDescent="0.3">
      <c r="A582" t="s">
        <v>45</v>
      </c>
      <c r="B582" t="s">
        <v>8</v>
      </c>
      <c r="C582" t="s">
        <v>20</v>
      </c>
      <c r="D582">
        <v>0</v>
      </c>
      <c r="E582" t="s">
        <v>57</v>
      </c>
      <c r="F582" t="s">
        <v>36</v>
      </c>
      <c r="G582" t="s">
        <v>37</v>
      </c>
      <c r="H582">
        <f t="shared" si="9"/>
        <v>0</v>
      </c>
    </row>
    <row r="583" spans="1:8" x14ac:dyDescent="0.3">
      <c r="A583" t="s">
        <v>45</v>
      </c>
      <c r="B583" t="s">
        <v>8</v>
      </c>
      <c r="C583" t="s">
        <v>21</v>
      </c>
      <c r="D583">
        <v>0</v>
      </c>
      <c r="E583" t="s">
        <v>57</v>
      </c>
      <c r="F583" t="s">
        <v>36</v>
      </c>
      <c r="G583" t="s">
        <v>37</v>
      </c>
      <c r="H583">
        <f t="shared" si="9"/>
        <v>0</v>
      </c>
    </row>
    <row r="584" spans="1:8" x14ac:dyDescent="0.3">
      <c r="A584" t="s">
        <v>45</v>
      </c>
      <c r="B584" t="s">
        <v>8</v>
      </c>
      <c r="C584" t="s">
        <v>22</v>
      </c>
      <c r="D584">
        <v>0</v>
      </c>
      <c r="E584" t="s">
        <v>57</v>
      </c>
      <c r="F584" t="s">
        <v>36</v>
      </c>
      <c r="G584" t="s">
        <v>37</v>
      </c>
      <c r="H584">
        <f t="shared" si="9"/>
        <v>0</v>
      </c>
    </row>
    <row r="585" spans="1:8" x14ac:dyDescent="0.3">
      <c r="A585" t="s">
        <v>45</v>
      </c>
      <c r="B585" t="s">
        <v>23</v>
      </c>
      <c r="C585" t="s">
        <v>9</v>
      </c>
      <c r="D585">
        <v>62407</v>
      </c>
      <c r="E585" t="s">
        <v>57</v>
      </c>
      <c r="F585" t="s">
        <v>36</v>
      </c>
      <c r="G585" t="s">
        <v>37</v>
      </c>
      <c r="H585">
        <f t="shared" si="9"/>
        <v>62400</v>
      </c>
    </row>
    <row r="586" spans="1:8" x14ac:dyDescent="0.3">
      <c r="A586" t="s">
        <v>45</v>
      </c>
      <c r="B586" t="s">
        <v>23</v>
      </c>
      <c r="C586" t="s">
        <v>13</v>
      </c>
      <c r="D586">
        <v>765</v>
      </c>
      <c r="E586" t="s">
        <v>57</v>
      </c>
      <c r="F586" t="s">
        <v>36</v>
      </c>
      <c r="G586" t="s">
        <v>37</v>
      </c>
      <c r="H586">
        <f t="shared" si="9"/>
        <v>765</v>
      </c>
    </row>
    <row r="587" spans="1:8" x14ac:dyDescent="0.3">
      <c r="A587" t="s">
        <v>45</v>
      </c>
      <c r="B587" t="s">
        <v>23</v>
      </c>
      <c r="C587" t="s">
        <v>14</v>
      </c>
      <c r="D587">
        <v>880</v>
      </c>
      <c r="E587" t="s">
        <v>57</v>
      </c>
      <c r="F587" t="s">
        <v>36</v>
      </c>
      <c r="G587" t="s">
        <v>37</v>
      </c>
      <c r="H587">
        <f t="shared" si="9"/>
        <v>880</v>
      </c>
    </row>
    <row r="588" spans="1:8" x14ac:dyDescent="0.3">
      <c r="A588" t="s">
        <v>45</v>
      </c>
      <c r="B588" t="s">
        <v>23</v>
      </c>
      <c r="C588" t="s">
        <v>15</v>
      </c>
      <c r="D588">
        <v>3054</v>
      </c>
      <c r="E588" t="s">
        <v>57</v>
      </c>
      <c r="F588" t="s">
        <v>36</v>
      </c>
      <c r="G588" t="s">
        <v>37</v>
      </c>
      <c r="H588">
        <f t="shared" si="9"/>
        <v>3050</v>
      </c>
    </row>
    <row r="589" spans="1:8" x14ac:dyDescent="0.3">
      <c r="A589" t="s">
        <v>45</v>
      </c>
      <c r="B589" t="s">
        <v>23</v>
      </c>
      <c r="C589" t="s">
        <v>16</v>
      </c>
      <c r="D589">
        <v>180523</v>
      </c>
      <c r="E589" t="s">
        <v>57</v>
      </c>
      <c r="F589" t="s">
        <v>36</v>
      </c>
      <c r="G589" t="s">
        <v>37</v>
      </c>
      <c r="H589">
        <f t="shared" si="9"/>
        <v>181000</v>
      </c>
    </row>
    <row r="590" spans="1:8" x14ac:dyDescent="0.3">
      <c r="A590" t="s">
        <v>45</v>
      </c>
      <c r="B590" t="s">
        <v>23</v>
      </c>
      <c r="C590" t="s">
        <v>17</v>
      </c>
      <c r="D590">
        <v>170</v>
      </c>
      <c r="E590" t="s">
        <v>57</v>
      </c>
      <c r="F590" t="s">
        <v>36</v>
      </c>
      <c r="G590" t="s">
        <v>37</v>
      </c>
      <c r="H590">
        <f t="shared" si="9"/>
        <v>170</v>
      </c>
    </row>
    <row r="591" spans="1:8" x14ac:dyDescent="0.3">
      <c r="A591" t="s">
        <v>45</v>
      </c>
      <c r="B591" t="s">
        <v>23</v>
      </c>
      <c r="C591" t="s">
        <v>18</v>
      </c>
      <c r="D591">
        <v>0</v>
      </c>
      <c r="E591" t="s">
        <v>57</v>
      </c>
      <c r="F591" t="s">
        <v>36</v>
      </c>
      <c r="G591" t="s">
        <v>37</v>
      </c>
      <c r="H591">
        <f t="shared" si="9"/>
        <v>0</v>
      </c>
    </row>
    <row r="592" spans="1:8" x14ac:dyDescent="0.3">
      <c r="A592" t="s">
        <v>45</v>
      </c>
      <c r="B592" t="s">
        <v>23</v>
      </c>
      <c r="C592" t="s">
        <v>19</v>
      </c>
      <c r="D592">
        <v>193298</v>
      </c>
      <c r="E592" t="s">
        <v>57</v>
      </c>
      <c r="F592" t="s">
        <v>36</v>
      </c>
      <c r="G592" t="s">
        <v>37</v>
      </c>
      <c r="H592">
        <f t="shared" si="9"/>
        <v>193000</v>
      </c>
    </row>
    <row r="593" spans="1:8" x14ac:dyDescent="0.3">
      <c r="A593" t="s">
        <v>45</v>
      </c>
      <c r="B593" t="s">
        <v>23</v>
      </c>
      <c r="C593" t="s">
        <v>20</v>
      </c>
      <c r="D593">
        <v>2714</v>
      </c>
      <c r="E593" t="s">
        <v>57</v>
      </c>
      <c r="F593" t="s">
        <v>36</v>
      </c>
      <c r="G593" t="s">
        <v>37</v>
      </c>
      <c r="H593">
        <f t="shared" si="9"/>
        <v>2710</v>
      </c>
    </row>
    <row r="594" spans="1:8" x14ac:dyDescent="0.3">
      <c r="A594" t="s">
        <v>45</v>
      </c>
      <c r="B594" t="s">
        <v>23</v>
      </c>
      <c r="C594" t="s">
        <v>21</v>
      </c>
      <c r="D594">
        <v>293</v>
      </c>
      <c r="E594" t="s">
        <v>57</v>
      </c>
      <c r="F594" t="s">
        <v>36</v>
      </c>
      <c r="G594" t="s">
        <v>37</v>
      </c>
      <c r="H594">
        <f t="shared" si="9"/>
        <v>293</v>
      </c>
    </row>
    <row r="595" spans="1:8" x14ac:dyDescent="0.3">
      <c r="A595" t="s">
        <v>45</v>
      </c>
      <c r="B595" t="s">
        <v>23</v>
      </c>
      <c r="C595" t="s">
        <v>22</v>
      </c>
      <c r="D595">
        <v>580</v>
      </c>
      <c r="E595" t="s">
        <v>57</v>
      </c>
      <c r="F595" t="s">
        <v>36</v>
      </c>
      <c r="G595" t="s">
        <v>37</v>
      </c>
      <c r="H595">
        <f t="shared" si="9"/>
        <v>580</v>
      </c>
    </row>
    <row r="596" spans="1:8" x14ac:dyDescent="0.3">
      <c r="A596" t="s">
        <v>58</v>
      </c>
      <c r="B596" t="s">
        <v>8</v>
      </c>
      <c r="C596" t="s">
        <v>9</v>
      </c>
      <c r="D596">
        <v>0</v>
      </c>
      <c r="E596" t="s">
        <v>57</v>
      </c>
      <c r="F596" t="s">
        <v>36</v>
      </c>
      <c r="G596" t="s">
        <v>37</v>
      </c>
      <c r="H596">
        <f t="shared" si="9"/>
        <v>0</v>
      </c>
    </row>
    <row r="597" spans="1:8" x14ac:dyDescent="0.3">
      <c r="A597" t="s">
        <v>58</v>
      </c>
      <c r="B597" t="s">
        <v>8</v>
      </c>
      <c r="C597" t="s">
        <v>13</v>
      </c>
      <c r="D597">
        <v>0</v>
      </c>
      <c r="E597" t="s">
        <v>57</v>
      </c>
      <c r="F597" t="s">
        <v>36</v>
      </c>
      <c r="G597" t="s">
        <v>37</v>
      </c>
      <c r="H597">
        <f t="shared" si="9"/>
        <v>0</v>
      </c>
    </row>
    <row r="598" spans="1:8" x14ac:dyDescent="0.3">
      <c r="A598" t="s">
        <v>58</v>
      </c>
      <c r="B598" t="s">
        <v>8</v>
      </c>
      <c r="C598" t="s">
        <v>14</v>
      </c>
      <c r="D598">
        <v>0</v>
      </c>
      <c r="E598" t="s">
        <v>57</v>
      </c>
      <c r="F598" t="s">
        <v>36</v>
      </c>
      <c r="G598" t="s">
        <v>37</v>
      </c>
      <c r="H598">
        <f t="shared" si="9"/>
        <v>0</v>
      </c>
    </row>
    <row r="599" spans="1:8" x14ac:dyDescent="0.3">
      <c r="A599" t="s">
        <v>58</v>
      </c>
      <c r="B599" t="s">
        <v>8</v>
      </c>
      <c r="C599" t="s">
        <v>15</v>
      </c>
      <c r="D599">
        <v>0</v>
      </c>
      <c r="E599" t="s">
        <v>57</v>
      </c>
      <c r="F599" t="s">
        <v>36</v>
      </c>
      <c r="G599" t="s">
        <v>37</v>
      </c>
      <c r="H599">
        <f t="shared" si="9"/>
        <v>0</v>
      </c>
    </row>
    <row r="600" spans="1:8" x14ac:dyDescent="0.3">
      <c r="A600" t="s">
        <v>58</v>
      </c>
      <c r="B600" t="s">
        <v>8</v>
      </c>
      <c r="C600" t="s">
        <v>16</v>
      </c>
      <c r="D600">
        <v>0</v>
      </c>
      <c r="E600" t="s">
        <v>57</v>
      </c>
      <c r="F600" t="s">
        <v>36</v>
      </c>
      <c r="G600" t="s">
        <v>37</v>
      </c>
      <c r="H600">
        <f t="shared" si="9"/>
        <v>0</v>
      </c>
    </row>
    <row r="601" spans="1:8" x14ac:dyDescent="0.3">
      <c r="A601" t="s">
        <v>58</v>
      </c>
      <c r="B601" t="s">
        <v>8</v>
      </c>
      <c r="C601" t="s">
        <v>17</v>
      </c>
      <c r="D601">
        <v>0</v>
      </c>
      <c r="E601" t="s">
        <v>57</v>
      </c>
      <c r="F601" t="s">
        <v>36</v>
      </c>
      <c r="G601" t="s">
        <v>37</v>
      </c>
      <c r="H601">
        <f t="shared" si="9"/>
        <v>0</v>
      </c>
    </row>
    <row r="602" spans="1:8" x14ac:dyDescent="0.3">
      <c r="A602" t="s">
        <v>58</v>
      </c>
      <c r="B602" t="s">
        <v>8</v>
      </c>
      <c r="C602" t="s">
        <v>18</v>
      </c>
      <c r="D602">
        <v>0</v>
      </c>
      <c r="E602" t="s">
        <v>57</v>
      </c>
      <c r="F602" t="s">
        <v>36</v>
      </c>
      <c r="G602" t="s">
        <v>37</v>
      </c>
      <c r="H602">
        <f t="shared" si="9"/>
        <v>0</v>
      </c>
    </row>
    <row r="603" spans="1:8" x14ac:dyDescent="0.3">
      <c r="A603" t="s">
        <v>58</v>
      </c>
      <c r="B603" t="s">
        <v>8</v>
      </c>
      <c r="C603" t="s">
        <v>19</v>
      </c>
      <c r="D603">
        <v>0</v>
      </c>
      <c r="E603" t="s">
        <v>57</v>
      </c>
      <c r="F603" t="s">
        <v>36</v>
      </c>
      <c r="G603" t="s">
        <v>37</v>
      </c>
      <c r="H603">
        <f t="shared" si="9"/>
        <v>0</v>
      </c>
    </row>
    <row r="604" spans="1:8" x14ac:dyDescent="0.3">
      <c r="A604" t="s">
        <v>58</v>
      </c>
      <c r="B604" t="s">
        <v>8</v>
      </c>
      <c r="C604" t="s">
        <v>20</v>
      </c>
      <c r="D604">
        <v>0</v>
      </c>
      <c r="E604" t="s">
        <v>57</v>
      </c>
      <c r="F604" t="s">
        <v>36</v>
      </c>
      <c r="G604" t="s">
        <v>37</v>
      </c>
      <c r="H604">
        <f t="shared" si="9"/>
        <v>0</v>
      </c>
    </row>
    <row r="605" spans="1:8" x14ac:dyDescent="0.3">
      <c r="A605" t="s">
        <v>58</v>
      </c>
      <c r="B605" t="s">
        <v>8</v>
      </c>
      <c r="C605" t="s">
        <v>21</v>
      </c>
      <c r="D605">
        <v>0</v>
      </c>
      <c r="E605" t="s">
        <v>57</v>
      </c>
      <c r="F605" t="s">
        <v>36</v>
      </c>
      <c r="G605" t="s">
        <v>37</v>
      </c>
      <c r="H605">
        <f t="shared" si="9"/>
        <v>0</v>
      </c>
    </row>
    <row r="606" spans="1:8" x14ac:dyDescent="0.3">
      <c r="A606" t="s">
        <v>58</v>
      </c>
      <c r="B606" t="s">
        <v>8</v>
      </c>
      <c r="C606" t="s">
        <v>22</v>
      </c>
      <c r="D606">
        <v>0</v>
      </c>
      <c r="E606" t="s">
        <v>57</v>
      </c>
      <c r="F606" t="s">
        <v>36</v>
      </c>
      <c r="G606" t="s">
        <v>37</v>
      </c>
      <c r="H606">
        <f t="shared" si="9"/>
        <v>0</v>
      </c>
    </row>
    <row r="607" spans="1:8" x14ac:dyDescent="0.3">
      <c r="A607" t="s">
        <v>58</v>
      </c>
      <c r="B607" t="s">
        <v>23</v>
      </c>
      <c r="C607" t="s">
        <v>9</v>
      </c>
      <c r="D607">
        <v>99</v>
      </c>
      <c r="E607" t="s">
        <v>57</v>
      </c>
      <c r="F607" t="s">
        <v>36</v>
      </c>
      <c r="G607" t="s">
        <v>37</v>
      </c>
      <c r="H607">
        <f t="shared" si="9"/>
        <v>99</v>
      </c>
    </row>
    <row r="608" spans="1:8" x14ac:dyDescent="0.3">
      <c r="A608" t="s">
        <v>58</v>
      </c>
      <c r="B608" t="s">
        <v>23</v>
      </c>
      <c r="C608" t="s">
        <v>13</v>
      </c>
      <c r="D608">
        <v>34</v>
      </c>
      <c r="E608" t="s">
        <v>57</v>
      </c>
      <c r="F608" t="s">
        <v>36</v>
      </c>
      <c r="G608" t="s">
        <v>37</v>
      </c>
      <c r="H608">
        <f t="shared" si="9"/>
        <v>34</v>
      </c>
    </row>
    <row r="609" spans="1:8" x14ac:dyDescent="0.3">
      <c r="A609" t="s">
        <v>58</v>
      </c>
      <c r="B609" t="s">
        <v>23</v>
      </c>
      <c r="C609" t="s">
        <v>14</v>
      </c>
      <c r="D609">
        <v>304</v>
      </c>
      <c r="E609" t="s">
        <v>57</v>
      </c>
      <c r="F609" t="s">
        <v>36</v>
      </c>
      <c r="G609" t="s">
        <v>37</v>
      </c>
      <c r="H609">
        <f t="shared" si="9"/>
        <v>304</v>
      </c>
    </row>
    <row r="610" spans="1:8" x14ac:dyDescent="0.3">
      <c r="A610" t="s">
        <v>58</v>
      </c>
      <c r="B610" t="s">
        <v>23</v>
      </c>
      <c r="C610" t="s">
        <v>15</v>
      </c>
      <c r="D610">
        <v>57</v>
      </c>
      <c r="E610" t="s">
        <v>57</v>
      </c>
      <c r="F610" t="s">
        <v>36</v>
      </c>
      <c r="G610" t="s">
        <v>37</v>
      </c>
      <c r="H610">
        <f t="shared" si="9"/>
        <v>57</v>
      </c>
    </row>
    <row r="611" spans="1:8" x14ac:dyDescent="0.3">
      <c r="A611" t="s">
        <v>58</v>
      </c>
      <c r="B611" t="s">
        <v>23</v>
      </c>
      <c r="C611" t="s">
        <v>16</v>
      </c>
      <c r="D611">
        <v>154415</v>
      </c>
      <c r="E611" t="s">
        <v>57</v>
      </c>
      <c r="F611" t="s">
        <v>36</v>
      </c>
      <c r="G611" t="s">
        <v>37</v>
      </c>
      <c r="H611">
        <f t="shared" si="9"/>
        <v>154000</v>
      </c>
    </row>
    <row r="612" spans="1:8" x14ac:dyDescent="0.3">
      <c r="A612" t="s">
        <v>58</v>
      </c>
      <c r="B612" t="s">
        <v>23</v>
      </c>
      <c r="C612" t="s">
        <v>17</v>
      </c>
      <c r="D612">
        <v>24</v>
      </c>
      <c r="E612" t="s">
        <v>57</v>
      </c>
      <c r="F612" t="s">
        <v>36</v>
      </c>
      <c r="G612" t="s">
        <v>37</v>
      </c>
      <c r="H612">
        <f t="shared" si="9"/>
        <v>24</v>
      </c>
    </row>
    <row r="613" spans="1:8" x14ac:dyDescent="0.3">
      <c r="A613" t="s">
        <v>58</v>
      </c>
      <c r="B613" t="s">
        <v>23</v>
      </c>
      <c r="C613" t="s">
        <v>18</v>
      </c>
      <c r="D613">
        <v>0</v>
      </c>
      <c r="E613" t="s">
        <v>57</v>
      </c>
      <c r="F613" t="s">
        <v>36</v>
      </c>
      <c r="G613" t="s">
        <v>37</v>
      </c>
      <c r="H613">
        <f t="shared" si="9"/>
        <v>0</v>
      </c>
    </row>
    <row r="614" spans="1:8" x14ac:dyDescent="0.3">
      <c r="A614" t="s">
        <v>58</v>
      </c>
      <c r="B614" t="s">
        <v>23</v>
      </c>
      <c r="C614" t="s">
        <v>19</v>
      </c>
      <c r="D614">
        <v>6</v>
      </c>
      <c r="E614" t="s">
        <v>57</v>
      </c>
      <c r="F614" t="s">
        <v>36</v>
      </c>
      <c r="G614" t="s">
        <v>37</v>
      </c>
      <c r="H614">
        <f t="shared" si="9"/>
        <v>6</v>
      </c>
    </row>
    <row r="615" spans="1:8" x14ac:dyDescent="0.3">
      <c r="A615" t="s">
        <v>58</v>
      </c>
      <c r="B615" t="s">
        <v>23</v>
      </c>
      <c r="C615" t="s">
        <v>20</v>
      </c>
      <c r="D615">
        <v>437</v>
      </c>
      <c r="E615" t="s">
        <v>57</v>
      </c>
      <c r="F615" t="s">
        <v>36</v>
      </c>
      <c r="G615" t="s">
        <v>37</v>
      </c>
      <c r="H615">
        <f t="shared" si="9"/>
        <v>437</v>
      </c>
    </row>
    <row r="616" spans="1:8" x14ac:dyDescent="0.3">
      <c r="A616" t="s">
        <v>58</v>
      </c>
      <c r="B616" t="s">
        <v>23</v>
      </c>
      <c r="C616" t="s">
        <v>21</v>
      </c>
      <c r="D616">
        <v>162</v>
      </c>
      <c r="E616" t="s">
        <v>57</v>
      </c>
      <c r="F616" t="s">
        <v>36</v>
      </c>
      <c r="G616" t="s">
        <v>37</v>
      </c>
      <c r="H616">
        <f t="shared" si="9"/>
        <v>162</v>
      </c>
    </row>
    <row r="617" spans="1:8" x14ac:dyDescent="0.3">
      <c r="A617" t="s">
        <v>58</v>
      </c>
      <c r="B617" t="s">
        <v>23</v>
      </c>
      <c r="C617" t="s">
        <v>22</v>
      </c>
      <c r="D617">
        <v>394</v>
      </c>
      <c r="E617" t="s">
        <v>57</v>
      </c>
      <c r="F617" t="s">
        <v>36</v>
      </c>
      <c r="G617" t="s">
        <v>37</v>
      </c>
      <c r="H617">
        <f t="shared" si="9"/>
        <v>394</v>
      </c>
    </row>
    <row r="618" spans="1:8" x14ac:dyDescent="0.3">
      <c r="A618" t="s">
        <v>59</v>
      </c>
      <c r="B618" t="s">
        <v>8</v>
      </c>
      <c r="C618" t="s">
        <v>9</v>
      </c>
      <c r="D618">
        <v>0</v>
      </c>
      <c r="E618" t="s">
        <v>57</v>
      </c>
      <c r="F618" t="s">
        <v>36</v>
      </c>
      <c r="G618" t="s">
        <v>37</v>
      </c>
      <c r="H618">
        <f t="shared" si="9"/>
        <v>0</v>
      </c>
    </row>
    <row r="619" spans="1:8" x14ac:dyDescent="0.3">
      <c r="A619" t="s">
        <v>59</v>
      </c>
      <c r="B619" t="s">
        <v>8</v>
      </c>
      <c r="C619" t="s">
        <v>13</v>
      </c>
      <c r="D619">
        <v>0</v>
      </c>
      <c r="E619" t="s">
        <v>57</v>
      </c>
      <c r="F619" t="s">
        <v>36</v>
      </c>
      <c r="G619" t="s">
        <v>37</v>
      </c>
      <c r="H619">
        <f t="shared" si="9"/>
        <v>0</v>
      </c>
    </row>
    <row r="620" spans="1:8" x14ac:dyDescent="0.3">
      <c r="A620" t="s">
        <v>59</v>
      </c>
      <c r="B620" t="s">
        <v>8</v>
      </c>
      <c r="C620" t="s">
        <v>14</v>
      </c>
      <c r="D620">
        <v>0</v>
      </c>
      <c r="E620" t="s">
        <v>57</v>
      </c>
      <c r="F620" t="s">
        <v>36</v>
      </c>
      <c r="G620" t="s">
        <v>37</v>
      </c>
      <c r="H620">
        <f t="shared" si="9"/>
        <v>0</v>
      </c>
    </row>
    <row r="621" spans="1:8" x14ac:dyDescent="0.3">
      <c r="A621" t="s">
        <v>59</v>
      </c>
      <c r="B621" t="s">
        <v>8</v>
      </c>
      <c r="C621" t="s">
        <v>15</v>
      </c>
      <c r="D621">
        <v>0</v>
      </c>
      <c r="E621" t="s">
        <v>57</v>
      </c>
      <c r="F621" t="s">
        <v>36</v>
      </c>
      <c r="G621" t="s">
        <v>37</v>
      </c>
      <c r="H621">
        <f t="shared" si="9"/>
        <v>0</v>
      </c>
    </row>
    <row r="622" spans="1:8" x14ac:dyDescent="0.3">
      <c r="A622" t="s">
        <v>59</v>
      </c>
      <c r="B622" t="s">
        <v>8</v>
      </c>
      <c r="C622" t="s">
        <v>16</v>
      </c>
      <c r="D622">
        <v>0</v>
      </c>
      <c r="E622" t="s">
        <v>57</v>
      </c>
      <c r="F622" t="s">
        <v>36</v>
      </c>
      <c r="G622" t="s">
        <v>37</v>
      </c>
      <c r="H622">
        <f t="shared" si="9"/>
        <v>0</v>
      </c>
    </row>
    <row r="623" spans="1:8" x14ac:dyDescent="0.3">
      <c r="A623" t="s">
        <v>59</v>
      </c>
      <c r="B623" t="s">
        <v>8</v>
      </c>
      <c r="C623" t="s">
        <v>17</v>
      </c>
      <c r="D623">
        <v>0</v>
      </c>
      <c r="E623" t="s">
        <v>57</v>
      </c>
      <c r="F623" t="s">
        <v>36</v>
      </c>
      <c r="G623" t="s">
        <v>37</v>
      </c>
      <c r="H623">
        <f t="shared" si="9"/>
        <v>0</v>
      </c>
    </row>
    <row r="624" spans="1:8" x14ac:dyDescent="0.3">
      <c r="A624" t="s">
        <v>59</v>
      </c>
      <c r="B624" t="s">
        <v>8</v>
      </c>
      <c r="C624" t="s">
        <v>18</v>
      </c>
      <c r="D624">
        <v>0</v>
      </c>
      <c r="E624" t="s">
        <v>57</v>
      </c>
      <c r="F624" t="s">
        <v>36</v>
      </c>
      <c r="G624" t="s">
        <v>37</v>
      </c>
      <c r="H624">
        <f t="shared" si="9"/>
        <v>0</v>
      </c>
    </row>
    <row r="625" spans="1:8" x14ac:dyDescent="0.3">
      <c r="A625" t="s">
        <v>59</v>
      </c>
      <c r="B625" t="s">
        <v>8</v>
      </c>
      <c r="C625" t="s">
        <v>19</v>
      </c>
      <c r="D625">
        <v>0</v>
      </c>
      <c r="E625" t="s">
        <v>57</v>
      </c>
      <c r="F625" t="s">
        <v>36</v>
      </c>
      <c r="G625" t="s">
        <v>37</v>
      </c>
      <c r="H625">
        <f t="shared" si="9"/>
        <v>0</v>
      </c>
    </row>
    <row r="626" spans="1:8" x14ac:dyDescent="0.3">
      <c r="A626" t="s">
        <v>59</v>
      </c>
      <c r="B626" t="s">
        <v>8</v>
      </c>
      <c r="C626" t="s">
        <v>20</v>
      </c>
      <c r="D626">
        <v>0</v>
      </c>
      <c r="E626" t="s">
        <v>57</v>
      </c>
      <c r="F626" t="s">
        <v>36</v>
      </c>
      <c r="G626" t="s">
        <v>37</v>
      </c>
      <c r="H626">
        <f t="shared" si="9"/>
        <v>0</v>
      </c>
    </row>
    <row r="627" spans="1:8" x14ac:dyDescent="0.3">
      <c r="A627" t="s">
        <v>59</v>
      </c>
      <c r="B627" t="s">
        <v>8</v>
      </c>
      <c r="C627" t="s">
        <v>21</v>
      </c>
      <c r="D627">
        <v>0</v>
      </c>
      <c r="E627" t="s">
        <v>57</v>
      </c>
      <c r="F627" t="s">
        <v>36</v>
      </c>
      <c r="G627" t="s">
        <v>37</v>
      </c>
      <c r="H627">
        <f t="shared" si="9"/>
        <v>0</v>
      </c>
    </row>
    <row r="628" spans="1:8" x14ac:dyDescent="0.3">
      <c r="A628" t="s">
        <v>59</v>
      </c>
      <c r="B628" t="s">
        <v>8</v>
      </c>
      <c r="C628" t="s">
        <v>22</v>
      </c>
      <c r="D628">
        <v>0</v>
      </c>
      <c r="E628" t="s">
        <v>57</v>
      </c>
      <c r="F628" t="s">
        <v>36</v>
      </c>
      <c r="G628" t="s">
        <v>37</v>
      </c>
      <c r="H628">
        <f t="shared" si="9"/>
        <v>0</v>
      </c>
    </row>
    <row r="629" spans="1:8" x14ac:dyDescent="0.3">
      <c r="A629" t="s">
        <v>59</v>
      </c>
      <c r="B629" t="s">
        <v>23</v>
      </c>
      <c r="C629" t="s">
        <v>9</v>
      </c>
      <c r="D629">
        <v>286354</v>
      </c>
      <c r="E629" t="s">
        <v>57</v>
      </c>
      <c r="F629" t="s">
        <v>36</v>
      </c>
      <c r="G629" t="s">
        <v>37</v>
      </c>
      <c r="H629">
        <f t="shared" si="9"/>
        <v>286000</v>
      </c>
    </row>
    <row r="630" spans="1:8" x14ac:dyDescent="0.3">
      <c r="A630" t="s">
        <v>59</v>
      </c>
      <c r="B630" t="s">
        <v>23</v>
      </c>
      <c r="C630" t="s">
        <v>13</v>
      </c>
      <c r="D630">
        <v>2489</v>
      </c>
      <c r="E630" t="s">
        <v>57</v>
      </c>
      <c r="F630" t="s">
        <v>36</v>
      </c>
      <c r="G630" t="s">
        <v>37</v>
      </c>
      <c r="H630">
        <f t="shared" si="9"/>
        <v>2490</v>
      </c>
    </row>
    <row r="631" spans="1:8" x14ac:dyDescent="0.3">
      <c r="A631" t="s">
        <v>59</v>
      </c>
      <c r="B631" t="s">
        <v>23</v>
      </c>
      <c r="C631" t="s">
        <v>14</v>
      </c>
      <c r="D631">
        <v>2221</v>
      </c>
      <c r="E631" t="s">
        <v>57</v>
      </c>
      <c r="F631" t="s">
        <v>36</v>
      </c>
      <c r="G631" t="s">
        <v>37</v>
      </c>
      <c r="H631">
        <f t="shared" si="9"/>
        <v>2220</v>
      </c>
    </row>
    <row r="632" spans="1:8" x14ac:dyDescent="0.3">
      <c r="A632" t="s">
        <v>59</v>
      </c>
      <c r="B632" t="s">
        <v>23</v>
      </c>
      <c r="C632" t="s">
        <v>15</v>
      </c>
      <c r="D632">
        <v>3877</v>
      </c>
      <c r="E632" t="s">
        <v>57</v>
      </c>
      <c r="F632" t="s">
        <v>36</v>
      </c>
      <c r="G632" t="s">
        <v>37</v>
      </c>
      <c r="H632">
        <f t="shared" si="9"/>
        <v>3880</v>
      </c>
    </row>
    <row r="633" spans="1:8" x14ac:dyDescent="0.3">
      <c r="A633" t="s">
        <v>59</v>
      </c>
      <c r="B633" t="s">
        <v>23</v>
      </c>
      <c r="C633" t="s">
        <v>16</v>
      </c>
      <c r="D633">
        <v>32337</v>
      </c>
      <c r="E633" t="s">
        <v>57</v>
      </c>
      <c r="F633" t="s">
        <v>36</v>
      </c>
      <c r="G633" t="s">
        <v>37</v>
      </c>
      <c r="H633">
        <f t="shared" si="9"/>
        <v>32300</v>
      </c>
    </row>
    <row r="634" spans="1:8" x14ac:dyDescent="0.3">
      <c r="A634" t="s">
        <v>59</v>
      </c>
      <c r="B634" t="s">
        <v>23</v>
      </c>
      <c r="C634" t="s">
        <v>17</v>
      </c>
      <c r="D634">
        <v>650</v>
      </c>
      <c r="E634" t="s">
        <v>57</v>
      </c>
      <c r="F634" t="s">
        <v>36</v>
      </c>
      <c r="G634" t="s">
        <v>37</v>
      </c>
      <c r="H634">
        <f t="shared" si="9"/>
        <v>650</v>
      </c>
    </row>
    <row r="635" spans="1:8" x14ac:dyDescent="0.3">
      <c r="A635" t="s">
        <v>59</v>
      </c>
      <c r="B635" t="s">
        <v>23</v>
      </c>
      <c r="C635" t="s">
        <v>18</v>
      </c>
      <c r="D635">
        <v>0</v>
      </c>
      <c r="E635" t="s">
        <v>57</v>
      </c>
      <c r="F635" t="s">
        <v>36</v>
      </c>
      <c r="G635" t="s">
        <v>37</v>
      </c>
      <c r="H635">
        <f t="shared" si="9"/>
        <v>0</v>
      </c>
    </row>
    <row r="636" spans="1:8" x14ac:dyDescent="0.3">
      <c r="A636" t="s">
        <v>59</v>
      </c>
      <c r="B636" t="s">
        <v>23</v>
      </c>
      <c r="C636" t="s">
        <v>19</v>
      </c>
      <c r="D636">
        <v>2423</v>
      </c>
      <c r="E636" t="s">
        <v>57</v>
      </c>
      <c r="F636" t="s">
        <v>36</v>
      </c>
      <c r="G636" t="s">
        <v>37</v>
      </c>
      <c r="H636">
        <f t="shared" si="9"/>
        <v>2420</v>
      </c>
    </row>
    <row r="637" spans="1:8" x14ac:dyDescent="0.3">
      <c r="A637" t="s">
        <v>59</v>
      </c>
      <c r="B637" t="s">
        <v>23</v>
      </c>
      <c r="C637" t="s">
        <v>20</v>
      </c>
      <c r="D637">
        <v>9745</v>
      </c>
      <c r="E637" t="s">
        <v>57</v>
      </c>
      <c r="F637" t="s">
        <v>36</v>
      </c>
      <c r="G637" t="s">
        <v>37</v>
      </c>
      <c r="H637">
        <f t="shared" si="9"/>
        <v>9750</v>
      </c>
    </row>
    <row r="638" spans="1:8" x14ac:dyDescent="0.3">
      <c r="A638" t="s">
        <v>59</v>
      </c>
      <c r="B638" t="s">
        <v>23</v>
      </c>
      <c r="C638" t="s">
        <v>21</v>
      </c>
      <c r="D638">
        <v>504</v>
      </c>
      <c r="E638" t="s">
        <v>57</v>
      </c>
      <c r="F638" t="s">
        <v>36</v>
      </c>
      <c r="G638" t="s">
        <v>37</v>
      </c>
      <c r="H638">
        <f t="shared" si="9"/>
        <v>504</v>
      </c>
    </row>
    <row r="639" spans="1:8" x14ac:dyDescent="0.3">
      <c r="A639" t="s">
        <v>59</v>
      </c>
      <c r="B639" t="s">
        <v>23</v>
      </c>
      <c r="C639" t="s">
        <v>22</v>
      </c>
      <c r="D639">
        <v>399</v>
      </c>
      <c r="E639" t="s">
        <v>57</v>
      </c>
      <c r="F639" t="s">
        <v>36</v>
      </c>
      <c r="G639" t="s">
        <v>37</v>
      </c>
      <c r="H639">
        <f t="shared" si="9"/>
        <v>399</v>
      </c>
    </row>
    <row r="640" spans="1:8" x14ac:dyDescent="0.3">
      <c r="A640" t="s">
        <v>60</v>
      </c>
      <c r="B640" t="s">
        <v>8</v>
      </c>
      <c r="C640" t="s">
        <v>9</v>
      </c>
      <c r="D640">
        <v>0</v>
      </c>
      <c r="E640" t="s">
        <v>57</v>
      </c>
      <c r="F640" t="s">
        <v>36</v>
      </c>
      <c r="G640" t="s">
        <v>37</v>
      </c>
      <c r="H640">
        <f t="shared" si="9"/>
        <v>0</v>
      </c>
    </row>
    <row r="641" spans="1:8" x14ac:dyDescent="0.3">
      <c r="A641" t="s">
        <v>60</v>
      </c>
      <c r="B641" t="s">
        <v>8</v>
      </c>
      <c r="C641" t="s">
        <v>13</v>
      </c>
      <c r="D641">
        <v>0</v>
      </c>
      <c r="E641" t="s">
        <v>57</v>
      </c>
      <c r="F641" t="s">
        <v>36</v>
      </c>
      <c r="G641" t="s">
        <v>37</v>
      </c>
      <c r="H641">
        <f t="shared" si="9"/>
        <v>0</v>
      </c>
    </row>
    <row r="642" spans="1:8" x14ac:dyDescent="0.3">
      <c r="A642" t="s">
        <v>60</v>
      </c>
      <c r="B642" t="s">
        <v>8</v>
      </c>
      <c r="C642" t="s">
        <v>14</v>
      </c>
      <c r="D642">
        <v>0</v>
      </c>
      <c r="E642" t="s">
        <v>57</v>
      </c>
      <c r="F642" t="s">
        <v>36</v>
      </c>
      <c r="G642" t="s">
        <v>37</v>
      </c>
      <c r="H642">
        <f t="shared" si="9"/>
        <v>0</v>
      </c>
    </row>
    <row r="643" spans="1:8" x14ac:dyDescent="0.3">
      <c r="A643" t="s">
        <v>60</v>
      </c>
      <c r="B643" t="s">
        <v>8</v>
      </c>
      <c r="C643" t="s">
        <v>15</v>
      </c>
      <c r="D643">
        <v>0</v>
      </c>
      <c r="E643" t="s">
        <v>57</v>
      </c>
      <c r="F643" t="s">
        <v>36</v>
      </c>
      <c r="G643" t="s">
        <v>37</v>
      </c>
      <c r="H643">
        <f t="shared" ref="H643:H706" si="10">ROUND(D643, 3 - LEN(INT(ABS(D643))))</f>
        <v>0</v>
      </c>
    </row>
    <row r="644" spans="1:8" x14ac:dyDescent="0.3">
      <c r="A644" t="s">
        <v>60</v>
      </c>
      <c r="B644" t="s">
        <v>8</v>
      </c>
      <c r="C644" t="s">
        <v>16</v>
      </c>
      <c r="D644">
        <v>0</v>
      </c>
      <c r="E644" t="s">
        <v>57</v>
      </c>
      <c r="F644" t="s">
        <v>36</v>
      </c>
      <c r="G644" t="s">
        <v>37</v>
      </c>
      <c r="H644">
        <f t="shared" si="10"/>
        <v>0</v>
      </c>
    </row>
    <row r="645" spans="1:8" x14ac:dyDescent="0.3">
      <c r="A645" t="s">
        <v>60</v>
      </c>
      <c r="B645" t="s">
        <v>8</v>
      </c>
      <c r="C645" t="s">
        <v>17</v>
      </c>
      <c r="D645">
        <v>0</v>
      </c>
      <c r="E645" t="s">
        <v>57</v>
      </c>
      <c r="F645" t="s">
        <v>36</v>
      </c>
      <c r="G645" t="s">
        <v>37</v>
      </c>
      <c r="H645">
        <f t="shared" si="10"/>
        <v>0</v>
      </c>
    </row>
    <row r="646" spans="1:8" x14ac:dyDescent="0.3">
      <c r="A646" t="s">
        <v>60</v>
      </c>
      <c r="B646" t="s">
        <v>8</v>
      </c>
      <c r="C646" t="s">
        <v>18</v>
      </c>
      <c r="D646">
        <v>0</v>
      </c>
      <c r="E646" t="s">
        <v>57</v>
      </c>
      <c r="F646" t="s">
        <v>36</v>
      </c>
      <c r="G646" t="s">
        <v>37</v>
      </c>
      <c r="H646">
        <f t="shared" si="10"/>
        <v>0</v>
      </c>
    </row>
    <row r="647" spans="1:8" x14ac:dyDescent="0.3">
      <c r="A647" t="s">
        <v>60</v>
      </c>
      <c r="B647" t="s">
        <v>8</v>
      </c>
      <c r="C647" t="s">
        <v>19</v>
      </c>
      <c r="D647">
        <v>0</v>
      </c>
      <c r="E647" t="s">
        <v>57</v>
      </c>
      <c r="F647" t="s">
        <v>36</v>
      </c>
      <c r="G647" t="s">
        <v>37</v>
      </c>
      <c r="H647">
        <f t="shared" si="10"/>
        <v>0</v>
      </c>
    </row>
    <row r="648" spans="1:8" x14ac:dyDescent="0.3">
      <c r="A648" t="s">
        <v>60</v>
      </c>
      <c r="B648" t="s">
        <v>8</v>
      </c>
      <c r="C648" t="s">
        <v>20</v>
      </c>
      <c r="D648">
        <v>0</v>
      </c>
      <c r="E648" t="s">
        <v>57</v>
      </c>
      <c r="F648" t="s">
        <v>36</v>
      </c>
      <c r="G648" t="s">
        <v>37</v>
      </c>
      <c r="H648">
        <f t="shared" si="10"/>
        <v>0</v>
      </c>
    </row>
    <row r="649" spans="1:8" x14ac:dyDescent="0.3">
      <c r="A649" t="s">
        <v>60</v>
      </c>
      <c r="B649" t="s">
        <v>8</v>
      </c>
      <c r="C649" t="s">
        <v>21</v>
      </c>
      <c r="D649">
        <v>0</v>
      </c>
      <c r="E649" t="s">
        <v>57</v>
      </c>
      <c r="F649" t="s">
        <v>36</v>
      </c>
      <c r="G649" t="s">
        <v>37</v>
      </c>
      <c r="H649">
        <f t="shared" si="10"/>
        <v>0</v>
      </c>
    </row>
    <row r="650" spans="1:8" x14ac:dyDescent="0.3">
      <c r="A650" t="s">
        <v>60</v>
      </c>
      <c r="B650" t="s">
        <v>8</v>
      </c>
      <c r="C650" t="s">
        <v>22</v>
      </c>
      <c r="D650">
        <v>0</v>
      </c>
      <c r="E650" t="s">
        <v>57</v>
      </c>
      <c r="F650" t="s">
        <v>36</v>
      </c>
      <c r="G650" t="s">
        <v>37</v>
      </c>
      <c r="H650">
        <f t="shared" si="10"/>
        <v>0</v>
      </c>
    </row>
    <row r="651" spans="1:8" x14ac:dyDescent="0.3">
      <c r="A651" t="s">
        <v>60</v>
      </c>
      <c r="B651" t="s">
        <v>23</v>
      </c>
      <c r="C651" t="s">
        <v>9</v>
      </c>
      <c r="D651">
        <v>877</v>
      </c>
      <c r="E651" t="s">
        <v>57</v>
      </c>
      <c r="F651" t="s">
        <v>36</v>
      </c>
      <c r="G651" t="s">
        <v>37</v>
      </c>
      <c r="H651">
        <f t="shared" si="10"/>
        <v>877</v>
      </c>
    </row>
    <row r="652" spans="1:8" x14ac:dyDescent="0.3">
      <c r="A652" t="s">
        <v>60</v>
      </c>
      <c r="B652" t="s">
        <v>23</v>
      </c>
      <c r="C652" t="s">
        <v>13</v>
      </c>
      <c r="D652">
        <v>10793</v>
      </c>
      <c r="E652" t="s">
        <v>57</v>
      </c>
      <c r="F652" t="s">
        <v>36</v>
      </c>
      <c r="G652" t="s">
        <v>37</v>
      </c>
      <c r="H652">
        <f t="shared" si="10"/>
        <v>10800</v>
      </c>
    </row>
    <row r="653" spans="1:8" x14ac:dyDescent="0.3">
      <c r="A653" t="s">
        <v>60</v>
      </c>
      <c r="B653" t="s">
        <v>23</v>
      </c>
      <c r="C653" t="s">
        <v>14</v>
      </c>
      <c r="D653">
        <v>848</v>
      </c>
      <c r="E653" t="s">
        <v>57</v>
      </c>
      <c r="F653" t="s">
        <v>36</v>
      </c>
      <c r="G653" t="s">
        <v>37</v>
      </c>
      <c r="H653">
        <f t="shared" si="10"/>
        <v>848</v>
      </c>
    </row>
    <row r="654" spans="1:8" x14ac:dyDescent="0.3">
      <c r="A654" t="s">
        <v>60</v>
      </c>
      <c r="B654" t="s">
        <v>23</v>
      </c>
      <c r="C654" t="s">
        <v>15</v>
      </c>
      <c r="D654">
        <v>7911</v>
      </c>
      <c r="E654" t="s">
        <v>57</v>
      </c>
      <c r="F654" t="s">
        <v>36</v>
      </c>
      <c r="G654" t="s">
        <v>37</v>
      </c>
      <c r="H654">
        <f t="shared" si="10"/>
        <v>7910</v>
      </c>
    </row>
    <row r="655" spans="1:8" x14ac:dyDescent="0.3">
      <c r="A655" t="s">
        <v>60</v>
      </c>
      <c r="B655" t="s">
        <v>23</v>
      </c>
      <c r="C655" t="s">
        <v>16</v>
      </c>
      <c r="D655">
        <v>4590</v>
      </c>
      <c r="E655" t="s">
        <v>57</v>
      </c>
      <c r="F655" t="s">
        <v>36</v>
      </c>
      <c r="G655" t="s">
        <v>37</v>
      </c>
      <c r="H655">
        <f t="shared" si="10"/>
        <v>4590</v>
      </c>
    </row>
    <row r="656" spans="1:8" x14ac:dyDescent="0.3">
      <c r="A656" t="s">
        <v>60</v>
      </c>
      <c r="B656" t="s">
        <v>23</v>
      </c>
      <c r="C656" t="s">
        <v>17</v>
      </c>
      <c r="D656">
        <v>27</v>
      </c>
      <c r="E656" t="s">
        <v>57</v>
      </c>
      <c r="F656" t="s">
        <v>36</v>
      </c>
      <c r="G656" t="s">
        <v>37</v>
      </c>
      <c r="H656">
        <f t="shared" si="10"/>
        <v>27</v>
      </c>
    </row>
    <row r="657" spans="1:8" x14ac:dyDescent="0.3">
      <c r="A657" t="s">
        <v>60</v>
      </c>
      <c r="B657" t="s">
        <v>23</v>
      </c>
      <c r="C657" t="s">
        <v>18</v>
      </c>
      <c r="D657">
        <v>0</v>
      </c>
      <c r="E657" t="s">
        <v>57</v>
      </c>
      <c r="F657" t="s">
        <v>36</v>
      </c>
      <c r="G657" t="s">
        <v>37</v>
      </c>
      <c r="H657">
        <f t="shared" si="10"/>
        <v>0</v>
      </c>
    </row>
    <row r="658" spans="1:8" x14ac:dyDescent="0.3">
      <c r="A658" t="s">
        <v>60</v>
      </c>
      <c r="B658" t="s">
        <v>23</v>
      </c>
      <c r="C658" t="s">
        <v>19</v>
      </c>
      <c r="D658">
        <v>1882</v>
      </c>
      <c r="E658" t="s">
        <v>57</v>
      </c>
      <c r="F658" t="s">
        <v>36</v>
      </c>
      <c r="G658" t="s">
        <v>37</v>
      </c>
      <c r="H658">
        <f t="shared" si="10"/>
        <v>1880</v>
      </c>
    </row>
    <row r="659" spans="1:8" x14ac:dyDescent="0.3">
      <c r="A659" t="s">
        <v>60</v>
      </c>
      <c r="B659" t="s">
        <v>23</v>
      </c>
      <c r="C659" t="s">
        <v>20</v>
      </c>
      <c r="D659">
        <v>2831</v>
      </c>
      <c r="E659" t="s">
        <v>57</v>
      </c>
      <c r="F659" t="s">
        <v>36</v>
      </c>
      <c r="G659" t="s">
        <v>37</v>
      </c>
      <c r="H659">
        <f t="shared" si="10"/>
        <v>2830</v>
      </c>
    </row>
    <row r="660" spans="1:8" x14ac:dyDescent="0.3">
      <c r="A660" t="s">
        <v>60</v>
      </c>
      <c r="B660" t="s">
        <v>23</v>
      </c>
      <c r="C660" t="s">
        <v>21</v>
      </c>
      <c r="D660">
        <v>214</v>
      </c>
      <c r="E660" t="s">
        <v>57</v>
      </c>
      <c r="F660" t="s">
        <v>36</v>
      </c>
      <c r="G660" t="s">
        <v>37</v>
      </c>
      <c r="H660">
        <f t="shared" si="10"/>
        <v>214</v>
      </c>
    </row>
    <row r="661" spans="1:8" x14ac:dyDescent="0.3">
      <c r="A661" t="s">
        <v>60</v>
      </c>
      <c r="B661" t="s">
        <v>23</v>
      </c>
      <c r="C661" t="s">
        <v>22</v>
      </c>
      <c r="D661">
        <v>140072</v>
      </c>
      <c r="E661" t="s">
        <v>57</v>
      </c>
      <c r="F661" t="s">
        <v>36</v>
      </c>
      <c r="G661" t="s">
        <v>37</v>
      </c>
      <c r="H661">
        <f t="shared" si="10"/>
        <v>140000</v>
      </c>
    </row>
    <row r="662" spans="1:8" x14ac:dyDescent="0.3">
      <c r="A662" t="s">
        <v>25</v>
      </c>
      <c r="B662" t="s">
        <v>8</v>
      </c>
      <c r="C662" t="s">
        <v>9</v>
      </c>
      <c r="D662">
        <v>0</v>
      </c>
      <c r="E662" t="s">
        <v>57</v>
      </c>
      <c r="F662" t="s">
        <v>36</v>
      </c>
      <c r="G662" t="s">
        <v>37</v>
      </c>
      <c r="H662">
        <f t="shared" si="10"/>
        <v>0</v>
      </c>
    </row>
    <row r="663" spans="1:8" x14ac:dyDescent="0.3">
      <c r="A663" t="s">
        <v>25</v>
      </c>
      <c r="B663" t="s">
        <v>8</v>
      </c>
      <c r="C663" t="s">
        <v>13</v>
      </c>
      <c r="D663">
        <v>0</v>
      </c>
      <c r="E663" t="s">
        <v>57</v>
      </c>
      <c r="F663" t="s">
        <v>36</v>
      </c>
      <c r="G663" t="s">
        <v>37</v>
      </c>
      <c r="H663">
        <f t="shared" si="10"/>
        <v>0</v>
      </c>
    </row>
    <row r="664" spans="1:8" x14ac:dyDescent="0.3">
      <c r="A664" t="s">
        <v>25</v>
      </c>
      <c r="B664" t="s">
        <v>8</v>
      </c>
      <c r="C664" t="s">
        <v>14</v>
      </c>
      <c r="D664">
        <v>0</v>
      </c>
      <c r="E664" t="s">
        <v>57</v>
      </c>
      <c r="F664" t="s">
        <v>36</v>
      </c>
      <c r="G664" t="s">
        <v>37</v>
      </c>
      <c r="H664">
        <f t="shared" si="10"/>
        <v>0</v>
      </c>
    </row>
    <row r="665" spans="1:8" x14ac:dyDescent="0.3">
      <c r="A665" t="s">
        <v>25</v>
      </c>
      <c r="B665" t="s">
        <v>8</v>
      </c>
      <c r="C665" t="s">
        <v>15</v>
      </c>
      <c r="D665">
        <v>0</v>
      </c>
      <c r="E665" t="s">
        <v>57</v>
      </c>
      <c r="F665" t="s">
        <v>36</v>
      </c>
      <c r="G665" t="s">
        <v>37</v>
      </c>
      <c r="H665">
        <f t="shared" si="10"/>
        <v>0</v>
      </c>
    </row>
    <row r="666" spans="1:8" x14ac:dyDescent="0.3">
      <c r="A666" t="s">
        <v>25</v>
      </c>
      <c r="B666" t="s">
        <v>8</v>
      </c>
      <c r="C666" t="s">
        <v>16</v>
      </c>
      <c r="D666">
        <v>0</v>
      </c>
      <c r="E666" t="s">
        <v>57</v>
      </c>
      <c r="F666" t="s">
        <v>36</v>
      </c>
      <c r="G666" t="s">
        <v>37</v>
      </c>
      <c r="H666">
        <f t="shared" si="10"/>
        <v>0</v>
      </c>
    </row>
    <row r="667" spans="1:8" x14ac:dyDescent="0.3">
      <c r="A667" t="s">
        <v>25</v>
      </c>
      <c r="B667" t="s">
        <v>8</v>
      </c>
      <c r="C667" t="s">
        <v>17</v>
      </c>
      <c r="D667">
        <v>0</v>
      </c>
      <c r="E667" t="s">
        <v>57</v>
      </c>
      <c r="F667" t="s">
        <v>36</v>
      </c>
      <c r="G667" t="s">
        <v>37</v>
      </c>
      <c r="H667">
        <f t="shared" si="10"/>
        <v>0</v>
      </c>
    </row>
    <row r="668" spans="1:8" x14ac:dyDescent="0.3">
      <c r="A668" t="s">
        <v>25</v>
      </c>
      <c r="B668" t="s">
        <v>8</v>
      </c>
      <c r="C668" t="s">
        <v>18</v>
      </c>
      <c r="D668">
        <v>0</v>
      </c>
      <c r="E668" t="s">
        <v>57</v>
      </c>
      <c r="F668" t="s">
        <v>36</v>
      </c>
      <c r="G668" t="s">
        <v>37</v>
      </c>
      <c r="H668">
        <f t="shared" si="10"/>
        <v>0</v>
      </c>
    </row>
    <row r="669" spans="1:8" x14ac:dyDescent="0.3">
      <c r="A669" t="s">
        <v>25</v>
      </c>
      <c r="B669" t="s">
        <v>8</v>
      </c>
      <c r="C669" t="s">
        <v>19</v>
      </c>
      <c r="D669">
        <v>0</v>
      </c>
      <c r="E669" t="s">
        <v>57</v>
      </c>
      <c r="F669" t="s">
        <v>36</v>
      </c>
      <c r="G669" t="s">
        <v>37</v>
      </c>
      <c r="H669">
        <f t="shared" si="10"/>
        <v>0</v>
      </c>
    </row>
    <row r="670" spans="1:8" x14ac:dyDescent="0.3">
      <c r="A670" t="s">
        <v>25</v>
      </c>
      <c r="B670" t="s">
        <v>8</v>
      </c>
      <c r="C670" t="s">
        <v>20</v>
      </c>
      <c r="D670">
        <v>0</v>
      </c>
      <c r="E670" t="s">
        <v>57</v>
      </c>
      <c r="F670" t="s">
        <v>36</v>
      </c>
      <c r="G670" t="s">
        <v>37</v>
      </c>
      <c r="H670">
        <f t="shared" si="10"/>
        <v>0</v>
      </c>
    </row>
    <row r="671" spans="1:8" x14ac:dyDescent="0.3">
      <c r="A671" t="s">
        <v>25</v>
      </c>
      <c r="B671" t="s">
        <v>8</v>
      </c>
      <c r="C671" t="s">
        <v>21</v>
      </c>
      <c r="D671">
        <v>0</v>
      </c>
      <c r="E671" t="s">
        <v>57</v>
      </c>
      <c r="F671" t="s">
        <v>36</v>
      </c>
      <c r="G671" t="s">
        <v>37</v>
      </c>
      <c r="H671">
        <f t="shared" si="10"/>
        <v>0</v>
      </c>
    </row>
    <row r="672" spans="1:8" x14ac:dyDescent="0.3">
      <c r="A672" t="s">
        <v>25</v>
      </c>
      <c r="B672" t="s">
        <v>8</v>
      </c>
      <c r="C672" t="s">
        <v>22</v>
      </c>
      <c r="D672">
        <v>0</v>
      </c>
      <c r="E672" t="s">
        <v>57</v>
      </c>
      <c r="F672" t="s">
        <v>36</v>
      </c>
      <c r="G672" t="s">
        <v>37</v>
      </c>
      <c r="H672">
        <f t="shared" si="10"/>
        <v>0</v>
      </c>
    </row>
    <row r="673" spans="1:8" x14ac:dyDescent="0.3">
      <c r="A673" t="s">
        <v>25</v>
      </c>
      <c r="B673" t="s">
        <v>23</v>
      </c>
      <c r="C673" t="s">
        <v>9</v>
      </c>
      <c r="D673">
        <v>3231</v>
      </c>
      <c r="E673" t="s">
        <v>57</v>
      </c>
      <c r="F673" t="s">
        <v>36</v>
      </c>
      <c r="G673" t="s">
        <v>37</v>
      </c>
      <c r="H673">
        <f t="shared" si="10"/>
        <v>3230</v>
      </c>
    </row>
    <row r="674" spans="1:8" x14ac:dyDescent="0.3">
      <c r="A674" t="s">
        <v>25</v>
      </c>
      <c r="B674" t="s">
        <v>23</v>
      </c>
      <c r="C674" t="s">
        <v>13</v>
      </c>
      <c r="D674">
        <v>60104</v>
      </c>
      <c r="E674" t="s">
        <v>57</v>
      </c>
      <c r="F674" t="s">
        <v>36</v>
      </c>
      <c r="G674" t="s">
        <v>37</v>
      </c>
      <c r="H674">
        <f t="shared" si="10"/>
        <v>60100</v>
      </c>
    </row>
    <row r="675" spans="1:8" x14ac:dyDescent="0.3">
      <c r="A675" t="s">
        <v>25</v>
      </c>
      <c r="B675" t="s">
        <v>23</v>
      </c>
      <c r="C675" t="s">
        <v>14</v>
      </c>
      <c r="D675">
        <v>3132</v>
      </c>
      <c r="E675" t="s">
        <v>57</v>
      </c>
      <c r="F675" t="s">
        <v>36</v>
      </c>
      <c r="G675" t="s">
        <v>37</v>
      </c>
      <c r="H675">
        <f t="shared" si="10"/>
        <v>3130</v>
      </c>
    </row>
    <row r="676" spans="1:8" x14ac:dyDescent="0.3">
      <c r="A676" t="s">
        <v>25</v>
      </c>
      <c r="B676" t="s">
        <v>23</v>
      </c>
      <c r="C676" t="s">
        <v>15</v>
      </c>
      <c r="D676">
        <v>28072</v>
      </c>
      <c r="E676" t="s">
        <v>57</v>
      </c>
      <c r="F676" t="s">
        <v>36</v>
      </c>
      <c r="G676" t="s">
        <v>37</v>
      </c>
      <c r="H676">
        <f t="shared" si="10"/>
        <v>28100</v>
      </c>
    </row>
    <row r="677" spans="1:8" x14ac:dyDescent="0.3">
      <c r="A677" t="s">
        <v>25</v>
      </c>
      <c r="B677" t="s">
        <v>23</v>
      </c>
      <c r="C677" t="s">
        <v>16</v>
      </c>
      <c r="D677">
        <v>15874</v>
      </c>
      <c r="E677" t="s">
        <v>57</v>
      </c>
      <c r="F677" t="s">
        <v>36</v>
      </c>
      <c r="G677" t="s">
        <v>37</v>
      </c>
      <c r="H677">
        <f t="shared" si="10"/>
        <v>15900</v>
      </c>
    </row>
    <row r="678" spans="1:8" x14ac:dyDescent="0.3">
      <c r="A678" t="s">
        <v>25</v>
      </c>
      <c r="B678" t="s">
        <v>23</v>
      </c>
      <c r="C678" t="s">
        <v>17</v>
      </c>
      <c r="D678">
        <v>95</v>
      </c>
      <c r="E678" t="s">
        <v>57</v>
      </c>
      <c r="F678" t="s">
        <v>36</v>
      </c>
      <c r="G678" t="s">
        <v>37</v>
      </c>
      <c r="H678">
        <f t="shared" si="10"/>
        <v>95</v>
      </c>
    </row>
    <row r="679" spans="1:8" x14ac:dyDescent="0.3">
      <c r="A679" t="s">
        <v>25</v>
      </c>
      <c r="B679" t="s">
        <v>23</v>
      </c>
      <c r="C679" t="s">
        <v>18</v>
      </c>
      <c r="D679">
        <v>2</v>
      </c>
      <c r="E679" t="s">
        <v>57</v>
      </c>
      <c r="F679" t="s">
        <v>36</v>
      </c>
      <c r="G679" t="s">
        <v>37</v>
      </c>
      <c r="H679">
        <f t="shared" si="10"/>
        <v>2</v>
      </c>
    </row>
    <row r="680" spans="1:8" x14ac:dyDescent="0.3">
      <c r="A680" t="s">
        <v>25</v>
      </c>
      <c r="B680" t="s">
        <v>23</v>
      </c>
      <c r="C680" t="s">
        <v>19</v>
      </c>
      <c r="D680">
        <v>6875</v>
      </c>
      <c r="E680" t="s">
        <v>57</v>
      </c>
      <c r="F680" t="s">
        <v>36</v>
      </c>
      <c r="G680" t="s">
        <v>37</v>
      </c>
      <c r="H680">
        <f t="shared" si="10"/>
        <v>6880</v>
      </c>
    </row>
    <row r="681" spans="1:8" x14ac:dyDescent="0.3">
      <c r="A681" t="s">
        <v>25</v>
      </c>
      <c r="B681" t="s">
        <v>23</v>
      </c>
      <c r="C681" t="s">
        <v>20</v>
      </c>
      <c r="D681">
        <v>10290</v>
      </c>
      <c r="E681" t="s">
        <v>57</v>
      </c>
      <c r="F681" t="s">
        <v>36</v>
      </c>
      <c r="G681" t="s">
        <v>37</v>
      </c>
      <c r="H681">
        <f t="shared" si="10"/>
        <v>10300</v>
      </c>
    </row>
    <row r="682" spans="1:8" x14ac:dyDescent="0.3">
      <c r="A682" t="s">
        <v>25</v>
      </c>
      <c r="B682" t="s">
        <v>23</v>
      </c>
      <c r="C682" t="s">
        <v>21</v>
      </c>
      <c r="D682">
        <v>754</v>
      </c>
      <c r="E682" t="s">
        <v>57</v>
      </c>
      <c r="F682" t="s">
        <v>36</v>
      </c>
      <c r="G682" t="s">
        <v>37</v>
      </c>
      <c r="H682">
        <f t="shared" si="10"/>
        <v>754</v>
      </c>
    </row>
    <row r="683" spans="1:8" x14ac:dyDescent="0.3">
      <c r="A683" t="s">
        <v>25</v>
      </c>
      <c r="B683" t="s">
        <v>23</v>
      </c>
      <c r="C683" t="s">
        <v>22</v>
      </c>
      <c r="D683">
        <v>477270</v>
      </c>
      <c r="E683" t="s">
        <v>57</v>
      </c>
      <c r="F683" t="s">
        <v>36</v>
      </c>
      <c r="G683" t="s">
        <v>37</v>
      </c>
      <c r="H683">
        <f t="shared" si="10"/>
        <v>477000</v>
      </c>
    </row>
    <row r="684" spans="1:8" x14ac:dyDescent="0.3">
      <c r="A684" t="s">
        <v>61</v>
      </c>
      <c r="B684" t="s">
        <v>8</v>
      </c>
      <c r="C684" t="s">
        <v>9</v>
      </c>
      <c r="D684">
        <v>0</v>
      </c>
      <c r="E684" t="s">
        <v>57</v>
      </c>
      <c r="F684" t="s">
        <v>36</v>
      </c>
      <c r="G684" t="s">
        <v>37</v>
      </c>
      <c r="H684">
        <f t="shared" si="10"/>
        <v>0</v>
      </c>
    </row>
    <row r="685" spans="1:8" x14ac:dyDescent="0.3">
      <c r="A685" t="s">
        <v>61</v>
      </c>
      <c r="B685" t="s">
        <v>8</v>
      </c>
      <c r="C685" t="s">
        <v>13</v>
      </c>
      <c r="D685">
        <v>0</v>
      </c>
      <c r="E685" t="s">
        <v>57</v>
      </c>
      <c r="F685" t="s">
        <v>36</v>
      </c>
      <c r="G685" t="s">
        <v>37</v>
      </c>
      <c r="H685">
        <f t="shared" si="10"/>
        <v>0</v>
      </c>
    </row>
    <row r="686" spans="1:8" x14ac:dyDescent="0.3">
      <c r="A686" t="s">
        <v>61</v>
      </c>
      <c r="B686" t="s">
        <v>8</v>
      </c>
      <c r="C686" t="s">
        <v>14</v>
      </c>
      <c r="D686">
        <v>0</v>
      </c>
      <c r="E686" t="s">
        <v>57</v>
      </c>
      <c r="F686" t="s">
        <v>36</v>
      </c>
      <c r="G686" t="s">
        <v>37</v>
      </c>
      <c r="H686">
        <f t="shared" si="10"/>
        <v>0</v>
      </c>
    </row>
    <row r="687" spans="1:8" x14ac:dyDescent="0.3">
      <c r="A687" t="s">
        <v>61</v>
      </c>
      <c r="B687" t="s">
        <v>8</v>
      </c>
      <c r="C687" t="s">
        <v>15</v>
      </c>
      <c r="D687">
        <v>0</v>
      </c>
      <c r="E687" t="s">
        <v>57</v>
      </c>
      <c r="F687" t="s">
        <v>36</v>
      </c>
      <c r="G687" t="s">
        <v>37</v>
      </c>
      <c r="H687">
        <f t="shared" si="10"/>
        <v>0</v>
      </c>
    </row>
    <row r="688" spans="1:8" x14ac:dyDescent="0.3">
      <c r="A688" t="s">
        <v>61</v>
      </c>
      <c r="B688" t="s">
        <v>8</v>
      </c>
      <c r="C688" t="s">
        <v>16</v>
      </c>
      <c r="D688">
        <v>0</v>
      </c>
      <c r="E688" t="s">
        <v>57</v>
      </c>
      <c r="F688" t="s">
        <v>36</v>
      </c>
      <c r="G688" t="s">
        <v>37</v>
      </c>
      <c r="H688">
        <f t="shared" si="10"/>
        <v>0</v>
      </c>
    </row>
    <row r="689" spans="1:8" x14ac:dyDescent="0.3">
      <c r="A689" t="s">
        <v>61</v>
      </c>
      <c r="B689" t="s">
        <v>8</v>
      </c>
      <c r="C689" t="s">
        <v>17</v>
      </c>
      <c r="D689">
        <v>0</v>
      </c>
      <c r="E689" t="s">
        <v>57</v>
      </c>
      <c r="F689" t="s">
        <v>36</v>
      </c>
      <c r="G689" t="s">
        <v>37</v>
      </c>
      <c r="H689">
        <f t="shared" si="10"/>
        <v>0</v>
      </c>
    </row>
    <row r="690" spans="1:8" x14ac:dyDescent="0.3">
      <c r="A690" t="s">
        <v>61</v>
      </c>
      <c r="B690" t="s">
        <v>8</v>
      </c>
      <c r="C690" t="s">
        <v>18</v>
      </c>
      <c r="D690">
        <v>0</v>
      </c>
      <c r="E690" t="s">
        <v>57</v>
      </c>
      <c r="F690" t="s">
        <v>36</v>
      </c>
      <c r="G690" t="s">
        <v>37</v>
      </c>
      <c r="H690">
        <f t="shared" si="10"/>
        <v>0</v>
      </c>
    </row>
    <row r="691" spans="1:8" x14ac:dyDescent="0.3">
      <c r="A691" t="s">
        <v>61</v>
      </c>
      <c r="B691" t="s">
        <v>8</v>
      </c>
      <c r="C691" t="s">
        <v>19</v>
      </c>
      <c r="D691">
        <v>0</v>
      </c>
      <c r="E691" t="s">
        <v>57</v>
      </c>
      <c r="F691" t="s">
        <v>36</v>
      </c>
      <c r="G691" t="s">
        <v>37</v>
      </c>
      <c r="H691">
        <f t="shared" si="10"/>
        <v>0</v>
      </c>
    </row>
    <row r="692" spans="1:8" x14ac:dyDescent="0.3">
      <c r="A692" t="s">
        <v>61</v>
      </c>
      <c r="B692" t="s">
        <v>8</v>
      </c>
      <c r="C692" t="s">
        <v>20</v>
      </c>
      <c r="D692">
        <v>0</v>
      </c>
      <c r="E692" t="s">
        <v>57</v>
      </c>
      <c r="F692" t="s">
        <v>36</v>
      </c>
      <c r="G692" t="s">
        <v>37</v>
      </c>
      <c r="H692">
        <f t="shared" si="10"/>
        <v>0</v>
      </c>
    </row>
    <row r="693" spans="1:8" x14ac:dyDescent="0.3">
      <c r="A693" t="s">
        <v>61</v>
      </c>
      <c r="B693" t="s">
        <v>8</v>
      </c>
      <c r="C693" t="s">
        <v>21</v>
      </c>
      <c r="D693">
        <v>0</v>
      </c>
      <c r="E693" t="s">
        <v>57</v>
      </c>
      <c r="F693" t="s">
        <v>36</v>
      </c>
      <c r="G693" t="s">
        <v>37</v>
      </c>
      <c r="H693">
        <f t="shared" si="10"/>
        <v>0</v>
      </c>
    </row>
    <row r="694" spans="1:8" x14ac:dyDescent="0.3">
      <c r="A694" t="s">
        <v>61</v>
      </c>
      <c r="B694" t="s">
        <v>8</v>
      </c>
      <c r="C694" t="s">
        <v>22</v>
      </c>
      <c r="D694">
        <v>0</v>
      </c>
      <c r="E694" t="s">
        <v>57</v>
      </c>
      <c r="F694" t="s">
        <v>36</v>
      </c>
      <c r="G694" t="s">
        <v>37</v>
      </c>
      <c r="H694">
        <f t="shared" si="10"/>
        <v>0</v>
      </c>
    </row>
    <row r="695" spans="1:8" x14ac:dyDescent="0.3">
      <c r="A695" t="s">
        <v>61</v>
      </c>
      <c r="B695" t="s">
        <v>23</v>
      </c>
      <c r="C695" t="s">
        <v>9</v>
      </c>
      <c r="D695">
        <v>1305</v>
      </c>
      <c r="E695" t="s">
        <v>57</v>
      </c>
      <c r="F695" t="s">
        <v>36</v>
      </c>
      <c r="G695" t="s">
        <v>37</v>
      </c>
      <c r="H695">
        <f t="shared" si="10"/>
        <v>1310</v>
      </c>
    </row>
    <row r="696" spans="1:8" x14ac:dyDescent="0.3">
      <c r="A696" t="s">
        <v>61</v>
      </c>
      <c r="B696" t="s">
        <v>23</v>
      </c>
      <c r="C696" t="s">
        <v>13</v>
      </c>
      <c r="D696">
        <v>16064</v>
      </c>
      <c r="E696" t="s">
        <v>57</v>
      </c>
      <c r="F696" t="s">
        <v>36</v>
      </c>
      <c r="G696" t="s">
        <v>37</v>
      </c>
      <c r="H696">
        <f t="shared" si="10"/>
        <v>16100</v>
      </c>
    </row>
    <row r="697" spans="1:8" x14ac:dyDescent="0.3">
      <c r="A697" t="s">
        <v>61</v>
      </c>
      <c r="B697" t="s">
        <v>23</v>
      </c>
      <c r="C697" t="s">
        <v>14</v>
      </c>
      <c r="D697">
        <v>1262</v>
      </c>
      <c r="E697" t="s">
        <v>57</v>
      </c>
      <c r="F697" t="s">
        <v>36</v>
      </c>
      <c r="G697" t="s">
        <v>37</v>
      </c>
      <c r="H697">
        <f t="shared" si="10"/>
        <v>1260</v>
      </c>
    </row>
    <row r="698" spans="1:8" x14ac:dyDescent="0.3">
      <c r="A698" t="s">
        <v>61</v>
      </c>
      <c r="B698" t="s">
        <v>23</v>
      </c>
      <c r="C698" t="s">
        <v>15</v>
      </c>
      <c r="D698">
        <v>11775</v>
      </c>
      <c r="E698" t="s">
        <v>57</v>
      </c>
      <c r="F698" t="s">
        <v>36</v>
      </c>
      <c r="G698" t="s">
        <v>37</v>
      </c>
      <c r="H698">
        <f t="shared" si="10"/>
        <v>11800</v>
      </c>
    </row>
    <row r="699" spans="1:8" x14ac:dyDescent="0.3">
      <c r="A699" t="s">
        <v>61</v>
      </c>
      <c r="B699" t="s">
        <v>23</v>
      </c>
      <c r="C699" t="s">
        <v>16</v>
      </c>
      <c r="D699">
        <v>6832</v>
      </c>
      <c r="E699" t="s">
        <v>57</v>
      </c>
      <c r="F699" t="s">
        <v>36</v>
      </c>
      <c r="G699" t="s">
        <v>37</v>
      </c>
      <c r="H699">
        <f t="shared" si="10"/>
        <v>6830</v>
      </c>
    </row>
    <row r="700" spans="1:8" x14ac:dyDescent="0.3">
      <c r="A700" t="s">
        <v>61</v>
      </c>
      <c r="B700" t="s">
        <v>23</v>
      </c>
      <c r="C700" t="s">
        <v>17</v>
      </c>
      <c r="D700">
        <v>40</v>
      </c>
      <c r="E700" t="s">
        <v>57</v>
      </c>
      <c r="F700" t="s">
        <v>36</v>
      </c>
      <c r="G700" t="s">
        <v>37</v>
      </c>
      <c r="H700">
        <f t="shared" si="10"/>
        <v>40</v>
      </c>
    </row>
    <row r="701" spans="1:8" x14ac:dyDescent="0.3">
      <c r="A701" t="s">
        <v>61</v>
      </c>
      <c r="B701" t="s">
        <v>23</v>
      </c>
      <c r="C701" t="s">
        <v>18</v>
      </c>
      <c r="D701">
        <v>0</v>
      </c>
      <c r="E701" t="s">
        <v>57</v>
      </c>
      <c r="F701" t="s">
        <v>36</v>
      </c>
      <c r="G701" t="s">
        <v>37</v>
      </c>
      <c r="H701">
        <f t="shared" si="10"/>
        <v>0</v>
      </c>
    </row>
    <row r="702" spans="1:8" x14ac:dyDescent="0.3">
      <c r="A702" t="s">
        <v>61</v>
      </c>
      <c r="B702" t="s">
        <v>23</v>
      </c>
      <c r="C702" t="s">
        <v>19</v>
      </c>
      <c r="D702">
        <v>2801</v>
      </c>
      <c r="E702" t="s">
        <v>57</v>
      </c>
      <c r="F702" t="s">
        <v>36</v>
      </c>
      <c r="G702" t="s">
        <v>37</v>
      </c>
      <c r="H702">
        <f t="shared" si="10"/>
        <v>2800</v>
      </c>
    </row>
    <row r="703" spans="1:8" x14ac:dyDescent="0.3">
      <c r="A703" t="s">
        <v>61</v>
      </c>
      <c r="B703" t="s">
        <v>23</v>
      </c>
      <c r="C703" t="s">
        <v>20</v>
      </c>
      <c r="D703">
        <v>4214</v>
      </c>
      <c r="E703" t="s">
        <v>57</v>
      </c>
      <c r="F703" t="s">
        <v>36</v>
      </c>
      <c r="G703" t="s">
        <v>37</v>
      </c>
      <c r="H703">
        <f t="shared" si="10"/>
        <v>4210</v>
      </c>
    </row>
    <row r="704" spans="1:8" x14ac:dyDescent="0.3">
      <c r="A704" t="s">
        <v>61</v>
      </c>
      <c r="B704" t="s">
        <v>23</v>
      </c>
      <c r="C704" t="s">
        <v>21</v>
      </c>
      <c r="D704">
        <v>319</v>
      </c>
      <c r="E704" t="s">
        <v>57</v>
      </c>
      <c r="F704" t="s">
        <v>36</v>
      </c>
      <c r="G704" t="s">
        <v>37</v>
      </c>
      <c r="H704">
        <f t="shared" si="10"/>
        <v>319</v>
      </c>
    </row>
    <row r="705" spans="1:8" x14ac:dyDescent="0.3">
      <c r="A705" t="s">
        <v>61</v>
      </c>
      <c r="B705" t="s">
        <v>23</v>
      </c>
      <c r="C705" t="s">
        <v>22</v>
      </c>
      <c r="D705">
        <v>208480</v>
      </c>
      <c r="E705" t="s">
        <v>57</v>
      </c>
      <c r="F705" t="s">
        <v>36</v>
      </c>
      <c r="G705" t="s">
        <v>37</v>
      </c>
      <c r="H705">
        <f t="shared" si="10"/>
        <v>208000</v>
      </c>
    </row>
    <row r="706" spans="1:8" x14ac:dyDescent="0.3">
      <c r="A706" t="s">
        <v>62</v>
      </c>
      <c r="B706" t="s">
        <v>8</v>
      </c>
      <c r="C706" t="s">
        <v>9</v>
      </c>
      <c r="D706">
        <v>0</v>
      </c>
      <c r="E706" t="s">
        <v>57</v>
      </c>
      <c r="F706" t="s">
        <v>36</v>
      </c>
      <c r="G706" t="s">
        <v>37</v>
      </c>
      <c r="H706">
        <f t="shared" si="10"/>
        <v>0</v>
      </c>
    </row>
    <row r="707" spans="1:8" x14ac:dyDescent="0.3">
      <c r="A707" t="s">
        <v>62</v>
      </c>
      <c r="B707" t="s">
        <v>8</v>
      </c>
      <c r="C707" t="s">
        <v>13</v>
      </c>
      <c r="D707">
        <v>0</v>
      </c>
      <c r="E707" t="s">
        <v>57</v>
      </c>
      <c r="F707" t="s">
        <v>36</v>
      </c>
      <c r="G707" t="s">
        <v>37</v>
      </c>
      <c r="H707">
        <f t="shared" ref="H707:H770" si="11">ROUND(D707, 3 - LEN(INT(ABS(D707))))</f>
        <v>0</v>
      </c>
    </row>
    <row r="708" spans="1:8" x14ac:dyDescent="0.3">
      <c r="A708" t="s">
        <v>62</v>
      </c>
      <c r="B708" t="s">
        <v>8</v>
      </c>
      <c r="C708" t="s">
        <v>14</v>
      </c>
      <c r="D708">
        <v>0</v>
      </c>
      <c r="E708" t="s">
        <v>57</v>
      </c>
      <c r="F708" t="s">
        <v>36</v>
      </c>
      <c r="G708" t="s">
        <v>37</v>
      </c>
      <c r="H708">
        <f t="shared" si="11"/>
        <v>0</v>
      </c>
    </row>
    <row r="709" spans="1:8" x14ac:dyDescent="0.3">
      <c r="A709" t="s">
        <v>62</v>
      </c>
      <c r="B709" t="s">
        <v>8</v>
      </c>
      <c r="C709" t="s">
        <v>15</v>
      </c>
      <c r="D709">
        <v>0</v>
      </c>
      <c r="E709" t="s">
        <v>57</v>
      </c>
      <c r="F709" t="s">
        <v>36</v>
      </c>
      <c r="G709" t="s">
        <v>37</v>
      </c>
      <c r="H709">
        <f t="shared" si="11"/>
        <v>0</v>
      </c>
    </row>
    <row r="710" spans="1:8" x14ac:dyDescent="0.3">
      <c r="A710" t="s">
        <v>62</v>
      </c>
      <c r="B710" t="s">
        <v>8</v>
      </c>
      <c r="C710" t="s">
        <v>16</v>
      </c>
      <c r="D710">
        <v>0</v>
      </c>
      <c r="E710" t="s">
        <v>57</v>
      </c>
      <c r="F710" t="s">
        <v>36</v>
      </c>
      <c r="G710" t="s">
        <v>37</v>
      </c>
      <c r="H710">
        <f t="shared" si="11"/>
        <v>0</v>
      </c>
    </row>
    <row r="711" spans="1:8" x14ac:dyDescent="0.3">
      <c r="A711" t="s">
        <v>62</v>
      </c>
      <c r="B711" t="s">
        <v>8</v>
      </c>
      <c r="C711" t="s">
        <v>17</v>
      </c>
      <c r="D711">
        <v>0</v>
      </c>
      <c r="E711" t="s">
        <v>57</v>
      </c>
      <c r="F711" t="s">
        <v>36</v>
      </c>
      <c r="G711" t="s">
        <v>37</v>
      </c>
      <c r="H711">
        <f t="shared" si="11"/>
        <v>0</v>
      </c>
    </row>
    <row r="712" spans="1:8" x14ac:dyDescent="0.3">
      <c r="A712" t="s">
        <v>62</v>
      </c>
      <c r="B712" t="s">
        <v>8</v>
      </c>
      <c r="C712" t="s">
        <v>18</v>
      </c>
      <c r="D712">
        <v>0</v>
      </c>
      <c r="E712" t="s">
        <v>57</v>
      </c>
      <c r="F712" t="s">
        <v>36</v>
      </c>
      <c r="G712" t="s">
        <v>37</v>
      </c>
      <c r="H712">
        <f t="shared" si="11"/>
        <v>0</v>
      </c>
    </row>
    <row r="713" spans="1:8" x14ac:dyDescent="0.3">
      <c r="A713" t="s">
        <v>62</v>
      </c>
      <c r="B713" t="s">
        <v>8</v>
      </c>
      <c r="C713" t="s">
        <v>19</v>
      </c>
      <c r="D713">
        <v>0</v>
      </c>
      <c r="E713" t="s">
        <v>57</v>
      </c>
      <c r="F713" t="s">
        <v>36</v>
      </c>
      <c r="G713" t="s">
        <v>37</v>
      </c>
      <c r="H713">
        <f t="shared" si="11"/>
        <v>0</v>
      </c>
    </row>
    <row r="714" spans="1:8" x14ac:dyDescent="0.3">
      <c r="A714" t="s">
        <v>62</v>
      </c>
      <c r="B714" t="s">
        <v>8</v>
      </c>
      <c r="C714" t="s">
        <v>20</v>
      </c>
      <c r="D714">
        <v>0</v>
      </c>
      <c r="E714" t="s">
        <v>57</v>
      </c>
      <c r="F714" t="s">
        <v>36</v>
      </c>
      <c r="G714" t="s">
        <v>37</v>
      </c>
      <c r="H714">
        <f t="shared" si="11"/>
        <v>0</v>
      </c>
    </row>
    <row r="715" spans="1:8" x14ac:dyDescent="0.3">
      <c r="A715" t="s">
        <v>62</v>
      </c>
      <c r="B715" t="s">
        <v>8</v>
      </c>
      <c r="C715" t="s">
        <v>21</v>
      </c>
      <c r="D715">
        <v>0</v>
      </c>
      <c r="E715" t="s">
        <v>57</v>
      </c>
      <c r="F715" t="s">
        <v>36</v>
      </c>
      <c r="G715" t="s">
        <v>37</v>
      </c>
      <c r="H715">
        <f t="shared" si="11"/>
        <v>0</v>
      </c>
    </row>
    <row r="716" spans="1:8" x14ac:dyDescent="0.3">
      <c r="A716" t="s">
        <v>62</v>
      </c>
      <c r="B716" t="s">
        <v>8</v>
      </c>
      <c r="C716" t="s">
        <v>22</v>
      </c>
      <c r="D716">
        <v>0</v>
      </c>
      <c r="E716" t="s">
        <v>57</v>
      </c>
      <c r="F716" t="s">
        <v>36</v>
      </c>
      <c r="G716" t="s">
        <v>37</v>
      </c>
      <c r="H716">
        <f t="shared" si="11"/>
        <v>0</v>
      </c>
    </row>
    <row r="717" spans="1:8" x14ac:dyDescent="0.3">
      <c r="A717" t="s">
        <v>62</v>
      </c>
      <c r="B717" t="s">
        <v>23</v>
      </c>
      <c r="C717" t="s">
        <v>9</v>
      </c>
      <c r="D717">
        <v>1734</v>
      </c>
      <c r="E717" t="s">
        <v>57</v>
      </c>
      <c r="F717" t="s">
        <v>36</v>
      </c>
      <c r="G717" t="s">
        <v>37</v>
      </c>
      <c r="H717">
        <f t="shared" si="11"/>
        <v>1730</v>
      </c>
    </row>
    <row r="718" spans="1:8" x14ac:dyDescent="0.3">
      <c r="A718" t="s">
        <v>62</v>
      </c>
      <c r="B718" t="s">
        <v>23</v>
      </c>
      <c r="C718" t="s">
        <v>13</v>
      </c>
      <c r="D718">
        <v>21350</v>
      </c>
      <c r="E718" t="s">
        <v>57</v>
      </c>
      <c r="F718" t="s">
        <v>36</v>
      </c>
      <c r="G718" t="s">
        <v>37</v>
      </c>
      <c r="H718">
        <f t="shared" si="11"/>
        <v>21400</v>
      </c>
    </row>
    <row r="719" spans="1:8" x14ac:dyDescent="0.3">
      <c r="A719" t="s">
        <v>62</v>
      </c>
      <c r="B719" t="s">
        <v>23</v>
      </c>
      <c r="C719" t="s">
        <v>14</v>
      </c>
      <c r="D719">
        <v>1677</v>
      </c>
      <c r="E719" t="s">
        <v>57</v>
      </c>
      <c r="F719" t="s">
        <v>36</v>
      </c>
      <c r="G719" t="s">
        <v>37</v>
      </c>
      <c r="H719">
        <f t="shared" si="11"/>
        <v>1680</v>
      </c>
    </row>
    <row r="720" spans="1:8" x14ac:dyDescent="0.3">
      <c r="A720" t="s">
        <v>62</v>
      </c>
      <c r="B720" t="s">
        <v>23</v>
      </c>
      <c r="C720" t="s">
        <v>15</v>
      </c>
      <c r="D720">
        <v>15649</v>
      </c>
      <c r="E720" t="s">
        <v>57</v>
      </c>
      <c r="F720" t="s">
        <v>36</v>
      </c>
      <c r="G720" t="s">
        <v>37</v>
      </c>
      <c r="H720">
        <f t="shared" si="11"/>
        <v>15600</v>
      </c>
    </row>
    <row r="721" spans="1:8" x14ac:dyDescent="0.3">
      <c r="A721" t="s">
        <v>62</v>
      </c>
      <c r="B721" t="s">
        <v>23</v>
      </c>
      <c r="C721" t="s">
        <v>16</v>
      </c>
      <c r="D721">
        <v>9079</v>
      </c>
      <c r="E721" t="s">
        <v>57</v>
      </c>
      <c r="F721" t="s">
        <v>36</v>
      </c>
      <c r="G721" t="s">
        <v>37</v>
      </c>
      <c r="H721">
        <f t="shared" si="11"/>
        <v>9080</v>
      </c>
    </row>
    <row r="722" spans="1:8" x14ac:dyDescent="0.3">
      <c r="A722" t="s">
        <v>62</v>
      </c>
      <c r="B722" t="s">
        <v>23</v>
      </c>
      <c r="C722" t="s">
        <v>17</v>
      </c>
      <c r="D722">
        <v>54</v>
      </c>
      <c r="E722" t="s">
        <v>57</v>
      </c>
      <c r="F722" t="s">
        <v>36</v>
      </c>
      <c r="G722" t="s">
        <v>37</v>
      </c>
      <c r="H722">
        <f t="shared" si="11"/>
        <v>54</v>
      </c>
    </row>
    <row r="723" spans="1:8" x14ac:dyDescent="0.3">
      <c r="A723" t="s">
        <v>62</v>
      </c>
      <c r="B723" t="s">
        <v>23</v>
      </c>
      <c r="C723" t="s">
        <v>18</v>
      </c>
      <c r="D723">
        <v>0</v>
      </c>
      <c r="E723" t="s">
        <v>57</v>
      </c>
      <c r="F723" t="s">
        <v>36</v>
      </c>
      <c r="G723" t="s">
        <v>37</v>
      </c>
      <c r="H723">
        <f t="shared" si="11"/>
        <v>0</v>
      </c>
    </row>
    <row r="724" spans="1:8" x14ac:dyDescent="0.3">
      <c r="A724" t="s">
        <v>62</v>
      </c>
      <c r="B724" t="s">
        <v>23</v>
      </c>
      <c r="C724" t="s">
        <v>19</v>
      </c>
      <c r="D724">
        <v>3722</v>
      </c>
      <c r="E724" t="s">
        <v>57</v>
      </c>
      <c r="F724" t="s">
        <v>36</v>
      </c>
      <c r="G724" t="s">
        <v>37</v>
      </c>
      <c r="H724">
        <f t="shared" si="11"/>
        <v>3720</v>
      </c>
    </row>
    <row r="725" spans="1:8" x14ac:dyDescent="0.3">
      <c r="A725" t="s">
        <v>62</v>
      </c>
      <c r="B725" t="s">
        <v>23</v>
      </c>
      <c r="C725" t="s">
        <v>20</v>
      </c>
      <c r="D725">
        <v>5600</v>
      </c>
      <c r="E725" t="s">
        <v>57</v>
      </c>
      <c r="F725" t="s">
        <v>36</v>
      </c>
      <c r="G725" t="s">
        <v>37</v>
      </c>
      <c r="H725">
        <f t="shared" si="11"/>
        <v>5600</v>
      </c>
    </row>
    <row r="726" spans="1:8" x14ac:dyDescent="0.3">
      <c r="A726" t="s">
        <v>62</v>
      </c>
      <c r="B726" t="s">
        <v>23</v>
      </c>
      <c r="C726" t="s">
        <v>21</v>
      </c>
      <c r="D726">
        <v>424</v>
      </c>
      <c r="E726" t="s">
        <v>57</v>
      </c>
      <c r="F726" t="s">
        <v>36</v>
      </c>
      <c r="G726" t="s">
        <v>37</v>
      </c>
      <c r="H726">
        <f t="shared" si="11"/>
        <v>424</v>
      </c>
    </row>
    <row r="727" spans="1:8" x14ac:dyDescent="0.3">
      <c r="A727" t="s">
        <v>62</v>
      </c>
      <c r="B727" t="s">
        <v>23</v>
      </c>
      <c r="C727" t="s">
        <v>22</v>
      </c>
      <c r="D727">
        <v>277075</v>
      </c>
      <c r="E727" t="s">
        <v>57</v>
      </c>
      <c r="F727" t="s">
        <v>36</v>
      </c>
      <c r="G727" t="s">
        <v>37</v>
      </c>
      <c r="H727">
        <f t="shared" si="11"/>
        <v>277000</v>
      </c>
    </row>
    <row r="728" spans="1:8" x14ac:dyDescent="0.3">
      <c r="A728" t="s">
        <v>26</v>
      </c>
      <c r="B728" t="s">
        <v>8</v>
      </c>
      <c r="C728" t="s">
        <v>9</v>
      </c>
      <c r="D728">
        <v>0</v>
      </c>
      <c r="E728" t="s">
        <v>57</v>
      </c>
      <c r="F728" t="s">
        <v>36</v>
      </c>
      <c r="G728" t="s">
        <v>37</v>
      </c>
      <c r="H728">
        <f t="shared" si="11"/>
        <v>0</v>
      </c>
    </row>
    <row r="729" spans="1:8" x14ac:dyDescent="0.3">
      <c r="A729" t="s">
        <v>26</v>
      </c>
      <c r="B729" t="s">
        <v>8</v>
      </c>
      <c r="C729" t="s">
        <v>13</v>
      </c>
      <c r="D729">
        <v>0</v>
      </c>
      <c r="E729" t="s">
        <v>57</v>
      </c>
      <c r="F729" t="s">
        <v>36</v>
      </c>
      <c r="G729" t="s">
        <v>37</v>
      </c>
      <c r="H729">
        <f t="shared" si="11"/>
        <v>0</v>
      </c>
    </row>
    <row r="730" spans="1:8" x14ac:dyDescent="0.3">
      <c r="A730" t="s">
        <v>26</v>
      </c>
      <c r="B730" t="s">
        <v>8</v>
      </c>
      <c r="C730" t="s">
        <v>14</v>
      </c>
      <c r="D730">
        <v>0</v>
      </c>
      <c r="E730" t="s">
        <v>57</v>
      </c>
      <c r="F730" t="s">
        <v>36</v>
      </c>
      <c r="G730" t="s">
        <v>37</v>
      </c>
      <c r="H730">
        <f t="shared" si="11"/>
        <v>0</v>
      </c>
    </row>
    <row r="731" spans="1:8" x14ac:dyDescent="0.3">
      <c r="A731" t="s">
        <v>26</v>
      </c>
      <c r="B731" t="s">
        <v>8</v>
      </c>
      <c r="C731" t="s">
        <v>15</v>
      </c>
      <c r="D731">
        <v>0</v>
      </c>
      <c r="E731" t="s">
        <v>57</v>
      </c>
      <c r="F731" t="s">
        <v>36</v>
      </c>
      <c r="G731" t="s">
        <v>37</v>
      </c>
      <c r="H731">
        <f t="shared" si="11"/>
        <v>0</v>
      </c>
    </row>
    <row r="732" spans="1:8" x14ac:dyDescent="0.3">
      <c r="A732" t="s">
        <v>26</v>
      </c>
      <c r="B732" t="s">
        <v>8</v>
      </c>
      <c r="C732" t="s">
        <v>16</v>
      </c>
      <c r="D732">
        <v>0</v>
      </c>
      <c r="E732" t="s">
        <v>57</v>
      </c>
      <c r="F732" t="s">
        <v>36</v>
      </c>
      <c r="G732" t="s">
        <v>37</v>
      </c>
      <c r="H732">
        <f t="shared" si="11"/>
        <v>0</v>
      </c>
    </row>
    <row r="733" spans="1:8" x14ac:dyDescent="0.3">
      <c r="A733" t="s">
        <v>26</v>
      </c>
      <c r="B733" t="s">
        <v>8</v>
      </c>
      <c r="C733" t="s">
        <v>17</v>
      </c>
      <c r="D733">
        <v>0</v>
      </c>
      <c r="E733" t="s">
        <v>57</v>
      </c>
      <c r="F733" t="s">
        <v>36</v>
      </c>
      <c r="G733" t="s">
        <v>37</v>
      </c>
      <c r="H733">
        <f t="shared" si="11"/>
        <v>0</v>
      </c>
    </row>
    <row r="734" spans="1:8" x14ac:dyDescent="0.3">
      <c r="A734" t="s">
        <v>26</v>
      </c>
      <c r="B734" t="s">
        <v>8</v>
      </c>
      <c r="C734" t="s">
        <v>18</v>
      </c>
      <c r="D734">
        <v>0</v>
      </c>
      <c r="E734" t="s">
        <v>57</v>
      </c>
      <c r="F734" t="s">
        <v>36</v>
      </c>
      <c r="G734" t="s">
        <v>37</v>
      </c>
      <c r="H734">
        <f t="shared" si="11"/>
        <v>0</v>
      </c>
    </row>
    <row r="735" spans="1:8" x14ac:dyDescent="0.3">
      <c r="A735" t="s">
        <v>26</v>
      </c>
      <c r="B735" t="s">
        <v>8</v>
      </c>
      <c r="C735" t="s">
        <v>19</v>
      </c>
      <c r="D735">
        <v>0</v>
      </c>
      <c r="E735" t="s">
        <v>57</v>
      </c>
      <c r="F735" t="s">
        <v>36</v>
      </c>
      <c r="G735" t="s">
        <v>37</v>
      </c>
      <c r="H735">
        <f t="shared" si="11"/>
        <v>0</v>
      </c>
    </row>
    <row r="736" spans="1:8" x14ac:dyDescent="0.3">
      <c r="A736" t="s">
        <v>26</v>
      </c>
      <c r="B736" t="s">
        <v>8</v>
      </c>
      <c r="C736" t="s">
        <v>20</v>
      </c>
      <c r="D736">
        <v>0</v>
      </c>
      <c r="E736" t="s">
        <v>57</v>
      </c>
      <c r="F736" t="s">
        <v>36</v>
      </c>
      <c r="G736" t="s">
        <v>37</v>
      </c>
      <c r="H736">
        <f t="shared" si="11"/>
        <v>0</v>
      </c>
    </row>
    <row r="737" spans="1:8" x14ac:dyDescent="0.3">
      <c r="A737" t="s">
        <v>26</v>
      </c>
      <c r="B737" t="s">
        <v>8</v>
      </c>
      <c r="C737" t="s">
        <v>21</v>
      </c>
      <c r="D737">
        <v>0</v>
      </c>
      <c r="E737" t="s">
        <v>57</v>
      </c>
      <c r="F737" t="s">
        <v>36</v>
      </c>
      <c r="G737" t="s">
        <v>37</v>
      </c>
      <c r="H737">
        <f t="shared" si="11"/>
        <v>0</v>
      </c>
    </row>
    <row r="738" spans="1:8" x14ac:dyDescent="0.3">
      <c r="A738" t="s">
        <v>26</v>
      </c>
      <c r="B738" t="s">
        <v>8</v>
      </c>
      <c r="C738" t="s">
        <v>22</v>
      </c>
      <c r="D738">
        <v>0</v>
      </c>
      <c r="E738" t="s">
        <v>57</v>
      </c>
      <c r="F738" t="s">
        <v>36</v>
      </c>
      <c r="G738" t="s">
        <v>37</v>
      </c>
      <c r="H738">
        <f t="shared" si="11"/>
        <v>0</v>
      </c>
    </row>
    <row r="739" spans="1:8" x14ac:dyDescent="0.3">
      <c r="A739" t="s">
        <v>26</v>
      </c>
      <c r="B739" t="s">
        <v>23</v>
      </c>
      <c r="C739" t="s">
        <v>9</v>
      </c>
      <c r="D739">
        <v>144</v>
      </c>
      <c r="E739" t="s">
        <v>57</v>
      </c>
      <c r="F739" t="s">
        <v>36</v>
      </c>
      <c r="G739" t="s">
        <v>37</v>
      </c>
      <c r="H739">
        <f t="shared" si="11"/>
        <v>144</v>
      </c>
    </row>
    <row r="740" spans="1:8" x14ac:dyDescent="0.3">
      <c r="A740" t="s">
        <v>26</v>
      </c>
      <c r="B740" t="s">
        <v>23</v>
      </c>
      <c r="C740" t="s">
        <v>13</v>
      </c>
      <c r="D740">
        <v>1775</v>
      </c>
      <c r="E740" t="s">
        <v>57</v>
      </c>
      <c r="F740" t="s">
        <v>36</v>
      </c>
      <c r="G740" t="s">
        <v>37</v>
      </c>
      <c r="H740">
        <f t="shared" si="11"/>
        <v>1780</v>
      </c>
    </row>
    <row r="741" spans="1:8" x14ac:dyDescent="0.3">
      <c r="A741" t="s">
        <v>26</v>
      </c>
      <c r="B741" t="s">
        <v>23</v>
      </c>
      <c r="C741" t="s">
        <v>14</v>
      </c>
      <c r="D741">
        <v>139</v>
      </c>
      <c r="E741" t="s">
        <v>57</v>
      </c>
      <c r="F741" t="s">
        <v>36</v>
      </c>
      <c r="G741" t="s">
        <v>37</v>
      </c>
      <c r="H741">
        <f t="shared" si="11"/>
        <v>139</v>
      </c>
    </row>
    <row r="742" spans="1:8" x14ac:dyDescent="0.3">
      <c r="A742" t="s">
        <v>26</v>
      </c>
      <c r="B742" t="s">
        <v>23</v>
      </c>
      <c r="C742" t="s">
        <v>15</v>
      </c>
      <c r="D742">
        <v>1301</v>
      </c>
      <c r="E742" t="s">
        <v>57</v>
      </c>
      <c r="F742" t="s">
        <v>36</v>
      </c>
      <c r="G742" t="s">
        <v>37</v>
      </c>
      <c r="H742">
        <f t="shared" si="11"/>
        <v>1300</v>
      </c>
    </row>
    <row r="743" spans="1:8" x14ac:dyDescent="0.3">
      <c r="A743" t="s">
        <v>26</v>
      </c>
      <c r="B743" t="s">
        <v>23</v>
      </c>
      <c r="C743" t="s">
        <v>16</v>
      </c>
      <c r="D743">
        <v>755</v>
      </c>
      <c r="E743" t="s">
        <v>57</v>
      </c>
      <c r="F743" t="s">
        <v>36</v>
      </c>
      <c r="G743" t="s">
        <v>37</v>
      </c>
      <c r="H743">
        <f t="shared" si="11"/>
        <v>755</v>
      </c>
    </row>
    <row r="744" spans="1:8" x14ac:dyDescent="0.3">
      <c r="A744" t="s">
        <v>26</v>
      </c>
      <c r="B744" t="s">
        <v>23</v>
      </c>
      <c r="C744" t="s">
        <v>17</v>
      </c>
      <c r="D744">
        <v>4</v>
      </c>
      <c r="E744" t="s">
        <v>57</v>
      </c>
      <c r="F744" t="s">
        <v>36</v>
      </c>
      <c r="G744" t="s">
        <v>37</v>
      </c>
      <c r="H744">
        <f t="shared" si="11"/>
        <v>4</v>
      </c>
    </row>
    <row r="745" spans="1:8" x14ac:dyDescent="0.3">
      <c r="A745" t="s">
        <v>26</v>
      </c>
      <c r="B745" t="s">
        <v>23</v>
      </c>
      <c r="C745" t="s">
        <v>18</v>
      </c>
      <c r="D745">
        <v>0</v>
      </c>
      <c r="E745" t="s">
        <v>57</v>
      </c>
      <c r="F745" t="s">
        <v>36</v>
      </c>
      <c r="G745" t="s">
        <v>37</v>
      </c>
      <c r="H745">
        <f t="shared" si="11"/>
        <v>0</v>
      </c>
    </row>
    <row r="746" spans="1:8" x14ac:dyDescent="0.3">
      <c r="A746" t="s">
        <v>26</v>
      </c>
      <c r="B746" t="s">
        <v>23</v>
      </c>
      <c r="C746" t="s">
        <v>19</v>
      </c>
      <c r="D746">
        <v>310</v>
      </c>
      <c r="E746" t="s">
        <v>57</v>
      </c>
      <c r="F746" t="s">
        <v>36</v>
      </c>
      <c r="G746" t="s">
        <v>37</v>
      </c>
      <c r="H746">
        <f t="shared" si="11"/>
        <v>310</v>
      </c>
    </row>
    <row r="747" spans="1:8" x14ac:dyDescent="0.3">
      <c r="A747" t="s">
        <v>26</v>
      </c>
      <c r="B747" t="s">
        <v>23</v>
      </c>
      <c r="C747" t="s">
        <v>20</v>
      </c>
      <c r="D747">
        <v>466</v>
      </c>
      <c r="E747" t="s">
        <v>57</v>
      </c>
      <c r="F747" t="s">
        <v>36</v>
      </c>
      <c r="G747" t="s">
        <v>37</v>
      </c>
      <c r="H747">
        <f t="shared" si="11"/>
        <v>466</v>
      </c>
    </row>
    <row r="748" spans="1:8" x14ac:dyDescent="0.3">
      <c r="A748" t="s">
        <v>26</v>
      </c>
      <c r="B748" t="s">
        <v>23</v>
      </c>
      <c r="C748" t="s">
        <v>21</v>
      </c>
      <c r="D748">
        <v>35</v>
      </c>
      <c r="E748" t="s">
        <v>57</v>
      </c>
      <c r="F748" t="s">
        <v>36</v>
      </c>
      <c r="G748" t="s">
        <v>37</v>
      </c>
      <c r="H748">
        <f t="shared" si="11"/>
        <v>35</v>
      </c>
    </row>
    <row r="749" spans="1:8" x14ac:dyDescent="0.3">
      <c r="A749" t="s">
        <v>26</v>
      </c>
      <c r="B749" t="s">
        <v>23</v>
      </c>
      <c r="C749" t="s">
        <v>22</v>
      </c>
      <c r="D749">
        <v>23042</v>
      </c>
      <c r="E749" t="s">
        <v>57</v>
      </c>
      <c r="F749" t="s">
        <v>36</v>
      </c>
      <c r="G749" t="s">
        <v>37</v>
      </c>
      <c r="H749">
        <f t="shared" si="11"/>
        <v>23000</v>
      </c>
    </row>
    <row r="750" spans="1:8" x14ac:dyDescent="0.3">
      <c r="A750" t="s">
        <v>27</v>
      </c>
      <c r="B750" t="s">
        <v>8</v>
      </c>
      <c r="C750" t="s">
        <v>9</v>
      </c>
      <c r="D750">
        <v>0</v>
      </c>
      <c r="E750" t="s">
        <v>57</v>
      </c>
      <c r="F750" t="s">
        <v>36</v>
      </c>
      <c r="G750" t="s">
        <v>37</v>
      </c>
      <c r="H750">
        <f t="shared" si="11"/>
        <v>0</v>
      </c>
    </row>
    <row r="751" spans="1:8" x14ac:dyDescent="0.3">
      <c r="A751" t="s">
        <v>27</v>
      </c>
      <c r="B751" t="s">
        <v>8</v>
      </c>
      <c r="C751" t="s">
        <v>13</v>
      </c>
      <c r="D751">
        <v>0</v>
      </c>
      <c r="E751" t="s">
        <v>57</v>
      </c>
      <c r="F751" t="s">
        <v>36</v>
      </c>
      <c r="G751" t="s">
        <v>37</v>
      </c>
      <c r="H751">
        <f t="shared" si="11"/>
        <v>0</v>
      </c>
    </row>
    <row r="752" spans="1:8" x14ac:dyDescent="0.3">
      <c r="A752" t="s">
        <v>27</v>
      </c>
      <c r="B752" t="s">
        <v>8</v>
      </c>
      <c r="C752" t="s">
        <v>14</v>
      </c>
      <c r="D752">
        <v>0</v>
      </c>
      <c r="E752" t="s">
        <v>57</v>
      </c>
      <c r="F752" t="s">
        <v>36</v>
      </c>
      <c r="G752" t="s">
        <v>37</v>
      </c>
      <c r="H752">
        <f t="shared" si="11"/>
        <v>0</v>
      </c>
    </row>
    <row r="753" spans="1:8" x14ac:dyDescent="0.3">
      <c r="A753" t="s">
        <v>27</v>
      </c>
      <c r="B753" t="s">
        <v>8</v>
      </c>
      <c r="C753" t="s">
        <v>15</v>
      </c>
      <c r="D753">
        <v>0</v>
      </c>
      <c r="E753" t="s">
        <v>57</v>
      </c>
      <c r="F753" t="s">
        <v>36</v>
      </c>
      <c r="G753" t="s">
        <v>37</v>
      </c>
      <c r="H753">
        <f t="shared" si="11"/>
        <v>0</v>
      </c>
    </row>
    <row r="754" spans="1:8" x14ac:dyDescent="0.3">
      <c r="A754" t="s">
        <v>27</v>
      </c>
      <c r="B754" t="s">
        <v>8</v>
      </c>
      <c r="C754" t="s">
        <v>16</v>
      </c>
      <c r="D754">
        <v>0</v>
      </c>
      <c r="E754" t="s">
        <v>57</v>
      </c>
      <c r="F754" t="s">
        <v>36</v>
      </c>
      <c r="G754" t="s">
        <v>37</v>
      </c>
      <c r="H754">
        <f t="shared" si="11"/>
        <v>0</v>
      </c>
    </row>
    <row r="755" spans="1:8" x14ac:dyDescent="0.3">
      <c r="A755" t="s">
        <v>27</v>
      </c>
      <c r="B755" t="s">
        <v>8</v>
      </c>
      <c r="C755" t="s">
        <v>17</v>
      </c>
      <c r="D755">
        <v>0</v>
      </c>
      <c r="E755" t="s">
        <v>57</v>
      </c>
      <c r="F755" t="s">
        <v>36</v>
      </c>
      <c r="G755" t="s">
        <v>37</v>
      </c>
      <c r="H755">
        <f t="shared" si="11"/>
        <v>0</v>
      </c>
    </row>
    <row r="756" spans="1:8" x14ac:dyDescent="0.3">
      <c r="A756" t="s">
        <v>27</v>
      </c>
      <c r="B756" t="s">
        <v>8</v>
      </c>
      <c r="C756" t="s">
        <v>18</v>
      </c>
      <c r="D756">
        <v>0</v>
      </c>
      <c r="E756" t="s">
        <v>57</v>
      </c>
      <c r="F756" t="s">
        <v>36</v>
      </c>
      <c r="G756" t="s">
        <v>37</v>
      </c>
      <c r="H756">
        <f t="shared" si="11"/>
        <v>0</v>
      </c>
    </row>
    <row r="757" spans="1:8" x14ac:dyDescent="0.3">
      <c r="A757" t="s">
        <v>27</v>
      </c>
      <c r="B757" t="s">
        <v>8</v>
      </c>
      <c r="C757" t="s">
        <v>19</v>
      </c>
      <c r="D757">
        <v>0</v>
      </c>
      <c r="E757" t="s">
        <v>57</v>
      </c>
      <c r="F757" t="s">
        <v>36</v>
      </c>
      <c r="G757" t="s">
        <v>37</v>
      </c>
      <c r="H757">
        <f t="shared" si="11"/>
        <v>0</v>
      </c>
    </row>
    <row r="758" spans="1:8" x14ac:dyDescent="0.3">
      <c r="A758" t="s">
        <v>27</v>
      </c>
      <c r="B758" t="s">
        <v>8</v>
      </c>
      <c r="C758" t="s">
        <v>20</v>
      </c>
      <c r="D758">
        <v>0</v>
      </c>
      <c r="E758" t="s">
        <v>57</v>
      </c>
      <c r="F758" t="s">
        <v>36</v>
      </c>
      <c r="G758" t="s">
        <v>37</v>
      </c>
      <c r="H758">
        <f t="shared" si="11"/>
        <v>0</v>
      </c>
    </row>
    <row r="759" spans="1:8" x14ac:dyDescent="0.3">
      <c r="A759" t="s">
        <v>27</v>
      </c>
      <c r="B759" t="s">
        <v>8</v>
      </c>
      <c r="C759" t="s">
        <v>21</v>
      </c>
      <c r="D759">
        <v>0</v>
      </c>
      <c r="E759" t="s">
        <v>57</v>
      </c>
      <c r="F759" t="s">
        <v>36</v>
      </c>
      <c r="G759" t="s">
        <v>37</v>
      </c>
      <c r="H759">
        <f t="shared" si="11"/>
        <v>0</v>
      </c>
    </row>
    <row r="760" spans="1:8" x14ac:dyDescent="0.3">
      <c r="A760" t="s">
        <v>27</v>
      </c>
      <c r="B760" t="s">
        <v>8</v>
      </c>
      <c r="C760" t="s">
        <v>22</v>
      </c>
      <c r="D760">
        <v>0</v>
      </c>
      <c r="E760" t="s">
        <v>57</v>
      </c>
      <c r="F760" t="s">
        <v>36</v>
      </c>
      <c r="G760" t="s">
        <v>37</v>
      </c>
      <c r="H760">
        <f t="shared" si="11"/>
        <v>0</v>
      </c>
    </row>
    <row r="761" spans="1:8" x14ac:dyDescent="0.3">
      <c r="A761" t="s">
        <v>27</v>
      </c>
      <c r="B761" t="s">
        <v>23</v>
      </c>
      <c r="C761" t="s">
        <v>9</v>
      </c>
      <c r="D761">
        <v>2408</v>
      </c>
      <c r="E761" t="s">
        <v>57</v>
      </c>
      <c r="F761" t="s">
        <v>36</v>
      </c>
      <c r="G761" t="s">
        <v>37</v>
      </c>
      <c r="H761">
        <f t="shared" si="11"/>
        <v>2410</v>
      </c>
    </row>
    <row r="762" spans="1:8" x14ac:dyDescent="0.3">
      <c r="A762" t="s">
        <v>27</v>
      </c>
      <c r="B762" t="s">
        <v>23</v>
      </c>
      <c r="C762" t="s">
        <v>13</v>
      </c>
      <c r="D762">
        <v>5509</v>
      </c>
      <c r="E762" t="s">
        <v>57</v>
      </c>
      <c r="F762" t="s">
        <v>36</v>
      </c>
      <c r="G762" t="s">
        <v>37</v>
      </c>
      <c r="H762">
        <f t="shared" si="11"/>
        <v>5510</v>
      </c>
    </row>
    <row r="763" spans="1:8" x14ac:dyDescent="0.3">
      <c r="A763" t="s">
        <v>27</v>
      </c>
      <c r="B763" t="s">
        <v>23</v>
      </c>
      <c r="C763" t="s">
        <v>14</v>
      </c>
      <c r="D763">
        <v>215476</v>
      </c>
      <c r="E763" t="s">
        <v>57</v>
      </c>
      <c r="F763" t="s">
        <v>36</v>
      </c>
      <c r="G763" t="s">
        <v>37</v>
      </c>
      <c r="H763">
        <f t="shared" si="11"/>
        <v>215000</v>
      </c>
    </row>
    <row r="764" spans="1:8" x14ac:dyDescent="0.3">
      <c r="A764" t="s">
        <v>27</v>
      </c>
      <c r="B764" t="s">
        <v>23</v>
      </c>
      <c r="C764" t="s">
        <v>15</v>
      </c>
      <c r="D764">
        <v>19670</v>
      </c>
      <c r="E764" t="s">
        <v>57</v>
      </c>
      <c r="F764" t="s">
        <v>36</v>
      </c>
      <c r="G764" t="s">
        <v>37</v>
      </c>
      <c r="H764">
        <f t="shared" si="11"/>
        <v>19700</v>
      </c>
    </row>
    <row r="765" spans="1:8" x14ac:dyDescent="0.3">
      <c r="A765" t="s">
        <v>27</v>
      </c>
      <c r="B765" t="s">
        <v>23</v>
      </c>
      <c r="C765" t="s">
        <v>16</v>
      </c>
      <c r="D765">
        <v>1274006</v>
      </c>
      <c r="E765" t="s">
        <v>57</v>
      </c>
      <c r="F765" t="s">
        <v>36</v>
      </c>
      <c r="G765" t="s">
        <v>37</v>
      </c>
      <c r="H765">
        <f t="shared" si="11"/>
        <v>1270000</v>
      </c>
    </row>
    <row r="766" spans="1:8" x14ac:dyDescent="0.3">
      <c r="A766" t="s">
        <v>27</v>
      </c>
      <c r="B766" t="s">
        <v>23</v>
      </c>
      <c r="C766" t="s">
        <v>17</v>
      </c>
      <c r="D766">
        <v>83010</v>
      </c>
      <c r="E766" t="s">
        <v>57</v>
      </c>
      <c r="F766" t="s">
        <v>36</v>
      </c>
      <c r="G766" t="s">
        <v>37</v>
      </c>
      <c r="H766">
        <f t="shared" si="11"/>
        <v>83000</v>
      </c>
    </row>
    <row r="767" spans="1:8" x14ac:dyDescent="0.3">
      <c r="A767" t="s">
        <v>27</v>
      </c>
      <c r="B767" t="s">
        <v>23</v>
      </c>
      <c r="C767" t="s">
        <v>18</v>
      </c>
      <c r="D767">
        <v>0</v>
      </c>
      <c r="E767" t="s">
        <v>57</v>
      </c>
      <c r="F767" t="s">
        <v>36</v>
      </c>
      <c r="G767" t="s">
        <v>37</v>
      </c>
      <c r="H767">
        <f t="shared" si="11"/>
        <v>0</v>
      </c>
    </row>
    <row r="768" spans="1:8" x14ac:dyDescent="0.3">
      <c r="A768" t="s">
        <v>27</v>
      </c>
      <c r="B768" t="s">
        <v>23</v>
      </c>
      <c r="C768" t="s">
        <v>19</v>
      </c>
      <c r="D768">
        <v>1536</v>
      </c>
      <c r="E768" t="s">
        <v>57</v>
      </c>
      <c r="F768" t="s">
        <v>36</v>
      </c>
      <c r="G768" t="s">
        <v>37</v>
      </c>
      <c r="H768">
        <f t="shared" si="11"/>
        <v>1540</v>
      </c>
    </row>
    <row r="769" spans="1:8" x14ac:dyDescent="0.3">
      <c r="A769" t="s">
        <v>27</v>
      </c>
      <c r="B769" t="s">
        <v>23</v>
      </c>
      <c r="C769" t="s">
        <v>20</v>
      </c>
      <c r="D769">
        <v>8790</v>
      </c>
      <c r="E769" t="s">
        <v>57</v>
      </c>
      <c r="F769" t="s">
        <v>36</v>
      </c>
      <c r="G769" t="s">
        <v>37</v>
      </c>
      <c r="H769">
        <f t="shared" si="11"/>
        <v>8790</v>
      </c>
    </row>
    <row r="770" spans="1:8" x14ac:dyDescent="0.3">
      <c r="A770" t="s">
        <v>27</v>
      </c>
      <c r="B770" t="s">
        <v>23</v>
      </c>
      <c r="C770" t="s">
        <v>21</v>
      </c>
      <c r="D770">
        <v>1912</v>
      </c>
      <c r="E770" t="s">
        <v>57</v>
      </c>
      <c r="F770" t="s">
        <v>36</v>
      </c>
      <c r="G770" t="s">
        <v>37</v>
      </c>
      <c r="H770">
        <f t="shared" si="11"/>
        <v>1910</v>
      </c>
    </row>
    <row r="771" spans="1:8" x14ac:dyDescent="0.3">
      <c r="A771" t="s">
        <v>27</v>
      </c>
      <c r="B771" t="s">
        <v>23</v>
      </c>
      <c r="C771" t="s">
        <v>22</v>
      </c>
      <c r="D771">
        <v>70171</v>
      </c>
      <c r="E771" t="s">
        <v>57</v>
      </c>
      <c r="F771" t="s">
        <v>36</v>
      </c>
      <c r="G771" t="s">
        <v>37</v>
      </c>
      <c r="H771">
        <f t="shared" ref="H771:H834" si="12">ROUND(D771, 3 - LEN(INT(ABS(D771))))</f>
        <v>70200</v>
      </c>
    </row>
    <row r="772" spans="1:8" x14ac:dyDescent="0.3">
      <c r="A772" t="s">
        <v>63</v>
      </c>
      <c r="B772" t="s">
        <v>8</v>
      </c>
      <c r="C772" t="s">
        <v>9</v>
      </c>
      <c r="D772">
        <v>0</v>
      </c>
      <c r="E772" t="s">
        <v>57</v>
      </c>
      <c r="F772" t="s">
        <v>36</v>
      </c>
      <c r="G772" t="s">
        <v>37</v>
      </c>
      <c r="H772">
        <f t="shared" si="12"/>
        <v>0</v>
      </c>
    </row>
    <row r="773" spans="1:8" x14ac:dyDescent="0.3">
      <c r="A773" t="s">
        <v>63</v>
      </c>
      <c r="B773" t="s">
        <v>8</v>
      </c>
      <c r="C773" t="s">
        <v>13</v>
      </c>
      <c r="D773">
        <v>0</v>
      </c>
      <c r="E773" t="s">
        <v>57</v>
      </c>
      <c r="F773" t="s">
        <v>36</v>
      </c>
      <c r="G773" t="s">
        <v>37</v>
      </c>
      <c r="H773">
        <f t="shared" si="12"/>
        <v>0</v>
      </c>
    </row>
    <row r="774" spans="1:8" x14ac:dyDescent="0.3">
      <c r="A774" t="s">
        <v>63</v>
      </c>
      <c r="B774" t="s">
        <v>8</v>
      </c>
      <c r="C774" t="s">
        <v>14</v>
      </c>
      <c r="D774">
        <v>0</v>
      </c>
      <c r="E774" t="s">
        <v>57</v>
      </c>
      <c r="F774" t="s">
        <v>36</v>
      </c>
      <c r="G774" t="s">
        <v>37</v>
      </c>
      <c r="H774">
        <f t="shared" si="12"/>
        <v>0</v>
      </c>
    </row>
    <row r="775" spans="1:8" x14ac:dyDescent="0.3">
      <c r="A775" t="s">
        <v>63</v>
      </c>
      <c r="B775" t="s">
        <v>8</v>
      </c>
      <c r="C775" t="s">
        <v>15</v>
      </c>
      <c r="D775">
        <v>0</v>
      </c>
      <c r="E775" t="s">
        <v>57</v>
      </c>
      <c r="F775" t="s">
        <v>36</v>
      </c>
      <c r="G775" t="s">
        <v>37</v>
      </c>
      <c r="H775">
        <f t="shared" si="12"/>
        <v>0</v>
      </c>
    </row>
    <row r="776" spans="1:8" x14ac:dyDescent="0.3">
      <c r="A776" t="s">
        <v>63</v>
      </c>
      <c r="B776" t="s">
        <v>8</v>
      </c>
      <c r="C776" t="s">
        <v>16</v>
      </c>
      <c r="D776">
        <v>0</v>
      </c>
      <c r="E776" t="s">
        <v>57</v>
      </c>
      <c r="F776" t="s">
        <v>36</v>
      </c>
      <c r="G776" t="s">
        <v>37</v>
      </c>
      <c r="H776">
        <f t="shared" si="12"/>
        <v>0</v>
      </c>
    </row>
    <row r="777" spans="1:8" x14ac:dyDescent="0.3">
      <c r="A777" t="s">
        <v>63</v>
      </c>
      <c r="B777" t="s">
        <v>8</v>
      </c>
      <c r="C777" t="s">
        <v>17</v>
      </c>
      <c r="D777">
        <v>0</v>
      </c>
      <c r="E777" t="s">
        <v>57</v>
      </c>
      <c r="F777" t="s">
        <v>36</v>
      </c>
      <c r="G777" t="s">
        <v>37</v>
      </c>
      <c r="H777">
        <f t="shared" si="12"/>
        <v>0</v>
      </c>
    </row>
    <row r="778" spans="1:8" x14ac:dyDescent="0.3">
      <c r="A778" t="s">
        <v>63</v>
      </c>
      <c r="B778" t="s">
        <v>8</v>
      </c>
      <c r="C778" t="s">
        <v>18</v>
      </c>
      <c r="D778">
        <v>0</v>
      </c>
      <c r="E778" t="s">
        <v>57</v>
      </c>
      <c r="F778" t="s">
        <v>36</v>
      </c>
      <c r="G778" t="s">
        <v>37</v>
      </c>
      <c r="H778">
        <f t="shared" si="12"/>
        <v>0</v>
      </c>
    </row>
    <row r="779" spans="1:8" x14ac:dyDescent="0.3">
      <c r="A779" t="s">
        <v>63</v>
      </c>
      <c r="B779" t="s">
        <v>8</v>
      </c>
      <c r="C779" t="s">
        <v>19</v>
      </c>
      <c r="D779">
        <v>0</v>
      </c>
      <c r="E779" t="s">
        <v>57</v>
      </c>
      <c r="F779" t="s">
        <v>36</v>
      </c>
      <c r="G779" t="s">
        <v>37</v>
      </c>
      <c r="H779">
        <f t="shared" si="12"/>
        <v>0</v>
      </c>
    </row>
    <row r="780" spans="1:8" x14ac:dyDescent="0.3">
      <c r="A780" t="s">
        <v>63</v>
      </c>
      <c r="B780" t="s">
        <v>8</v>
      </c>
      <c r="C780" t="s">
        <v>20</v>
      </c>
      <c r="D780">
        <v>0</v>
      </c>
      <c r="E780" t="s">
        <v>57</v>
      </c>
      <c r="F780" t="s">
        <v>36</v>
      </c>
      <c r="G780" t="s">
        <v>37</v>
      </c>
      <c r="H780">
        <f t="shared" si="12"/>
        <v>0</v>
      </c>
    </row>
    <row r="781" spans="1:8" x14ac:dyDescent="0.3">
      <c r="A781" t="s">
        <v>63</v>
      </c>
      <c r="B781" t="s">
        <v>8</v>
      </c>
      <c r="C781" t="s">
        <v>21</v>
      </c>
      <c r="D781">
        <v>0</v>
      </c>
      <c r="E781" t="s">
        <v>57</v>
      </c>
      <c r="F781" t="s">
        <v>36</v>
      </c>
      <c r="G781" t="s">
        <v>37</v>
      </c>
      <c r="H781">
        <f t="shared" si="12"/>
        <v>0</v>
      </c>
    </row>
    <row r="782" spans="1:8" x14ac:dyDescent="0.3">
      <c r="A782" t="s">
        <v>63</v>
      </c>
      <c r="B782" t="s">
        <v>8</v>
      </c>
      <c r="C782" t="s">
        <v>22</v>
      </c>
      <c r="D782">
        <v>0</v>
      </c>
      <c r="E782" t="s">
        <v>57</v>
      </c>
      <c r="F782" t="s">
        <v>36</v>
      </c>
      <c r="G782" t="s">
        <v>37</v>
      </c>
      <c r="H782">
        <f t="shared" si="12"/>
        <v>0</v>
      </c>
    </row>
    <row r="783" spans="1:8" x14ac:dyDescent="0.3">
      <c r="A783" t="s">
        <v>63</v>
      </c>
      <c r="B783" t="s">
        <v>23</v>
      </c>
      <c r="C783" t="s">
        <v>9</v>
      </c>
      <c r="D783">
        <v>730202</v>
      </c>
      <c r="E783" t="s">
        <v>57</v>
      </c>
      <c r="F783" t="s">
        <v>36</v>
      </c>
      <c r="G783" t="s">
        <v>37</v>
      </c>
      <c r="H783">
        <f t="shared" si="12"/>
        <v>730000</v>
      </c>
    </row>
    <row r="784" spans="1:8" x14ac:dyDescent="0.3">
      <c r="A784" t="s">
        <v>63</v>
      </c>
      <c r="B784" t="s">
        <v>23</v>
      </c>
      <c r="C784" t="s">
        <v>13</v>
      </c>
      <c r="D784">
        <v>6346</v>
      </c>
      <c r="E784" t="s">
        <v>57</v>
      </c>
      <c r="F784" t="s">
        <v>36</v>
      </c>
      <c r="G784" t="s">
        <v>37</v>
      </c>
      <c r="H784">
        <f t="shared" si="12"/>
        <v>6350</v>
      </c>
    </row>
    <row r="785" spans="1:8" x14ac:dyDescent="0.3">
      <c r="A785" t="s">
        <v>63</v>
      </c>
      <c r="B785" t="s">
        <v>23</v>
      </c>
      <c r="C785" t="s">
        <v>14</v>
      </c>
      <c r="D785">
        <v>5664</v>
      </c>
      <c r="E785" t="s">
        <v>57</v>
      </c>
      <c r="F785" t="s">
        <v>36</v>
      </c>
      <c r="G785" t="s">
        <v>37</v>
      </c>
      <c r="H785">
        <f t="shared" si="12"/>
        <v>5660</v>
      </c>
    </row>
    <row r="786" spans="1:8" x14ac:dyDescent="0.3">
      <c r="A786" t="s">
        <v>63</v>
      </c>
      <c r="B786" t="s">
        <v>23</v>
      </c>
      <c r="C786" t="s">
        <v>15</v>
      </c>
      <c r="D786">
        <v>9887</v>
      </c>
      <c r="E786" t="s">
        <v>57</v>
      </c>
      <c r="F786" t="s">
        <v>36</v>
      </c>
      <c r="G786" t="s">
        <v>37</v>
      </c>
      <c r="H786">
        <f t="shared" si="12"/>
        <v>9890</v>
      </c>
    </row>
    <row r="787" spans="1:8" x14ac:dyDescent="0.3">
      <c r="A787" t="s">
        <v>63</v>
      </c>
      <c r="B787" t="s">
        <v>23</v>
      </c>
      <c r="C787" t="s">
        <v>16</v>
      </c>
      <c r="D787">
        <v>82459</v>
      </c>
      <c r="E787" t="s">
        <v>57</v>
      </c>
      <c r="F787" t="s">
        <v>36</v>
      </c>
      <c r="G787" t="s">
        <v>37</v>
      </c>
      <c r="H787">
        <f t="shared" si="12"/>
        <v>82500</v>
      </c>
    </row>
    <row r="788" spans="1:8" x14ac:dyDescent="0.3">
      <c r="A788" t="s">
        <v>63</v>
      </c>
      <c r="B788" t="s">
        <v>23</v>
      </c>
      <c r="C788" t="s">
        <v>17</v>
      </c>
      <c r="D788">
        <v>1657</v>
      </c>
      <c r="E788" t="s">
        <v>57</v>
      </c>
      <c r="F788" t="s">
        <v>36</v>
      </c>
      <c r="G788" t="s">
        <v>37</v>
      </c>
      <c r="H788">
        <f t="shared" si="12"/>
        <v>1660</v>
      </c>
    </row>
    <row r="789" spans="1:8" x14ac:dyDescent="0.3">
      <c r="A789" t="s">
        <v>63</v>
      </c>
      <c r="B789" t="s">
        <v>23</v>
      </c>
      <c r="C789" t="s">
        <v>18</v>
      </c>
      <c r="D789">
        <v>0</v>
      </c>
      <c r="E789" t="s">
        <v>57</v>
      </c>
      <c r="F789" t="s">
        <v>36</v>
      </c>
      <c r="G789" t="s">
        <v>37</v>
      </c>
      <c r="H789">
        <f t="shared" si="12"/>
        <v>0</v>
      </c>
    </row>
    <row r="790" spans="1:8" x14ac:dyDescent="0.3">
      <c r="A790" t="s">
        <v>63</v>
      </c>
      <c r="B790" t="s">
        <v>23</v>
      </c>
      <c r="C790" t="s">
        <v>19</v>
      </c>
      <c r="D790">
        <v>6179</v>
      </c>
      <c r="E790" t="s">
        <v>57</v>
      </c>
      <c r="F790" t="s">
        <v>36</v>
      </c>
      <c r="G790" t="s">
        <v>37</v>
      </c>
      <c r="H790">
        <f t="shared" si="12"/>
        <v>6180</v>
      </c>
    </row>
    <row r="791" spans="1:8" x14ac:dyDescent="0.3">
      <c r="A791" t="s">
        <v>63</v>
      </c>
      <c r="B791" t="s">
        <v>23</v>
      </c>
      <c r="C791" t="s">
        <v>20</v>
      </c>
      <c r="D791">
        <v>24849</v>
      </c>
      <c r="E791" t="s">
        <v>57</v>
      </c>
      <c r="F791" t="s">
        <v>36</v>
      </c>
      <c r="G791" t="s">
        <v>37</v>
      </c>
      <c r="H791">
        <f t="shared" si="12"/>
        <v>24800</v>
      </c>
    </row>
    <row r="792" spans="1:8" x14ac:dyDescent="0.3">
      <c r="A792" t="s">
        <v>63</v>
      </c>
      <c r="B792" t="s">
        <v>23</v>
      </c>
      <c r="C792" t="s">
        <v>21</v>
      </c>
      <c r="D792">
        <v>1284</v>
      </c>
      <c r="E792" t="s">
        <v>57</v>
      </c>
      <c r="F792" t="s">
        <v>36</v>
      </c>
      <c r="G792" t="s">
        <v>37</v>
      </c>
      <c r="H792">
        <f t="shared" si="12"/>
        <v>1280</v>
      </c>
    </row>
    <row r="793" spans="1:8" x14ac:dyDescent="0.3">
      <c r="A793" t="s">
        <v>63</v>
      </c>
      <c r="B793" t="s">
        <v>23</v>
      </c>
      <c r="C793" t="s">
        <v>22</v>
      </c>
      <c r="D793">
        <v>1016</v>
      </c>
      <c r="E793" t="s">
        <v>57</v>
      </c>
      <c r="F793" t="s">
        <v>36</v>
      </c>
      <c r="G793" t="s">
        <v>37</v>
      </c>
      <c r="H793">
        <f t="shared" si="12"/>
        <v>1020</v>
      </c>
    </row>
    <row r="794" spans="1:8" x14ac:dyDescent="0.3">
      <c r="A794" t="s">
        <v>52</v>
      </c>
      <c r="B794" t="s">
        <v>8</v>
      </c>
      <c r="C794" t="s">
        <v>9</v>
      </c>
      <c r="D794">
        <v>0</v>
      </c>
      <c r="E794" t="s">
        <v>57</v>
      </c>
      <c r="F794" t="s">
        <v>36</v>
      </c>
      <c r="G794" t="s">
        <v>37</v>
      </c>
      <c r="H794">
        <f t="shared" si="12"/>
        <v>0</v>
      </c>
    </row>
    <row r="795" spans="1:8" x14ac:dyDescent="0.3">
      <c r="A795" t="s">
        <v>52</v>
      </c>
      <c r="B795" t="s">
        <v>8</v>
      </c>
      <c r="C795" t="s">
        <v>13</v>
      </c>
      <c r="D795">
        <v>0</v>
      </c>
      <c r="E795" t="s">
        <v>57</v>
      </c>
      <c r="F795" t="s">
        <v>36</v>
      </c>
      <c r="G795" t="s">
        <v>37</v>
      </c>
      <c r="H795">
        <f t="shared" si="12"/>
        <v>0</v>
      </c>
    </row>
    <row r="796" spans="1:8" x14ac:dyDescent="0.3">
      <c r="A796" t="s">
        <v>52</v>
      </c>
      <c r="B796" t="s">
        <v>8</v>
      </c>
      <c r="C796" t="s">
        <v>14</v>
      </c>
      <c r="D796">
        <v>0</v>
      </c>
      <c r="E796" t="s">
        <v>57</v>
      </c>
      <c r="F796" t="s">
        <v>36</v>
      </c>
      <c r="G796" t="s">
        <v>37</v>
      </c>
      <c r="H796">
        <f t="shared" si="12"/>
        <v>0</v>
      </c>
    </row>
    <row r="797" spans="1:8" x14ac:dyDescent="0.3">
      <c r="A797" t="s">
        <v>52</v>
      </c>
      <c r="B797" t="s">
        <v>8</v>
      </c>
      <c r="C797" t="s">
        <v>15</v>
      </c>
      <c r="D797">
        <v>0</v>
      </c>
      <c r="E797" t="s">
        <v>57</v>
      </c>
      <c r="F797" t="s">
        <v>36</v>
      </c>
      <c r="G797" t="s">
        <v>37</v>
      </c>
      <c r="H797">
        <f t="shared" si="12"/>
        <v>0</v>
      </c>
    </row>
    <row r="798" spans="1:8" x14ac:dyDescent="0.3">
      <c r="A798" t="s">
        <v>52</v>
      </c>
      <c r="B798" t="s">
        <v>8</v>
      </c>
      <c r="C798" t="s">
        <v>16</v>
      </c>
      <c r="D798">
        <v>0</v>
      </c>
      <c r="E798" t="s">
        <v>57</v>
      </c>
      <c r="F798" t="s">
        <v>36</v>
      </c>
      <c r="G798" t="s">
        <v>37</v>
      </c>
      <c r="H798">
        <f t="shared" si="12"/>
        <v>0</v>
      </c>
    </row>
    <row r="799" spans="1:8" x14ac:dyDescent="0.3">
      <c r="A799" t="s">
        <v>52</v>
      </c>
      <c r="B799" t="s">
        <v>8</v>
      </c>
      <c r="C799" t="s">
        <v>17</v>
      </c>
      <c r="D799">
        <v>0</v>
      </c>
      <c r="E799" t="s">
        <v>57</v>
      </c>
      <c r="F799" t="s">
        <v>36</v>
      </c>
      <c r="G799" t="s">
        <v>37</v>
      </c>
      <c r="H799">
        <f t="shared" si="12"/>
        <v>0</v>
      </c>
    </row>
    <row r="800" spans="1:8" x14ac:dyDescent="0.3">
      <c r="A800" t="s">
        <v>52</v>
      </c>
      <c r="B800" t="s">
        <v>8</v>
      </c>
      <c r="C800" t="s">
        <v>18</v>
      </c>
      <c r="D800">
        <v>0</v>
      </c>
      <c r="E800" t="s">
        <v>57</v>
      </c>
      <c r="F800" t="s">
        <v>36</v>
      </c>
      <c r="G800" t="s">
        <v>37</v>
      </c>
      <c r="H800">
        <f t="shared" si="12"/>
        <v>0</v>
      </c>
    </row>
    <row r="801" spans="1:8" x14ac:dyDescent="0.3">
      <c r="A801" t="s">
        <v>52</v>
      </c>
      <c r="B801" t="s">
        <v>8</v>
      </c>
      <c r="C801" t="s">
        <v>19</v>
      </c>
      <c r="D801">
        <v>0</v>
      </c>
      <c r="E801" t="s">
        <v>57</v>
      </c>
      <c r="F801" t="s">
        <v>36</v>
      </c>
      <c r="G801" t="s">
        <v>37</v>
      </c>
      <c r="H801">
        <f t="shared" si="12"/>
        <v>0</v>
      </c>
    </row>
    <row r="802" spans="1:8" x14ac:dyDescent="0.3">
      <c r="A802" t="s">
        <v>52</v>
      </c>
      <c r="B802" t="s">
        <v>8</v>
      </c>
      <c r="C802" t="s">
        <v>20</v>
      </c>
      <c r="D802">
        <v>0</v>
      </c>
      <c r="E802" t="s">
        <v>57</v>
      </c>
      <c r="F802" t="s">
        <v>36</v>
      </c>
      <c r="G802" t="s">
        <v>37</v>
      </c>
      <c r="H802">
        <f t="shared" si="12"/>
        <v>0</v>
      </c>
    </row>
    <row r="803" spans="1:8" x14ac:dyDescent="0.3">
      <c r="A803" t="s">
        <v>52</v>
      </c>
      <c r="B803" t="s">
        <v>8</v>
      </c>
      <c r="C803" t="s">
        <v>21</v>
      </c>
      <c r="D803">
        <v>0</v>
      </c>
      <c r="E803" t="s">
        <v>57</v>
      </c>
      <c r="F803" t="s">
        <v>36</v>
      </c>
      <c r="G803" t="s">
        <v>37</v>
      </c>
      <c r="H803">
        <f t="shared" si="12"/>
        <v>0</v>
      </c>
    </row>
    <row r="804" spans="1:8" x14ac:dyDescent="0.3">
      <c r="A804" t="s">
        <v>52</v>
      </c>
      <c r="B804" t="s">
        <v>8</v>
      </c>
      <c r="C804" t="s">
        <v>22</v>
      </c>
      <c r="D804">
        <v>0</v>
      </c>
      <c r="E804" t="s">
        <v>57</v>
      </c>
      <c r="F804" t="s">
        <v>36</v>
      </c>
      <c r="G804" t="s">
        <v>37</v>
      </c>
      <c r="H804">
        <f t="shared" si="12"/>
        <v>0</v>
      </c>
    </row>
    <row r="805" spans="1:8" x14ac:dyDescent="0.3">
      <c r="A805" t="s">
        <v>52</v>
      </c>
      <c r="B805" t="s">
        <v>23</v>
      </c>
      <c r="C805" t="s">
        <v>9</v>
      </c>
      <c r="D805">
        <v>218069</v>
      </c>
      <c r="E805" t="s">
        <v>57</v>
      </c>
      <c r="F805" t="s">
        <v>36</v>
      </c>
      <c r="G805" t="s">
        <v>37</v>
      </c>
      <c r="H805">
        <f t="shared" si="12"/>
        <v>218000</v>
      </c>
    </row>
    <row r="806" spans="1:8" x14ac:dyDescent="0.3">
      <c r="A806" t="s">
        <v>52</v>
      </c>
      <c r="B806" t="s">
        <v>23</v>
      </c>
      <c r="C806" t="s">
        <v>13</v>
      </c>
      <c r="D806">
        <v>1895</v>
      </c>
      <c r="E806" t="s">
        <v>57</v>
      </c>
      <c r="F806" t="s">
        <v>36</v>
      </c>
      <c r="G806" t="s">
        <v>37</v>
      </c>
      <c r="H806">
        <f t="shared" si="12"/>
        <v>1900</v>
      </c>
    </row>
    <row r="807" spans="1:8" x14ac:dyDescent="0.3">
      <c r="A807" t="s">
        <v>52</v>
      </c>
      <c r="B807" t="s">
        <v>23</v>
      </c>
      <c r="C807" t="s">
        <v>14</v>
      </c>
      <c r="D807">
        <v>1692</v>
      </c>
      <c r="E807" t="s">
        <v>57</v>
      </c>
      <c r="F807" t="s">
        <v>36</v>
      </c>
      <c r="G807" t="s">
        <v>37</v>
      </c>
      <c r="H807">
        <f t="shared" si="12"/>
        <v>1690</v>
      </c>
    </row>
    <row r="808" spans="1:8" x14ac:dyDescent="0.3">
      <c r="A808" t="s">
        <v>52</v>
      </c>
      <c r="B808" t="s">
        <v>23</v>
      </c>
      <c r="C808" t="s">
        <v>15</v>
      </c>
      <c r="D808">
        <v>2953</v>
      </c>
      <c r="E808" t="s">
        <v>57</v>
      </c>
      <c r="F808" t="s">
        <v>36</v>
      </c>
      <c r="G808" t="s">
        <v>37</v>
      </c>
      <c r="H808">
        <f t="shared" si="12"/>
        <v>2950</v>
      </c>
    </row>
    <row r="809" spans="1:8" x14ac:dyDescent="0.3">
      <c r="A809" t="s">
        <v>52</v>
      </c>
      <c r="B809" t="s">
        <v>23</v>
      </c>
      <c r="C809" t="s">
        <v>16</v>
      </c>
      <c r="D809">
        <v>24626</v>
      </c>
      <c r="E809" t="s">
        <v>57</v>
      </c>
      <c r="F809" t="s">
        <v>36</v>
      </c>
      <c r="G809" t="s">
        <v>37</v>
      </c>
      <c r="H809">
        <f t="shared" si="12"/>
        <v>24600</v>
      </c>
    </row>
    <row r="810" spans="1:8" x14ac:dyDescent="0.3">
      <c r="A810" t="s">
        <v>52</v>
      </c>
      <c r="B810" t="s">
        <v>23</v>
      </c>
      <c r="C810" t="s">
        <v>17</v>
      </c>
      <c r="D810">
        <v>495</v>
      </c>
      <c r="E810" t="s">
        <v>57</v>
      </c>
      <c r="F810" t="s">
        <v>36</v>
      </c>
      <c r="G810" t="s">
        <v>37</v>
      </c>
      <c r="H810">
        <f t="shared" si="12"/>
        <v>495</v>
      </c>
    </row>
    <row r="811" spans="1:8" x14ac:dyDescent="0.3">
      <c r="A811" t="s">
        <v>52</v>
      </c>
      <c r="B811" t="s">
        <v>23</v>
      </c>
      <c r="C811" t="s">
        <v>18</v>
      </c>
      <c r="D811">
        <v>0</v>
      </c>
      <c r="E811" t="s">
        <v>57</v>
      </c>
      <c r="F811" t="s">
        <v>36</v>
      </c>
      <c r="G811" t="s">
        <v>37</v>
      </c>
      <c r="H811">
        <f t="shared" si="12"/>
        <v>0</v>
      </c>
    </row>
    <row r="812" spans="1:8" x14ac:dyDescent="0.3">
      <c r="A812" t="s">
        <v>52</v>
      </c>
      <c r="B812" t="s">
        <v>23</v>
      </c>
      <c r="C812" t="s">
        <v>19</v>
      </c>
      <c r="D812">
        <v>1845</v>
      </c>
      <c r="E812" t="s">
        <v>57</v>
      </c>
      <c r="F812" t="s">
        <v>36</v>
      </c>
      <c r="G812" t="s">
        <v>37</v>
      </c>
      <c r="H812">
        <f t="shared" si="12"/>
        <v>1850</v>
      </c>
    </row>
    <row r="813" spans="1:8" x14ac:dyDescent="0.3">
      <c r="A813" t="s">
        <v>52</v>
      </c>
      <c r="B813" t="s">
        <v>23</v>
      </c>
      <c r="C813" t="s">
        <v>20</v>
      </c>
      <c r="D813">
        <v>7421</v>
      </c>
      <c r="E813" t="s">
        <v>57</v>
      </c>
      <c r="F813" t="s">
        <v>36</v>
      </c>
      <c r="G813" t="s">
        <v>37</v>
      </c>
      <c r="H813">
        <f t="shared" si="12"/>
        <v>7420</v>
      </c>
    </row>
    <row r="814" spans="1:8" x14ac:dyDescent="0.3">
      <c r="A814" t="s">
        <v>52</v>
      </c>
      <c r="B814" t="s">
        <v>23</v>
      </c>
      <c r="C814" t="s">
        <v>21</v>
      </c>
      <c r="D814">
        <v>384</v>
      </c>
      <c r="E814" t="s">
        <v>57</v>
      </c>
      <c r="F814" t="s">
        <v>36</v>
      </c>
      <c r="G814" t="s">
        <v>37</v>
      </c>
      <c r="H814">
        <f t="shared" si="12"/>
        <v>384</v>
      </c>
    </row>
    <row r="815" spans="1:8" x14ac:dyDescent="0.3">
      <c r="A815" t="s">
        <v>52</v>
      </c>
      <c r="B815" t="s">
        <v>23</v>
      </c>
      <c r="C815" t="s">
        <v>22</v>
      </c>
      <c r="D815">
        <v>304</v>
      </c>
      <c r="E815" t="s">
        <v>57</v>
      </c>
      <c r="F815" t="s">
        <v>36</v>
      </c>
      <c r="G815" t="s">
        <v>37</v>
      </c>
      <c r="H815">
        <f t="shared" si="12"/>
        <v>304</v>
      </c>
    </row>
    <row r="816" spans="1:8" x14ac:dyDescent="0.3">
      <c r="A816" t="s">
        <v>64</v>
      </c>
      <c r="B816" t="s">
        <v>8</v>
      </c>
      <c r="C816" t="s">
        <v>9</v>
      </c>
      <c r="D816">
        <v>0</v>
      </c>
      <c r="E816" t="s">
        <v>57</v>
      </c>
      <c r="F816" t="s">
        <v>36</v>
      </c>
      <c r="G816" t="s">
        <v>37</v>
      </c>
      <c r="H816">
        <f t="shared" si="12"/>
        <v>0</v>
      </c>
    </row>
    <row r="817" spans="1:8" x14ac:dyDescent="0.3">
      <c r="A817" t="s">
        <v>64</v>
      </c>
      <c r="B817" t="s">
        <v>8</v>
      </c>
      <c r="C817" t="s">
        <v>13</v>
      </c>
      <c r="D817">
        <v>0</v>
      </c>
      <c r="E817" t="s">
        <v>57</v>
      </c>
      <c r="F817" t="s">
        <v>36</v>
      </c>
      <c r="G817" t="s">
        <v>37</v>
      </c>
      <c r="H817">
        <f t="shared" si="12"/>
        <v>0</v>
      </c>
    </row>
    <row r="818" spans="1:8" x14ac:dyDescent="0.3">
      <c r="A818" t="s">
        <v>64</v>
      </c>
      <c r="B818" t="s">
        <v>8</v>
      </c>
      <c r="C818" t="s">
        <v>14</v>
      </c>
      <c r="D818">
        <v>0</v>
      </c>
      <c r="E818" t="s">
        <v>57</v>
      </c>
      <c r="F818" t="s">
        <v>36</v>
      </c>
      <c r="G818" t="s">
        <v>37</v>
      </c>
      <c r="H818">
        <f t="shared" si="12"/>
        <v>0</v>
      </c>
    </row>
    <row r="819" spans="1:8" x14ac:dyDescent="0.3">
      <c r="A819" t="s">
        <v>64</v>
      </c>
      <c r="B819" t="s">
        <v>8</v>
      </c>
      <c r="C819" t="s">
        <v>15</v>
      </c>
      <c r="D819">
        <v>0</v>
      </c>
      <c r="E819" t="s">
        <v>57</v>
      </c>
      <c r="F819" t="s">
        <v>36</v>
      </c>
      <c r="G819" t="s">
        <v>37</v>
      </c>
      <c r="H819">
        <f t="shared" si="12"/>
        <v>0</v>
      </c>
    </row>
    <row r="820" spans="1:8" x14ac:dyDescent="0.3">
      <c r="A820" t="s">
        <v>64</v>
      </c>
      <c r="B820" t="s">
        <v>8</v>
      </c>
      <c r="C820" t="s">
        <v>16</v>
      </c>
      <c r="D820">
        <v>0</v>
      </c>
      <c r="E820" t="s">
        <v>57</v>
      </c>
      <c r="F820" t="s">
        <v>36</v>
      </c>
      <c r="G820" t="s">
        <v>37</v>
      </c>
      <c r="H820">
        <f t="shared" si="12"/>
        <v>0</v>
      </c>
    </row>
    <row r="821" spans="1:8" x14ac:dyDescent="0.3">
      <c r="A821" t="s">
        <v>64</v>
      </c>
      <c r="B821" t="s">
        <v>8</v>
      </c>
      <c r="C821" t="s">
        <v>17</v>
      </c>
      <c r="D821">
        <v>0</v>
      </c>
      <c r="E821" t="s">
        <v>57</v>
      </c>
      <c r="F821" t="s">
        <v>36</v>
      </c>
      <c r="G821" t="s">
        <v>37</v>
      </c>
      <c r="H821">
        <f t="shared" si="12"/>
        <v>0</v>
      </c>
    </row>
    <row r="822" spans="1:8" x14ac:dyDescent="0.3">
      <c r="A822" t="s">
        <v>64</v>
      </c>
      <c r="B822" t="s">
        <v>8</v>
      </c>
      <c r="C822" t="s">
        <v>18</v>
      </c>
      <c r="D822">
        <v>0</v>
      </c>
      <c r="E822" t="s">
        <v>57</v>
      </c>
      <c r="F822" t="s">
        <v>36</v>
      </c>
      <c r="G822" t="s">
        <v>37</v>
      </c>
      <c r="H822">
        <f t="shared" si="12"/>
        <v>0</v>
      </c>
    </row>
    <row r="823" spans="1:8" x14ac:dyDescent="0.3">
      <c r="A823" t="s">
        <v>64</v>
      </c>
      <c r="B823" t="s">
        <v>8</v>
      </c>
      <c r="C823" t="s">
        <v>19</v>
      </c>
      <c r="D823">
        <v>0</v>
      </c>
      <c r="E823" t="s">
        <v>57</v>
      </c>
      <c r="F823" t="s">
        <v>36</v>
      </c>
      <c r="G823" t="s">
        <v>37</v>
      </c>
      <c r="H823">
        <f t="shared" si="12"/>
        <v>0</v>
      </c>
    </row>
    <row r="824" spans="1:8" x14ac:dyDescent="0.3">
      <c r="A824" t="s">
        <v>64</v>
      </c>
      <c r="B824" t="s">
        <v>8</v>
      </c>
      <c r="C824" t="s">
        <v>20</v>
      </c>
      <c r="D824">
        <v>0</v>
      </c>
      <c r="E824" t="s">
        <v>57</v>
      </c>
      <c r="F824" t="s">
        <v>36</v>
      </c>
      <c r="G824" t="s">
        <v>37</v>
      </c>
      <c r="H824">
        <f t="shared" si="12"/>
        <v>0</v>
      </c>
    </row>
    <row r="825" spans="1:8" x14ac:dyDescent="0.3">
      <c r="A825" t="s">
        <v>64</v>
      </c>
      <c r="B825" t="s">
        <v>8</v>
      </c>
      <c r="C825" t="s">
        <v>21</v>
      </c>
      <c r="D825">
        <v>0</v>
      </c>
      <c r="E825" t="s">
        <v>57</v>
      </c>
      <c r="F825" t="s">
        <v>36</v>
      </c>
      <c r="G825" t="s">
        <v>37</v>
      </c>
      <c r="H825">
        <f t="shared" si="12"/>
        <v>0</v>
      </c>
    </row>
    <row r="826" spans="1:8" x14ac:dyDescent="0.3">
      <c r="A826" t="s">
        <v>64</v>
      </c>
      <c r="B826" t="s">
        <v>8</v>
      </c>
      <c r="C826" t="s">
        <v>22</v>
      </c>
      <c r="D826">
        <v>0</v>
      </c>
      <c r="E826" t="s">
        <v>57</v>
      </c>
      <c r="F826" t="s">
        <v>36</v>
      </c>
      <c r="G826" t="s">
        <v>37</v>
      </c>
      <c r="H826">
        <f t="shared" si="12"/>
        <v>0</v>
      </c>
    </row>
    <row r="827" spans="1:8" x14ac:dyDescent="0.3">
      <c r="A827" t="s">
        <v>64</v>
      </c>
      <c r="B827" t="s">
        <v>23</v>
      </c>
      <c r="C827" t="s">
        <v>9</v>
      </c>
      <c r="D827">
        <v>176</v>
      </c>
      <c r="E827" t="s">
        <v>57</v>
      </c>
      <c r="F827" t="s">
        <v>36</v>
      </c>
      <c r="G827" t="s">
        <v>37</v>
      </c>
      <c r="H827">
        <f t="shared" si="12"/>
        <v>176</v>
      </c>
    </row>
    <row r="828" spans="1:8" x14ac:dyDescent="0.3">
      <c r="A828" t="s">
        <v>64</v>
      </c>
      <c r="B828" t="s">
        <v>23</v>
      </c>
      <c r="C828" t="s">
        <v>13</v>
      </c>
      <c r="D828">
        <v>60</v>
      </c>
      <c r="E828" t="s">
        <v>57</v>
      </c>
      <c r="F828" t="s">
        <v>36</v>
      </c>
      <c r="G828" t="s">
        <v>37</v>
      </c>
      <c r="H828">
        <f t="shared" si="12"/>
        <v>60</v>
      </c>
    </row>
    <row r="829" spans="1:8" x14ac:dyDescent="0.3">
      <c r="A829" t="s">
        <v>64</v>
      </c>
      <c r="B829" t="s">
        <v>23</v>
      </c>
      <c r="C829" t="s">
        <v>14</v>
      </c>
      <c r="D829">
        <v>539</v>
      </c>
      <c r="E829" t="s">
        <v>57</v>
      </c>
      <c r="F829" t="s">
        <v>36</v>
      </c>
      <c r="G829" t="s">
        <v>37</v>
      </c>
      <c r="H829">
        <f t="shared" si="12"/>
        <v>539</v>
      </c>
    </row>
    <row r="830" spans="1:8" x14ac:dyDescent="0.3">
      <c r="A830" t="s">
        <v>64</v>
      </c>
      <c r="B830" t="s">
        <v>23</v>
      </c>
      <c r="C830" t="s">
        <v>15</v>
      </c>
      <c r="D830">
        <v>101</v>
      </c>
      <c r="E830" t="s">
        <v>57</v>
      </c>
      <c r="F830" t="s">
        <v>36</v>
      </c>
      <c r="G830" t="s">
        <v>37</v>
      </c>
      <c r="H830">
        <f t="shared" si="12"/>
        <v>101</v>
      </c>
    </row>
    <row r="831" spans="1:8" x14ac:dyDescent="0.3">
      <c r="A831" t="s">
        <v>64</v>
      </c>
      <c r="B831" t="s">
        <v>23</v>
      </c>
      <c r="C831" t="s">
        <v>16</v>
      </c>
      <c r="D831">
        <v>273915</v>
      </c>
      <c r="E831" t="s">
        <v>57</v>
      </c>
      <c r="F831" t="s">
        <v>36</v>
      </c>
      <c r="G831" t="s">
        <v>37</v>
      </c>
      <c r="H831">
        <f t="shared" si="12"/>
        <v>274000</v>
      </c>
    </row>
    <row r="832" spans="1:8" x14ac:dyDescent="0.3">
      <c r="A832" t="s">
        <v>64</v>
      </c>
      <c r="B832" t="s">
        <v>23</v>
      </c>
      <c r="C832" t="s">
        <v>17</v>
      </c>
      <c r="D832">
        <v>43</v>
      </c>
      <c r="E832" t="s">
        <v>57</v>
      </c>
      <c r="F832" t="s">
        <v>36</v>
      </c>
      <c r="G832" t="s">
        <v>37</v>
      </c>
      <c r="H832">
        <f t="shared" si="12"/>
        <v>43</v>
      </c>
    </row>
    <row r="833" spans="1:8" x14ac:dyDescent="0.3">
      <c r="A833" t="s">
        <v>64</v>
      </c>
      <c r="B833" t="s">
        <v>23</v>
      </c>
      <c r="C833" t="s">
        <v>18</v>
      </c>
      <c r="D833">
        <v>0</v>
      </c>
      <c r="E833" t="s">
        <v>57</v>
      </c>
      <c r="F833" t="s">
        <v>36</v>
      </c>
      <c r="G833" t="s">
        <v>37</v>
      </c>
      <c r="H833">
        <f t="shared" si="12"/>
        <v>0</v>
      </c>
    </row>
    <row r="834" spans="1:8" x14ac:dyDescent="0.3">
      <c r="A834" t="s">
        <v>64</v>
      </c>
      <c r="B834" t="s">
        <v>23</v>
      </c>
      <c r="C834" t="s">
        <v>19</v>
      </c>
      <c r="D834">
        <v>11</v>
      </c>
      <c r="E834" t="s">
        <v>57</v>
      </c>
      <c r="F834" t="s">
        <v>36</v>
      </c>
      <c r="G834" t="s">
        <v>37</v>
      </c>
      <c r="H834">
        <f t="shared" si="12"/>
        <v>11</v>
      </c>
    </row>
    <row r="835" spans="1:8" x14ac:dyDescent="0.3">
      <c r="A835" t="s">
        <v>64</v>
      </c>
      <c r="B835" t="s">
        <v>23</v>
      </c>
      <c r="C835" t="s">
        <v>20</v>
      </c>
      <c r="D835">
        <v>774</v>
      </c>
      <c r="E835" t="s">
        <v>57</v>
      </c>
      <c r="F835" t="s">
        <v>36</v>
      </c>
      <c r="G835" t="s">
        <v>37</v>
      </c>
      <c r="H835">
        <f t="shared" ref="H835:H898" si="13">ROUND(D835, 3 - LEN(INT(ABS(D835))))</f>
        <v>774</v>
      </c>
    </row>
    <row r="836" spans="1:8" x14ac:dyDescent="0.3">
      <c r="A836" t="s">
        <v>64</v>
      </c>
      <c r="B836" t="s">
        <v>23</v>
      </c>
      <c r="C836" t="s">
        <v>21</v>
      </c>
      <c r="D836">
        <v>287</v>
      </c>
      <c r="E836" t="s">
        <v>57</v>
      </c>
      <c r="F836" t="s">
        <v>36</v>
      </c>
      <c r="G836" t="s">
        <v>37</v>
      </c>
      <c r="H836">
        <f t="shared" si="13"/>
        <v>287</v>
      </c>
    </row>
    <row r="837" spans="1:8" x14ac:dyDescent="0.3">
      <c r="A837" t="s">
        <v>64</v>
      </c>
      <c r="B837" t="s">
        <v>23</v>
      </c>
      <c r="C837" t="s">
        <v>22</v>
      </c>
      <c r="D837">
        <v>699</v>
      </c>
      <c r="E837" t="s">
        <v>57</v>
      </c>
      <c r="F837" t="s">
        <v>36</v>
      </c>
      <c r="G837" t="s">
        <v>37</v>
      </c>
      <c r="H837">
        <f t="shared" si="13"/>
        <v>699</v>
      </c>
    </row>
    <row r="838" spans="1:8" x14ac:dyDescent="0.3">
      <c r="A838" t="s">
        <v>32</v>
      </c>
      <c r="B838" t="s">
        <v>8</v>
      </c>
      <c r="C838" t="s">
        <v>9</v>
      </c>
      <c r="D838">
        <v>0</v>
      </c>
      <c r="E838" t="s">
        <v>57</v>
      </c>
      <c r="F838" t="s">
        <v>36</v>
      </c>
      <c r="G838" t="s">
        <v>37</v>
      </c>
      <c r="H838">
        <f t="shared" si="13"/>
        <v>0</v>
      </c>
    </row>
    <row r="839" spans="1:8" x14ac:dyDescent="0.3">
      <c r="A839" t="s">
        <v>32</v>
      </c>
      <c r="B839" t="s">
        <v>8</v>
      </c>
      <c r="C839" t="s">
        <v>13</v>
      </c>
      <c r="D839">
        <v>0</v>
      </c>
      <c r="E839" t="s">
        <v>57</v>
      </c>
      <c r="F839" t="s">
        <v>36</v>
      </c>
      <c r="G839" t="s">
        <v>37</v>
      </c>
      <c r="H839">
        <f t="shared" si="13"/>
        <v>0</v>
      </c>
    </row>
    <row r="840" spans="1:8" x14ac:dyDescent="0.3">
      <c r="A840" t="s">
        <v>32</v>
      </c>
      <c r="B840" t="s">
        <v>8</v>
      </c>
      <c r="C840" t="s">
        <v>14</v>
      </c>
      <c r="D840">
        <v>0</v>
      </c>
      <c r="E840" t="s">
        <v>57</v>
      </c>
      <c r="F840" t="s">
        <v>36</v>
      </c>
      <c r="G840" t="s">
        <v>37</v>
      </c>
      <c r="H840">
        <f t="shared" si="13"/>
        <v>0</v>
      </c>
    </row>
    <row r="841" spans="1:8" x14ac:dyDescent="0.3">
      <c r="A841" t="s">
        <v>32</v>
      </c>
      <c r="B841" t="s">
        <v>8</v>
      </c>
      <c r="C841" t="s">
        <v>15</v>
      </c>
      <c r="D841">
        <v>0</v>
      </c>
      <c r="E841" t="s">
        <v>57</v>
      </c>
      <c r="F841" t="s">
        <v>36</v>
      </c>
      <c r="G841" t="s">
        <v>37</v>
      </c>
      <c r="H841">
        <f t="shared" si="13"/>
        <v>0</v>
      </c>
    </row>
    <row r="842" spans="1:8" x14ac:dyDescent="0.3">
      <c r="A842" t="s">
        <v>32</v>
      </c>
      <c r="B842" t="s">
        <v>8</v>
      </c>
      <c r="C842" t="s">
        <v>16</v>
      </c>
      <c r="D842">
        <v>0</v>
      </c>
      <c r="E842" t="s">
        <v>57</v>
      </c>
      <c r="F842" t="s">
        <v>36</v>
      </c>
      <c r="G842" t="s">
        <v>37</v>
      </c>
      <c r="H842">
        <f t="shared" si="13"/>
        <v>0</v>
      </c>
    </row>
    <row r="843" spans="1:8" x14ac:dyDescent="0.3">
      <c r="A843" t="s">
        <v>32</v>
      </c>
      <c r="B843" t="s">
        <v>8</v>
      </c>
      <c r="C843" t="s">
        <v>17</v>
      </c>
      <c r="D843">
        <v>0</v>
      </c>
      <c r="E843" t="s">
        <v>57</v>
      </c>
      <c r="F843" t="s">
        <v>36</v>
      </c>
      <c r="G843" t="s">
        <v>37</v>
      </c>
      <c r="H843">
        <f t="shared" si="13"/>
        <v>0</v>
      </c>
    </row>
    <row r="844" spans="1:8" x14ac:dyDescent="0.3">
      <c r="A844" t="s">
        <v>32</v>
      </c>
      <c r="B844" t="s">
        <v>8</v>
      </c>
      <c r="C844" t="s">
        <v>18</v>
      </c>
      <c r="D844">
        <v>0</v>
      </c>
      <c r="E844" t="s">
        <v>57</v>
      </c>
      <c r="F844" t="s">
        <v>36</v>
      </c>
      <c r="G844" t="s">
        <v>37</v>
      </c>
      <c r="H844">
        <f t="shared" si="13"/>
        <v>0</v>
      </c>
    </row>
    <row r="845" spans="1:8" x14ac:dyDescent="0.3">
      <c r="A845" t="s">
        <v>32</v>
      </c>
      <c r="B845" t="s">
        <v>8</v>
      </c>
      <c r="C845" t="s">
        <v>19</v>
      </c>
      <c r="D845">
        <v>0</v>
      </c>
      <c r="E845" t="s">
        <v>57</v>
      </c>
      <c r="F845" t="s">
        <v>36</v>
      </c>
      <c r="G845" t="s">
        <v>37</v>
      </c>
      <c r="H845">
        <f t="shared" si="13"/>
        <v>0</v>
      </c>
    </row>
    <row r="846" spans="1:8" x14ac:dyDescent="0.3">
      <c r="A846" t="s">
        <v>32</v>
      </c>
      <c r="B846" t="s">
        <v>8</v>
      </c>
      <c r="C846" t="s">
        <v>20</v>
      </c>
      <c r="D846">
        <v>0</v>
      </c>
      <c r="E846" t="s">
        <v>57</v>
      </c>
      <c r="F846" t="s">
        <v>36</v>
      </c>
      <c r="G846" t="s">
        <v>37</v>
      </c>
      <c r="H846">
        <f t="shared" si="13"/>
        <v>0</v>
      </c>
    </row>
    <row r="847" spans="1:8" x14ac:dyDescent="0.3">
      <c r="A847" t="s">
        <v>32</v>
      </c>
      <c r="B847" t="s">
        <v>8</v>
      </c>
      <c r="C847" t="s">
        <v>21</v>
      </c>
      <c r="D847">
        <v>0</v>
      </c>
      <c r="E847" t="s">
        <v>57</v>
      </c>
      <c r="F847" t="s">
        <v>36</v>
      </c>
      <c r="G847" t="s">
        <v>37</v>
      </c>
      <c r="H847">
        <f t="shared" si="13"/>
        <v>0</v>
      </c>
    </row>
    <row r="848" spans="1:8" x14ac:dyDescent="0.3">
      <c r="A848" t="s">
        <v>32</v>
      </c>
      <c r="B848" t="s">
        <v>8</v>
      </c>
      <c r="C848" t="s">
        <v>22</v>
      </c>
      <c r="D848">
        <v>0</v>
      </c>
      <c r="E848" t="s">
        <v>57</v>
      </c>
      <c r="F848" t="s">
        <v>36</v>
      </c>
      <c r="G848" t="s">
        <v>37</v>
      </c>
      <c r="H848">
        <f t="shared" si="13"/>
        <v>0</v>
      </c>
    </row>
    <row r="849" spans="1:8" x14ac:dyDescent="0.3">
      <c r="A849" t="s">
        <v>32</v>
      </c>
      <c r="B849" t="s">
        <v>23</v>
      </c>
      <c r="C849" t="s">
        <v>9</v>
      </c>
      <c r="D849">
        <v>3627</v>
      </c>
      <c r="E849" t="s">
        <v>57</v>
      </c>
      <c r="F849" t="s">
        <v>36</v>
      </c>
      <c r="G849" t="s">
        <v>37</v>
      </c>
      <c r="H849">
        <f t="shared" si="13"/>
        <v>3630</v>
      </c>
    </row>
    <row r="850" spans="1:8" x14ac:dyDescent="0.3">
      <c r="A850" t="s">
        <v>32</v>
      </c>
      <c r="B850" t="s">
        <v>23</v>
      </c>
      <c r="C850" t="s">
        <v>13</v>
      </c>
      <c r="D850">
        <v>44654</v>
      </c>
      <c r="E850" t="s">
        <v>57</v>
      </c>
      <c r="F850" t="s">
        <v>36</v>
      </c>
      <c r="G850" t="s">
        <v>37</v>
      </c>
      <c r="H850">
        <f t="shared" si="13"/>
        <v>44700</v>
      </c>
    </row>
    <row r="851" spans="1:8" x14ac:dyDescent="0.3">
      <c r="A851" t="s">
        <v>32</v>
      </c>
      <c r="B851" t="s">
        <v>23</v>
      </c>
      <c r="C851" t="s">
        <v>14</v>
      </c>
      <c r="D851">
        <v>3508</v>
      </c>
      <c r="E851" t="s">
        <v>57</v>
      </c>
      <c r="F851" t="s">
        <v>36</v>
      </c>
      <c r="G851" t="s">
        <v>37</v>
      </c>
      <c r="H851">
        <f t="shared" si="13"/>
        <v>3510</v>
      </c>
    </row>
    <row r="852" spans="1:8" x14ac:dyDescent="0.3">
      <c r="A852" t="s">
        <v>32</v>
      </c>
      <c r="B852" t="s">
        <v>23</v>
      </c>
      <c r="C852" t="s">
        <v>15</v>
      </c>
      <c r="D852">
        <v>32730</v>
      </c>
      <c r="E852" t="s">
        <v>57</v>
      </c>
      <c r="F852" t="s">
        <v>36</v>
      </c>
      <c r="G852" t="s">
        <v>37</v>
      </c>
      <c r="H852">
        <f t="shared" si="13"/>
        <v>32700</v>
      </c>
    </row>
    <row r="853" spans="1:8" x14ac:dyDescent="0.3">
      <c r="A853" t="s">
        <v>32</v>
      </c>
      <c r="B853" t="s">
        <v>23</v>
      </c>
      <c r="C853" t="s">
        <v>16</v>
      </c>
      <c r="D853">
        <v>18990</v>
      </c>
      <c r="E853" t="s">
        <v>57</v>
      </c>
      <c r="F853" t="s">
        <v>36</v>
      </c>
      <c r="G853" t="s">
        <v>37</v>
      </c>
      <c r="H853">
        <f t="shared" si="13"/>
        <v>19000</v>
      </c>
    </row>
    <row r="854" spans="1:8" x14ac:dyDescent="0.3">
      <c r="A854" t="s">
        <v>32</v>
      </c>
      <c r="B854" t="s">
        <v>23</v>
      </c>
      <c r="C854" t="s">
        <v>17</v>
      </c>
      <c r="D854">
        <v>112</v>
      </c>
      <c r="E854" t="s">
        <v>57</v>
      </c>
      <c r="F854" t="s">
        <v>36</v>
      </c>
      <c r="G854" t="s">
        <v>37</v>
      </c>
      <c r="H854">
        <f t="shared" si="13"/>
        <v>112</v>
      </c>
    </row>
    <row r="855" spans="1:8" x14ac:dyDescent="0.3">
      <c r="A855" t="s">
        <v>32</v>
      </c>
      <c r="B855" t="s">
        <v>23</v>
      </c>
      <c r="C855" t="s">
        <v>18</v>
      </c>
      <c r="D855">
        <v>2</v>
      </c>
      <c r="E855" t="s">
        <v>57</v>
      </c>
      <c r="F855" t="s">
        <v>36</v>
      </c>
      <c r="G855" t="s">
        <v>37</v>
      </c>
      <c r="H855">
        <f t="shared" si="13"/>
        <v>2</v>
      </c>
    </row>
    <row r="856" spans="1:8" x14ac:dyDescent="0.3">
      <c r="A856" t="s">
        <v>32</v>
      </c>
      <c r="B856" t="s">
        <v>23</v>
      </c>
      <c r="C856" t="s">
        <v>19</v>
      </c>
      <c r="D856">
        <v>7786</v>
      </c>
      <c r="E856" t="s">
        <v>57</v>
      </c>
      <c r="F856" t="s">
        <v>36</v>
      </c>
      <c r="G856" t="s">
        <v>37</v>
      </c>
      <c r="H856">
        <f t="shared" si="13"/>
        <v>7790</v>
      </c>
    </row>
    <row r="857" spans="1:8" x14ac:dyDescent="0.3">
      <c r="A857" t="s">
        <v>32</v>
      </c>
      <c r="B857" t="s">
        <v>23</v>
      </c>
      <c r="C857" t="s">
        <v>20</v>
      </c>
      <c r="D857">
        <v>11713</v>
      </c>
      <c r="E857" t="s">
        <v>57</v>
      </c>
      <c r="F857" t="s">
        <v>36</v>
      </c>
      <c r="G857" t="s">
        <v>37</v>
      </c>
      <c r="H857">
        <f t="shared" si="13"/>
        <v>11700</v>
      </c>
    </row>
    <row r="858" spans="1:8" x14ac:dyDescent="0.3">
      <c r="A858" t="s">
        <v>32</v>
      </c>
      <c r="B858" t="s">
        <v>23</v>
      </c>
      <c r="C858" t="s">
        <v>21</v>
      </c>
      <c r="D858">
        <v>886</v>
      </c>
      <c r="E858" t="s">
        <v>57</v>
      </c>
      <c r="F858" t="s">
        <v>36</v>
      </c>
      <c r="G858" t="s">
        <v>37</v>
      </c>
      <c r="H858">
        <f t="shared" si="13"/>
        <v>886</v>
      </c>
    </row>
    <row r="859" spans="1:8" x14ac:dyDescent="0.3">
      <c r="A859" t="s">
        <v>32</v>
      </c>
      <c r="B859" t="s">
        <v>23</v>
      </c>
      <c r="C859" t="s">
        <v>22</v>
      </c>
      <c r="D859">
        <v>579509</v>
      </c>
      <c r="E859" t="s">
        <v>57</v>
      </c>
      <c r="F859" t="s">
        <v>36</v>
      </c>
      <c r="G859" t="s">
        <v>37</v>
      </c>
      <c r="H859">
        <f t="shared" si="13"/>
        <v>580000</v>
      </c>
    </row>
    <row r="860" spans="1:8" x14ac:dyDescent="0.3">
      <c r="A860" t="s">
        <v>65</v>
      </c>
      <c r="B860" t="s">
        <v>8</v>
      </c>
      <c r="C860" t="s">
        <v>9</v>
      </c>
      <c r="D860">
        <v>0</v>
      </c>
      <c r="E860" t="s">
        <v>57</v>
      </c>
      <c r="F860" t="s">
        <v>36</v>
      </c>
      <c r="G860" t="s">
        <v>37</v>
      </c>
      <c r="H860">
        <f t="shared" si="13"/>
        <v>0</v>
      </c>
    </row>
    <row r="861" spans="1:8" x14ac:dyDescent="0.3">
      <c r="A861" t="s">
        <v>65</v>
      </c>
      <c r="B861" t="s">
        <v>8</v>
      </c>
      <c r="C861" t="s">
        <v>13</v>
      </c>
      <c r="D861">
        <v>0</v>
      </c>
      <c r="E861" t="s">
        <v>57</v>
      </c>
      <c r="F861" t="s">
        <v>36</v>
      </c>
      <c r="G861" t="s">
        <v>37</v>
      </c>
      <c r="H861">
        <f t="shared" si="13"/>
        <v>0</v>
      </c>
    </row>
    <row r="862" spans="1:8" x14ac:dyDescent="0.3">
      <c r="A862" t="s">
        <v>65</v>
      </c>
      <c r="B862" t="s">
        <v>8</v>
      </c>
      <c r="C862" t="s">
        <v>14</v>
      </c>
      <c r="D862">
        <v>0</v>
      </c>
      <c r="E862" t="s">
        <v>57</v>
      </c>
      <c r="F862" t="s">
        <v>36</v>
      </c>
      <c r="G862" t="s">
        <v>37</v>
      </c>
      <c r="H862">
        <f t="shared" si="13"/>
        <v>0</v>
      </c>
    </row>
    <row r="863" spans="1:8" x14ac:dyDescent="0.3">
      <c r="A863" t="s">
        <v>65</v>
      </c>
      <c r="B863" t="s">
        <v>8</v>
      </c>
      <c r="C863" t="s">
        <v>15</v>
      </c>
      <c r="D863">
        <v>0</v>
      </c>
      <c r="E863" t="s">
        <v>57</v>
      </c>
      <c r="F863" t="s">
        <v>36</v>
      </c>
      <c r="G863" t="s">
        <v>37</v>
      </c>
      <c r="H863">
        <f t="shared" si="13"/>
        <v>0</v>
      </c>
    </row>
    <row r="864" spans="1:8" x14ac:dyDescent="0.3">
      <c r="A864" t="s">
        <v>65</v>
      </c>
      <c r="B864" t="s">
        <v>8</v>
      </c>
      <c r="C864" t="s">
        <v>16</v>
      </c>
      <c r="D864">
        <v>0</v>
      </c>
      <c r="E864" t="s">
        <v>57</v>
      </c>
      <c r="F864" t="s">
        <v>36</v>
      </c>
      <c r="G864" t="s">
        <v>37</v>
      </c>
      <c r="H864">
        <f t="shared" si="13"/>
        <v>0</v>
      </c>
    </row>
    <row r="865" spans="1:8" x14ac:dyDescent="0.3">
      <c r="A865" t="s">
        <v>65</v>
      </c>
      <c r="B865" t="s">
        <v>8</v>
      </c>
      <c r="C865" t="s">
        <v>17</v>
      </c>
      <c r="D865">
        <v>0</v>
      </c>
      <c r="E865" t="s">
        <v>57</v>
      </c>
      <c r="F865" t="s">
        <v>36</v>
      </c>
      <c r="G865" t="s">
        <v>37</v>
      </c>
      <c r="H865">
        <f t="shared" si="13"/>
        <v>0</v>
      </c>
    </row>
    <row r="866" spans="1:8" x14ac:dyDescent="0.3">
      <c r="A866" t="s">
        <v>65</v>
      </c>
      <c r="B866" t="s">
        <v>8</v>
      </c>
      <c r="C866" t="s">
        <v>18</v>
      </c>
      <c r="D866">
        <v>0</v>
      </c>
      <c r="E866" t="s">
        <v>57</v>
      </c>
      <c r="F866" t="s">
        <v>36</v>
      </c>
      <c r="G866" t="s">
        <v>37</v>
      </c>
      <c r="H866">
        <f t="shared" si="13"/>
        <v>0</v>
      </c>
    </row>
    <row r="867" spans="1:8" x14ac:dyDescent="0.3">
      <c r="A867" t="s">
        <v>65</v>
      </c>
      <c r="B867" t="s">
        <v>8</v>
      </c>
      <c r="C867" t="s">
        <v>19</v>
      </c>
      <c r="D867">
        <v>0</v>
      </c>
      <c r="E867" t="s">
        <v>57</v>
      </c>
      <c r="F867" t="s">
        <v>36</v>
      </c>
      <c r="G867" t="s">
        <v>37</v>
      </c>
      <c r="H867">
        <f t="shared" si="13"/>
        <v>0</v>
      </c>
    </row>
    <row r="868" spans="1:8" x14ac:dyDescent="0.3">
      <c r="A868" t="s">
        <v>65</v>
      </c>
      <c r="B868" t="s">
        <v>8</v>
      </c>
      <c r="C868" t="s">
        <v>20</v>
      </c>
      <c r="D868">
        <v>0</v>
      </c>
      <c r="E868" t="s">
        <v>57</v>
      </c>
      <c r="F868" t="s">
        <v>36</v>
      </c>
      <c r="G868" t="s">
        <v>37</v>
      </c>
      <c r="H868">
        <f t="shared" si="13"/>
        <v>0</v>
      </c>
    </row>
    <row r="869" spans="1:8" x14ac:dyDescent="0.3">
      <c r="A869" t="s">
        <v>65</v>
      </c>
      <c r="B869" t="s">
        <v>8</v>
      </c>
      <c r="C869" t="s">
        <v>21</v>
      </c>
      <c r="D869">
        <v>0</v>
      </c>
      <c r="E869" t="s">
        <v>57</v>
      </c>
      <c r="F869" t="s">
        <v>36</v>
      </c>
      <c r="G869" t="s">
        <v>37</v>
      </c>
      <c r="H869">
        <f t="shared" si="13"/>
        <v>0</v>
      </c>
    </row>
    <row r="870" spans="1:8" x14ac:dyDescent="0.3">
      <c r="A870" t="s">
        <v>65</v>
      </c>
      <c r="B870" t="s">
        <v>8</v>
      </c>
      <c r="C870" t="s">
        <v>22</v>
      </c>
      <c r="D870">
        <v>0</v>
      </c>
      <c r="E870" t="s">
        <v>57</v>
      </c>
      <c r="F870" t="s">
        <v>36</v>
      </c>
      <c r="G870" t="s">
        <v>37</v>
      </c>
      <c r="H870">
        <f t="shared" si="13"/>
        <v>0</v>
      </c>
    </row>
    <row r="871" spans="1:8" x14ac:dyDescent="0.3">
      <c r="A871" t="s">
        <v>65</v>
      </c>
      <c r="B871" t="s">
        <v>23</v>
      </c>
      <c r="C871" t="s">
        <v>9</v>
      </c>
      <c r="D871">
        <v>152</v>
      </c>
      <c r="E871" t="s">
        <v>57</v>
      </c>
      <c r="F871" t="s">
        <v>36</v>
      </c>
      <c r="G871" t="s">
        <v>37</v>
      </c>
      <c r="H871">
        <f t="shared" si="13"/>
        <v>152</v>
      </c>
    </row>
    <row r="872" spans="1:8" x14ac:dyDescent="0.3">
      <c r="A872" t="s">
        <v>65</v>
      </c>
      <c r="B872" t="s">
        <v>23</v>
      </c>
      <c r="C872" t="s">
        <v>13</v>
      </c>
      <c r="D872">
        <v>52</v>
      </c>
      <c r="E872" t="s">
        <v>57</v>
      </c>
      <c r="F872" t="s">
        <v>36</v>
      </c>
      <c r="G872" t="s">
        <v>37</v>
      </c>
      <c r="H872">
        <f t="shared" si="13"/>
        <v>52</v>
      </c>
    </row>
    <row r="873" spans="1:8" x14ac:dyDescent="0.3">
      <c r="A873" t="s">
        <v>65</v>
      </c>
      <c r="B873" t="s">
        <v>23</v>
      </c>
      <c r="C873" t="s">
        <v>14</v>
      </c>
      <c r="D873">
        <v>467</v>
      </c>
      <c r="E873" t="s">
        <v>57</v>
      </c>
      <c r="F873" t="s">
        <v>36</v>
      </c>
      <c r="G873" t="s">
        <v>37</v>
      </c>
      <c r="H873">
        <f t="shared" si="13"/>
        <v>467</v>
      </c>
    </row>
    <row r="874" spans="1:8" x14ac:dyDescent="0.3">
      <c r="A874" t="s">
        <v>65</v>
      </c>
      <c r="B874" t="s">
        <v>23</v>
      </c>
      <c r="C874" t="s">
        <v>15</v>
      </c>
      <c r="D874">
        <v>87</v>
      </c>
      <c r="E874" t="s">
        <v>57</v>
      </c>
      <c r="F874" t="s">
        <v>36</v>
      </c>
      <c r="G874" t="s">
        <v>37</v>
      </c>
      <c r="H874">
        <f t="shared" si="13"/>
        <v>87</v>
      </c>
    </row>
    <row r="875" spans="1:8" x14ac:dyDescent="0.3">
      <c r="A875" t="s">
        <v>65</v>
      </c>
      <c r="B875" t="s">
        <v>23</v>
      </c>
      <c r="C875" t="s">
        <v>16</v>
      </c>
      <c r="D875">
        <v>237393</v>
      </c>
      <c r="E875" t="s">
        <v>57</v>
      </c>
      <c r="F875" t="s">
        <v>36</v>
      </c>
      <c r="G875" t="s">
        <v>37</v>
      </c>
      <c r="H875">
        <f t="shared" si="13"/>
        <v>237000</v>
      </c>
    </row>
    <row r="876" spans="1:8" x14ac:dyDescent="0.3">
      <c r="A876" t="s">
        <v>65</v>
      </c>
      <c r="B876" t="s">
        <v>23</v>
      </c>
      <c r="C876" t="s">
        <v>17</v>
      </c>
      <c r="D876">
        <v>37</v>
      </c>
      <c r="E876" t="s">
        <v>57</v>
      </c>
      <c r="F876" t="s">
        <v>36</v>
      </c>
      <c r="G876" t="s">
        <v>37</v>
      </c>
      <c r="H876">
        <f t="shared" si="13"/>
        <v>37</v>
      </c>
    </row>
    <row r="877" spans="1:8" x14ac:dyDescent="0.3">
      <c r="A877" t="s">
        <v>65</v>
      </c>
      <c r="B877" t="s">
        <v>23</v>
      </c>
      <c r="C877" t="s">
        <v>18</v>
      </c>
      <c r="D877">
        <v>0</v>
      </c>
      <c r="E877" t="s">
        <v>57</v>
      </c>
      <c r="F877" t="s">
        <v>36</v>
      </c>
      <c r="G877" t="s">
        <v>37</v>
      </c>
      <c r="H877">
        <f t="shared" si="13"/>
        <v>0</v>
      </c>
    </row>
    <row r="878" spans="1:8" x14ac:dyDescent="0.3">
      <c r="A878" t="s">
        <v>65</v>
      </c>
      <c r="B878" t="s">
        <v>23</v>
      </c>
      <c r="C878" t="s">
        <v>19</v>
      </c>
      <c r="D878">
        <v>10</v>
      </c>
      <c r="E878" t="s">
        <v>57</v>
      </c>
      <c r="F878" t="s">
        <v>36</v>
      </c>
      <c r="G878" t="s">
        <v>37</v>
      </c>
      <c r="H878">
        <f t="shared" si="13"/>
        <v>10</v>
      </c>
    </row>
    <row r="879" spans="1:8" x14ac:dyDescent="0.3">
      <c r="A879" t="s">
        <v>65</v>
      </c>
      <c r="B879" t="s">
        <v>23</v>
      </c>
      <c r="C879" t="s">
        <v>20</v>
      </c>
      <c r="D879">
        <v>671</v>
      </c>
      <c r="E879" t="s">
        <v>57</v>
      </c>
      <c r="F879" t="s">
        <v>36</v>
      </c>
      <c r="G879" t="s">
        <v>37</v>
      </c>
      <c r="H879">
        <f t="shared" si="13"/>
        <v>671</v>
      </c>
    </row>
    <row r="880" spans="1:8" x14ac:dyDescent="0.3">
      <c r="A880" t="s">
        <v>65</v>
      </c>
      <c r="B880" t="s">
        <v>23</v>
      </c>
      <c r="C880" t="s">
        <v>21</v>
      </c>
      <c r="D880">
        <v>249</v>
      </c>
      <c r="E880" t="s">
        <v>57</v>
      </c>
      <c r="F880" t="s">
        <v>36</v>
      </c>
      <c r="G880" t="s">
        <v>37</v>
      </c>
      <c r="H880">
        <f t="shared" si="13"/>
        <v>249</v>
      </c>
    </row>
    <row r="881" spans="1:8" x14ac:dyDescent="0.3">
      <c r="A881" t="s">
        <v>65</v>
      </c>
      <c r="B881" t="s">
        <v>23</v>
      </c>
      <c r="C881" t="s">
        <v>22</v>
      </c>
      <c r="D881">
        <v>605</v>
      </c>
      <c r="E881" t="s">
        <v>57</v>
      </c>
      <c r="F881" t="s">
        <v>36</v>
      </c>
      <c r="G881" t="s">
        <v>37</v>
      </c>
      <c r="H881">
        <f t="shared" si="13"/>
        <v>605</v>
      </c>
    </row>
    <row r="882" spans="1:8" x14ac:dyDescent="0.3">
      <c r="A882" t="s">
        <v>33</v>
      </c>
      <c r="B882" t="s">
        <v>8</v>
      </c>
      <c r="C882" t="s">
        <v>9</v>
      </c>
      <c r="D882">
        <v>0</v>
      </c>
      <c r="E882" t="s">
        <v>57</v>
      </c>
      <c r="F882" t="s">
        <v>36</v>
      </c>
      <c r="G882" t="s">
        <v>37</v>
      </c>
      <c r="H882">
        <f t="shared" si="13"/>
        <v>0</v>
      </c>
    </row>
    <row r="883" spans="1:8" x14ac:dyDescent="0.3">
      <c r="A883" t="s">
        <v>33</v>
      </c>
      <c r="B883" t="s">
        <v>8</v>
      </c>
      <c r="C883" t="s">
        <v>13</v>
      </c>
      <c r="D883">
        <v>0</v>
      </c>
      <c r="E883" t="s">
        <v>57</v>
      </c>
      <c r="F883" t="s">
        <v>36</v>
      </c>
      <c r="G883" t="s">
        <v>37</v>
      </c>
      <c r="H883">
        <f t="shared" si="13"/>
        <v>0</v>
      </c>
    </row>
    <row r="884" spans="1:8" x14ac:dyDescent="0.3">
      <c r="A884" t="s">
        <v>33</v>
      </c>
      <c r="B884" t="s">
        <v>8</v>
      </c>
      <c r="C884" t="s">
        <v>14</v>
      </c>
      <c r="D884">
        <v>0</v>
      </c>
      <c r="E884" t="s">
        <v>57</v>
      </c>
      <c r="F884" t="s">
        <v>36</v>
      </c>
      <c r="G884" t="s">
        <v>37</v>
      </c>
      <c r="H884">
        <f t="shared" si="13"/>
        <v>0</v>
      </c>
    </row>
    <row r="885" spans="1:8" x14ac:dyDescent="0.3">
      <c r="A885" t="s">
        <v>33</v>
      </c>
      <c r="B885" t="s">
        <v>8</v>
      </c>
      <c r="C885" t="s">
        <v>15</v>
      </c>
      <c r="D885">
        <v>0</v>
      </c>
      <c r="E885" t="s">
        <v>57</v>
      </c>
      <c r="F885" t="s">
        <v>36</v>
      </c>
      <c r="G885" t="s">
        <v>37</v>
      </c>
      <c r="H885">
        <f t="shared" si="13"/>
        <v>0</v>
      </c>
    </row>
    <row r="886" spans="1:8" x14ac:dyDescent="0.3">
      <c r="A886" t="s">
        <v>33</v>
      </c>
      <c r="B886" t="s">
        <v>8</v>
      </c>
      <c r="C886" t="s">
        <v>16</v>
      </c>
      <c r="D886">
        <v>0</v>
      </c>
      <c r="E886" t="s">
        <v>57</v>
      </c>
      <c r="F886" t="s">
        <v>36</v>
      </c>
      <c r="G886" t="s">
        <v>37</v>
      </c>
      <c r="H886">
        <f t="shared" si="13"/>
        <v>0</v>
      </c>
    </row>
    <row r="887" spans="1:8" x14ac:dyDescent="0.3">
      <c r="A887" t="s">
        <v>33</v>
      </c>
      <c r="B887" t="s">
        <v>8</v>
      </c>
      <c r="C887" t="s">
        <v>17</v>
      </c>
      <c r="D887">
        <v>0</v>
      </c>
      <c r="E887" t="s">
        <v>57</v>
      </c>
      <c r="F887" t="s">
        <v>36</v>
      </c>
      <c r="G887" t="s">
        <v>37</v>
      </c>
      <c r="H887">
        <f t="shared" si="13"/>
        <v>0</v>
      </c>
    </row>
    <row r="888" spans="1:8" x14ac:dyDescent="0.3">
      <c r="A888" t="s">
        <v>33</v>
      </c>
      <c r="B888" t="s">
        <v>8</v>
      </c>
      <c r="C888" t="s">
        <v>18</v>
      </c>
      <c r="D888">
        <v>0</v>
      </c>
      <c r="E888" t="s">
        <v>57</v>
      </c>
      <c r="F888" t="s">
        <v>36</v>
      </c>
      <c r="G888" t="s">
        <v>37</v>
      </c>
      <c r="H888">
        <f t="shared" si="13"/>
        <v>0</v>
      </c>
    </row>
    <row r="889" spans="1:8" x14ac:dyDescent="0.3">
      <c r="A889" t="s">
        <v>33</v>
      </c>
      <c r="B889" t="s">
        <v>8</v>
      </c>
      <c r="C889" t="s">
        <v>19</v>
      </c>
      <c r="D889">
        <v>0</v>
      </c>
      <c r="E889" t="s">
        <v>57</v>
      </c>
      <c r="F889" t="s">
        <v>36</v>
      </c>
      <c r="G889" t="s">
        <v>37</v>
      </c>
      <c r="H889">
        <f t="shared" si="13"/>
        <v>0</v>
      </c>
    </row>
    <row r="890" spans="1:8" x14ac:dyDescent="0.3">
      <c r="A890" t="s">
        <v>33</v>
      </c>
      <c r="B890" t="s">
        <v>8</v>
      </c>
      <c r="C890" t="s">
        <v>20</v>
      </c>
      <c r="D890">
        <v>0</v>
      </c>
      <c r="E890" t="s">
        <v>57</v>
      </c>
      <c r="F890" t="s">
        <v>36</v>
      </c>
      <c r="G890" t="s">
        <v>37</v>
      </c>
      <c r="H890">
        <f t="shared" si="13"/>
        <v>0</v>
      </c>
    </row>
    <row r="891" spans="1:8" x14ac:dyDescent="0.3">
      <c r="A891" t="s">
        <v>33</v>
      </c>
      <c r="B891" t="s">
        <v>8</v>
      </c>
      <c r="C891" t="s">
        <v>21</v>
      </c>
      <c r="D891">
        <v>0</v>
      </c>
      <c r="E891" t="s">
        <v>57</v>
      </c>
      <c r="F891" t="s">
        <v>36</v>
      </c>
      <c r="G891" t="s">
        <v>37</v>
      </c>
      <c r="H891">
        <f t="shared" si="13"/>
        <v>0</v>
      </c>
    </row>
    <row r="892" spans="1:8" x14ac:dyDescent="0.3">
      <c r="A892" t="s">
        <v>33</v>
      </c>
      <c r="B892" t="s">
        <v>8</v>
      </c>
      <c r="C892" t="s">
        <v>22</v>
      </c>
      <c r="D892">
        <v>0</v>
      </c>
      <c r="E892" t="s">
        <v>57</v>
      </c>
      <c r="F892" t="s">
        <v>36</v>
      </c>
      <c r="G892" t="s">
        <v>37</v>
      </c>
      <c r="H892">
        <f t="shared" si="13"/>
        <v>0</v>
      </c>
    </row>
    <row r="893" spans="1:8" x14ac:dyDescent="0.3">
      <c r="A893" t="s">
        <v>33</v>
      </c>
      <c r="B893" t="s">
        <v>23</v>
      </c>
      <c r="C893" t="s">
        <v>9</v>
      </c>
      <c r="D893">
        <v>602</v>
      </c>
      <c r="E893" t="s">
        <v>57</v>
      </c>
      <c r="F893" t="s">
        <v>36</v>
      </c>
      <c r="G893" t="s">
        <v>37</v>
      </c>
      <c r="H893">
        <f t="shared" si="13"/>
        <v>602</v>
      </c>
    </row>
    <row r="894" spans="1:8" x14ac:dyDescent="0.3">
      <c r="A894" t="s">
        <v>33</v>
      </c>
      <c r="B894" t="s">
        <v>23</v>
      </c>
      <c r="C894" t="s">
        <v>13</v>
      </c>
      <c r="D894">
        <v>205</v>
      </c>
      <c r="E894" t="s">
        <v>57</v>
      </c>
      <c r="F894" t="s">
        <v>36</v>
      </c>
      <c r="G894" t="s">
        <v>37</v>
      </c>
      <c r="H894">
        <f t="shared" si="13"/>
        <v>205</v>
      </c>
    </row>
    <row r="895" spans="1:8" x14ac:dyDescent="0.3">
      <c r="A895" t="s">
        <v>33</v>
      </c>
      <c r="B895" t="s">
        <v>23</v>
      </c>
      <c r="C895" t="s">
        <v>14</v>
      </c>
      <c r="D895">
        <v>1849</v>
      </c>
      <c r="E895" t="s">
        <v>57</v>
      </c>
      <c r="F895" t="s">
        <v>36</v>
      </c>
      <c r="G895" t="s">
        <v>37</v>
      </c>
      <c r="H895">
        <f t="shared" si="13"/>
        <v>1850</v>
      </c>
    </row>
    <row r="896" spans="1:8" x14ac:dyDescent="0.3">
      <c r="A896" t="s">
        <v>33</v>
      </c>
      <c r="B896" t="s">
        <v>23</v>
      </c>
      <c r="C896" t="s">
        <v>15</v>
      </c>
      <c r="D896">
        <v>345</v>
      </c>
      <c r="E896" t="s">
        <v>57</v>
      </c>
      <c r="F896" t="s">
        <v>36</v>
      </c>
      <c r="G896" t="s">
        <v>37</v>
      </c>
      <c r="H896">
        <f t="shared" si="13"/>
        <v>345</v>
      </c>
    </row>
    <row r="897" spans="1:8" x14ac:dyDescent="0.3">
      <c r="A897" t="s">
        <v>33</v>
      </c>
      <c r="B897" t="s">
        <v>23</v>
      </c>
      <c r="C897" t="s">
        <v>16</v>
      </c>
      <c r="D897">
        <v>939222</v>
      </c>
      <c r="E897" t="s">
        <v>57</v>
      </c>
      <c r="F897" t="s">
        <v>36</v>
      </c>
      <c r="G897" t="s">
        <v>37</v>
      </c>
      <c r="H897">
        <f t="shared" si="13"/>
        <v>939000</v>
      </c>
    </row>
    <row r="898" spans="1:8" x14ac:dyDescent="0.3">
      <c r="A898" t="s">
        <v>33</v>
      </c>
      <c r="B898" t="s">
        <v>23</v>
      </c>
      <c r="C898" t="s">
        <v>17</v>
      </c>
      <c r="D898">
        <v>147</v>
      </c>
      <c r="E898" t="s">
        <v>57</v>
      </c>
      <c r="F898" t="s">
        <v>36</v>
      </c>
      <c r="G898" t="s">
        <v>37</v>
      </c>
      <c r="H898">
        <f t="shared" si="13"/>
        <v>147</v>
      </c>
    </row>
    <row r="899" spans="1:8" x14ac:dyDescent="0.3">
      <c r="A899" t="s">
        <v>33</v>
      </c>
      <c r="B899" t="s">
        <v>23</v>
      </c>
      <c r="C899" t="s">
        <v>18</v>
      </c>
      <c r="D899">
        <v>0</v>
      </c>
      <c r="E899" t="s">
        <v>57</v>
      </c>
      <c r="F899" t="s">
        <v>36</v>
      </c>
      <c r="G899" t="s">
        <v>37</v>
      </c>
      <c r="H899">
        <f t="shared" ref="H899:H962" si="14">ROUND(D899, 3 - LEN(INT(ABS(D899))))</f>
        <v>0</v>
      </c>
    </row>
    <row r="900" spans="1:8" x14ac:dyDescent="0.3">
      <c r="A900" t="s">
        <v>33</v>
      </c>
      <c r="B900" t="s">
        <v>23</v>
      </c>
      <c r="C900" t="s">
        <v>19</v>
      </c>
      <c r="D900">
        <v>39</v>
      </c>
      <c r="E900" t="s">
        <v>57</v>
      </c>
      <c r="F900" t="s">
        <v>36</v>
      </c>
      <c r="G900" t="s">
        <v>37</v>
      </c>
      <c r="H900">
        <f t="shared" si="14"/>
        <v>39</v>
      </c>
    </row>
    <row r="901" spans="1:8" x14ac:dyDescent="0.3">
      <c r="A901" t="s">
        <v>33</v>
      </c>
      <c r="B901" t="s">
        <v>23</v>
      </c>
      <c r="C901" t="s">
        <v>20</v>
      </c>
      <c r="D901">
        <v>2655</v>
      </c>
      <c r="E901" t="s">
        <v>57</v>
      </c>
      <c r="F901" t="s">
        <v>36</v>
      </c>
      <c r="G901" t="s">
        <v>37</v>
      </c>
      <c r="H901">
        <f t="shared" si="14"/>
        <v>2660</v>
      </c>
    </row>
    <row r="902" spans="1:8" x14ac:dyDescent="0.3">
      <c r="A902" t="s">
        <v>33</v>
      </c>
      <c r="B902" t="s">
        <v>23</v>
      </c>
      <c r="C902" t="s">
        <v>21</v>
      </c>
      <c r="D902">
        <v>985</v>
      </c>
      <c r="E902" t="s">
        <v>57</v>
      </c>
      <c r="F902" t="s">
        <v>36</v>
      </c>
      <c r="G902" t="s">
        <v>37</v>
      </c>
      <c r="H902">
        <f t="shared" si="14"/>
        <v>985</v>
      </c>
    </row>
    <row r="903" spans="1:8" x14ac:dyDescent="0.3">
      <c r="A903" t="s">
        <v>33</v>
      </c>
      <c r="B903" t="s">
        <v>23</v>
      </c>
      <c r="C903" t="s">
        <v>22</v>
      </c>
      <c r="D903">
        <v>2395</v>
      </c>
      <c r="E903" t="s">
        <v>57</v>
      </c>
      <c r="F903" t="s">
        <v>36</v>
      </c>
      <c r="G903" t="s">
        <v>37</v>
      </c>
      <c r="H903">
        <f t="shared" si="14"/>
        <v>2400</v>
      </c>
    </row>
    <row r="904" spans="1:8" x14ac:dyDescent="0.3">
      <c r="A904" t="s">
        <v>34</v>
      </c>
      <c r="B904" t="s">
        <v>8</v>
      </c>
      <c r="C904" t="s">
        <v>9</v>
      </c>
      <c r="D904">
        <v>0</v>
      </c>
      <c r="E904" t="s">
        <v>57</v>
      </c>
      <c r="F904" t="s">
        <v>36</v>
      </c>
      <c r="G904" t="s">
        <v>37</v>
      </c>
      <c r="H904">
        <f t="shared" si="14"/>
        <v>0</v>
      </c>
    </row>
    <row r="905" spans="1:8" x14ac:dyDescent="0.3">
      <c r="A905" t="s">
        <v>34</v>
      </c>
      <c r="B905" t="s">
        <v>8</v>
      </c>
      <c r="C905" t="s">
        <v>13</v>
      </c>
      <c r="D905">
        <v>0</v>
      </c>
      <c r="E905" t="s">
        <v>57</v>
      </c>
      <c r="F905" t="s">
        <v>36</v>
      </c>
      <c r="G905" t="s">
        <v>37</v>
      </c>
      <c r="H905">
        <f t="shared" si="14"/>
        <v>0</v>
      </c>
    </row>
    <row r="906" spans="1:8" x14ac:dyDescent="0.3">
      <c r="A906" t="s">
        <v>34</v>
      </c>
      <c r="B906" t="s">
        <v>8</v>
      </c>
      <c r="C906" t="s">
        <v>14</v>
      </c>
      <c r="D906">
        <v>0</v>
      </c>
      <c r="E906" t="s">
        <v>57</v>
      </c>
      <c r="F906" t="s">
        <v>36</v>
      </c>
      <c r="G906" t="s">
        <v>37</v>
      </c>
      <c r="H906">
        <f t="shared" si="14"/>
        <v>0</v>
      </c>
    </row>
    <row r="907" spans="1:8" x14ac:dyDescent="0.3">
      <c r="A907" t="s">
        <v>34</v>
      </c>
      <c r="B907" t="s">
        <v>8</v>
      </c>
      <c r="C907" t="s">
        <v>15</v>
      </c>
      <c r="D907">
        <v>0</v>
      </c>
      <c r="E907" t="s">
        <v>57</v>
      </c>
      <c r="F907" t="s">
        <v>36</v>
      </c>
      <c r="G907" t="s">
        <v>37</v>
      </c>
      <c r="H907">
        <f t="shared" si="14"/>
        <v>0</v>
      </c>
    </row>
    <row r="908" spans="1:8" x14ac:dyDescent="0.3">
      <c r="A908" t="s">
        <v>34</v>
      </c>
      <c r="B908" t="s">
        <v>8</v>
      </c>
      <c r="C908" t="s">
        <v>16</v>
      </c>
      <c r="D908">
        <v>0</v>
      </c>
      <c r="E908" t="s">
        <v>57</v>
      </c>
      <c r="F908" t="s">
        <v>36</v>
      </c>
      <c r="G908" t="s">
        <v>37</v>
      </c>
      <c r="H908">
        <f t="shared" si="14"/>
        <v>0</v>
      </c>
    </row>
    <row r="909" spans="1:8" x14ac:dyDescent="0.3">
      <c r="A909" t="s">
        <v>34</v>
      </c>
      <c r="B909" t="s">
        <v>8</v>
      </c>
      <c r="C909" t="s">
        <v>17</v>
      </c>
      <c r="D909">
        <v>0</v>
      </c>
      <c r="E909" t="s">
        <v>57</v>
      </c>
      <c r="F909" t="s">
        <v>36</v>
      </c>
      <c r="G909" t="s">
        <v>37</v>
      </c>
      <c r="H909">
        <f t="shared" si="14"/>
        <v>0</v>
      </c>
    </row>
    <row r="910" spans="1:8" x14ac:dyDescent="0.3">
      <c r="A910" t="s">
        <v>34</v>
      </c>
      <c r="B910" t="s">
        <v>8</v>
      </c>
      <c r="C910" t="s">
        <v>18</v>
      </c>
      <c r="D910">
        <v>0</v>
      </c>
      <c r="E910" t="s">
        <v>57</v>
      </c>
      <c r="F910" t="s">
        <v>36</v>
      </c>
      <c r="G910" t="s">
        <v>37</v>
      </c>
      <c r="H910">
        <f t="shared" si="14"/>
        <v>0</v>
      </c>
    </row>
    <row r="911" spans="1:8" x14ac:dyDescent="0.3">
      <c r="A911" t="s">
        <v>34</v>
      </c>
      <c r="B911" t="s">
        <v>8</v>
      </c>
      <c r="C911" t="s">
        <v>19</v>
      </c>
      <c r="D911">
        <v>0</v>
      </c>
      <c r="E911" t="s">
        <v>57</v>
      </c>
      <c r="F911" t="s">
        <v>36</v>
      </c>
      <c r="G911" t="s">
        <v>37</v>
      </c>
      <c r="H911">
        <f t="shared" si="14"/>
        <v>0</v>
      </c>
    </row>
    <row r="912" spans="1:8" x14ac:dyDescent="0.3">
      <c r="A912" t="s">
        <v>34</v>
      </c>
      <c r="B912" t="s">
        <v>8</v>
      </c>
      <c r="C912" t="s">
        <v>20</v>
      </c>
      <c r="D912">
        <v>0</v>
      </c>
      <c r="E912" t="s">
        <v>57</v>
      </c>
      <c r="F912" t="s">
        <v>36</v>
      </c>
      <c r="G912" t="s">
        <v>37</v>
      </c>
      <c r="H912">
        <f t="shared" si="14"/>
        <v>0</v>
      </c>
    </row>
    <row r="913" spans="1:8" x14ac:dyDescent="0.3">
      <c r="A913" t="s">
        <v>34</v>
      </c>
      <c r="B913" t="s">
        <v>8</v>
      </c>
      <c r="C913" t="s">
        <v>21</v>
      </c>
      <c r="D913">
        <v>0</v>
      </c>
      <c r="E913" t="s">
        <v>57</v>
      </c>
      <c r="F913" t="s">
        <v>36</v>
      </c>
      <c r="G913" t="s">
        <v>37</v>
      </c>
      <c r="H913">
        <f t="shared" si="14"/>
        <v>0</v>
      </c>
    </row>
    <row r="914" spans="1:8" x14ac:dyDescent="0.3">
      <c r="A914" t="s">
        <v>34</v>
      </c>
      <c r="B914" t="s">
        <v>8</v>
      </c>
      <c r="C914" t="s">
        <v>22</v>
      </c>
      <c r="D914">
        <v>0</v>
      </c>
      <c r="E914" t="s">
        <v>57</v>
      </c>
      <c r="F914" t="s">
        <v>36</v>
      </c>
      <c r="G914" t="s">
        <v>37</v>
      </c>
      <c r="H914">
        <f t="shared" si="14"/>
        <v>0</v>
      </c>
    </row>
    <row r="915" spans="1:8" x14ac:dyDescent="0.3">
      <c r="A915" t="s">
        <v>34</v>
      </c>
      <c r="B915" t="s">
        <v>23</v>
      </c>
      <c r="C915" t="s">
        <v>9</v>
      </c>
      <c r="D915">
        <v>3103</v>
      </c>
      <c r="E915" t="s">
        <v>57</v>
      </c>
      <c r="F915" t="s">
        <v>36</v>
      </c>
      <c r="G915" t="s">
        <v>37</v>
      </c>
      <c r="H915">
        <f t="shared" si="14"/>
        <v>3100</v>
      </c>
    </row>
    <row r="916" spans="1:8" x14ac:dyDescent="0.3">
      <c r="A916" t="s">
        <v>34</v>
      </c>
      <c r="B916" t="s">
        <v>23</v>
      </c>
      <c r="C916" t="s">
        <v>13</v>
      </c>
      <c r="D916">
        <v>38209</v>
      </c>
      <c r="E916" t="s">
        <v>57</v>
      </c>
      <c r="F916" t="s">
        <v>36</v>
      </c>
      <c r="G916" t="s">
        <v>37</v>
      </c>
      <c r="H916">
        <f t="shared" si="14"/>
        <v>38200</v>
      </c>
    </row>
    <row r="917" spans="1:8" x14ac:dyDescent="0.3">
      <c r="A917" t="s">
        <v>34</v>
      </c>
      <c r="B917" t="s">
        <v>23</v>
      </c>
      <c r="C917" t="s">
        <v>14</v>
      </c>
      <c r="D917">
        <v>3002</v>
      </c>
      <c r="E917" t="s">
        <v>57</v>
      </c>
      <c r="F917" t="s">
        <v>36</v>
      </c>
      <c r="G917" t="s">
        <v>37</v>
      </c>
      <c r="H917">
        <f t="shared" si="14"/>
        <v>3000</v>
      </c>
    </row>
    <row r="918" spans="1:8" x14ac:dyDescent="0.3">
      <c r="A918" t="s">
        <v>34</v>
      </c>
      <c r="B918" t="s">
        <v>23</v>
      </c>
      <c r="C918" t="s">
        <v>15</v>
      </c>
      <c r="D918">
        <v>28007</v>
      </c>
      <c r="E918" t="s">
        <v>57</v>
      </c>
      <c r="F918" t="s">
        <v>36</v>
      </c>
      <c r="G918" t="s">
        <v>37</v>
      </c>
      <c r="H918">
        <f t="shared" si="14"/>
        <v>28000</v>
      </c>
    </row>
    <row r="919" spans="1:8" x14ac:dyDescent="0.3">
      <c r="A919" t="s">
        <v>34</v>
      </c>
      <c r="B919" t="s">
        <v>23</v>
      </c>
      <c r="C919" t="s">
        <v>16</v>
      </c>
      <c r="D919">
        <v>16249</v>
      </c>
      <c r="E919" t="s">
        <v>57</v>
      </c>
      <c r="F919" t="s">
        <v>36</v>
      </c>
      <c r="G919" t="s">
        <v>37</v>
      </c>
      <c r="H919">
        <f t="shared" si="14"/>
        <v>16200</v>
      </c>
    </row>
    <row r="920" spans="1:8" x14ac:dyDescent="0.3">
      <c r="A920" t="s">
        <v>34</v>
      </c>
      <c r="B920" t="s">
        <v>23</v>
      </c>
      <c r="C920" t="s">
        <v>17</v>
      </c>
      <c r="D920">
        <v>96</v>
      </c>
      <c r="E920" t="s">
        <v>57</v>
      </c>
      <c r="F920" t="s">
        <v>36</v>
      </c>
      <c r="G920" t="s">
        <v>37</v>
      </c>
      <c r="H920">
        <f t="shared" si="14"/>
        <v>96</v>
      </c>
    </row>
    <row r="921" spans="1:8" x14ac:dyDescent="0.3">
      <c r="A921" t="s">
        <v>34</v>
      </c>
      <c r="B921" t="s">
        <v>23</v>
      </c>
      <c r="C921" t="s">
        <v>18</v>
      </c>
      <c r="D921">
        <v>2</v>
      </c>
      <c r="E921" t="s">
        <v>57</v>
      </c>
      <c r="F921" t="s">
        <v>36</v>
      </c>
      <c r="G921" t="s">
        <v>37</v>
      </c>
      <c r="H921">
        <f t="shared" si="14"/>
        <v>2</v>
      </c>
    </row>
    <row r="922" spans="1:8" x14ac:dyDescent="0.3">
      <c r="A922" t="s">
        <v>34</v>
      </c>
      <c r="B922" t="s">
        <v>23</v>
      </c>
      <c r="C922" t="s">
        <v>19</v>
      </c>
      <c r="D922">
        <v>6662</v>
      </c>
      <c r="E922" t="s">
        <v>57</v>
      </c>
      <c r="F922" t="s">
        <v>36</v>
      </c>
      <c r="G922" t="s">
        <v>37</v>
      </c>
      <c r="H922">
        <f t="shared" si="14"/>
        <v>6660</v>
      </c>
    </row>
    <row r="923" spans="1:8" x14ac:dyDescent="0.3">
      <c r="A923" t="s">
        <v>34</v>
      </c>
      <c r="B923" t="s">
        <v>23</v>
      </c>
      <c r="C923" t="s">
        <v>20</v>
      </c>
      <c r="D923">
        <v>10023</v>
      </c>
      <c r="E923" t="s">
        <v>57</v>
      </c>
      <c r="F923" t="s">
        <v>36</v>
      </c>
      <c r="G923" t="s">
        <v>37</v>
      </c>
      <c r="H923">
        <f t="shared" si="14"/>
        <v>10000</v>
      </c>
    </row>
    <row r="924" spans="1:8" x14ac:dyDescent="0.3">
      <c r="A924" t="s">
        <v>34</v>
      </c>
      <c r="B924" t="s">
        <v>23</v>
      </c>
      <c r="C924" t="s">
        <v>21</v>
      </c>
      <c r="D924">
        <v>758</v>
      </c>
      <c r="E924" t="s">
        <v>57</v>
      </c>
      <c r="F924" t="s">
        <v>36</v>
      </c>
      <c r="G924" t="s">
        <v>37</v>
      </c>
      <c r="H924">
        <f t="shared" si="14"/>
        <v>758</v>
      </c>
    </row>
    <row r="925" spans="1:8" x14ac:dyDescent="0.3">
      <c r="A925" t="s">
        <v>34</v>
      </c>
      <c r="B925" t="s">
        <v>23</v>
      </c>
      <c r="C925" t="s">
        <v>22</v>
      </c>
      <c r="D925">
        <v>495872</v>
      </c>
      <c r="E925" t="s">
        <v>57</v>
      </c>
      <c r="F925" t="s">
        <v>36</v>
      </c>
      <c r="G925" t="s">
        <v>37</v>
      </c>
      <c r="H925">
        <f t="shared" si="14"/>
        <v>496000</v>
      </c>
    </row>
    <row r="926" spans="1:8" x14ac:dyDescent="0.3">
      <c r="A926" t="s">
        <v>55</v>
      </c>
      <c r="B926" t="s">
        <v>8</v>
      </c>
      <c r="C926" t="s">
        <v>9</v>
      </c>
      <c r="D926">
        <v>0</v>
      </c>
      <c r="E926" t="s">
        <v>57</v>
      </c>
      <c r="F926" t="s">
        <v>36</v>
      </c>
      <c r="G926" t="s">
        <v>37</v>
      </c>
      <c r="H926">
        <f t="shared" si="14"/>
        <v>0</v>
      </c>
    </row>
    <row r="927" spans="1:8" x14ac:dyDescent="0.3">
      <c r="A927" t="s">
        <v>55</v>
      </c>
      <c r="B927" t="s">
        <v>8</v>
      </c>
      <c r="C927" t="s">
        <v>13</v>
      </c>
      <c r="D927">
        <v>0</v>
      </c>
      <c r="E927" t="s">
        <v>57</v>
      </c>
      <c r="F927" t="s">
        <v>36</v>
      </c>
      <c r="G927" t="s">
        <v>37</v>
      </c>
      <c r="H927">
        <f t="shared" si="14"/>
        <v>0</v>
      </c>
    </row>
    <row r="928" spans="1:8" x14ac:dyDescent="0.3">
      <c r="A928" t="s">
        <v>55</v>
      </c>
      <c r="B928" t="s">
        <v>8</v>
      </c>
      <c r="C928" t="s">
        <v>14</v>
      </c>
      <c r="D928">
        <v>0</v>
      </c>
      <c r="E928" t="s">
        <v>57</v>
      </c>
      <c r="F928" t="s">
        <v>36</v>
      </c>
      <c r="G928" t="s">
        <v>37</v>
      </c>
      <c r="H928">
        <f t="shared" si="14"/>
        <v>0</v>
      </c>
    </row>
    <row r="929" spans="1:8" x14ac:dyDescent="0.3">
      <c r="A929" t="s">
        <v>55</v>
      </c>
      <c r="B929" t="s">
        <v>8</v>
      </c>
      <c r="C929" t="s">
        <v>15</v>
      </c>
      <c r="D929">
        <v>0</v>
      </c>
      <c r="E929" t="s">
        <v>57</v>
      </c>
      <c r="F929" t="s">
        <v>36</v>
      </c>
      <c r="G929" t="s">
        <v>37</v>
      </c>
      <c r="H929">
        <f t="shared" si="14"/>
        <v>0</v>
      </c>
    </row>
    <row r="930" spans="1:8" x14ac:dyDescent="0.3">
      <c r="A930" t="s">
        <v>55</v>
      </c>
      <c r="B930" t="s">
        <v>8</v>
      </c>
      <c r="C930" t="s">
        <v>16</v>
      </c>
      <c r="D930">
        <v>0</v>
      </c>
      <c r="E930" t="s">
        <v>57</v>
      </c>
      <c r="F930" t="s">
        <v>36</v>
      </c>
      <c r="G930" t="s">
        <v>37</v>
      </c>
      <c r="H930">
        <f t="shared" si="14"/>
        <v>0</v>
      </c>
    </row>
    <row r="931" spans="1:8" x14ac:dyDescent="0.3">
      <c r="A931" t="s">
        <v>55</v>
      </c>
      <c r="B931" t="s">
        <v>8</v>
      </c>
      <c r="C931" t="s">
        <v>17</v>
      </c>
      <c r="D931">
        <v>0</v>
      </c>
      <c r="E931" t="s">
        <v>57</v>
      </c>
      <c r="F931" t="s">
        <v>36</v>
      </c>
      <c r="G931" t="s">
        <v>37</v>
      </c>
      <c r="H931">
        <f t="shared" si="14"/>
        <v>0</v>
      </c>
    </row>
    <row r="932" spans="1:8" x14ac:dyDescent="0.3">
      <c r="A932" t="s">
        <v>55</v>
      </c>
      <c r="B932" t="s">
        <v>8</v>
      </c>
      <c r="C932" t="s">
        <v>18</v>
      </c>
      <c r="D932">
        <v>0</v>
      </c>
      <c r="E932" t="s">
        <v>57</v>
      </c>
      <c r="F932" t="s">
        <v>36</v>
      </c>
      <c r="G932" t="s">
        <v>37</v>
      </c>
      <c r="H932">
        <f t="shared" si="14"/>
        <v>0</v>
      </c>
    </row>
    <row r="933" spans="1:8" x14ac:dyDescent="0.3">
      <c r="A933" t="s">
        <v>55</v>
      </c>
      <c r="B933" t="s">
        <v>8</v>
      </c>
      <c r="C933" t="s">
        <v>19</v>
      </c>
      <c r="D933">
        <v>0</v>
      </c>
      <c r="E933" t="s">
        <v>57</v>
      </c>
      <c r="F933" t="s">
        <v>36</v>
      </c>
      <c r="G933" t="s">
        <v>37</v>
      </c>
      <c r="H933">
        <f t="shared" si="14"/>
        <v>0</v>
      </c>
    </row>
    <row r="934" spans="1:8" x14ac:dyDescent="0.3">
      <c r="A934" t="s">
        <v>55</v>
      </c>
      <c r="B934" t="s">
        <v>8</v>
      </c>
      <c r="C934" t="s">
        <v>20</v>
      </c>
      <c r="D934">
        <v>0</v>
      </c>
      <c r="E934" t="s">
        <v>57</v>
      </c>
      <c r="F934" t="s">
        <v>36</v>
      </c>
      <c r="G934" t="s">
        <v>37</v>
      </c>
      <c r="H934">
        <f t="shared" si="14"/>
        <v>0</v>
      </c>
    </row>
    <row r="935" spans="1:8" x14ac:dyDescent="0.3">
      <c r="A935" t="s">
        <v>55</v>
      </c>
      <c r="B935" t="s">
        <v>8</v>
      </c>
      <c r="C935" t="s">
        <v>21</v>
      </c>
      <c r="D935">
        <v>0</v>
      </c>
      <c r="E935" t="s">
        <v>57</v>
      </c>
      <c r="F935" t="s">
        <v>36</v>
      </c>
      <c r="G935" t="s">
        <v>37</v>
      </c>
      <c r="H935">
        <f t="shared" si="14"/>
        <v>0</v>
      </c>
    </row>
    <row r="936" spans="1:8" x14ac:dyDescent="0.3">
      <c r="A936" t="s">
        <v>55</v>
      </c>
      <c r="B936" t="s">
        <v>8</v>
      </c>
      <c r="C936" t="s">
        <v>22</v>
      </c>
      <c r="D936">
        <v>0</v>
      </c>
      <c r="E936" t="s">
        <v>57</v>
      </c>
      <c r="F936" t="s">
        <v>36</v>
      </c>
      <c r="G936" t="s">
        <v>37</v>
      </c>
      <c r="H936">
        <f t="shared" si="14"/>
        <v>0</v>
      </c>
    </row>
    <row r="937" spans="1:8" x14ac:dyDescent="0.3">
      <c r="A937" t="s">
        <v>55</v>
      </c>
      <c r="B937" t="s">
        <v>23</v>
      </c>
      <c r="C937" t="s">
        <v>9</v>
      </c>
      <c r="D937">
        <v>211461</v>
      </c>
      <c r="E937" t="s">
        <v>57</v>
      </c>
      <c r="F937" t="s">
        <v>36</v>
      </c>
      <c r="G937" t="s">
        <v>37</v>
      </c>
      <c r="H937">
        <f t="shared" si="14"/>
        <v>211000</v>
      </c>
    </row>
    <row r="938" spans="1:8" x14ac:dyDescent="0.3">
      <c r="A938" t="s">
        <v>55</v>
      </c>
      <c r="B938" t="s">
        <v>23</v>
      </c>
      <c r="C938" t="s">
        <v>13</v>
      </c>
      <c r="D938">
        <v>1838</v>
      </c>
      <c r="E938" t="s">
        <v>57</v>
      </c>
      <c r="F938" t="s">
        <v>36</v>
      </c>
      <c r="G938" t="s">
        <v>37</v>
      </c>
      <c r="H938">
        <f t="shared" si="14"/>
        <v>1840</v>
      </c>
    </row>
    <row r="939" spans="1:8" x14ac:dyDescent="0.3">
      <c r="A939" t="s">
        <v>55</v>
      </c>
      <c r="B939" t="s">
        <v>23</v>
      </c>
      <c r="C939" t="s">
        <v>14</v>
      </c>
      <c r="D939">
        <v>1640</v>
      </c>
      <c r="E939" t="s">
        <v>57</v>
      </c>
      <c r="F939" t="s">
        <v>36</v>
      </c>
      <c r="G939" t="s">
        <v>37</v>
      </c>
      <c r="H939">
        <f t="shared" si="14"/>
        <v>1640</v>
      </c>
    </row>
    <row r="940" spans="1:8" x14ac:dyDescent="0.3">
      <c r="A940" t="s">
        <v>55</v>
      </c>
      <c r="B940" t="s">
        <v>23</v>
      </c>
      <c r="C940" t="s">
        <v>15</v>
      </c>
      <c r="D940">
        <v>2863</v>
      </c>
      <c r="E940" t="s">
        <v>57</v>
      </c>
      <c r="F940" t="s">
        <v>36</v>
      </c>
      <c r="G940" t="s">
        <v>37</v>
      </c>
      <c r="H940">
        <f t="shared" si="14"/>
        <v>2860</v>
      </c>
    </row>
    <row r="941" spans="1:8" x14ac:dyDescent="0.3">
      <c r="A941" t="s">
        <v>55</v>
      </c>
      <c r="B941" t="s">
        <v>23</v>
      </c>
      <c r="C941" t="s">
        <v>16</v>
      </c>
      <c r="D941">
        <v>23880</v>
      </c>
      <c r="E941" t="s">
        <v>57</v>
      </c>
      <c r="F941" t="s">
        <v>36</v>
      </c>
      <c r="G941" t="s">
        <v>37</v>
      </c>
      <c r="H941">
        <f t="shared" si="14"/>
        <v>23900</v>
      </c>
    </row>
    <row r="942" spans="1:8" x14ac:dyDescent="0.3">
      <c r="A942" t="s">
        <v>55</v>
      </c>
      <c r="B942" t="s">
        <v>23</v>
      </c>
      <c r="C942" t="s">
        <v>17</v>
      </c>
      <c r="D942">
        <v>480</v>
      </c>
      <c r="E942" t="s">
        <v>57</v>
      </c>
      <c r="F942" t="s">
        <v>36</v>
      </c>
      <c r="G942" t="s">
        <v>37</v>
      </c>
      <c r="H942">
        <f t="shared" si="14"/>
        <v>480</v>
      </c>
    </row>
    <row r="943" spans="1:8" x14ac:dyDescent="0.3">
      <c r="A943" t="s">
        <v>55</v>
      </c>
      <c r="B943" t="s">
        <v>23</v>
      </c>
      <c r="C943" t="s">
        <v>18</v>
      </c>
      <c r="D943">
        <v>0</v>
      </c>
      <c r="E943" t="s">
        <v>57</v>
      </c>
      <c r="F943" t="s">
        <v>36</v>
      </c>
      <c r="G943" t="s">
        <v>37</v>
      </c>
      <c r="H943">
        <f t="shared" si="14"/>
        <v>0</v>
      </c>
    </row>
    <row r="944" spans="1:8" x14ac:dyDescent="0.3">
      <c r="A944" t="s">
        <v>55</v>
      </c>
      <c r="B944" t="s">
        <v>23</v>
      </c>
      <c r="C944" t="s">
        <v>19</v>
      </c>
      <c r="D944">
        <v>1789</v>
      </c>
      <c r="E944" t="s">
        <v>57</v>
      </c>
      <c r="F944" t="s">
        <v>36</v>
      </c>
      <c r="G944" t="s">
        <v>37</v>
      </c>
      <c r="H944">
        <f t="shared" si="14"/>
        <v>1790</v>
      </c>
    </row>
    <row r="945" spans="1:8" x14ac:dyDescent="0.3">
      <c r="A945" t="s">
        <v>55</v>
      </c>
      <c r="B945" t="s">
        <v>23</v>
      </c>
      <c r="C945" t="s">
        <v>20</v>
      </c>
      <c r="D945">
        <v>7196</v>
      </c>
      <c r="E945" t="s">
        <v>57</v>
      </c>
      <c r="F945" t="s">
        <v>36</v>
      </c>
      <c r="G945" t="s">
        <v>37</v>
      </c>
      <c r="H945">
        <f t="shared" si="14"/>
        <v>7200</v>
      </c>
    </row>
    <row r="946" spans="1:8" x14ac:dyDescent="0.3">
      <c r="A946" t="s">
        <v>55</v>
      </c>
      <c r="B946" t="s">
        <v>23</v>
      </c>
      <c r="C946" t="s">
        <v>21</v>
      </c>
      <c r="D946">
        <v>372</v>
      </c>
      <c r="E946" t="s">
        <v>57</v>
      </c>
      <c r="F946" t="s">
        <v>36</v>
      </c>
      <c r="G946" t="s">
        <v>37</v>
      </c>
      <c r="H946">
        <f t="shared" si="14"/>
        <v>372</v>
      </c>
    </row>
    <row r="947" spans="1:8" x14ac:dyDescent="0.3">
      <c r="A947" t="s">
        <v>55</v>
      </c>
      <c r="B947" t="s">
        <v>23</v>
      </c>
      <c r="C947" t="s">
        <v>22</v>
      </c>
      <c r="D947">
        <v>294</v>
      </c>
      <c r="E947" t="s">
        <v>57</v>
      </c>
      <c r="F947" t="s">
        <v>36</v>
      </c>
      <c r="G947" t="s">
        <v>37</v>
      </c>
      <c r="H947">
        <f t="shared" si="14"/>
        <v>294</v>
      </c>
    </row>
    <row r="948" spans="1:8" x14ac:dyDescent="0.3">
      <c r="A948" t="s">
        <v>35</v>
      </c>
      <c r="B948" t="s">
        <v>8</v>
      </c>
      <c r="C948" t="s">
        <v>9</v>
      </c>
      <c r="D948">
        <v>0</v>
      </c>
      <c r="E948" t="s">
        <v>57</v>
      </c>
      <c r="F948" t="s">
        <v>36</v>
      </c>
      <c r="G948" t="s">
        <v>37</v>
      </c>
      <c r="H948">
        <f t="shared" si="14"/>
        <v>0</v>
      </c>
    </row>
    <row r="949" spans="1:8" x14ac:dyDescent="0.3">
      <c r="A949" t="s">
        <v>35</v>
      </c>
      <c r="B949" t="s">
        <v>8</v>
      </c>
      <c r="C949" t="s">
        <v>13</v>
      </c>
      <c r="D949">
        <v>0</v>
      </c>
      <c r="E949" t="s">
        <v>57</v>
      </c>
      <c r="F949" t="s">
        <v>36</v>
      </c>
      <c r="G949" t="s">
        <v>37</v>
      </c>
      <c r="H949">
        <f t="shared" si="14"/>
        <v>0</v>
      </c>
    </row>
    <row r="950" spans="1:8" x14ac:dyDescent="0.3">
      <c r="A950" t="s">
        <v>35</v>
      </c>
      <c r="B950" t="s">
        <v>8</v>
      </c>
      <c r="C950" t="s">
        <v>14</v>
      </c>
      <c r="D950">
        <v>0</v>
      </c>
      <c r="E950" t="s">
        <v>57</v>
      </c>
      <c r="F950" t="s">
        <v>36</v>
      </c>
      <c r="G950" t="s">
        <v>37</v>
      </c>
      <c r="H950">
        <f t="shared" si="14"/>
        <v>0</v>
      </c>
    </row>
    <row r="951" spans="1:8" x14ac:dyDescent="0.3">
      <c r="A951" t="s">
        <v>35</v>
      </c>
      <c r="B951" t="s">
        <v>8</v>
      </c>
      <c r="C951" t="s">
        <v>15</v>
      </c>
      <c r="D951">
        <v>0</v>
      </c>
      <c r="E951" t="s">
        <v>57</v>
      </c>
      <c r="F951" t="s">
        <v>36</v>
      </c>
      <c r="G951" t="s">
        <v>37</v>
      </c>
      <c r="H951">
        <f t="shared" si="14"/>
        <v>0</v>
      </c>
    </row>
    <row r="952" spans="1:8" x14ac:dyDescent="0.3">
      <c r="A952" t="s">
        <v>35</v>
      </c>
      <c r="B952" t="s">
        <v>8</v>
      </c>
      <c r="C952" t="s">
        <v>16</v>
      </c>
      <c r="D952">
        <v>0</v>
      </c>
      <c r="E952" t="s">
        <v>57</v>
      </c>
      <c r="F952" t="s">
        <v>36</v>
      </c>
      <c r="G952" t="s">
        <v>37</v>
      </c>
      <c r="H952">
        <f t="shared" si="14"/>
        <v>0</v>
      </c>
    </row>
    <row r="953" spans="1:8" x14ac:dyDescent="0.3">
      <c r="A953" t="s">
        <v>35</v>
      </c>
      <c r="B953" t="s">
        <v>8</v>
      </c>
      <c r="C953" t="s">
        <v>17</v>
      </c>
      <c r="D953">
        <v>0</v>
      </c>
      <c r="E953" t="s">
        <v>57</v>
      </c>
      <c r="F953" t="s">
        <v>36</v>
      </c>
      <c r="G953" t="s">
        <v>37</v>
      </c>
      <c r="H953">
        <f t="shared" si="14"/>
        <v>0</v>
      </c>
    </row>
    <row r="954" spans="1:8" x14ac:dyDescent="0.3">
      <c r="A954" t="s">
        <v>35</v>
      </c>
      <c r="B954" t="s">
        <v>8</v>
      </c>
      <c r="C954" t="s">
        <v>18</v>
      </c>
      <c r="D954">
        <v>0</v>
      </c>
      <c r="E954" t="s">
        <v>57</v>
      </c>
      <c r="F954" t="s">
        <v>36</v>
      </c>
      <c r="G954" t="s">
        <v>37</v>
      </c>
      <c r="H954">
        <f t="shared" si="14"/>
        <v>0</v>
      </c>
    </row>
    <row r="955" spans="1:8" x14ac:dyDescent="0.3">
      <c r="A955" t="s">
        <v>35</v>
      </c>
      <c r="B955" t="s">
        <v>8</v>
      </c>
      <c r="C955" t="s">
        <v>19</v>
      </c>
      <c r="D955">
        <v>0</v>
      </c>
      <c r="E955" t="s">
        <v>57</v>
      </c>
      <c r="F955" t="s">
        <v>36</v>
      </c>
      <c r="G955" t="s">
        <v>37</v>
      </c>
      <c r="H955">
        <f t="shared" si="14"/>
        <v>0</v>
      </c>
    </row>
    <row r="956" spans="1:8" x14ac:dyDescent="0.3">
      <c r="A956" t="s">
        <v>35</v>
      </c>
      <c r="B956" t="s">
        <v>8</v>
      </c>
      <c r="C956" t="s">
        <v>20</v>
      </c>
      <c r="D956">
        <v>0</v>
      </c>
      <c r="E956" t="s">
        <v>57</v>
      </c>
      <c r="F956" t="s">
        <v>36</v>
      </c>
      <c r="G956" t="s">
        <v>37</v>
      </c>
      <c r="H956">
        <f t="shared" si="14"/>
        <v>0</v>
      </c>
    </row>
    <row r="957" spans="1:8" x14ac:dyDescent="0.3">
      <c r="A957" t="s">
        <v>35</v>
      </c>
      <c r="B957" t="s">
        <v>8</v>
      </c>
      <c r="C957" t="s">
        <v>21</v>
      </c>
      <c r="D957">
        <v>0</v>
      </c>
      <c r="E957" t="s">
        <v>57</v>
      </c>
      <c r="F957" t="s">
        <v>36</v>
      </c>
      <c r="G957" t="s">
        <v>37</v>
      </c>
      <c r="H957">
        <f t="shared" si="14"/>
        <v>0</v>
      </c>
    </row>
    <row r="958" spans="1:8" x14ac:dyDescent="0.3">
      <c r="A958" t="s">
        <v>35</v>
      </c>
      <c r="B958" t="s">
        <v>8</v>
      </c>
      <c r="C958" t="s">
        <v>22</v>
      </c>
      <c r="D958">
        <v>0</v>
      </c>
      <c r="E958" t="s">
        <v>57</v>
      </c>
      <c r="F958" t="s">
        <v>36</v>
      </c>
      <c r="G958" t="s">
        <v>37</v>
      </c>
      <c r="H958">
        <f t="shared" si="14"/>
        <v>0</v>
      </c>
    </row>
    <row r="959" spans="1:8" x14ac:dyDescent="0.3">
      <c r="A959" t="s">
        <v>35</v>
      </c>
      <c r="B959" t="s">
        <v>23</v>
      </c>
      <c r="C959" t="s">
        <v>9</v>
      </c>
      <c r="D959">
        <v>1346</v>
      </c>
      <c r="E959" t="s">
        <v>57</v>
      </c>
      <c r="F959" t="s">
        <v>36</v>
      </c>
      <c r="G959" t="s">
        <v>37</v>
      </c>
      <c r="H959">
        <f t="shared" si="14"/>
        <v>1350</v>
      </c>
    </row>
    <row r="960" spans="1:8" x14ac:dyDescent="0.3">
      <c r="A960" t="s">
        <v>35</v>
      </c>
      <c r="B960" t="s">
        <v>23</v>
      </c>
      <c r="C960" t="s">
        <v>13</v>
      </c>
      <c r="D960">
        <v>16566</v>
      </c>
      <c r="E960" t="s">
        <v>57</v>
      </c>
      <c r="F960" t="s">
        <v>36</v>
      </c>
      <c r="G960" t="s">
        <v>37</v>
      </c>
      <c r="H960">
        <f t="shared" si="14"/>
        <v>16600</v>
      </c>
    </row>
    <row r="961" spans="1:8" x14ac:dyDescent="0.3">
      <c r="A961" t="s">
        <v>35</v>
      </c>
      <c r="B961" t="s">
        <v>23</v>
      </c>
      <c r="C961" t="s">
        <v>14</v>
      </c>
      <c r="D961">
        <v>1302</v>
      </c>
      <c r="E961" t="s">
        <v>57</v>
      </c>
      <c r="F961" t="s">
        <v>36</v>
      </c>
      <c r="G961" t="s">
        <v>37</v>
      </c>
      <c r="H961">
        <f t="shared" si="14"/>
        <v>1300</v>
      </c>
    </row>
    <row r="962" spans="1:8" x14ac:dyDescent="0.3">
      <c r="A962" t="s">
        <v>35</v>
      </c>
      <c r="B962" t="s">
        <v>23</v>
      </c>
      <c r="C962" t="s">
        <v>15</v>
      </c>
      <c r="D962">
        <v>12143</v>
      </c>
      <c r="E962" t="s">
        <v>57</v>
      </c>
      <c r="F962" t="s">
        <v>36</v>
      </c>
      <c r="G962" t="s">
        <v>37</v>
      </c>
      <c r="H962">
        <f t="shared" si="14"/>
        <v>12100</v>
      </c>
    </row>
    <row r="963" spans="1:8" x14ac:dyDescent="0.3">
      <c r="A963" t="s">
        <v>35</v>
      </c>
      <c r="B963" t="s">
        <v>23</v>
      </c>
      <c r="C963" t="s">
        <v>16</v>
      </c>
      <c r="D963">
        <v>7045</v>
      </c>
      <c r="E963" t="s">
        <v>57</v>
      </c>
      <c r="F963" t="s">
        <v>36</v>
      </c>
      <c r="G963" t="s">
        <v>37</v>
      </c>
      <c r="H963">
        <f t="shared" ref="H963:H1026" si="15">ROUND(D963, 3 - LEN(INT(ABS(D963))))</f>
        <v>7050</v>
      </c>
    </row>
    <row r="964" spans="1:8" x14ac:dyDescent="0.3">
      <c r="A964" t="s">
        <v>35</v>
      </c>
      <c r="B964" t="s">
        <v>23</v>
      </c>
      <c r="C964" t="s">
        <v>17</v>
      </c>
      <c r="D964">
        <v>42</v>
      </c>
      <c r="E964" t="s">
        <v>57</v>
      </c>
      <c r="F964" t="s">
        <v>36</v>
      </c>
      <c r="G964" t="s">
        <v>37</v>
      </c>
      <c r="H964">
        <f t="shared" si="15"/>
        <v>42</v>
      </c>
    </row>
    <row r="965" spans="1:8" x14ac:dyDescent="0.3">
      <c r="A965" t="s">
        <v>35</v>
      </c>
      <c r="B965" t="s">
        <v>23</v>
      </c>
      <c r="C965" t="s">
        <v>18</v>
      </c>
      <c r="D965">
        <v>0</v>
      </c>
      <c r="E965" t="s">
        <v>57</v>
      </c>
      <c r="F965" t="s">
        <v>36</v>
      </c>
      <c r="G965" t="s">
        <v>37</v>
      </c>
      <c r="H965">
        <f t="shared" si="15"/>
        <v>0</v>
      </c>
    </row>
    <row r="966" spans="1:8" x14ac:dyDescent="0.3">
      <c r="A966" t="s">
        <v>35</v>
      </c>
      <c r="B966" t="s">
        <v>23</v>
      </c>
      <c r="C966" t="s">
        <v>19</v>
      </c>
      <c r="D966">
        <v>2888</v>
      </c>
      <c r="E966" t="s">
        <v>57</v>
      </c>
      <c r="F966" t="s">
        <v>36</v>
      </c>
      <c r="G966" t="s">
        <v>37</v>
      </c>
      <c r="H966">
        <f t="shared" si="15"/>
        <v>2890</v>
      </c>
    </row>
    <row r="967" spans="1:8" x14ac:dyDescent="0.3">
      <c r="A967" t="s">
        <v>35</v>
      </c>
      <c r="B967" t="s">
        <v>23</v>
      </c>
      <c r="C967" t="s">
        <v>20</v>
      </c>
      <c r="D967">
        <v>4346</v>
      </c>
      <c r="E967" t="s">
        <v>57</v>
      </c>
      <c r="F967" t="s">
        <v>36</v>
      </c>
      <c r="G967" t="s">
        <v>37</v>
      </c>
      <c r="H967">
        <f t="shared" si="15"/>
        <v>4350</v>
      </c>
    </row>
    <row r="968" spans="1:8" x14ac:dyDescent="0.3">
      <c r="A968" t="s">
        <v>35</v>
      </c>
      <c r="B968" t="s">
        <v>23</v>
      </c>
      <c r="C968" t="s">
        <v>21</v>
      </c>
      <c r="D968">
        <v>329</v>
      </c>
      <c r="E968" t="s">
        <v>57</v>
      </c>
      <c r="F968" t="s">
        <v>36</v>
      </c>
      <c r="G968" t="s">
        <v>37</v>
      </c>
      <c r="H968">
        <f t="shared" si="15"/>
        <v>329</v>
      </c>
    </row>
    <row r="969" spans="1:8" x14ac:dyDescent="0.3">
      <c r="A969" t="s">
        <v>35</v>
      </c>
      <c r="B969" t="s">
        <v>23</v>
      </c>
      <c r="C969" t="s">
        <v>22</v>
      </c>
      <c r="D969">
        <v>214995</v>
      </c>
      <c r="E969" t="s">
        <v>57</v>
      </c>
      <c r="F969" t="s">
        <v>36</v>
      </c>
      <c r="G969" t="s">
        <v>37</v>
      </c>
      <c r="H969">
        <f t="shared" si="15"/>
        <v>215000</v>
      </c>
    </row>
    <row r="970" spans="1:8" x14ac:dyDescent="0.3">
      <c r="A970" t="s">
        <v>56</v>
      </c>
      <c r="B970" t="s">
        <v>8</v>
      </c>
      <c r="C970" t="s">
        <v>9</v>
      </c>
      <c r="D970">
        <v>0</v>
      </c>
      <c r="E970" t="s">
        <v>57</v>
      </c>
      <c r="F970" t="s">
        <v>36</v>
      </c>
      <c r="G970" t="s">
        <v>37</v>
      </c>
      <c r="H970">
        <f t="shared" si="15"/>
        <v>0</v>
      </c>
    </row>
    <row r="971" spans="1:8" x14ac:dyDescent="0.3">
      <c r="A971" t="s">
        <v>56</v>
      </c>
      <c r="B971" t="s">
        <v>8</v>
      </c>
      <c r="C971" t="s">
        <v>13</v>
      </c>
      <c r="D971">
        <v>0</v>
      </c>
      <c r="E971" t="s">
        <v>57</v>
      </c>
      <c r="F971" t="s">
        <v>36</v>
      </c>
      <c r="G971" t="s">
        <v>37</v>
      </c>
      <c r="H971">
        <f t="shared" si="15"/>
        <v>0</v>
      </c>
    </row>
    <row r="972" spans="1:8" x14ac:dyDescent="0.3">
      <c r="A972" t="s">
        <v>56</v>
      </c>
      <c r="B972" t="s">
        <v>8</v>
      </c>
      <c r="C972" t="s">
        <v>14</v>
      </c>
      <c r="D972">
        <v>0</v>
      </c>
      <c r="E972" t="s">
        <v>57</v>
      </c>
      <c r="F972" t="s">
        <v>36</v>
      </c>
      <c r="G972" t="s">
        <v>37</v>
      </c>
      <c r="H972">
        <f t="shared" si="15"/>
        <v>0</v>
      </c>
    </row>
    <row r="973" spans="1:8" x14ac:dyDescent="0.3">
      <c r="A973" t="s">
        <v>56</v>
      </c>
      <c r="B973" t="s">
        <v>8</v>
      </c>
      <c r="C973" t="s">
        <v>15</v>
      </c>
      <c r="D973">
        <v>0</v>
      </c>
      <c r="E973" t="s">
        <v>57</v>
      </c>
      <c r="F973" t="s">
        <v>36</v>
      </c>
      <c r="G973" t="s">
        <v>37</v>
      </c>
      <c r="H973">
        <f t="shared" si="15"/>
        <v>0</v>
      </c>
    </row>
    <row r="974" spans="1:8" x14ac:dyDescent="0.3">
      <c r="A974" t="s">
        <v>56</v>
      </c>
      <c r="B974" t="s">
        <v>8</v>
      </c>
      <c r="C974" t="s">
        <v>16</v>
      </c>
      <c r="D974">
        <v>0</v>
      </c>
      <c r="E974" t="s">
        <v>57</v>
      </c>
      <c r="F974" t="s">
        <v>36</v>
      </c>
      <c r="G974" t="s">
        <v>37</v>
      </c>
      <c r="H974">
        <f t="shared" si="15"/>
        <v>0</v>
      </c>
    </row>
    <row r="975" spans="1:8" x14ac:dyDescent="0.3">
      <c r="A975" t="s">
        <v>56</v>
      </c>
      <c r="B975" t="s">
        <v>8</v>
      </c>
      <c r="C975" t="s">
        <v>17</v>
      </c>
      <c r="D975">
        <v>0</v>
      </c>
      <c r="E975" t="s">
        <v>57</v>
      </c>
      <c r="F975" t="s">
        <v>36</v>
      </c>
      <c r="G975" t="s">
        <v>37</v>
      </c>
      <c r="H975">
        <f t="shared" si="15"/>
        <v>0</v>
      </c>
    </row>
    <row r="976" spans="1:8" x14ac:dyDescent="0.3">
      <c r="A976" t="s">
        <v>56</v>
      </c>
      <c r="B976" t="s">
        <v>8</v>
      </c>
      <c r="C976" t="s">
        <v>18</v>
      </c>
      <c r="D976">
        <v>0</v>
      </c>
      <c r="E976" t="s">
        <v>57</v>
      </c>
      <c r="F976" t="s">
        <v>36</v>
      </c>
      <c r="G976" t="s">
        <v>37</v>
      </c>
      <c r="H976">
        <f t="shared" si="15"/>
        <v>0</v>
      </c>
    </row>
    <row r="977" spans="1:8" x14ac:dyDescent="0.3">
      <c r="A977" t="s">
        <v>56</v>
      </c>
      <c r="B977" t="s">
        <v>8</v>
      </c>
      <c r="C977" t="s">
        <v>19</v>
      </c>
      <c r="D977">
        <v>0</v>
      </c>
      <c r="E977" t="s">
        <v>57</v>
      </c>
      <c r="F977" t="s">
        <v>36</v>
      </c>
      <c r="G977" t="s">
        <v>37</v>
      </c>
      <c r="H977">
        <f t="shared" si="15"/>
        <v>0</v>
      </c>
    </row>
    <row r="978" spans="1:8" x14ac:dyDescent="0.3">
      <c r="A978" t="s">
        <v>56</v>
      </c>
      <c r="B978" t="s">
        <v>8</v>
      </c>
      <c r="C978" t="s">
        <v>20</v>
      </c>
      <c r="D978">
        <v>0</v>
      </c>
      <c r="E978" t="s">
        <v>57</v>
      </c>
      <c r="F978" t="s">
        <v>36</v>
      </c>
      <c r="G978" t="s">
        <v>37</v>
      </c>
      <c r="H978">
        <f t="shared" si="15"/>
        <v>0</v>
      </c>
    </row>
    <row r="979" spans="1:8" x14ac:dyDescent="0.3">
      <c r="A979" t="s">
        <v>56</v>
      </c>
      <c r="B979" t="s">
        <v>8</v>
      </c>
      <c r="C979" t="s">
        <v>21</v>
      </c>
      <c r="D979">
        <v>0</v>
      </c>
      <c r="E979" t="s">
        <v>57</v>
      </c>
      <c r="F979" t="s">
        <v>36</v>
      </c>
      <c r="G979" t="s">
        <v>37</v>
      </c>
      <c r="H979">
        <f t="shared" si="15"/>
        <v>0</v>
      </c>
    </row>
    <row r="980" spans="1:8" x14ac:dyDescent="0.3">
      <c r="A980" t="s">
        <v>56</v>
      </c>
      <c r="B980" t="s">
        <v>8</v>
      </c>
      <c r="C980" t="s">
        <v>22</v>
      </c>
      <c r="D980">
        <v>0</v>
      </c>
      <c r="E980" t="s">
        <v>57</v>
      </c>
      <c r="F980" t="s">
        <v>36</v>
      </c>
      <c r="G980" t="s">
        <v>37</v>
      </c>
      <c r="H980">
        <f t="shared" si="15"/>
        <v>0</v>
      </c>
    </row>
    <row r="981" spans="1:8" x14ac:dyDescent="0.3">
      <c r="A981" t="s">
        <v>56</v>
      </c>
      <c r="B981" t="s">
        <v>23</v>
      </c>
      <c r="C981" t="s">
        <v>9</v>
      </c>
      <c r="D981">
        <v>727800</v>
      </c>
      <c r="E981" t="s">
        <v>57</v>
      </c>
      <c r="F981" t="s">
        <v>36</v>
      </c>
      <c r="G981" t="s">
        <v>37</v>
      </c>
      <c r="H981">
        <f t="shared" si="15"/>
        <v>728000</v>
      </c>
    </row>
    <row r="982" spans="1:8" x14ac:dyDescent="0.3">
      <c r="A982" t="s">
        <v>56</v>
      </c>
      <c r="B982" t="s">
        <v>23</v>
      </c>
      <c r="C982" t="s">
        <v>13</v>
      </c>
      <c r="D982">
        <v>122139</v>
      </c>
      <c r="E982" t="s">
        <v>57</v>
      </c>
      <c r="F982" t="s">
        <v>36</v>
      </c>
      <c r="G982" t="s">
        <v>37</v>
      </c>
      <c r="H982">
        <f t="shared" si="15"/>
        <v>122000</v>
      </c>
    </row>
    <row r="983" spans="1:8" x14ac:dyDescent="0.3">
      <c r="A983" t="s">
        <v>56</v>
      </c>
      <c r="B983" t="s">
        <v>23</v>
      </c>
      <c r="C983" t="s">
        <v>14</v>
      </c>
      <c r="D983">
        <v>9542</v>
      </c>
      <c r="E983" t="s">
        <v>57</v>
      </c>
      <c r="F983" t="s">
        <v>36</v>
      </c>
      <c r="G983" t="s">
        <v>37</v>
      </c>
      <c r="H983">
        <f t="shared" si="15"/>
        <v>9540</v>
      </c>
    </row>
    <row r="984" spans="1:8" x14ac:dyDescent="0.3">
      <c r="A984" t="s">
        <v>56</v>
      </c>
      <c r="B984" t="s">
        <v>23</v>
      </c>
      <c r="C984" t="s">
        <v>15</v>
      </c>
      <c r="D984">
        <v>16232</v>
      </c>
      <c r="E984" t="s">
        <v>57</v>
      </c>
      <c r="F984" t="s">
        <v>36</v>
      </c>
      <c r="G984" t="s">
        <v>37</v>
      </c>
      <c r="H984">
        <f t="shared" si="15"/>
        <v>16200</v>
      </c>
    </row>
    <row r="985" spans="1:8" x14ac:dyDescent="0.3">
      <c r="A985" t="s">
        <v>56</v>
      </c>
      <c r="B985" t="s">
        <v>23</v>
      </c>
      <c r="C985" t="s">
        <v>16</v>
      </c>
      <c r="D985">
        <v>1440611</v>
      </c>
      <c r="E985" t="s">
        <v>57</v>
      </c>
      <c r="F985" t="s">
        <v>36</v>
      </c>
      <c r="G985" t="s">
        <v>37</v>
      </c>
      <c r="H985">
        <f t="shared" si="15"/>
        <v>1440000</v>
      </c>
    </row>
    <row r="986" spans="1:8" x14ac:dyDescent="0.3">
      <c r="A986" t="s">
        <v>56</v>
      </c>
      <c r="B986" t="s">
        <v>23</v>
      </c>
      <c r="C986" t="s">
        <v>17</v>
      </c>
      <c r="D986">
        <v>1874</v>
      </c>
      <c r="E986" t="s">
        <v>57</v>
      </c>
      <c r="F986" t="s">
        <v>36</v>
      </c>
      <c r="G986" t="s">
        <v>37</v>
      </c>
      <c r="H986">
        <f t="shared" si="15"/>
        <v>1870</v>
      </c>
    </row>
    <row r="987" spans="1:8" x14ac:dyDescent="0.3">
      <c r="A987" t="s">
        <v>56</v>
      </c>
      <c r="B987" t="s">
        <v>23</v>
      </c>
      <c r="C987" t="s">
        <v>18</v>
      </c>
      <c r="D987">
        <v>0</v>
      </c>
      <c r="E987" t="s">
        <v>57</v>
      </c>
      <c r="F987" t="s">
        <v>36</v>
      </c>
      <c r="G987" t="s">
        <v>37</v>
      </c>
      <c r="H987">
        <f t="shared" si="15"/>
        <v>0</v>
      </c>
    </row>
    <row r="988" spans="1:8" x14ac:dyDescent="0.3">
      <c r="A988" t="s">
        <v>56</v>
      </c>
      <c r="B988" t="s">
        <v>23</v>
      </c>
      <c r="C988" t="s">
        <v>19</v>
      </c>
      <c r="D988">
        <v>8576</v>
      </c>
      <c r="E988" t="s">
        <v>57</v>
      </c>
      <c r="F988" t="s">
        <v>36</v>
      </c>
      <c r="G988" t="s">
        <v>37</v>
      </c>
      <c r="H988">
        <f t="shared" si="15"/>
        <v>8580</v>
      </c>
    </row>
    <row r="989" spans="1:8" x14ac:dyDescent="0.3">
      <c r="A989" t="s">
        <v>56</v>
      </c>
      <c r="B989" t="s">
        <v>23</v>
      </c>
      <c r="C989" t="s">
        <v>20</v>
      </c>
      <c r="D989">
        <v>31847</v>
      </c>
      <c r="E989" t="s">
        <v>57</v>
      </c>
      <c r="F989" t="s">
        <v>36</v>
      </c>
      <c r="G989" t="s">
        <v>37</v>
      </c>
      <c r="H989">
        <f t="shared" si="15"/>
        <v>31800</v>
      </c>
    </row>
    <row r="990" spans="1:8" x14ac:dyDescent="0.3">
      <c r="A990" t="s">
        <v>56</v>
      </c>
      <c r="B990" t="s">
        <v>23</v>
      </c>
      <c r="C990" t="s">
        <v>21</v>
      </c>
      <c r="D990">
        <v>2833</v>
      </c>
      <c r="E990" t="s">
        <v>57</v>
      </c>
      <c r="F990" t="s">
        <v>36</v>
      </c>
      <c r="G990" t="s">
        <v>37</v>
      </c>
      <c r="H990">
        <f t="shared" si="15"/>
        <v>2830</v>
      </c>
    </row>
    <row r="991" spans="1:8" x14ac:dyDescent="0.3">
      <c r="A991" t="s">
        <v>56</v>
      </c>
      <c r="B991" t="s">
        <v>23</v>
      </c>
      <c r="C991" t="s">
        <v>22</v>
      </c>
      <c r="D991">
        <v>11631</v>
      </c>
      <c r="E991" t="s">
        <v>57</v>
      </c>
      <c r="F991" t="s">
        <v>36</v>
      </c>
      <c r="G991" t="s">
        <v>37</v>
      </c>
      <c r="H991">
        <f t="shared" si="15"/>
        <v>11600</v>
      </c>
    </row>
    <row r="992" spans="1:8" x14ac:dyDescent="0.3">
      <c r="A992" t="s">
        <v>66</v>
      </c>
      <c r="B992" t="s">
        <v>8</v>
      </c>
      <c r="C992" t="s">
        <v>9</v>
      </c>
      <c r="D992">
        <v>0</v>
      </c>
      <c r="E992" t="s">
        <v>57</v>
      </c>
      <c r="F992" t="s">
        <v>36</v>
      </c>
      <c r="G992" t="s">
        <v>37</v>
      </c>
      <c r="H992">
        <f t="shared" si="15"/>
        <v>0</v>
      </c>
    </row>
    <row r="993" spans="1:8" x14ac:dyDescent="0.3">
      <c r="A993" t="s">
        <v>66</v>
      </c>
      <c r="B993" t="s">
        <v>8</v>
      </c>
      <c r="C993" t="s">
        <v>13</v>
      </c>
      <c r="D993">
        <v>0</v>
      </c>
      <c r="E993" t="s">
        <v>57</v>
      </c>
      <c r="F993" t="s">
        <v>36</v>
      </c>
      <c r="G993" t="s">
        <v>37</v>
      </c>
      <c r="H993">
        <f t="shared" si="15"/>
        <v>0</v>
      </c>
    </row>
    <row r="994" spans="1:8" x14ac:dyDescent="0.3">
      <c r="A994" t="s">
        <v>66</v>
      </c>
      <c r="B994" t="s">
        <v>8</v>
      </c>
      <c r="C994" t="s">
        <v>14</v>
      </c>
      <c r="D994">
        <v>0</v>
      </c>
      <c r="E994" t="s">
        <v>57</v>
      </c>
      <c r="F994" t="s">
        <v>36</v>
      </c>
      <c r="G994" t="s">
        <v>37</v>
      </c>
      <c r="H994">
        <f t="shared" si="15"/>
        <v>0</v>
      </c>
    </row>
    <row r="995" spans="1:8" x14ac:dyDescent="0.3">
      <c r="A995" t="s">
        <v>66</v>
      </c>
      <c r="B995" t="s">
        <v>8</v>
      </c>
      <c r="C995" t="s">
        <v>15</v>
      </c>
      <c r="D995">
        <v>0</v>
      </c>
      <c r="E995" t="s">
        <v>57</v>
      </c>
      <c r="F995" t="s">
        <v>36</v>
      </c>
      <c r="G995" t="s">
        <v>37</v>
      </c>
      <c r="H995">
        <f t="shared" si="15"/>
        <v>0</v>
      </c>
    </row>
    <row r="996" spans="1:8" x14ac:dyDescent="0.3">
      <c r="A996" t="s">
        <v>66</v>
      </c>
      <c r="B996" t="s">
        <v>8</v>
      </c>
      <c r="C996" t="s">
        <v>16</v>
      </c>
      <c r="D996">
        <v>0</v>
      </c>
      <c r="E996" t="s">
        <v>57</v>
      </c>
      <c r="F996" t="s">
        <v>36</v>
      </c>
      <c r="G996" t="s">
        <v>37</v>
      </c>
      <c r="H996">
        <f t="shared" si="15"/>
        <v>0</v>
      </c>
    </row>
    <row r="997" spans="1:8" x14ac:dyDescent="0.3">
      <c r="A997" t="s">
        <v>66</v>
      </c>
      <c r="B997" t="s">
        <v>8</v>
      </c>
      <c r="C997" t="s">
        <v>17</v>
      </c>
      <c r="D997">
        <v>0</v>
      </c>
      <c r="E997" t="s">
        <v>57</v>
      </c>
      <c r="F997" t="s">
        <v>36</v>
      </c>
      <c r="G997" t="s">
        <v>37</v>
      </c>
      <c r="H997">
        <f t="shared" si="15"/>
        <v>0</v>
      </c>
    </row>
    <row r="998" spans="1:8" x14ac:dyDescent="0.3">
      <c r="A998" t="s">
        <v>66</v>
      </c>
      <c r="B998" t="s">
        <v>8</v>
      </c>
      <c r="C998" t="s">
        <v>18</v>
      </c>
      <c r="D998">
        <v>0</v>
      </c>
      <c r="E998" t="s">
        <v>57</v>
      </c>
      <c r="F998" t="s">
        <v>36</v>
      </c>
      <c r="G998" t="s">
        <v>37</v>
      </c>
      <c r="H998">
        <f t="shared" si="15"/>
        <v>0</v>
      </c>
    </row>
    <row r="999" spans="1:8" x14ac:dyDescent="0.3">
      <c r="A999" t="s">
        <v>66</v>
      </c>
      <c r="B999" t="s">
        <v>8</v>
      </c>
      <c r="C999" t="s">
        <v>19</v>
      </c>
      <c r="D999">
        <v>0</v>
      </c>
      <c r="E999" t="s">
        <v>57</v>
      </c>
      <c r="F999" t="s">
        <v>36</v>
      </c>
      <c r="G999" t="s">
        <v>37</v>
      </c>
      <c r="H999">
        <f t="shared" si="15"/>
        <v>0</v>
      </c>
    </row>
    <row r="1000" spans="1:8" x14ac:dyDescent="0.3">
      <c r="A1000" t="s">
        <v>66</v>
      </c>
      <c r="B1000" t="s">
        <v>8</v>
      </c>
      <c r="C1000" t="s">
        <v>20</v>
      </c>
      <c r="D1000">
        <v>0</v>
      </c>
      <c r="E1000" t="s">
        <v>57</v>
      </c>
      <c r="F1000" t="s">
        <v>36</v>
      </c>
      <c r="G1000" t="s">
        <v>37</v>
      </c>
      <c r="H1000">
        <f t="shared" si="15"/>
        <v>0</v>
      </c>
    </row>
    <row r="1001" spans="1:8" x14ac:dyDescent="0.3">
      <c r="A1001" t="s">
        <v>66</v>
      </c>
      <c r="B1001" t="s">
        <v>8</v>
      </c>
      <c r="C1001" t="s">
        <v>21</v>
      </c>
      <c r="D1001">
        <v>0</v>
      </c>
      <c r="E1001" t="s">
        <v>57</v>
      </c>
      <c r="F1001" t="s">
        <v>36</v>
      </c>
      <c r="G1001" t="s">
        <v>37</v>
      </c>
      <c r="H1001">
        <f t="shared" si="15"/>
        <v>0</v>
      </c>
    </row>
    <row r="1002" spans="1:8" x14ac:dyDescent="0.3">
      <c r="A1002" t="s">
        <v>66</v>
      </c>
      <c r="B1002" t="s">
        <v>8</v>
      </c>
      <c r="C1002" t="s">
        <v>22</v>
      </c>
      <c r="D1002">
        <v>0</v>
      </c>
      <c r="E1002" t="s">
        <v>57</v>
      </c>
      <c r="F1002" t="s">
        <v>36</v>
      </c>
      <c r="G1002" t="s">
        <v>37</v>
      </c>
      <c r="H1002">
        <f t="shared" si="15"/>
        <v>0</v>
      </c>
    </row>
    <row r="1003" spans="1:8" x14ac:dyDescent="0.3">
      <c r="A1003" t="s">
        <v>66</v>
      </c>
      <c r="B1003" t="s">
        <v>23</v>
      </c>
      <c r="C1003" t="s">
        <v>9</v>
      </c>
      <c r="D1003">
        <v>465325</v>
      </c>
      <c r="E1003" t="s">
        <v>57</v>
      </c>
      <c r="F1003" t="s">
        <v>36</v>
      </c>
      <c r="G1003" t="s">
        <v>37</v>
      </c>
      <c r="H1003">
        <f t="shared" si="15"/>
        <v>465000</v>
      </c>
    </row>
    <row r="1004" spans="1:8" x14ac:dyDescent="0.3">
      <c r="A1004" t="s">
        <v>66</v>
      </c>
      <c r="B1004" t="s">
        <v>23</v>
      </c>
      <c r="C1004" t="s">
        <v>13</v>
      </c>
      <c r="D1004">
        <v>4044</v>
      </c>
      <c r="E1004" t="s">
        <v>57</v>
      </c>
      <c r="F1004" t="s">
        <v>36</v>
      </c>
      <c r="G1004" t="s">
        <v>37</v>
      </c>
      <c r="H1004">
        <f t="shared" si="15"/>
        <v>4040</v>
      </c>
    </row>
    <row r="1005" spans="1:8" x14ac:dyDescent="0.3">
      <c r="A1005" t="s">
        <v>66</v>
      </c>
      <c r="B1005" t="s">
        <v>23</v>
      </c>
      <c r="C1005" t="s">
        <v>14</v>
      </c>
      <c r="D1005">
        <v>3610</v>
      </c>
      <c r="E1005" t="s">
        <v>57</v>
      </c>
      <c r="F1005" t="s">
        <v>36</v>
      </c>
      <c r="G1005" t="s">
        <v>37</v>
      </c>
      <c r="H1005">
        <f t="shared" si="15"/>
        <v>3610</v>
      </c>
    </row>
    <row r="1006" spans="1:8" x14ac:dyDescent="0.3">
      <c r="A1006" t="s">
        <v>66</v>
      </c>
      <c r="B1006" t="s">
        <v>23</v>
      </c>
      <c r="C1006" t="s">
        <v>15</v>
      </c>
      <c r="D1006">
        <v>6301</v>
      </c>
      <c r="E1006" t="s">
        <v>57</v>
      </c>
      <c r="F1006" t="s">
        <v>36</v>
      </c>
      <c r="G1006" t="s">
        <v>37</v>
      </c>
      <c r="H1006">
        <f t="shared" si="15"/>
        <v>6300</v>
      </c>
    </row>
    <row r="1007" spans="1:8" x14ac:dyDescent="0.3">
      <c r="A1007" t="s">
        <v>66</v>
      </c>
      <c r="B1007" t="s">
        <v>23</v>
      </c>
      <c r="C1007" t="s">
        <v>16</v>
      </c>
      <c r="D1007">
        <v>52547</v>
      </c>
      <c r="E1007" t="s">
        <v>57</v>
      </c>
      <c r="F1007" t="s">
        <v>36</v>
      </c>
      <c r="G1007" t="s">
        <v>37</v>
      </c>
      <c r="H1007">
        <f t="shared" si="15"/>
        <v>52500</v>
      </c>
    </row>
    <row r="1008" spans="1:8" x14ac:dyDescent="0.3">
      <c r="A1008" t="s">
        <v>66</v>
      </c>
      <c r="B1008" t="s">
        <v>23</v>
      </c>
      <c r="C1008" t="s">
        <v>17</v>
      </c>
      <c r="D1008">
        <v>1056</v>
      </c>
      <c r="E1008" t="s">
        <v>57</v>
      </c>
      <c r="F1008" t="s">
        <v>36</v>
      </c>
      <c r="G1008" t="s">
        <v>37</v>
      </c>
      <c r="H1008">
        <f t="shared" si="15"/>
        <v>1060</v>
      </c>
    </row>
    <row r="1009" spans="1:8" x14ac:dyDescent="0.3">
      <c r="A1009" t="s">
        <v>66</v>
      </c>
      <c r="B1009" t="s">
        <v>23</v>
      </c>
      <c r="C1009" t="s">
        <v>18</v>
      </c>
      <c r="D1009">
        <v>0</v>
      </c>
      <c r="E1009" t="s">
        <v>57</v>
      </c>
      <c r="F1009" t="s">
        <v>36</v>
      </c>
      <c r="G1009" t="s">
        <v>37</v>
      </c>
      <c r="H1009">
        <f t="shared" si="15"/>
        <v>0</v>
      </c>
    </row>
    <row r="1010" spans="1:8" x14ac:dyDescent="0.3">
      <c r="A1010" t="s">
        <v>66</v>
      </c>
      <c r="B1010" t="s">
        <v>23</v>
      </c>
      <c r="C1010" t="s">
        <v>19</v>
      </c>
      <c r="D1010">
        <v>3938</v>
      </c>
      <c r="E1010" t="s">
        <v>57</v>
      </c>
      <c r="F1010" t="s">
        <v>36</v>
      </c>
      <c r="G1010" t="s">
        <v>37</v>
      </c>
      <c r="H1010">
        <f t="shared" si="15"/>
        <v>3940</v>
      </c>
    </row>
    <row r="1011" spans="1:8" x14ac:dyDescent="0.3">
      <c r="A1011" t="s">
        <v>66</v>
      </c>
      <c r="B1011" t="s">
        <v>23</v>
      </c>
      <c r="C1011" t="s">
        <v>20</v>
      </c>
      <c r="D1011">
        <v>15835</v>
      </c>
      <c r="E1011" t="s">
        <v>57</v>
      </c>
      <c r="F1011" t="s">
        <v>36</v>
      </c>
      <c r="G1011" t="s">
        <v>37</v>
      </c>
      <c r="H1011">
        <f t="shared" si="15"/>
        <v>15800</v>
      </c>
    </row>
    <row r="1012" spans="1:8" x14ac:dyDescent="0.3">
      <c r="A1012" t="s">
        <v>66</v>
      </c>
      <c r="B1012" t="s">
        <v>23</v>
      </c>
      <c r="C1012" t="s">
        <v>21</v>
      </c>
      <c r="D1012">
        <v>818</v>
      </c>
      <c r="E1012" t="s">
        <v>57</v>
      </c>
      <c r="F1012" t="s">
        <v>36</v>
      </c>
      <c r="G1012" t="s">
        <v>37</v>
      </c>
      <c r="H1012">
        <f t="shared" si="15"/>
        <v>818</v>
      </c>
    </row>
    <row r="1013" spans="1:8" x14ac:dyDescent="0.3">
      <c r="A1013" t="s">
        <v>66</v>
      </c>
      <c r="B1013" t="s">
        <v>23</v>
      </c>
      <c r="C1013" t="s">
        <v>22</v>
      </c>
      <c r="D1013">
        <v>648</v>
      </c>
      <c r="E1013" t="s">
        <v>57</v>
      </c>
      <c r="F1013" t="s">
        <v>36</v>
      </c>
      <c r="G1013" t="s">
        <v>37</v>
      </c>
      <c r="H1013">
        <f t="shared" si="15"/>
        <v>648</v>
      </c>
    </row>
    <row r="1014" spans="1:8" x14ac:dyDescent="0.3">
      <c r="A1014" t="s">
        <v>43</v>
      </c>
      <c r="B1014" t="s">
        <v>8</v>
      </c>
      <c r="C1014" t="s">
        <v>9</v>
      </c>
      <c r="D1014">
        <v>10</v>
      </c>
      <c r="E1014" t="s">
        <v>57</v>
      </c>
      <c r="F1014" t="s">
        <v>38</v>
      </c>
      <c r="G1014" t="s">
        <v>37</v>
      </c>
      <c r="H1014">
        <f t="shared" si="15"/>
        <v>10</v>
      </c>
    </row>
    <row r="1015" spans="1:8" x14ac:dyDescent="0.3">
      <c r="A1015" t="s">
        <v>43</v>
      </c>
      <c r="B1015" t="s">
        <v>8</v>
      </c>
      <c r="C1015" t="s">
        <v>13</v>
      </c>
      <c r="D1015">
        <v>35</v>
      </c>
      <c r="E1015" t="s">
        <v>57</v>
      </c>
      <c r="F1015" t="s">
        <v>38</v>
      </c>
      <c r="G1015" t="s">
        <v>37</v>
      </c>
      <c r="H1015">
        <f t="shared" si="15"/>
        <v>35</v>
      </c>
    </row>
    <row r="1016" spans="1:8" x14ac:dyDescent="0.3">
      <c r="A1016" t="s">
        <v>43</v>
      </c>
      <c r="B1016" t="s">
        <v>8</v>
      </c>
      <c r="C1016" t="s">
        <v>14</v>
      </c>
      <c r="D1016">
        <v>65037</v>
      </c>
      <c r="E1016" t="s">
        <v>57</v>
      </c>
      <c r="F1016" t="s">
        <v>38</v>
      </c>
      <c r="G1016" t="s">
        <v>37</v>
      </c>
      <c r="H1016">
        <f t="shared" si="15"/>
        <v>65000</v>
      </c>
    </row>
    <row r="1017" spans="1:8" x14ac:dyDescent="0.3">
      <c r="A1017" t="s">
        <v>43</v>
      </c>
      <c r="B1017" t="s">
        <v>8</v>
      </c>
      <c r="C1017" t="s">
        <v>15</v>
      </c>
      <c r="D1017">
        <v>19</v>
      </c>
      <c r="E1017" t="s">
        <v>57</v>
      </c>
      <c r="F1017" t="s">
        <v>38</v>
      </c>
      <c r="G1017" t="s">
        <v>37</v>
      </c>
      <c r="H1017">
        <f t="shared" si="15"/>
        <v>19</v>
      </c>
    </row>
    <row r="1018" spans="1:8" x14ac:dyDescent="0.3">
      <c r="A1018" t="s">
        <v>43</v>
      </c>
      <c r="B1018" t="s">
        <v>8</v>
      </c>
      <c r="C1018" t="s">
        <v>16</v>
      </c>
      <c r="D1018">
        <v>548</v>
      </c>
      <c r="E1018" t="s">
        <v>57</v>
      </c>
      <c r="F1018" t="s">
        <v>38</v>
      </c>
      <c r="G1018" t="s">
        <v>37</v>
      </c>
      <c r="H1018">
        <f t="shared" si="15"/>
        <v>548</v>
      </c>
    </row>
    <row r="1019" spans="1:8" x14ac:dyDescent="0.3">
      <c r="A1019" t="s">
        <v>43</v>
      </c>
      <c r="B1019" t="s">
        <v>8</v>
      </c>
      <c r="C1019" t="s">
        <v>17</v>
      </c>
      <c r="D1019">
        <v>113</v>
      </c>
      <c r="E1019" t="s">
        <v>57</v>
      </c>
      <c r="F1019" t="s">
        <v>38</v>
      </c>
      <c r="G1019" t="s">
        <v>37</v>
      </c>
      <c r="H1019">
        <f t="shared" si="15"/>
        <v>113</v>
      </c>
    </row>
    <row r="1020" spans="1:8" x14ac:dyDescent="0.3">
      <c r="A1020" t="s">
        <v>43</v>
      </c>
      <c r="B1020" t="s">
        <v>8</v>
      </c>
      <c r="C1020" t="s">
        <v>18</v>
      </c>
      <c r="D1020">
        <v>0</v>
      </c>
      <c r="E1020" t="s">
        <v>57</v>
      </c>
      <c r="F1020" t="s">
        <v>38</v>
      </c>
      <c r="G1020" t="s">
        <v>37</v>
      </c>
      <c r="H1020">
        <f t="shared" si="15"/>
        <v>0</v>
      </c>
    </row>
    <row r="1021" spans="1:8" x14ac:dyDescent="0.3">
      <c r="A1021" t="s">
        <v>43</v>
      </c>
      <c r="B1021" t="s">
        <v>8</v>
      </c>
      <c r="C1021" t="s">
        <v>19</v>
      </c>
      <c r="D1021">
        <v>4</v>
      </c>
      <c r="E1021" t="s">
        <v>57</v>
      </c>
      <c r="F1021" t="s">
        <v>38</v>
      </c>
      <c r="G1021" t="s">
        <v>37</v>
      </c>
      <c r="H1021">
        <f t="shared" si="15"/>
        <v>4</v>
      </c>
    </row>
    <row r="1022" spans="1:8" x14ac:dyDescent="0.3">
      <c r="A1022" t="s">
        <v>43</v>
      </c>
      <c r="B1022" t="s">
        <v>8</v>
      </c>
      <c r="C1022" t="s">
        <v>20</v>
      </c>
      <c r="D1022">
        <v>6</v>
      </c>
      <c r="E1022" t="s">
        <v>57</v>
      </c>
      <c r="F1022" t="s">
        <v>38</v>
      </c>
      <c r="G1022" t="s">
        <v>37</v>
      </c>
      <c r="H1022">
        <f t="shared" si="15"/>
        <v>6</v>
      </c>
    </row>
    <row r="1023" spans="1:8" x14ac:dyDescent="0.3">
      <c r="A1023" t="s">
        <v>43</v>
      </c>
      <c r="B1023" t="s">
        <v>8</v>
      </c>
      <c r="C1023" t="s">
        <v>21</v>
      </c>
      <c r="D1023">
        <v>13</v>
      </c>
      <c r="E1023" t="s">
        <v>57</v>
      </c>
      <c r="F1023" t="s">
        <v>38</v>
      </c>
      <c r="G1023" t="s">
        <v>37</v>
      </c>
      <c r="H1023">
        <f t="shared" si="15"/>
        <v>13</v>
      </c>
    </row>
    <row r="1024" spans="1:8" x14ac:dyDescent="0.3">
      <c r="A1024" t="s">
        <v>43</v>
      </c>
      <c r="B1024" t="s">
        <v>8</v>
      </c>
      <c r="C1024" t="s">
        <v>22</v>
      </c>
      <c r="D1024">
        <v>178</v>
      </c>
      <c r="E1024" t="s">
        <v>57</v>
      </c>
      <c r="F1024" t="s">
        <v>38</v>
      </c>
      <c r="G1024" t="s">
        <v>37</v>
      </c>
      <c r="H1024">
        <f t="shared" si="15"/>
        <v>178</v>
      </c>
    </row>
    <row r="1025" spans="1:8" x14ac:dyDescent="0.3">
      <c r="A1025" t="s">
        <v>43</v>
      </c>
      <c r="B1025" t="s">
        <v>23</v>
      </c>
      <c r="C1025" t="s">
        <v>9</v>
      </c>
      <c r="D1025">
        <v>4219</v>
      </c>
      <c r="E1025" t="s">
        <v>57</v>
      </c>
      <c r="F1025" t="s">
        <v>38</v>
      </c>
      <c r="G1025" t="s">
        <v>37</v>
      </c>
      <c r="H1025">
        <f t="shared" si="15"/>
        <v>4220</v>
      </c>
    </row>
    <row r="1026" spans="1:8" x14ac:dyDescent="0.3">
      <c r="A1026" t="s">
        <v>43</v>
      </c>
      <c r="B1026" t="s">
        <v>23</v>
      </c>
      <c r="C1026" t="s">
        <v>13</v>
      </c>
      <c r="D1026">
        <v>3415</v>
      </c>
      <c r="E1026" t="s">
        <v>57</v>
      </c>
      <c r="F1026" t="s">
        <v>38</v>
      </c>
      <c r="G1026" t="s">
        <v>37</v>
      </c>
      <c r="H1026">
        <f t="shared" si="15"/>
        <v>3420</v>
      </c>
    </row>
    <row r="1027" spans="1:8" x14ac:dyDescent="0.3">
      <c r="A1027" t="s">
        <v>43</v>
      </c>
      <c r="B1027" t="s">
        <v>23</v>
      </c>
      <c r="C1027" t="s">
        <v>14</v>
      </c>
      <c r="D1027">
        <v>5104797</v>
      </c>
      <c r="E1027" t="s">
        <v>57</v>
      </c>
      <c r="F1027" t="s">
        <v>38</v>
      </c>
      <c r="G1027" t="s">
        <v>37</v>
      </c>
      <c r="H1027">
        <f t="shared" ref="H1027:H1090" si="16">ROUND(D1027, 3 - LEN(INT(ABS(D1027))))</f>
        <v>5100000</v>
      </c>
    </row>
    <row r="1028" spans="1:8" x14ac:dyDescent="0.3">
      <c r="A1028" t="s">
        <v>43</v>
      </c>
      <c r="B1028" t="s">
        <v>23</v>
      </c>
      <c r="C1028" t="s">
        <v>15</v>
      </c>
      <c r="D1028">
        <v>12428</v>
      </c>
      <c r="E1028" t="s">
        <v>57</v>
      </c>
      <c r="F1028" t="s">
        <v>38</v>
      </c>
      <c r="G1028" t="s">
        <v>37</v>
      </c>
      <c r="H1028">
        <f t="shared" si="16"/>
        <v>12400</v>
      </c>
    </row>
    <row r="1029" spans="1:8" x14ac:dyDescent="0.3">
      <c r="A1029" t="s">
        <v>43</v>
      </c>
      <c r="B1029" t="s">
        <v>23</v>
      </c>
      <c r="C1029" t="s">
        <v>16</v>
      </c>
      <c r="D1029">
        <v>490244</v>
      </c>
      <c r="E1029" t="s">
        <v>57</v>
      </c>
      <c r="F1029" t="s">
        <v>38</v>
      </c>
      <c r="G1029" t="s">
        <v>37</v>
      </c>
      <c r="H1029">
        <f t="shared" si="16"/>
        <v>490000</v>
      </c>
    </row>
    <row r="1030" spans="1:8" x14ac:dyDescent="0.3">
      <c r="A1030" t="s">
        <v>43</v>
      </c>
      <c r="B1030" t="s">
        <v>23</v>
      </c>
      <c r="C1030" t="s">
        <v>17</v>
      </c>
      <c r="D1030">
        <v>370</v>
      </c>
      <c r="E1030" t="s">
        <v>57</v>
      </c>
      <c r="F1030" t="s">
        <v>38</v>
      </c>
      <c r="G1030" t="s">
        <v>37</v>
      </c>
      <c r="H1030">
        <f t="shared" si="16"/>
        <v>370</v>
      </c>
    </row>
    <row r="1031" spans="1:8" x14ac:dyDescent="0.3">
      <c r="A1031" t="s">
        <v>43</v>
      </c>
      <c r="B1031" t="s">
        <v>23</v>
      </c>
      <c r="C1031" t="s">
        <v>18</v>
      </c>
      <c r="D1031">
        <v>0</v>
      </c>
      <c r="E1031" t="s">
        <v>57</v>
      </c>
      <c r="F1031" t="s">
        <v>38</v>
      </c>
      <c r="G1031" t="s">
        <v>37</v>
      </c>
      <c r="H1031">
        <f t="shared" si="16"/>
        <v>0</v>
      </c>
    </row>
    <row r="1032" spans="1:8" x14ac:dyDescent="0.3">
      <c r="A1032" t="s">
        <v>43</v>
      </c>
      <c r="B1032" t="s">
        <v>23</v>
      </c>
      <c r="C1032" t="s">
        <v>19</v>
      </c>
      <c r="D1032">
        <v>19512</v>
      </c>
      <c r="E1032" t="s">
        <v>57</v>
      </c>
      <c r="F1032" t="s">
        <v>38</v>
      </c>
      <c r="G1032" t="s">
        <v>37</v>
      </c>
      <c r="H1032">
        <f t="shared" si="16"/>
        <v>19500</v>
      </c>
    </row>
    <row r="1033" spans="1:8" x14ac:dyDescent="0.3">
      <c r="A1033" t="s">
        <v>43</v>
      </c>
      <c r="B1033" t="s">
        <v>23</v>
      </c>
      <c r="C1033" t="s">
        <v>20</v>
      </c>
      <c r="D1033">
        <v>11532</v>
      </c>
      <c r="E1033" t="s">
        <v>57</v>
      </c>
      <c r="F1033" t="s">
        <v>38</v>
      </c>
      <c r="G1033" t="s">
        <v>37</v>
      </c>
      <c r="H1033">
        <f t="shared" si="16"/>
        <v>11500</v>
      </c>
    </row>
    <row r="1034" spans="1:8" x14ac:dyDescent="0.3">
      <c r="A1034" t="s">
        <v>43</v>
      </c>
      <c r="B1034" t="s">
        <v>23</v>
      </c>
      <c r="C1034" t="s">
        <v>21</v>
      </c>
      <c r="D1034">
        <v>8354</v>
      </c>
      <c r="E1034" t="s">
        <v>57</v>
      </c>
      <c r="F1034" t="s">
        <v>38</v>
      </c>
      <c r="G1034" t="s">
        <v>37</v>
      </c>
      <c r="H1034">
        <f t="shared" si="16"/>
        <v>8350</v>
      </c>
    </row>
    <row r="1035" spans="1:8" x14ac:dyDescent="0.3">
      <c r="A1035" t="s">
        <v>43</v>
      </c>
      <c r="B1035" t="s">
        <v>23</v>
      </c>
      <c r="C1035" t="s">
        <v>22</v>
      </c>
      <c r="D1035">
        <v>3386</v>
      </c>
      <c r="E1035" t="s">
        <v>57</v>
      </c>
      <c r="F1035" t="s">
        <v>38</v>
      </c>
      <c r="G1035" t="s">
        <v>37</v>
      </c>
      <c r="H1035">
        <f t="shared" si="16"/>
        <v>3390</v>
      </c>
    </row>
    <row r="1036" spans="1:8" x14ac:dyDescent="0.3">
      <c r="A1036" t="s">
        <v>7</v>
      </c>
      <c r="B1036" t="s">
        <v>8</v>
      </c>
      <c r="C1036" t="s">
        <v>9</v>
      </c>
      <c r="D1036">
        <v>385</v>
      </c>
      <c r="E1036" t="s">
        <v>57</v>
      </c>
      <c r="F1036" t="s">
        <v>38</v>
      </c>
      <c r="G1036" t="s">
        <v>37</v>
      </c>
      <c r="H1036">
        <f t="shared" si="16"/>
        <v>385</v>
      </c>
    </row>
    <row r="1037" spans="1:8" x14ac:dyDescent="0.3">
      <c r="A1037" t="s">
        <v>7</v>
      </c>
      <c r="B1037" t="s">
        <v>8</v>
      </c>
      <c r="C1037" t="s">
        <v>13</v>
      </c>
      <c r="D1037">
        <v>1002</v>
      </c>
      <c r="E1037" t="s">
        <v>57</v>
      </c>
      <c r="F1037" t="s">
        <v>38</v>
      </c>
      <c r="G1037" t="s">
        <v>37</v>
      </c>
      <c r="H1037">
        <f t="shared" si="16"/>
        <v>1000</v>
      </c>
    </row>
    <row r="1038" spans="1:8" x14ac:dyDescent="0.3">
      <c r="A1038" t="s">
        <v>7</v>
      </c>
      <c r="B1038" t="s">
        <v>8</v>
      </c>
      <c r="C1038" t="s">
        <v>14</v>
      </c>
      <c r="D1038">
        <v>991</v>
      </c>
      <c r="E1038" t="s">
        <v>57</v>
      </c>
      <c r="F1038" t="s">
        <v>38</v>
      </c>
      <c r="G1038" t="s">
        <v>37</v>
      </c>
      <c r="H1038">
        <f t="shared" si="16"/>
        <v>991</v>
      </c>
    </row>
    <row r="1039" spans="1:8" x14ac:dyDescent="0.3">
      <c r="A1039" t="s">
        <v>7</v>
      </c>
      <c r="B1039" t="s">
        <v>8</v>
      </c>
      <c r="C1039" t="s">
        <v>15</v>
      </c>
      <c r="D1039">
        <v>73</v>
      </c>
      <c r="E1039" t="s">
        <v>57</v>
      </c>
      <c r="F1039" t="s">
        <v>38</v>
      </c>
      <c r="G1039" t="s">
        <v>37</v>
      </c>
      <c r="H1039">
        <f t="shared" si="16"/>
        <v>73</v>
      </c>
    </row>
    <row r="1040" spans="1:8" x14ac:dyDescent="0.3">
      <c r="A1040" t="s">
        <v>7</v>
      </c>
      <c r="B1040" t="s">
        <v>8</v>
      </c>
      <c r="C1040" t="s">
        <v>16</v>
      </c>
      <c r="D1040">
        <v>1337</v>
      </c>
      <c r="E1040" t="s">
        <v>57</v>
      </c>
      <c r="F1040" t="s">
        <v>38</v>
      </c>
      <c r="G1040" t="s">
        <v>37</v>
      </c>
      <c r="H1040">
        <f t="shared" si="16"/>
        <v>1340</v>
      </c>
    </row>
    <row r="1041" spans="1:8" x14ac:dyDescent="0.3">
      <c r="A1041" t="s">
        <v>7</v>
      </c>
      <c r="B1041" t="s">
        <v>8</v>
      </c>
      <c r="C1041" t="s">
        <v>17</v>
      </c>
      <c r="D1041">
        <v>227</v>
      </c>
      <c r="E1041" t="s">
        <v>57</v>
      </c>
      <c r="F1041" t="s">
        <v>38</v>
      </c>
      <c r="G1041" t="s">
        <v>37</v>
      </c>
      <c r="H1041">
        <f t="shared" si="16"/>
        <v>227</v>
      </c>
    </row>
    <row r="1042" spans="1:8" x14ac:dyDescent="0.3">
      <c r="A1042" t="s">
        <v>7</v>
      </c>
      <c r="B1042" t="s">
        <v>8</v>
      </c>
      <c r="C1042" t="s">
        <v>18</v>
      </c>
      <c r="D1042">
        <v>0</v>
      </c>
      <c r="E1042" t="s">
        <v>57</v>
      </c>
      <c r="F1042" t="s">
        <v>38</v>
      </c>
      <c r="G1042" t="s">
        <v>37</v>
      </c>
      <c r="H1042">
        <f t="shared" si="16"/>
        <v>0</v>
      </c>
    </row>
    <row r="1043" spans="1:8" x14ac:dyDescent="0.3">
      <c r="A1043" t="s">
        <v>7</v>
      </c>
      <c r="B1043" t="s">
        <v>8</v>
      </c>
      <c r="C1043" t="s">
        <v>19</v>
      </c>
      <c r="D1043">
        <v>14</v>
      </c>
      <c r="E1043" t="s">
        <v>57</v>
      </c>
      <c r="F1043" t="s">
        <v>38</v>
      </c>
      <c r="G1043" t="s">
        <v>37</v>
      </c>
      <c r="H1043">
        <f t="shared" si="16"/>
        <v>14</v>
      </c>
    </row>
    <row r="1044" spans="1:8" x14ac:dyDescent="0.3">
      <c r="A1044" t="s">
        <v>7</v>
      </c>
      <c r="B1044" t="s">
        <v>8</v>
      </c>
      <c r="C1044" t="s">
        <v>20</v>
      </c>
      <c r="D1044">
        <v>213</v>
      </c>
      <c r="E1044" t="s">
        <v>57</v>
      </c>
      <c r="F1044" t="s">
        <v>38</v>
      </c>
      <c r="G1044" t="s">
        <v>37</v>
      </c>
      <c r="H1044">
        <f t="shared" si="16"/>
        <v>213</v>
      </c>
    </row>
    <row r="1045" spans="1:8" x14ac:dyDescent="0.3">
      <c r="A1045" t="s">
        <v>7</v>
      </c>
      <c r="B1045" t="s">
        <v>8</v>
      </c>
      <c r="C1045" t="s">
        <v>21</v>
      </c>
      <c r="D1045">
        <v>1215</v>
      </c>
      <c r="E1045" t="s">
        <v>57</v>
      </c>
      <c r="F1045" t="s">
        <v>38</v>
      </c>
      <c r="G1045" t="s">
        <v>37</v>
      </c>
      <c r="H1045">
        <f t="shared" si="16"/>
        <v>1220</v>
      </c>
    </row>
    <row r="1046" spans="1:8" x14ac:dyDescent="0.3">
      <c r="A1046" t="s">
        <v>7</v>
      </c>
      <c r="B1046" t="s">
        <v>8</v>
      </c>
      <c r="C1046" t="s">
        <v>22</v>
      </c>
      <c r="D1046">
        <v>62192</v>
      </c>
      <c r="E1046" t="s">
        <v>57</v>
      </c>
      <c r="F1046" t="s">
        <v>38</v>
      </c>
      <c r="G1046" t="s">
        <v>37</v>
      </c>
      <c r="H1046">
        <f t="shared" si="16"/>
        <v>62200</v>
      </c>
    </row>
    <row r="1047" spans="1:8" x14ac:dyDescent="0.3">
      <c r="A1047" t="s">
        <v>7</v>
      </c>
      <c r="B1047" t="s">
        <v>23</v>
      </c>
      <c r="C1047" t="s">
        <v>9</v>
      </c>
      <c r="D1047">
        <v>112461</v>
      </c>
      <c r="E1047" t="s">
        <v>57</v>
      </c>
      <c r="F1047" t="s">
        <v>38</v>
      </c>
      <c r="G1047" t="s">
        <v>37</v>
      </c>
      <c r="H1047">
        <f t="shared" si="16"/>
        <v>112000</v>
      </c>
    </row>
    <row r="1048" spans="1:8" x14ac:dyDescent="0.3">
      <c r="A1048" t="s">
        <v>7</v>
      </c>
      <c r="B1048" t="s">
        <v>23</v>
      </c>
      <c r="C1048" t="s">
        <v>13</v>
      </c>
      <c r="D1048">
        <v>857783</v>
      </c>
      <c r="E1048" t="s">
        <v>57</v>
      </c>
      <c r="F1048" t="s">
        <v>38</v>
      </c>
      <c r="G1048" t="s">
        <v>37</v>
      </c>
      <c r="H1048">
        <f t="shared" si="16"/>
        <v>858000</v>
      </c>
    </row>
    <row r="1049" spans="1:8" x14ac:dyDescent="0.3">
      <c r="A1049" t="s">
        <v>7</v>
      </c>
      <c r="B1049" t="s">
        <v>23</v>
      </c>
      <c r="C1049" t="s">
        <v>14</v>
      </c>
      <c r="D1049">
        <v>898354</v>
      </c>
      <c r="E1049" t="s">
        <v>57</v>
      </c>
      <c r="F1049" t="s">
        <v>38</v>
      </c>
      <c r="G1049" t="s">
        <v>37</v>
      </c>
      <c r="H1049">
        <f t="shared" si="16"/>
        <v>898000</v>
      </c>
    </row>
    <row r="1050" spans="1:8" x14ac:dyDescent="0.3">
      <c r="A1050" t="s">
        <v>7</v>
      </c>
      <c r="B1050" t="s">
        <v>23</v>
      </c>
      <c r="C1050" t="s">
        <v>15</v>
      </c>
      <c r="D1050">
        <v>28252</v>
      </c>
      <c r="E1050" t="s">
        <v>57</v>
      </c>
      <c r="F1050" t="s">
        <v>38</v>
      </c>
      <c r="G1050" t="s">
        <v>37</v>
      </c>
      <c r="H1050">
        <f t="shared" si="16"/>
        <v>28300</v>
      </c>
    </row>
    <row r="1051" spans="1:8" x14ac:dyDescent="0.3">
      <c r="A1051" t="s">
        <v>7</v>
      </c>
      <c r="B1051" t="s">
        <v>23</v>
      </c>
      <c r="C1051" t="s">
        <v>16</v>
      </c>
      <c r="D1051">
        <v>296051</v>
      </c>
      <c r="E1051" t="s">
        <v>57</v>
      </c>
      <c r="F1051" t="s">
        <v>38</v>
      </c>
      <c r="G1051" t="s">
        <v>37</v>
      </c>
      <c r="H1051">
        <f t="shared" si="16"/>
        <v>296000</v>
      </c>
    </row>
    <row r="1052" spans="1:8" x14ac:dyDescent="0.3">
      <c r="A1052" t="s">
        <v>7</v>
      </c>
      <c r="B1052" t="s">
        <v>23</v>
      </c>
      <c r="C1052" t="s">
        <v>17</v>
      </c>
      <c r="D1052">
        <v>30423</v>
      </c>
      <c r="E1052" t="s">
        <v>57</v>
      </c>
      <c r="F1052" t="s">
        <v>38</v>
      </c>
      <c r="G1052" t="s">
        <v>37</v>
      </c>
      <c r="H1052">
        <f t="shared" si="16"/>
        <v>30400</v>
      </c>
    </row>
    <row r="1053" spans="1:8" x14ac:dyDescent="0.3">
      <c r="A1053" t="s">
        <v>7</v>
      </c>
      <c r="B1053" t="s">
        <v>23</v>
      </c>
      <c r="C1053" t="s">
        <v>18</v>
      </c>
      <c r="D1053">
        <v>1</v>
      </c>
      <c r="E1053" t="s">
        <v>57</v>
      </c>
      <c r="F1053" t="s">
        <v>38</v>
      </c>
      <c r="G1053" t="s">
        <v>37</v>
      </c>
      <c r="H1053">
        <f t="shared" si="16"/>
        <v>1</v>
      </c>
    </row>
    <row r="1054" spans="1:8" x14ac:dyDescent="0.3">
      <c r="A1054" t="s">
        <v>7</v>
      </c>
      <c r="B1054" t="s">
        <v>23</v>
      </c>
      <c r="C1054" t="s">
        <v>19</v>
      </c>
      <c r="D1054">
        <v>119741</v>
      </c>
      <c r="E1054" t="s">
        <v>57</v>
      </c>
      <c r="F1054" t="s">
        <v>38</v>
      </c>
      <c r="G1054" t="s">
        <v>37</v>
      </c>
      <c r="H1054">
        <f t="shared" si="16"/>
        <v>120000</v>
      </c>
    </row>
    <row r="1055" spans="1:8" x14ac:dyDescent="0.3">
      <c r="A1055" t="s">
        <v>7</v>
      </c>
      <c r="B1055" t="s">
        <v>23</v>
      </c>
      <c r="C1055" t="s">
        <v>20</v>
      </c>
      <c r="D1055">
        <v>33305</v>
      </c>
      <c r="E1055" t="s">
        <v>57</v>
      </c>
      <c r="F1055" t="s">
        <v>38</v>
      </c>
      <c r="G1055" t="s">
        <v>37</v>
      </c>
      <c r="H1055">
        <f t="shared" si="16"/>
        <v>33300</v>
      </c>
    </row>
    <row r="1056" spans="1:8" x14ac:dyDescent="0.3">
      <c r="A1056" t="s">
        <v>7</v>
      </c>
      <c r="B1056" t="s">
        <v>23</v>
      </c>
      <c r="C1056" t="s">
        <v>21</v>
      </c>
      <c r="D1056">
        <v>19588</v>
      </c>
      <c r="E1056" t="s">
        <v>57</v>
      </c>
      <c r="F1056" t="s">
        <v>38</v>
      </c>
      <c r="G1056" t="s">
        <v>37</v>
      </c>
      <c r="H1056">
        <f t="shared" si="16"/>
        <v>19600</v>
      </c>
    </row>
    <row r="1057" spans="1:8" x14ac:dyDescent="0.3">
      <c r="A1057" t="s">
        <v>7</v>
      </c>
      <c r="B1057" t="s">
        <v>23</v>
      </c>
      <c r="C1057" t="s">
        <v>22</v>
      </c>
      <c r="D1057">
        <v>2632031</v>
      </c>
      <c r="E1057" t="s">
        <v>57</v>
      </c>
      <c r="F1057" t="s">
        <v>38</v>
      </c>
      <c r="G1057" t="s">
        <v>37</v>
      </c>
      <c r="H1057">
        <f t="shared" si="16"/>
        <v>2630000</v>
      </c>
    </row>
    <row r="1058" spans="1:8" x14ac:dyDescent="0.3">
      <c r="A1058" t="s">
        <v>44</v>
      </c>
      <c r="B1058" t="s">
        <v>8</v>
      </c>
      <c r="C1058" t="s">
        <v>9</v>
      </c>
      <c r="D1058">
        <v>13</v>
      </c>
      <c r="E1058" t="s">
        <v>57</v>
      </c>
      <c r="F1058" t="s">
        <v>38</v>
      </c>
      <c r="G1058" t="s">
        <v>37</v>
      </c>
      <c r="H1058">
        <f t="shared" si="16"/>
        <v>13</v>
      </c>
    </row>
    <row r="1059" spans="1:8" x14ac:dyDescent="0.3">
      <c r="A1059" t="s">
        <v>44</v>
      </c>
      <c r="B1059" t="s">
        <v>8</v>
      </c>
      <c r="C1059" t="s">
        <v>13</v>
      </c>
      <c r="D1059">
        <v>47</v>
      </c>
      <c r="E1059" t="s">
        <v>57</v>
      </c>
      <c r="F1059" t="s">
        <v>38</v>
      </c>
      <c r="G1059" t="s">
        <v>37</v>
      </c>
      <c r="H1059">
        <f t="shared" si="16"/>
        <v>47</v>
      </c>
    </row>
    <row r="1060" spans="1:8" x14ac:dyDescent="0.3">
      <c r="A1060" t="s">
        <v>44</v>
      </c>
      <c r="B1060" t="s">
        <v>8</v>
      </c>
      <c r="C1060" t="s">
        <v>14</v>
      </c>
      <c r="D1060">
        <v>85881</v>
      </c>
      <c r="E1060" t="s">
        <v>57</v>
      </c>
      <c r="F1060" t="s">
        <v>38</v>
      </c>
      <c r="G1060" t="s">
        <v>37</v>
      </c>
      <c r="H1060">
        <f t="shared" si="16"/>
        <v>85900</v>
      </c>
    </row>
    <row r="1061" spans="1:8" x14ac:dyDescent="0.3">
      <c r="A1061" t="s">
        <v>44</v>
      </c>
      <c r="B1061" t="s">
        <v>8</v>
      </c>
      <c r="C1061" t="s">
        <v>15</v>
      </c>
      <c r="D1061">
        <v>25</v>
      </c>
      <c r="E1061" t="s">
        <v>57</v>
      </c>
      <c r="F1061" t="s">
        <v>38</v>
      </c>
      <c r="G1061" t="s">
        <v>37</v>
      </c>
      <c r="H1061">
        <f t="shared" si="16"/>
        <v>25</v>
      </c>
    </row>
    <row r="1062" spans="1:8" x14ac:dyDescent="0.3">
      <c r="A1062" t="s">
        <v>44</v>
      </c>
      <c r="B1062" t="s">
        <v>8</v>
      </c>
      <c r="C1062" t="s">
        <v>16</v>
      </c>
      <c r="D1062">
        <v>723</v>
      </c>
      <c r="E1062" t="s">
        <v>57</v>
      </c>
      <c r="F1062" t="s">
        <v>38</v>
      </c>
      <c r="G1062" t="s">
        <v>37</v>
      </c>
      <c r="H1062">
        <f t="shared" si="16"/>
        <v>723</v>
      </c>
    </row>
    <row r="1063" spans="1:8" x14ac:dyDescent="0.3">
      <c r="A1063" t="s">
        <v>44</v>
      </c>
      <c r="B1063" t="s">
        <v>8</v>
      </c>
      <c r="C1063" t="s">
        <v>17</v>
      </c>
      <c r="D1063">
        <v>149</v>
      </c>
      <c r="E1063" t="s">
        <v>57</v>
      </c>
      <c r="F1063" t="s">
        <v>38</v>
      </c>
      <c r="G1063" t="s">
        <v>37</v>
      </c>
      <c r="H1063">
        <f t="shared" si="16"/>
        <v>149</v>
      </c>
    </row>
    <row r="1064" spans="1:8" x14ac:dyDescent="0.3">
      <c r="A1064" t="s">
        <v>44</v>
      </c>
      <c r="B1064" t="s">
        <v>8</v>
      </c>
      <c r="C1064" t="s">
        <v>18</v>
      </c>
      <c r="D1064">
        <v>0</v>
      </c>
      <c r="E1064" t="s">
        <v>57</v>
      </c>
      <c r="F1064" t="s">
        <v>38</v>
      </c>
      <c r="G1064" t="s">
        <v>37</v>
      </c>
      <c r="H1064">
        <f t="shared" si="16"/>
        <v>0</v>
      </c>
    </row>
    <row r="1065" spans="1:8" x14ac:dyDescent="0.3">
      <c r="A1065" t="s">
        <v>44</v>
      </c>
      <c r="B1065" t="s">
        <v>8</v>
      </c>
      <c r="C1065" t="s">
        <v>19</v>
      </c>
      <c r="D1065">
        <v>5</v>
      </c>
      <c r="E1065" t="s">
        <v>57</v>
      </c>
      <c r="F1065" t="s">
        <v>38</v>
      </c>
      <c r="G1065" t="s">
        <v>37</v>
      </c>
      <c r="H1065">
        <f t="shared" si="16"/>
        <v>5</v>
      </c>
    </row>
    <row r="1066" spans="1:8" x14ac:dyDescent="0.3">
      <c r="A1066" t="s">
        <v>44</v>
      </c>
      <c r="B1066" t="s">
        <v>8</v>
      </c>
      <c r="C1066" t="s">
        <v>20</v>
      </c>
      <c r="D1066">
        <v>8</v>
      </c>
      <c r="E1066" t="s">
        <v>57</v>
      </c>
      <c r="F1066" t="s">
        <v>38</v>
      </c>
      <c r="G1066" t="s">
        <v>37</v>
      </c>
      <c r="H1066">
        <f t="shared" si="16"/>
        <v>8</v>
      </c>
    </row>
    <row r="1067" spans="1:8" x14ac:dyDescent="0.3">
      <c r="A1067" t="s">
        <v>44</v>
      </c>
      <c r="B1067" t="s">
        <v>8</v>
      </c>
      <c r="C1067" t="s">
        <v>21</v>
      </c>
      <c r="D1067">
        <v>17</v>
      </c>
      <c r="E1067" t="s">
        <v>57</v>
      </c>
      <c r="F1067" t="s">
        <v>38</v>
      </c>
      <c r="G1067" t="s">
        <v>37</v>
      </c>
      <c r="H1067">
        <f t="shared" si="16"/>
        <v>17</v>
      </c>
    </row>
    <row r="1068" spans="1:8" x14ac:dyDescent="0.3">
      <c r="A1068" t="s">
        <v>44</v>
      </c>
      <c r="B1068" t="s">
        <v>8</v>
      </c>
      <c r="C1068" t="s">
        <v>22</v>
      </c>
      <c r="D1068">
        <v>235</v>
      </c>
      <c r="E1068" t="s">
        <v>57</v>
      </c>
      <c r="F1068" t="s">
        <v>38</v>
      </c>
      <c r="G1068" t="s">
        <v>37</v>
      </c>
      <c r="H1068">
        <f t="shared" si="16"/>
        <v>235</v>
      </c>
    </row>
    <row r="1069" spans="1:8" x14ac:dyDescent="0.3">
      <c r="A1069" t="s">
        <v>44</v>
      </c>
      <c r="B1069" t="s">
        <v>23</v>
      </c>
      <c r="C1069" t="s">
        <v>9</v>
      </c>
      <c r="D1069">
        <v>5571</v>
      </c>
      <c r="E1069" t="s">
        <v>57</v>
      </c>
      <c r="F1069" t="s">
        <v>38</v>
      </c>
      <c r="G1069" t="s">
        <v>37</v>
      </c>
      <c r="H1069">
        <f t="shared" si="16"/>
        <v>5570</v>
      </c>
    </row>
    <row r="1070" spans="1:8" x14ac:dyDescent="0.3">
      <c r="A1070" t="s">
        <v>44</v>
      </c>
      <c r="B1070" t="s">
        <v>23</v>
      </c>
      <c r="C1070" t="s">
        <v>13</v>
      </c>
      <c r="D1070">
        <v>4509</v>
      </c>
      <c r="E1070" t="s">
        <v>57</v>
      </c>
      <c r="F1070" t="s">
        <v>38</v>
      </c>
      <c r="G1070" t="s">
        <v>37</v>
      </c>
      <c r="H1070">
        <f t="shared" si="16"/>
        <v>4510</v>
      </c>
    </row>
    <row r="1071" spans="1:8" x14ac:dyDescent="0.3">
      <c r="A1071" t="s">
        <v>44</v>
      </c>
      <c r="B1071" t="s">
        <v>23</v>
      </c>
      <c r="C1071" t="s">
        <v>14</v>
      </c>
      <c r="D1071">
        <v>6740816</v>
      </c>
      <c r="E1071" t="s">
        <v>57</v>
      </c>
      <c r="F1071" t="s">
        <v>38</v>
      </c>
      <c r="G1071" t="s">
        <v>37</v>
      </c>
      <c r="H1071">
        <f t="shared" si="16"/>
        <v>6740000</v>
      </c>
    </row>
    <row r="1072" spans="1:8" x14ac:dyDescent="0.3">
      <c r="A1072" t="s">
        <v>44</v>
      </c>
      <c r="B1072" t="s">
        <v>23</v>
      </c>
      <c r="C1072" t="s">
        <v>15</v>
      </c>
      <c r="D1072">
        <v>16412</v>
      </c>
      <c r="E1072" t="s">
        <v>57</v>
      </c>
      <c r="F1072" t="s">
        <v>38</v>
      </c>
      <c r="G1072" t="s">
        <v>37</v>
      </c>
      <c r="H1072">
        <f t="shared" si="16"/>
        <v>16400</v>
      </c>
    </row>
    <row r="1073" spans="1:8" x14ac:dyDescent="0.3">
      <c r="A1073" t="s">
        <v>44</v>
      </c>
      <c r="B1073" t="s">
        <v>23</v>
      </c>
      <c r="C1073" t="s">
        <v>16</v>
      </c>
      <c r="D1073">
        <v>647361</v>
      </c>
      <c r="E1073" t="s">
        <v>57</v>
      </c>
      <c r="F1073" t="s">
        <v>38</v>
      </c>
      <c r="G1073" t="s">
        <v>37</v>
      </c>
      <c r="H1073">
        <f t="shared" si="16"/>
        <v>647000</v>
      </c>
    </row>
    <row r="1074" spans="1:8" x14ac:dyDescent="0.3">
      <c r="A1074" t="s">
        <v>44</v>
      </c>
      <c r="B1074" t="s">
        <v>23</v>
      </c>
      <c r="C1074" t="s">
        <v>17</v>
      </c>
      <c r="D1074">
        <v>489</v>
      </c>
      <c r="E1074" t="s">
        <v>57</v>
      </c>
      <c r="F1074" t="s">
        <v>38</v>
      </c>
      <c r="G1074" t="s">
        <v>37</v>
      </c>
      <c r="H1074">
        <f t="shared" si="16"/>
        <v>489</v>
      </c>
    </row>
    <row r="1075" spans="1:8" x14ac:dyDescent="0.3">
      <c r="A1075" t="s">
        <v>44</v>
      </c>
      <c r="B1075" t="s">
        <v>23</v>
      </c>
      <c r="C1075" t="s">
        <v>18</v>
      </c>
      <c r="D1075">
        <v>0</v>
      </c>
      <c r="E1075" t="s">
        <v>57</v>
      </c>
      <c r="F1075" t="s">
        <v>38</v>
      </c>
      <c r="G1075" t="s">
        <v>37</v>
      </c>
      <c r="H1075">
        <f t="shared" si="16"/>
        <v>0</v>
      </c>
    </row>
    <row r="1076" spans="1:8" x14ac:dyDescent="0.3">
      <c r="A1076" t="s">
        <v>44</v>
      </c>
      <c r="B1076" t="s">
        <v>23</v>
      </c>
      <c r="C1076" t="s">
        <v>19</v>
      </c>
      <c r="D1076">
        <v>25765</v>
      </c>
      <c r="E1076" t="s">
        <v>57</v>
      </c>
      <c r="F1076" t="s">
        <v>38</v>
      </c>
      <c r="G1076" t="s">
        <v>37</v>
      </c>
      <c r="H1076">
        <f t="shared" si="16"/>
        <v>25800</v>
      </c>
    </row>
    <row r="1077" spans="1:8" x14ac:dyDescent="0.3">
      <c r="A1077" t="s">
        <v>44</v>
      </c>
      <c r="B1077" t="s">
        <v>23</v>
      </c>
      <c r="C1077" t="s">
        <v>20</v>
      </c>
      <c r="D1077">
        <v>15228</v>
      </c>
      <c r="E1077" t="s">
        <v>57</v>
      </c>
      <c r="F1077" t="s">
        <v>38</v>
      </c>
      <c r="G1077" t="s">
        <v>37</v>
      </c>
      <c r="H1077">
        <f t="shared" si="16"/>
        <v>15200</v>
      </c>
    </row>
    <row r="1078" spans="1:8" x14ac:dyDescent="0.3">
      <c r="A1078" t="s">
        <v>44</v>
      </c>
      <c r="B1078" t="s">
        <v>23</v>
      </c>
      <c r="C1078" t="s">
        <v>21</v>
      </c>
      <c r="D1078">
        <v>11031</v>
      </c>
      <c r="E1078" t="s">
        <v>57</v>
      </c>
      <c r="F1078" t="s">
        <v>38</v>
      </c>
      <c r="G1078" t="s">
        <v>37</v>
      </c>
      <c r="H1078">
        <f t="shared" si="16"/>
        <v>11000</v>
      </c>
    </row>
    <row r="1079" spans="1:8" x14ac:dyDescent="0.3">
      <c r="A1079" t="s">
        <v>44</v>
      </c>
      <c r="B1079" t="s">
        <v>23</v>
      </c>
      <c r="C1079" t="s">
        <v>22</v>
      </c>
      <c r="D1079">
        <v>4471</v>
      </c>
      <c r="E1079" t="s">
        <v>57</v>
      </c>
      <c r="F1079" t="s">
        <v>38</v>
      </c>
      <c r="G1079" t="s">
        <v>37</v>
      </c>
      <c r="H1079">
        <f t="shared" si="16"/>
        <v>4470</v>
      </c>
    </row>
    <row r="1080" spans="1:8" x14ac:dyDescent="0.3">
      <c r="A1080" t="s">
        <v>45</v>
      </c>
      <c r="B1080" t="s">
        <v>8</v>
      </c>
      <c r="C1080" t="s">
        <v>9</v>
      </c>
      <c r="D1080">
        <v>6489</v>
      </c>
      <c r="E1080" t="s">
        <v>57</v>
      </c>
      <c r="F1080" t="s">
        <v>38</v>
      </c>
      <c r="G1080" t="s">
        <v>37</v>
      </c>
      <c r="H1080">
        <f t="shared" si="16"/>
        <v>6490</v>
      </c>
    </row>
    <row r="1081" spans="1:8" x14ac:dyDescent="0.3">
      <c r="A1081" t="s">
        <v>45</v>
      </c>
      <c r="B1081" t="s">
        <v>8</v>
      </c>
      <c r="C1081" t="s">
        <v>13</v>
      </c>
      <c r="D1081">
        <v>2618</v>
      </c>
      <c r="E1081" t="s">
        <v>57</v>
      </c>
      <c r="F1081" t="s">
        <v>38</v>
      </c>
      <c r="G1081" t="s">
        <v>37</v>
      </c>
      <c r="H1081">
        <f t="shared" si="16"/>
        <v>2620</v>
      </c>
    </row>
    <row r="1082" spans="1:8" x14ac:dyDescent="0.3">
      <c r="A1082" t="s">
        <v>45</v>
      </c>
      <c r="B1082" t="s">
        <v>8</v>
      </c>
      <c r="C1082" t="s">
        <v>14</v>
      </c>
      <c r="D1082">
        <v>3914</v>
      </c>
      <c r="E1082" t="s">
        <v>57</v>
      </c>
      <c r="F1082" t="s">
        <v>38</v>
      </c>
      <c r="G1082" t="s">
        <v>37</v>
      </c>
      <c r="H1082">
        <f t="shared" si="16"/>
        <v>3910</v>
      </c>
    </row>
    <row r="1083" spans="1:8" x14ac:dyDescent="0.3">
      <c r="A1083" t="s">
        <v>45</v>
      </c>
      <c r="B1083" t="s">
        <v>8</v>
      </c>
      <c r="C1083" t="s">
        <v>15</v>
      </c>
      <c r="D1083">
        <v>223</v>
      </c>
      <c r="E1083" t="s">
        <v>57</v>
      </c>
      <c r="F1083" t="s">
        <v>38</v>
      </c>
      <c r="G1083" t="s">
        <v>37</v>
      </c>
      <c r="H1083">
        <f t="shared" si="16"/>
        <v>223</v>
      </c>
    </row>
    <row r="1084" spans="1:8" x14ac:dyDescent="0.3">
      <c r="A1084" t="s">
        <v>45</v>
      </c>
      <c r="B1084" t="s">
        <v>8</v>
      </c>
      <c r="C1084" t="s">
        <v>16</v>
      </c>
      <c r="D1084">
        <v>63186</v>
      </c>
      <c r="E1084" t="s">
        <v>57</v>
      </c>
      <c r="F1084" t="s">
        <v>38</v>
      </c>
      <c r="G1084" t="s">
        <v>37</v>
      </c>
      <c r="H1084">
        <f t="shared" si="16"/>
        <v>63200</v>
      </c>
    </row>
    <row r="1085" spans="1:8" x14ac:dyDescent="0.3">
      <c r="A1085" t="s">
        <v>45</v>
      </c>
      <c r="B1085" t="s">
        <v>8</v>
      </c>
      <c r="C1085" t="s">
        <v>17</v>
      </c>
      <c r="D1085">
        <v>1050</v>
      </c>
      <c r="E1085" t="s">
        <v>57</v>
      </c>
      <c r="F1085" t="s">
        <v>38</v>
      </c>
      <c r="G1085" t="s">
        <v>37</v>
      </c>
      <c r="H1085">
        <f t="shared" si="16"/>
        <v>1050</v>
      </c>
    </row>
    <row r="1086" spans="1:8" x14ac:dyDescent="0.3">
      <c r="A1086" t="s">
        <v>45</v>
      </c>
      <c r="B1086" t="s">
        <v>8</v>
      </c>
      <c r="C1086" t="s">
        <v>18</v>
      </c>
      <c r="D1086">
        <v>0</v>
      </c>
      <c r="E1086" t="s">
        <v>57</v>
      </c>
      <c r="F1086" t="s">
        <v>38</v>
      </c>
      <c r="G1086" t="s">
        <v>37</v>
      </c>
      <c r="H1086">
        <f t="shared" si="16"/>
        <v>0</v>
      </c>
    </row>
    <row r="1087" spans="1:8" x14ac:dyDescent="0.3">
      <c r="A1087" t="s">
        <v>45</v>
      </c>
      <c r="B1087" t="s">
        <v>8</v>
      </c>
      <c r="C1087" t="s">
        <v>19</v>
      </c>
      <c r="D1087">
        <v>40860</v>
      </c>
      <c r="E1087" t="s">
        <v>57</v>
      </c>
      <c r="F1087" t="s">
        <v>38</v>
      </c>
      <c r="G1087" t="s">
        <v>37</v>
      </c>
      <c r="H1087">
        <f t="shared" si="16"/>
        <v>40900</v>
      </c>
    </row>
    <row r="1088" spans="1:8" x14ac:dyDescent="0.3">
      <c r="A1088" t="s">
        <v>45</v>
      </c>
      <c r="B1088" t="s">
        <v>8</v>
      </c>
      <c r="C1088" t="s">
        <v>20</v>
      </c>
      <c r="D1088">
        <v>59</v>
      </c>
      <c r="E1088" t="s">
        <v>57</v>
      </c>
      <c r="F1088" t="s">
        <v>38</v>
      </c>
      <c r="G1088" t="s">
        <v>37</v>
      </c>
      <c r="H1088">
        <f t="shared" si="16"/>
        <v>59</v>
      </c>
    </row>
    <row r="1089" spans="1:8" x14ac:dyDescent="0.3">
      <c r="A1089" t="s">
        <v>45</v>
      </c>
      <c r="B1089" t="s">
        <v>8</v>
      </c>
      <c r="C1089" t="s">
        <v>21</v>
      </c>
      <c r="D1089">
        <v>44</v>
      </c>
      <c r="E1089" t="s">
        <v>57</v>
      </c>
      <c r="F1089" t="s">
        <v>38</v>
      </c>
      <c r="G1089" t="s">
        <v>37</v>
      </c>
      <c r="H1089">
        <f t="shared" si="16"/>
        <v>44</v>
      </c>
    </row>
    <row r="1090" spans="1:8" x14ac:dyDescent="0.3">
      <c r="A1090" t="s">
        <v>45</v>
      </c>
      <c r="B1090" t="s">
        <v>8</v>
      </c>
      <c r="C1090" t="s">
        <v>22</v>
      </c>
      <c r="D1090">
        <v>557</v>
      </c>
      <c r="E1090" t="s">
        <v>57</v>
      </c>
      <c r="F1090" t="s">
        <v>38</v>
      </c>
      <c r="G1090" t="s">
        <v>37</v>
      </c>
      <c r="H1090">
        <f t="shared" si="16"/>
        <v>557</v>
      </c>
    </row>
    <row r="1091" spans="1:8" x14ac:dyDescent="0.3">
      <c r="A1091" t="s">
        <v>45</v>
      </c>
      <c r="B1091" t="s">
        <v>23</v>
      </c>
      <c r="C1091" t="s">
        <v>9</v>
      </c>
      <c r="D1091">
        <v>475360</v>
      </c>
      <c r="E1091" t="s">
        <v>57</v>
      </c>
      <c r="F1091" t="s">
        <v>38</v>
      </c>
      <c r="G1091" t="s">
        <v>37</v>
      </c>
      <c r="H1091">
        <f t="shared" ref="H1091:H1154" si="17">ROUND(D1091, 3 - LEN(INT(ABS(D1091))))</f>
        <v>475000</v>
      </c>
    </row>
    <row r="1092" spans="1:8" x14ac:dyDescent="0.3">
      <c r="A1092" t="s">
        <v>45</v>
      </c>
      <c r="B1092" t="s">
        <v>23</v>
      </c>
      <c r="C1092" t="s">
        <v>13</v>
      </c>
      <c r="D1092">
        <v>51001</v>
      </c>
      <c r="E1092" t="s">
        <v>57</v>
      </c>
      <c r="F1092" t="s">
        <v>38</v>
      </c>
      <c r="G1092" t="s">
        <v>37</v>
      </c>
      <c r="H1092">
        <f t="shared" si="17"/>
        <v>51000</v>
      </c>
    </row>
    <row r="1093" spans="1:8" x14ac:dyDescent="0.3">
      <c r="A1093" t="s">
        <v>45</v>
      </c>
      <c r="B1093" t="s">
        <v>23</v>
      </c>
      <c r="C1093" t="s">
        <v>14</v>
      </c>
      <c r="D1093">
        <v>336625</v>
      </c>
      <c r="E1093" t="s">
        <v>57</v>
      </c>
      <c r="F1093" t="s">
        <v>38</v>
      </c>
      <c r="G1093" t="s">
        <v>37</v>
      </c>
      <c r="H1093">
        <f t="shared" si="17"/>
        <v>337000</v>
      </c>
    </row>
    <row r="1094" spans="1:8" x14ac:dyDescent="0.3">
      <c r="A1094" t="s">
        <v>45</v>
      </c>
      <c r="B1094" t="s">
        <v>23</v>
      </c>
      <c r="C1094" t="s">
        <v>15</v>
      </c>
      <c r="D1094">
        <v>14259</v>
      </c>
      <c r="E1094" t="s">
        <v>57</v>
      </c>
      <c r="F1094" t="s">
        <v>38</v>
      </c>
      <c r="G1094" t="s">
        <v>37</v>
      </c>
      <c r="H1094">
        <f t="shared" si="17"/>
        <v>14300</v>
      </c>
    </row>
    <row r="1095" spans="1:8" x14ac:dyDescent="0.3">
      <c r="A1095" t="s">
        <v>45</v>
      </c>
      <c r="B1095" t="s">
        <v>23</v>
      </c>
      <c r="C1095" t="s">
        <v>16</v>
      </c>
      <c r="D1095">
        <v>1984266</v>
      </c>
      <c r="E1095" t="s">
        <v>57</v>
      </c>
      <c r="F1095" t="s">
        <v>38</v>
      </c>
      <c r="G1095" t="s">
        <v>37</v>
      </c>
      <c r="H1095">
        <f t="shared" si="17"/>
        <v>1980000</v>
      </c>
    </row>
    <row r="1096" spans="1:8" x14ac:dyDescent="0.3">
      <c r="A1096" t="s">
        <v>45</v>
      </c>
      <c r="B1096" t="s">
        <v>23</v>
      </c>
      <c r="C1096" t="s">
        <v>17</v>
      </c>
      <c r="D1096">
        <v>9131</v>
      </c>
      <c r="E1096" t="s">
        <v>57</v>
      </c>
      <c r="F1096" t="s">
        <v>38</v>
      </c>
      <c r="G1096" t="s">
        <v>37</v>
      </c>
      <c r="H1096">
        <f t="shared" si="17"/>
        <v>9130</v>
      </c>
    </row>
    <row r="1097" spans="1:8" x14ac:dyDescent="0.3">
      <c r="A1097" t="s">
        <v>45</v>
      </c>
      <c r="B1097" t="s">
        <v>23</v>
      </c>
      <c r="C1097" t="s">
        <v>18</v>
      </c>
      <c r="D1097">
        <v>12</v>
      </c>
      <c r="E1097" t="s">
        <v>57</v>
      </c>
      <c r="F1097" t="s">
        <v>38</v>
      </c>
      <c r="G1097" t="s">
        <v>37</v>
      </c>
      <c r="H1097">
        <f t="shared" si="17"/>
        <v>12</v>
      </c>
    </row>
    <row r="1098" spans="1:8" x14ac:dyDescent="0.3">
      <c r="A1098" t="s">
        <v>45</v>
      </c>
      <c r="B1098" t="s">
        <v>23</v>
      </c>
      <c r="C1098" t="s">
        <v>19</v>
      </c>
      <c r="D1098">
        <v>2947360</v>
      </c>
      <c r="E1098" t="s">
        <v>57</v>
      </c>
      <c r="F1098" t="s">
        <v>38</v>
      </c>
      <c r="G1098" t="s">
        <v>37</v>
      </c>
      <c r="H1098">
        <f t="shared" si="17"/>
        <v>2950000</v>
      </c>
    </row>
    <row r="1099" spans="1:8" x14ac:dyDescent="0.3">
      <c r="A1099" t="s">
        <v>45</v>
      </c>
      <c r="B1099" t="s">
        <v>23</v>
      </c>
      <c r="C1099" t="s">
        <v>20</v>
      </c>
      <c r="D1099">
        <v>30363</v>
      </c>
      <c r="E1099" t="s">
        <v>57</v>
      </c>
      <c r="F1099" t="s">
        <v>38</v>
      </c>
      <c r="G1099" t="s">
        <v>37</v>
      </c>
      <c r="H1099">
        <f t="shared" si="17"/>
        <v>30400</v>
      </c>
    </row>
    <row r="1100" spans="1:8" x14ac:dyDescent="0.3">
      <c r="A1100" t="s">
        <v>45</v>
      </c>
      <c r="B1100" t="s">
        <v>23</v>
      </c>
      <c r="C1100" t="s">
        <v>21</v>
      </c>
      <c r="D1100">
        <v>5634</v>
      </c>
      <c r="E1100" t="s">
        <v>57</v>
      </c>
      <c r="F1100" t="s">
        <v>38</v>
      </c>
      <c r="G1100" t="s">
        <v>37</v>
      </c>
      <c r="H1100">
        <f t="shared" si="17"/>
        <v>5630</v>
      </c>
    </row>
    <row r="1101" spans="1:8" x14ac:dyDescent="0.3">
      <c r="A1101" t="s">
        <v>45</v>
      </c>
      <c r="B1101" t="s">
        <v>23</v>
      </c>
      <c r="C1101" t="s">
        <v>22</v>
      </c>
      <c r="D1101">
        <v>8733</v>
      </c>
      <c r="E1101" t="s">
        <v>57</v>
      </c>
      <c r="F1101" t="s">
        <v>38</v>
      </c>
      <c r="G1101" t="s">
        <v>37</v>
      </c>
      <c r="H1101">
        <f t="shared" si="17"/>
        <v>8730</v>
      </c>
    </row>
    <row r="1102" spans="1:8" x14ac:dyDescent="0.3">
      <c r="A1102" t="s">
        <v>58</v>
      </c>
      <c r="B1102" t="s">
        <v>8</v>
      </c>
      <c r="C1102" t="s">
        <v>9</v>
      </c>
      <c r="D1102">
        <v>315</v>
      </c>
      <c r="E1102" t="s">
        <v>57</v>
      </c>
      <c r="F1102" t="s">
        <v>38</v>
      </c>
      <c r="G1102" t="s">
        <v>37</v>
      </c>
      <c r="H1102">
        <f t="shared" si="17"/>
        <v>315</v>
      </c>
    </row>
    <row r="1103" spans="1:8" x14ac:dyDescent="0.3">
      <c r="A1103" t="s">
        <v>58</v>
      </c>
      <c r="B1103" t="s">
        <v>8</v>
      </c>
      <c r="C1103" t="s">
        <v>13</v>
      </c>
      <c r="D1103">
        <v>7</v>
      </c>
      <c r="E1103" t="s">
        <v>57</v>
      </c>
      <c r="F1103" t="s">
        <v>38</v>
      </c>
      <c r="G1103" t="s">
        <v>37</v>
      </c>
      <c r="H1103">
        <f t="shared" si="17"/>
        <v>7</v>
      </c>
    </row>
    <row r="1104" spans="1:8" x14ac:dyDescent="0.3">
      <c r="A1104" t="s">
        <v>58</v>
      </c>
      <c r="B1104" t="s">
        <v>8</v>
      </c>
      <c r="C1104" t="s">
        <v>14</v>
      </c>
      <c r="D1104">
        <v>2117</v>
      </c>
      <c r="E1104" t="s">
        <v>57</v>
      </c>
      <c r="F1104" t="s">
        <v>38</v>
      </c>
      <c r="G1104" t="s">
        <v>37</v>
      </c>
      <c r="H1104">
        <f t="shared" si="17"/>
        <v>2120</v>
      </c>
    </row>
    <row r="1105" spans="1:8" x14ac:dyDescent="0.3">
      <c r="A1105" t="s">
        <v>58</v>
      </c>
      <c r="B1105" t="s">
        <v>8</v>
      </c>
      <c r="C1105" t="s">
        <v>15</v>
      </c>
      <c r="D1105">
        <v>7</v>
      </c>
      <c r="E1105" t="s">
        <v>57</v>
      </c>
      <c r="F1105" t="s">
        <v>38</v>
      </c>
      <c r="G1105" t="s">
        <v>37</v>
      </c>
      <c r="H1105">
        <f t="shared" si="17"/>
        <v>7</v>
      </c>
    </row>
    <row r="1106" spans="1:8" x14ac:dyDescent="0.3">
      <c r="A1106" t="s">
        <v>58</v>
      </c>
      <c r="B1106" t="s">
        <v>8</v>
      </c>
      <c r="C1106" t="s">
        <v>16</v>
      </c>
      <c r="D1106">
        <v>56135</v>
      </c>
      <c r="E1106" t="s">
        <v>57</v>
      </c>
      <c r="F1106" t="s">
        <v>38</v>
      </c>
      <c r="G1106" t="s">
        <v>37</v>
      </c>
      <c r="H1106">
        <f t="shared" si="17"/>
        <v>56100</v>
      </c>
    </row>
    <row r="1107" spans="1:8" x14ac:dyDescent="0.3">
      <c r="A1107" t="s">
        <v>58</v>
      </c>
      <c r="B1107" t="s">
        <v>8</v>
      </c>
      <c r="C1107" t="s">
        <v>17</v>
      </c>
      <c r="D1107">
        <v>548</v>
      </c>
      <c r="E1107" t="s">
        <v>57</v>
      </c>
      <c r="F1107" t="s">
        <v>38</v>
      </c>
      <c r="G1107" t="s">
        <v>37</v>
      </c>
      <c r="H1107">
        <f t="shared" si="17"/>
        <v>548</v>
      </c>
    </row>
    <row r="1108" spans="1:8" x14ac:dyDescent="0.3">
      <c r="A1108" t="s">
        <v>58</v>
      </c>
      <c r="B1108" t="s">
        <v>8</v>
      </c>
      <c r="C1108" t="s">
        <v>18</v>
      </c>
      <c r="D1108">
        <v>0</v>
      </c>
      <c r="E1108" t="s">
        <v>57</v>
      </c>
      <c r="F1108" t="s">
        <v>38</v>
      </c>
      <c r="G1108" t="s">
        <v>37</v>
      </c>
      <c r="H1108">
        <f t="shared" si="17"/>
        <v>0</v>
      </c>
    </row>
    <row r="1109" spans="1:8" x14ac:dyDescent="0.3">
      <c r="A1109" t="s">
        <v>58</v>
      </c>
      <c r="B1109" t="s">
        <v>8</v>
      </c>
      <c r="C1109" t="s">
        <v>19</v>
      </c>
      <c r="D1109">
        <v>1</v>
      </c>
      <c r="E1109" t="s">
        <v>57</v>
      </c>
      <c r="F1109" t="s">
        <v>38</v>
      </c>
      <c r="G1109" t="s">
        <v>37</v>
      </c>
      <c r="H1109">
        <f t="shared" si="17"/>
        <v>1</v>
      </c>
    </row>
    <row r="1110" spans="1:8" x14ac:dyDescent="0.3">
      <c r="A1110" t="s">
        <v>58</v>
      </c>
      <c r="B1110" t="s">
        <v>8</v>
      </c>
      <c r="C1110" t="s">
        <v>20</v>
      </c>
      <c r="D1110">
        <v>42</v>
      </c>
      <c r="E1110" t="s">
        <v>57</v>
      </c>
      <c r="F1110" t="s">
        <v>38</v>
      </c>
      <c r="G1110" t="s">
        <v>37</v>
      </c>
      <c r="H1110">
        <f t="shared" si="17"/>
        <v>42</v>
      </c>
    </row>
    <row r="1111" spans="1:8" x14ac:dyDescent="0.3">
      <c r="A1111" t="s">
        <v>58</v>
      </c>
      <c r="B1111" t="s">
        <v>8</v>
      </c>
      <c r="C1111" t="s">
        <v>21</v>
      </c>
      <c r="D1111">
        <v>9</v>
      </c>
      <c r="E1111" t="s">
        <v>57</v>
      </c>
      <c r="F1111" t="s">
        <v>38</v>
      </c>
      <c r="G1111" t="s">
        <v>37</v>
      </c>
      <c r="H1111">
        <f t="shared" si="17"/>
        <v>9</v>
      </c>
    </row>
    <row r="1112" spans="1:8" x14ac:dyDescent="0.3">
      <c r="A1112" t="s">
        <v>58</v>
      </c>
      <c r="B1112" t="s">
        <v>8</v>
      </c>
      <c r="C1112" t="s">
        <v>22</v>
      </c>
      <c r="D1112">
        <v>131</v>
      </c>
      <c r="E1112" t="s">
        <v>57</v>
      </c>
      <c r="F1112" t="s">
        <v>38</v>
      </c>
      <c r="G1112" t="s">
        <v>37</v>
      </c>
      <c r="H1112">
        <f t="shared" si="17"/>
        <v>131</v>
      </c>
    </row>
    <row r="1113" spans="1:8" x14ac:dyDescent="0.3">
      <c r="A1113" t="s">
        <v>58</v>
      </c>
      <c r="B1113" t="s">
        <v>23</v>
      </c>
      <c r="C1113" t="s">
        <v>9</v>
      </c>
      <c r="D1113">
        <v>1454</v>
      </c>
      <c r="E1113" t="s">
        <v>57</v>
      </c>
      <c r="F1113" t="s">
        <v>38</v>
      </c>
      <c r="G1113" t="s">
        <v>37</v>
      </c>
      <c r="H1113">
        <f t="shared" si="17"/>
        <v>1450</v>
      </c>
    </row>
    <row r="1114" spans="1:8" x14ac:dyDescent="0.3">
      <c r="A1114" t="s">
        <v>58</v>
      </c>
      <c r="B1114" t="s">
        <v>23</v>
      </c>
      <c r="C1114" t="s">
        <v>13</v>
      </c>
      <c r="D1114">
        <v>2640</v>
      </c>
      <c r="E1114" t="s">
        <v>57</v>
      </c>
      <c r="F1114" t="s">
        <v>38</v>
      </c>
      <c r="G1114" t="s">
        <v>37</v>
      </c>
      <c r="H1114">
        <f t="shared" si="17"/>
        <v>2640</v>
      </c>
    </row>
    <row r="1115" spans="1:8" x14ac:dyDescent="0.3">
      <c r="A1115" t="s">
        <v>58</v>
      </c>
      <c r="B1115" t="s">
        <v>23</v>
      </c>
      <c r="C1115" t="s">
        <v>14</v>
      </c>
      <c r="D1115">
        <v>7989</v>
      </c>
      <c r="E1115" t="s">
        <v>57</v>
      </c>
      <c r="F1115" t="s">
        <v>38</v>
      </c>
      <c r="G1115" t="s">
        <v>37</v>
      </c>
      <c r="H1115">
        <f t="shared" si="17"/>
        <v>7990</v>
      </c>
    </row>
    <row r="1116" spans="1:8" x14ac:dyDescent="0.3">
      <c r="A1116" t="s">
        <v>58</v>
      </c>
      <c r="B1116" t="s">
        <v>23</v>
      </c>
      <c r="C1116" t="s">
        <v>15</v>
      </c>
      <c r="D1116">
        <v>268</v>
      </c>
      <c r="E1116" t="s">
        <v>57</v>
      </c>
      <c r="F1116" t="s">
        <v>38</v>
      </c>
      <c r="G1116" t="s">
        <v>37</v>
      </c>
      <c r="H1116">
        <f t="shared" si="17"/>
        <v>268</v>
      </c>
    </row>
    <row r="1117" spans="1:8" x14ac:dyDescent="0.3">
      <c r="A1117" t="s">
        <v>58</v>
      </c>
      <c r="B1117" t="s">
        <v>23</v>
      </c>
      <c r="C1117" t="s">
        <v>16</v>
      </c>
      <c r="D1117">
        <v>1651779</v>
      </c>
      <c r="E1117" t="s">
        <v>57</v>
      </c>
      <c r="F1117" t="s">
        <v>38</v>
      </c>
      <c r="G1117" t="s">
        <v>37</v>
      </c>
      <c r="H1117">
        <f t="shared" si="17"/>
        <v>1650000</v>
      </c>
    </row>
    <row r="1118" spans="1:8" x14ac:dyDescent="0.3">
      <c r="A1118" t="s">
        <v>58</v>
      </c>
      <c r="B1118" t="s">
        <v>23</v>
      </c>
      <c r="C1118" t="s">
        <v>17</v>
      </c>
      <c r="D1118">
        <v>335</v>
      </c>
      <c r="E1118" t="s">
        <v>57</v>
      </c>
      <c r="F1118" t="s">
        <v>38</v>
      </c>
      <c r="G1118" t="s">
        <v>37</v>
      </c>
      <c r="H1118">
        <f t="shared" si="17"/>
        <v>335</v>
      </c>
    </row>
    <row r="1119" spans="1:8" x14ac:dyDescent="0.3">
      <c r="A1119" t="s">
        <v>58</v>
      </c>
      <c r="B1119" t="s">
        <v>23</v>
      </c>
      <c r="C1119" t="s">
        <v>18</v>
      </c>
      <c r="D1119">
        <v>11</v>
      </c>
      <c r="E1119" t="s">
        <v>57</v>
      </c>
      <c r="F1119" t="s">
        <v>38</v>
      </c>
      <c r="G1119" t="s">
        <v>37</v>
      </c>
      <c r="H1119">
        <f t="shared" si="17"/>
        <v>11</v>
      </c>
    </row>
    <row r="1120" spans="1:8" x14ac:dyDescent="0.3">
      <c r="A1120" t="s">
        <v>58</v>
      </c>
      <c r="B1120" t="s">
        <v>23</v>
      </c>
      <c r="C1120" t="s">
        <v>19</v>
      </c>
      <c r="D1120">
        <v>523</v>
      </c>
      <c r="E1120" t="s">
        <v>57</v>
      </c>
      <c r="F1120" t="s">
        <v>38</v>
      </c>
      <c r="G1120" t="s">
        <v>37</v>
      </c>
      <c r="H1120">
        <f t="shared" si="17"/>
        <v>523</v>
      </c>
    </row>
    <row r="1121" spans="1:8" x14ac:dyDescent="0.3">
      <c r="A1121" t="s">
        <v>58</v>
      </c>
      <c r="B1121" t="s">
        <v>23</v>
      </c>
      <c r="C1121" t="s">
        <v>20</v>
      </c>
      <c r="D1121">
        <v>21686</v>
      </c>
      <c r="E1121" t="s">
        <v>57</v>
      </c>
      <c r="F1121" t="s">
        <v>38</v>
      </c>
      <c r="G1121" t="s">
        <v>37</v>
      </c>
      <c r="H1121">
        <f t="shared" si="17"/>
        <v>21700</v>
      </c>
    </row>
    <row r="1122" spans="1:8" x14ac:dyDescent="0.3">
      <c r="A1122" t="s">
        <v>58</v>
      </c>
      <c r="B1122" t="s">
        <v>23</v>
      </c>
      <c r="C1122" t="s">
        <v>21</v>
      </c>
      <c r="D1122">
        <v>622</v>
      </c>
      <c r="E1122" t="s">
        <v>57</v>
      </c>
      <c r="F1122" t="s">
        <v>38</v>
      </c>
      <c r="G1122" t="s">
        <v>37</v>
      </c>
      <c r="H1122">
        <f t="shared" si="17"/>
        <v>622</v>
      </c>
    </row>
    <row r="1123" spans="1:8" x14ac:dyDescent="0.3">
      <c r="A1123" t="s">
        <v>58</v>
      </c>
      <c r="B1123" t="s">
        <v>23</v>
      </c>
      <c r="C1123" t="s">
        <v>22</v>
      </c>
      <c r="D1123">
        <v>3198</v>
      </c>
      <c r="E1123" t="s">
        <v>57</v>
      </c>
      <c r="F1123" t="s">
        <v>38</v>
      </c>
      <c r="G1123" t="s">
        <v>37</v>
      </c>
      <c r="H1123">
        <f t="shared" si="17"/>
        <v>3200</v>
      </c>
    </row>
    <row r="1124" spans="1:8" x14ac:dyDescent="0.3">
      <c r="A1124" t="s">
        <v>59</v>
      </c>
      <c r="B1124" t="s">
        <v>8</v>
      </c>
      <c r="C1124" t="s">
        <v>9</v>
      </c>
      <c r="D1124">
        <v>28219</v>
      </c>
      <c r="E1124" t="s">
        <v>57</v>
      </c>
      <c r="F1124" t="s">
        <v>38</v>
      </c>
      <c r="G1124" t="s">
        <v>37</v>
      </c>
      <c r="H1124">
        <f t="shared" si="17"/>
        <v>28200</v>
      </c>
    </row>
    <row r="1125" spans="1:8" x14ac:dyDescent="0.3">
      <c r="A1125" t="s">
        <v>59</v>
      </c>
      <c r="B1125" t="s">
        <v>8</v>
      </c>
      <c r="C1125" t="s">
        <v>13</v>
      </c>
      <c r="D1125">
        <v>505</v>
      </c>
      <c r="E1125" t="s">
        <v>57</v>
      </c>
      <c r="F1125" t="s">
        <v>38</v>
      </c>
      <c r="G1125" t="s">
        <v>37</v>
      </c>
      <c r="H1125">
        <f t="shared" si="17"/>
        <v>505</v>
      </c>
    </row>
    <row r="1126" spans="1:8" x14ac:dyDescent="0.3">
      <c r="A1126" t="s">
        <v>59</v>
      </c>
      <c r="B1126" t="s">
        <v>8</v>
      </c>
      <c r="C1126" t="s">
        <v>14</v>
      </c>
      <c r="D1126">
        <v>903</v>
      </c>
      <c r="E1126" t="s">
        <v>57</v>
      </c>
      <c r="F1126" t="s">
        <v>38</v>
      </c>
      <c r="G1126" t="s">
        <v>37</v>
      </c>
      <c r="H1126">
        <f t="shared" si="17"/>
        <v>903</v>
      </c>
    </row>
    <row r="1127" spans="1:8" x14ac:dyDescent="0.3">
      <c r="A1127" t="s">
        <v>59</v>
      </c>
      <c r="B1127" t="s">
        <v>8</v>
      </c>
      <c r="C1127" t="s">
        <v>15</v>
      </c>
      <c r="D1127">
        <v>88</v>
      </c>
      <c r="E1127" t="s">
        <v>57</v>
      </c>
      <c r="F1127" t="s">
        <v>38</v>
      </c>
      <c r="G1127" t="s">
        <v>37</v>
      </c>
      <c r="H1127">
        <f t="shared" si="17"/>
        <v>88</v>
      </c>
    </row>
    <row r="1128" spans="1:8" x14ac:dyDescent="0.3">
      <c r="A1128" t="s">
        <v>59</v>
      </c>
      <c r="B1128" t="s">
        <v>8</v>
      </c>
      <c r="C1128" t="s">
        <v>16</v>
      </c>
      <c r="D1128">
        <v>548</v>
      </c>
      <c r="E1128" t="s">
        <v>57</v>
      </c>
      <c r="F1128" t="s">
        <v>38</v>
      </c>
      <c r="G1128" t="s">
        <v>37</v>
      </c>
      <c r="H1128">
        <f t="shared" si="17"/>
        <v>548</v>
      </c>
    </row>
    <row r="1129" spans="1:8" x14ac:dyDescent="0.3">
      <c r="A1129" t="s">
        <v>59</v>
      </c>
      <c r="B1129" t="s">
        <v>8</v>
      </c>
      <c r="C1129" t="s">
        <v>17</v>
      </c>
      <c r="D1129">
        <v>1927</v>
      </c>
      <c r="E1129" t="s">
        <v>57</v>
      </c>
      <c r="F1129" t="s">
        <v>38</v>
      </c>
      <c r="G1129" t="s">
        <v>37</v>
      </c>
      <c r="H1129">
        <f t="shared" si="17"/>
        <v>1930</v>
      </c>
    </row>
    <row r="1130" spans="1:8" x14ac:dyDescent="0.3">
      <c r="A1130" t="s">
        <v>59</v>
      </c>
      <c r="B1130" t="s">
        <v>8</v>
      </c>
      <c r="C1130" t="s">
        <v>18</v>
      </c>
      <c r="D1130">
        <v>0</v>
      </c>
      <c r="E1130" t="s">
        <v>57</v>
      </c>
      <c r="F1130" t="s">
        <v>38</v>
      </c>
      <c r="G1130" t="s">
        <v>37</v>
      </c>
      <c r="H1130">
        <f t="shared" si="17"/>
        <v>0</v>
      </c>
    </row>
    <row r="1131" spans="1:8" x14ac:dyDescent="0.3">
      <c r="A1131" t="s">
        <v>59</v>
      </c>
      <c r="B1131" t="s">
        <v>8</v>
      </c>
      <c r="C1131" t="s">
        <v>19</v>
      </c>
      <c r="D1131">
        <v>35</v>
      </c>
      <c r="E1131" t="s">
        <v>57</v>
      </c>
      <c r="F1131" t="s">
        <v>38</v>
      </c>
      <c r="G1131" t="s">
        <v>37</v>
      </c>
      <c r="H1131">
        <f t="shared" si="17"/>
        <v>35</v>
      </c>
    </row>
    <row r="1132" spans="1:8" x14ac:dyDescent="0.3">
      <c r="A1132" t="s">
        <v>59</v>
      </c>
      <c r="B1132" t="s">
        <v>8</v>
      </c>
      <c r="C1132" t="s">
        <v>20</v>
      </c>
      <c r="D1132">
        <v>38</v>
      </c>
      <c r="E1132" t="s">
        <v>57</v>
      </c>
      <c r="F1132" t="s">
        <v>38</v>
      </c>
      <c r="G1132" t="s">
        <v>37</v>
      </c>
      <c r="H1132">
        <f t="shared" si="17"/>
        <v>38</v>
      </c>
    </row>
    <row r="1133" spans="1:8" x14ac:dyDescent="0.3">
      <c r="A1133" t="s">
        <v>59</v>
      </c>
      <c r="B1133" t="s">
        <v>8</v>
      </c>
      <c r="C1133" t="s">
        <v>21</v>
      </c>
      <c r="D1133">
        <v>140</v>
      </c>
      <c r="E1133" t="s">
        <v>57</v>
      </c>
      <c r="F1133" t="s">
        <v>38</v>
      </c>
      <c r="G1133" t="s">
        <v>37</v>
      </c>
      <c r="H1133">
        <f t="shared" si="17"/>
        <v>140</v>
      </c>
    </row>
    <row r="1134" spans="1:8" x14ac:dyDescent="0.3">
      <c r="A1134" t="s">
        <v>59</v>
      </c>
      <c r="B1134" t="s">
        <v>8</v>
      </c>
      <c r="C1134" t="s">
        <v>22</v>
      </c>
      <c r="D1134">
        <v>1374</v>
      </c>
      <c r="E1134" t="s">
        <v>57</v>
      </c>
      <c r="F1134" t="s">
        <v>38</v>
      </c>
      <c r="G1134" t="s">
        <v>37</v>
      </c>
      <c r="H1134">
        <f t="shared" si="17"/>
        <v>1370</v>
      </c>
    </row>
    <row r="1135" spans="1:8" x14ac:dyDescent="0.3">
      <c r="A1135" t="s">
        <v>59</v>
      </c>
      <c r="B1135" t="s">
        <v>23</v>
      </c>
      <c r="C1135" t="s">
        <v>9</v>
      </c>
      <c r="D1135">
        <v>2176116</v>
      </c>
      <c r="E1135" t="s">
        <v>57</v>
      </c>
      <c r="F1135" t="s">
        <v>38</v>
      </c>
      <c r="G1135" t="s">
        <v>37</v>
      </c>
      <c r="H1135">
        <f t="shared" si="17"/>
        <v>2180000</v>
      </c>
    </row>
    <row r="1136" spans="1:8" x14ac:dyDescent="0.3">
      <c r="A1136" t="s">
        <v>59</v>
      </c>
      <c r="B1136" t="s">
        <v>23</v>
      </c>
      <c r="C1136" t="s">
        <v>13</v>
      </c>
      <c r="D1136">
        <v>97944</v>
      </c>
      <c r="E1136" t="s">
        <v>57</v>
      </c>
      <c r="F1136" t="s">
        <v>38</v>
      </c>
      <c r="G1136" t="s">
        <v>37</v>
      </c>
      <c r="H1136">
        <f t="shared" si="17"/>
        <v>97900</v>
      </c>
    </row>
    <row r="1137" spans="1:8" x14ac:dyDescent="0.3">
      <c r="A1137" t="s">
        <v>59</v>
      </c>
      <c r="B1137" t="s">
        <v>23</v>
      </c>
      <c r="C1137" t="s">
        <v>14</v>
      </c>
      <c r="D1137">
        <v>1188216</v>
      </c>
      <c r="E1137" t="s">
        <v>57</v>
      </c>
      <c r="F1137" t="s">
        <v>38</v>
      </c>
      <c r="G1137" t="s">
        <v>37</v>
      </c>
      <c r="H1137">
        <f t="shared" si="17"/>
        <v>1190000</v>
      </c>
    </row>
    <row r="1138" spans="1:8" x14ac:dyDescent="0.3">
      <c r="A1138" t="s">
        <v>59</v>
      </c>
      <c r="B1138" t="s">
        <v>23</v>
      </c>
      <c r="C1138" t="s">
        <v>15</v>
      </c>
      <c r="D1138">
        <v>20516</v>
      </c>
      <c r="E1138" t="s">
        <v>57</v>
      </c>
      <c r="F1138" t="s">
        <v>38</v>
      </c>
      <c r="G1138" t="s">
        <v>37</v>
      </c>
      <c r="H1138">
        <f t="shared" si="17"/>
        <v>20500</v>
      </c>
    </row>
    <row r="1139" spans="1:8" x14ac:dyDescent="0.3">
      <c r="A1139" t="s">
        <v>59</v>
      </c>
      <c r="B1139" t="s">
        <v>23</v>
      </c>
      <c r="C1139" t="s">
        <v>16</v>
      </c>
      <c r="D1139">
        <v>589629</v>
      </c>
      <c r="E1139" t="s">
        <v>57</v>
      </c>
      <c r="F1139" t="s">
        <v>38</v>
      </c>
      <c r="G1139" t="s">
        <v>37</v>
      </c>
      <c r="H1139">
        <f t="shared" si="17"/>
        <v>590000</v>
      </c>
    </row>
    <row r="1140" spans="1:8" x14ac:dyDescent="0.3">
      <c r="A1140" t="s">
        <v>59</v>
      </c>
      <c r="B1140" t="s">
        <v>23</v>
      </c>
      <c r="C1140" t="s">
        <v>17</v>
      </c>
      <c r="D1140">
        <v>40002</v>
      </c>
      <c r="E1140" t="s">
        <v>57</v>
      </c>
      <c r="F1140" t="s">
        <v>38</v>
      </c>
      <c r="G1140" t="s">
        <v>37</v>
      </c>
      <c r="H1140">
        <f t="shared" si="17"/>
        <v>40000</v>
      </c>
    </row>
    <row r="1141" spans="1:8" x14ac:dyDescent="0.3">
      <c r="A1141" t="s">
        <v>59</v>
      </c>
      <c r="B1141" t="s">
        <v>23</v>
      </c>
      <c r="C1141" t="s">
        <v>18</v>
      </c>
      <c r="D1141">
        <v>0</v>
      </c>
      <c r="E1141" t="s">
        <v>57</v>
      </c>
      <c r="F1141" t="s">
        <v>38</v>
      </c>
      <c r="G1141" t="s">
        <v>37</v>
      </c>
      <c r="H1141">
        <f t="shared" si="17"/>
        <v>0</v>
      </c>
    </row>
    <row r="1142" spans="1:8" x14ac:dyDescent="0.3">
      <c r="A1142" t="s">
        <v>59</v>
      </c>
      <c r="B1142" t="s">
        <v>23</v>
      </c>
      <c r="C1142" t="s">
        <v>19</v>
      </c>
      <c r="D1142">
        <v>39479</v>
      </c>
      <c r="E1142" t="s">
        <v>57</v>
      </c>
      <c r="F1142" t="s">
        <v>38</v>
      </c>
      <c r="G1142" t="s">
        <v>37</v>
      </c>
      <c r="H1142">
        <f t="shared" si="17"/>
        <v>39500</v>
      </c>
    </row>
    <row r="1143" spans="1:8" x14ac:dyDescent="0.3">
      <c r="A1143" t="s">
        <v>59</v>
      </c>
      <c r="B1143" t="s">
        <v>23</v>
      </c>
      <c r="C1143" t="s">
        <v>20</v>
      </c>
      <c r="D1143">
        <v>22589</v>
      </c>
      <c r="E1143" t="s">
        <v>57</v>
      </c>
      <c r="F1143" t="s">
        <v>38</v>
      </c>
      <c r="G1143" t="s">
        <v>37</v>
      </c>
      <c r="H1143">
        <f t="shared" si="17"/>
        <v>22600</v>
      </c>
    </row>
    <row r="1144" spans="1:8" x14ac:dyDescent="0.3">
      <c r="A1144" t="s">
        <v>59</v>
      </c>
      <c r="B1144" t="s">
        <v>23</v>
      </c>
      <c r="C1144" t="s">
        <v>21</v>
      </c>
      <c r="D1144">
        <v>21822</v>
      </c>
      <c r="E1144" t="s">
        <v>57</v>
      </c>
      <c r="F1144" t="s">
        <v>38</v>
      </c>
      <c r="G1144" t="s">
        <v>37</v>
      </c>
      <c r="H1144">
        <f t="shared" si="17"/>
        <v>21800</v>
      </c>
    </row>
    <row r="1145" spans="1:8" x14ac:dyDescent="0.3">
      <c r="A1145" t="s">
        <v>59</v>
      </c>
      <c r="B1145" t="s">
        <v>23</v>
      </c>
      <c r="C1145" t="s">
        <v>22</v>
      </c>
      <c r="D1145">
        <v>10445</v>
      </c>
      <c r="E1145" t="s">
        <v>57</v>
      </c>
      <c r="F1145" t="s">
        <v>38</v>
      </c>
      <c r="G1145" t="s">
        <v>37</v>
      </c>
      <c r="H1145">
        <f t="shared" si="17"/>
        <v>10400</v>
      </c>
    </row>
    <row r="1146" spans="1:8" x14ac:dyDescent="0.3">
      <c r="A1146" t="s">
        <v>60</v>
      </c>
      <c r="B1146" t="s">
        <v>8</v>
      </c>
      <c r="C1146" t="s">
        <v>9</v>
      </c>
      <c r="D1146">
        <v>198</v>
      </c>
      <c r="E1146" t="s">
        <v>57</v>
      </c>
      <c r="F1146" t="s">
        <v>38</v>
      </c>
      <c r="G1146" t="s">
        <v>37</v>
      </c>
      <c r="H1146">
        <f t="shared" si="17"/>
        <v>198</v>
      </c>
    </row>
    <row r="1147" spans="1:8" x14ac:dyDescent="0.3">
      <c r="A1147" t="s">
        <v>60</v>
      </c>
      <c r="B1147" t="s">
        <v>8</v>
      </c>
      <c r="C1147" t="s">
        <v>13</v>
      </c>
      <c r="D1147">
        <v>514</v>
      </c>
      <c r="E1147" t="s">
        <v>57</v>
      </c>
      <c r="F1147" t="s">
        <v>38</v>
      </c>
      <c r="G1147" t="s">
        <v>37</v>
      </c>
      <c r="H1147">
        <f t="shared" si="17"/>
        <v>514</v>
      </c>
    </row>
    <row r="1148" spans="1:8" x14ac:dyDescent="0.3">
      <c r="A1148" t="s">
        <v>60</v>
      </c>
      <c r="B1148" t="s">
        <v>8</v>
      </c>
      <c r="C1148" t="s">
        <v>14</v>
      </c>
      <c r="D1148">
        <v>508</v>
      </c>
      <c r="E1148" t="s">
        <v>57</v>
      </c>
      <c r="F1148" t="s">
        <v>38</v>
      </c>
      <c r="G1148" t="s">
        <v>37</v>
      </c>
      <c r="H1148">
        <f t="shared" si="17"/>
        <v>508</v>
      </c>
    </row>
    <row r="1149" spans="1:8" x14ac:dyDescent="0.3">
      <c r="A1149" t="s">
        <v>60</v>
      </c>
      <c r="B1149" t="s">
        <v>8</v>
      </c>
      <c r="C1149" t="s">
        <v>15</v>
      </c>
      <c r="D1149">
        <v>37</v>
      </c>
      <c r="E1149" t="s">
        <v>57</v>
      </c>
      <c r="F1149" t="s">
        <v>38</v>
      </c>
      <c r="G1149" t="s">
        <v>37</v>
      </c>
      <c r="H1149">
        <f t="shared" si="17"/>
        <v>37</v>
      </c>
    </row>
    <row r="1150" spans="1:8" x14ac:dyDescent="0.3">
      <c r="A1150" t="s">
        <v>60</v>
      </c>
      <c r="B1150" t="s">
        <v>8</v>
      </c>
      <c r="C1150" t="s">
        <v>16</v>
      </c>
      <c r="D1150">
        <v>686</v>
      </c>
      <c r="E1150" t="s">
        <v>57</v>
      </c>
      <c r="F1150" t="s">
        <v>38</v>
      </c>
      <c r="G1150" t="s">
        <v>37</v>
      </c>
      <c r="H1150">
        <f t="shared" si="17"/>
        <v>686</v>
      </c>
    </row>
    <row r="1151" spans="1:8" x14ac:dyDescent="0.3">
      <c r="A1151" t="s">
        <v>60</v>
      </c>
      <c r="B1151" t="s">
        <v>8</v>
      </c>
      <c r="C1151" t="s">
        <v>17</v>
      </c>
      <c r="D1151">
        <v>116</v>
      </c>
      <c r="E1151" t="s">
        <v>57</v>
      </c>
      <c r="F1151" t="s">
        <v>38</v>
      </c>
      <c r="G1151" t="s">
        <v>37</v>
      </c>
      <c r="H1151">
        <f t="shared" si="17"/>
        <v>116</v>
      </c>
    </row>
    <row r="1152" spans="1:8" x14ac:dyDescent="0.3">
      <c r="A1152" t="s">
        <v>60</v>
      </c>
      <c r="B1152" t="s">
        <v>8</v>
      </c>
      <c r="C1152" t="s">
        <v>18</v>
      </c>
      <c r="D1152">
        <v>0</v>
      </c>
      <c r="E1152" t="s">
        <v>57</v>
      </c>
      <c r="F1152" t="s">
        <v>38</v>
      </c>
      <c r="G1152" t="s">
        <v>37</v>
      </c>
      <c r="H1152">
        <f t="shared" si="17"/>
        <v>0</v>
      </c>
    </row>
    <row r="1153" spans="1:8" x14ac:dyDescent="0.3">
      <c r="A1153" t="s">
        <v>60</v>
      </c>
      <c r="B1153" t="s">
        <v>8</v>
      </c>
      <c r="C1153" t="s">
        <v>19</v>
      </c>
      <c r="D1153">
        <v>7</v>
      </c>
      <c r="E1153" t="s">
        <v>57</v>
      </c>
      <c r="F1153" t="s">
        <v>38</v>
      </c>
      <c r="G1153" t="s">
        <v>37</v>
      </c>
      <c r="H1153">
        <f t="shared" si="17"/>
        <v>7</v>
      </c>
    </row>
    <row r="1154" spans="1:8" x14ac:dyDescent="0.3">
      <c r="A1154" t="s">
        <v>60</v>
      </c>
      <c r="B1154" t="s">
        <v>8</v>
      </c>
      <c r="C1154" t="s">
        <v>20</v>
      </c>
      <c r="D1154">
        <v>109</v>
      </c>
      <c r="E1154" t="s">
        <v>57</v>
      </c>
      <c r="F1154" t="s">
        <v>38</v>
      </c>
      <c r="G1154" t="s">
        <v>37</v>
      </c>
      <c r="H1154">
        <f t="shared" si="17"/>
        <v>109</v>
      </c>
    </row>
    <row r="1155" spans="1:8" x14ac:dyDescent="0.3">
      <c r="A1155" t="s">
        <v>60</v>
      </c>
      <c r="B1155" t="s">
        <v>8</v>
      </c>
      <c r="C1155" t="s">
        <v>21</v>
      </c>
      <c r="D1155">
        <v>623</v>
      </c>
      <c r="E1155" t="s">
        <v>57</v>
      </c>
      <c r="F1155" t="s">
        <v>38</v>
      </c>
      <c r="G1155" t="s">
        <v>37</v>
      </c>
      <c r="H1155">
        <f t="shared" ref="H1155:H1218" si="18">ROUND(D1155, 3 - LEN(INT(ABS(D1155))))</f>
        <v>623</v>
      </c>
    </row>
    <row r="1156" spans="1:8" x14ac:dyDescent="0.3">
      <c r="A1156" t="s">
        <v>60</v>
      </c>
      <c r="B1156" t="s">
        <v>8</v>
      </c>
      <c r="C1156" t="s">
        <v>22</v>
      </c>
      <c r="D1156">
        <v>31905</v>
      </c>
      <c r="E1156" t="s">
        <v>57</v>
      </c>
      <c r="F1156" t="s">
        <v>38</v>
      </c>
      <c r="G1156" t="s">
        <v>37</v>
      </c>
      <c r="H1156">
        <f t="shared" si="18"/>
        <v>31900</v>
      </c>
    </row>
    <row r="1157" spans="1:8" x14ac:dyDescent="0.3">
      <c r="A1157" t="s">
        <v>60</v>
      </c>
      <c r="B1157" t="s">
        <v>23</v>
      </c>
      <c r="C1157" t="s">
        <v>9</v>
      </c>
      <c r="D1157">
        <v>57693</v>
      </c>
      <c r="E1157" t="s">
        <v>57</v>
      </c>
      <c r="F1157" t="s">
        <v>38</v>
      </c>
      <c r="G1157" t="s">
        <v>37</v>
      </c>
      <c r="H1157">
        <f t="shared" si="18"/>
        <v>57700</v>
      </c>
    </row>
    <row r="1158" spans="1:8" x14ac:dyDescent="0.3">
      <c r="A1158" t="s">
        <v>60</v>
      </c>
      <c r="B1158" t="s">
        <v>23</v>
      </c>
      <c r="C1158" t="s">
        <v>13</v>
      </c>
      <c r="D1158">
        <v>440048</v>
      </c>
      <c r="E1158" t="s">
        <v>57</v>
      </c>
      <c r="F1158" t="s">
        <v>38</v>
      </c>
      <c r="G1158" t="s">
        <v>37</v>
      </c>
      <c r="H1158">
        <f t="shared" si="18"/>
        <v>440000</v>
      </c>
    </row>
    <row r="1159" spans="1:8" x14ac:dyDescent="0.3">
      <c r="A1159" t="s">
        <v>60</v>
      </c>
      <c r="B1159" t="s">
        <v>23</v>
      </c>
      <c r="C1159" t="s">
        <v>14</v>
      </c>
      <c r="D1159">
        <v>460861</v>
      </c>
      <c r="E1159" t="s">
        <v>57</v>
      </c>
      <c r="F1159" t="s">
        <v>38</v>
      </c>
      <c r="G1159" t="s">
        <v>37</v>
      </c>
      <c r="H1159">
        <f t="shared" si="18"/>
        <v>461000</v>
      </c>
    </row>
    <row r="1160" spans="1:8" x14ac:dyDescent="0.3">
      <c r="A1160" t="s">
        <v>60</v>
      </c>
      <c r="B1160" t="s">
        <v>23</v>
      </c>
      <c r="C1160" t="s">
        <v>15</v>
      </c>
      <c r="D1160">
        <v>14493</v>
      </c>
      <c r="E1160" t="s">
        <v>57</v>
      </c>
      <c r="F1160" t="s">
        <v>38</v>
      </c>
      <c r="G1160" t="s">
        <v>37</v>
      </c>
      <c r="H1160">
        <f t="shared" si="18"/>
        <v>14500</v>
      </c>
    </row>
    <row r="1161" spans="1:8" x14ac:dyDescent="0.3">
      <c r="A1161" t="s">
        <v>60</v>
      </c>
      <c r="B1161" t="s">
        <v>23</v>
      </c>
      <c r="C1161" t="s">
        <v>16</v>
      </c>
      <c r="D1161">
        <v>151876</v>
      </c>
      <c r="E1161" t="s">
        <v>57</v>
      </c>
      <c r="F1161" t="s">
        <v>38</v>
      </c>
      <c r="G1161" t="s">
        <v>37</v>
      </c>
      <c r="H1161">
        <f t="shared" si="18"/>
        <v>152000</v>
      </c>
    </row>
    <row r="1162" spans="1:8" x14ac:dyDescent="0.3">
      <c r="A1162" t="s">
        <v>60</v>
      </c>
      <c r="B1162" t="s">
        <v>23</v>
      </c>
      <c r="C1162" t="s">
        <v>17</v>
      </c>
      <c r="D1162">
        <v>15607</v>
      </c>
      <c r="E1162" t="s">
        <v>57</v>
      </c>
      <c r="F1162" t="s">
        <v>38</v>
      </c>
      <c r="G1162" t="s">
        <v>37</v>
      </c>
      <c r="H1162">
        <f t="shared" si="18"/>
        <v>15600</v>
      </c>
    </row>
    <row r="1163" spans="1:8" x14ac:dyDescent="0.3">
      <c r="A1163" t="s">
        <v>60</v>
      </c>
      <c r="B1163" t="s">
        <v>23</v>
      </c>
      <c r="C1163" t="s">
        <v>18</v>
      </c>
      <c r="D1163">
        <v>0</v>
      </c>
      <c r="E1163" t="s">
        <v>57</v>
      </c>
      <c r="F1163" t="s">
        <v>38</v>
      </c>
      <c r="G1163" t="s">
        <v>37</v>
      </c>
      <c r="H1163">
        <f t="shared" si="18"/>
        <v>0</v>
      </c>
    </row>
    <row r="1164" spans="1:8" x14ac:dyDescent="0.3">
      <c r="A1164" t="s">
        <v>60</v>
      </c>
      <c r="B1164" t="s">
        <v>23</v>
      </c>
      <c r="C1164" t="s">
        <v>19</v>
      </c>
      <c r="D1164">
        <v>61428</v>
      </c>
      <c r="E1164" t="s">
        <v>57</v>
      </c>
      <c r="F1164" t="s">
        <v>38</v>
      </c>
      <c r="G1164" t="s">
        <v>37</v>
      </c>
      <c r="H1164">
        <f t="shared" si="18"/>
        <v>61400</v>
      </c>
    </row>
    <row r="1165" spans="1:8" x14ac:dyDescent="0.3">
      <c r="A1165" t="s">
        <v>60</v>
      </c>
      <c r="B1165" t="s">
        <v>23</v>
      </c>
      <c r="C1165" t="s">
        <v>20</v>
      </c>
      <c r="D1165">
        <v>17086</v>
      </c>
      <c r="E1165" t="s">
        <v>57</v>
      </c>
      <c r="F1165" t="s">
        <v>38</v>
      </c>
      <c r="G1165" t="s">
        <v>37</v>
      </c>
      <c r="H1165">
        <f t="shared" si="18"/>
        <v>17100</v>
      </c>
    </row>
    <row r="1166" spans="1:8" x14ac:dyDescent="0.3">
      <c r="A1166" t="s">
        <v>60</v>
      </c>
      <c r="B1166" t="s">
        <v>23</v>
      </c>
      <c r="C1166" t="s">
        <v>21</v>
      </c>
      <c r="D1166">
        <v>10049</v>
      </c>
      <c r="E1166" t="s">
        <v>57</v>
      </c>
      <c r="F1166" t="s">
        <v>38</v>
      </c>
      <c r="G1166" t="s">
        <v>37</v>
      </c>
      <c r="H1166">
        <f t="shared" si="18"/>
        <v>10000</v>
      </c>
    </row>
    <row r="1167" spans="1:8" x14ac:dyDescent="0.3">
      <c r="A1167" t="s">
        <v>60</v>
      </c>
      <c r="B1167" t="s">
        <v>23</v>
      </c>
      <c r="C1167" t="s">
        <v>22</v>
      </c>
      <c r="D1167">
        <v>1350249</v>
      </c>
      <c r="E1167" t="s">
        <v>57</v>
      </c>
      <c r="F1167" t="s">
        <v>38</v>
      </c>
      <c r="G1167" t="s">
        <v>37</v>
      </c>
      <c r="H1167">
        <f t="shared" si="18"/>
        <v>1350000</v>
      </c>
    </row>
    <row r="1168" spans="1:8" x14ac:dyDescent="0.3">
      <c r="A1168" t="s">
        <v>25</v>
      </c>
      <c r="B1168" t="s">
        <v>8</v>
      </c>
      <c r="C1168" t="s">
        <v>9</v>
      </c>
      <c r="D1168">
        <v>674</v>
      </c>
      <c r="E1168" t="s">
        <v>57</v>
      </c>
      <c r="F1168" t="s">
        <v>38</v>
      </c>
      <c r="G1168" t="s">
        <v>37</v>
      </c>
      <c r="H1168">
        <f t="shared" si="18"/>
        <v>674</v>
      </c>
    </row>
    <row r="1169" spans="1:8" x14ac:dyDescent="0.3">
      <c r="A1169" t="s">
        <v>25</v>
      </c>
      <c r="B1169" t="s">
        <v>8</v>
      </c>
      <c r="C1169" t="s">
        <v>13</v>
      </c>
      <c r="D1169">
        <v>7760</v>
      </c>
      <c r="E1169" t="s">
        <v>57</v>
      </c>
      <c r="F1169" t="s">
        <v>38</v>
      </c>
      <c r="G1169" t="s">
        <v>37</v>
      </c>
      <c r="H1169">
        <f t="shared" si="18"/>
        <v>7760</v>
      </c>
    </row>
    <row r="1170" spans="1:8" x14ac:dyDescent="0.3">
      <c r="A1170" t="s">
        <v>25</v>
      </c>
      <c r="B1170" t="s">
        <v>8</v>
      </c>
      <c r="C1170" t="s">
        <v>14</v>
      </c>
      <c r="D1170">
        <v>1734</v>
      </c>
      <c r="E1170" t="s">
        <v>57</v>
      </c>
      <c r="F1170" t="s">
        <v>38</v>
      </c>
      <c r="G1170" t="s">
        <v>37</v>
      </c>
      <c r="H1170">
        <f t="shared" si="18"/>
        <v>1730</v>
      </c>
    </row>
    <row r="1171" spans="1:8" x14ac:dyDescent="0.3">
      <c r="A1171" t="s">
        <v>25</v>
      </c>
      <c r="B1171" t="s">
        <v>8</v>
      </c>
      <c r="C1171" t="s">
        <v>15</v>
      </c>
      <c r="D1171">
        <v>134</v>
      </c>
      <c r="E1171" t="s">
        <v>57</v>
      </c>
      <c r="F1171" t="s">
        <v>38</v>
      </c>
      <c r="G1171" t="s">
        <v>37</v>
      </c>
      <c r="H1171">
        <f t="shared" si="18"/>
        <v>134</v>
      </c>
    </row>
    <row r="1172" spans="1:8" x14ac:dyDescent="0.3">
      <c r="A1172" t="s">
        <v>25</v>
      </c>
      <c r="B1172" t="s">
        <v>8</v>
      </c>
      <c r="C1172" t="s">
        <v>16</v>
      </c>
      <c r="D1172">
        <v>2344</v>
      </c>
      <c r="E1172" t="s">
        <v>57</v>
      </c>
      <c r="F1172" t="s">
        <v>38</v>
      </c>
      <c r="G1172" t="s">
        <v>37</v>
      </c>
      <c r="H1172">
        <f t="shared" si="18"/>
        <v>2340</v>
      </c>
    </row>
    <row r="1173" spans="1:8" x14ac:dyDescent="0.3">
      <c r="A1173" t="s">
        <v>25</v>
      </c>
      <c r="B1173" t="s">
        <v>8</v>
      </c>
      <c r="C1173" t="s">
        <v>17</v>
      </c>
      <c r="D1173">
        <v>417</v>
      </c>
      <c r="E1173" t="s">
        <v>57</v>
      </c>
      <c r="F1173" t="s">
        <v>38</v>
      </c>
      <c r="G1173" t="s">
        <v>37</v>
      </c>
      <c r="H1173">
        <f t="shared" si="18"/>
        <v>417</v>
      </c>
    </row>
    <row r="1174" spans="1:8" x14ac:dyDescent="0.3">
      <c r="A1174" t="s">
        <v>25</v>
      </c>
      <c r="B1174" t="s">
        <v>8</v>
      </c>
      <c r="C1174" t="s">
        <v>18</v>
      </c>
      <c r="D1174">
        <v>0</v>
      </c>
      <c r="E1174" t="s">
        <v>57</v>
      </c>
      <c r="F1174" t="s">
        <v>38</v>
      </c>
      <c r="G1174" t="s">
        <v>37</v>
      </c>
      <c r="H1174">
        <f t="shared" si="18"/>
        <v>0</v>
      </c>
    </row>
    <row r="1175" spans="1:8" x14ac:dyDescent="0.3">
      <c r="A1175" t="s">
        <v>25</v>
      </c>
      <c r="B1175" t="s">
        <v>8</v>
      </c>
      <c r="C1175" t="s">
        <v>19</v>
      </c>
      <c r="D1175">
        <v>40</v>
      </c>
      <c r="E1175" t="s">
        <v>57</v>
      </c>
      <c r="F1175" t="s">
        <v>38</v>
      </c>
      <c r="G1175" t="s">
        <v>37</v>
      </c>
      <c r="H1175">
        <f t="shared" si="18"/>
        <v>40</v>
      </c>
    </row>
    <row r="1176" spans="1:8" x14ac:dyDescent="0.3">
      <c r="A1176" t="s">
        <v>25</v>
      </c>
      <c r="B1176" t="s">
        <v>8</v>
      </c>
      <c r="C1176" t="s">
        <v>20</v>
      </c>
      <c r="D1176">
        <v>372</v>
      </c>
      <c r="E1176" t="s">
        <v>57</v>
      </c>
      <c r="F1176" t="s">
        <v>38</v>
      </c>
      <c r="G1176" t="s">
        <v>37</v>
      </c>
      <c r="H1176">
        <f t="shared" si="18"/>
        <v>372</v>
      </c>
    </row>
    <row r="1177" spans="1:8" x14ac:dyDescent="0.3">
      <c r="A1177" t="s">
        <v>25</v>
      </c>
      <c r="B1177" t="s">
        <v>8</v>
      </c>
      <c r="C1177" t="s">
        <v>21</v>
      </c>
      <c r="D1177">
        <v>2122</v>
      </c>
      <c r="E1177" t="s">
        <v>57</v>
      </c>
      <c r="F1177" t="s">
        <v>38</v>
      </c>
      <c r="G1177" t="s">
        <v>37</v>
      </c>
      <c r="H1177">
        <f t="shared" si="18"/>
        <v>2120</v>
      </c>
    </row>
    <row r="1178" spans="1:8" x14ac:dyDescent="0.3">
      <c r="A1178" t="s">
        <v>25</v>
      </c>
      <c r="B1178" t="s">
        <v>8</v>
      </c>
      <c r="C1178" t="s">
        <v>22</v>
      </c>
      <c r="D1178">
        <v>109762</v>
      </c>
      <c r="E1178" t="s">
        <v>57</v>
      </c>
      <c r="F1178" t="s">
        <v>38</v>
      </c>
      <c r="G1178" t="s">
        <v>37</v>
      </c>
      <c r="H1178">
        <f t="shared" si="18"/>
        <v>110000</v>
      </c>
    </row>
    <row r="1179" spans="1:8" x14ac:dyDescent="0.3">
      <c r="A1179" t="s">
        <v>25</v>
      </c>
      <c r="B1179" t="s">
        <v>23</v>
      </c>
      <c r="C1179" t="s">
        <v>9</v>
      </c>
      <c r="D1179">
        <v>200667</v>
      </c>
      <c r="E1179" t="s">
        <v>57</v>
      </c>
      <c r="F1179" t="s">
        <v>38</v>
      </c>
      <c r="G1179" t="s">
        <v>37</v>
      </c>
      <c r="H1179">
        <f t="shared" si="18"/>
        <v>201000</v>
      </c>
    </row>
    <row r="1180" spans="1:8" x14ac:dyDescent="0.3">
      <c r="A1180" t="s">
        <v>25</v>
      </c>
      <c r="B1180" t="s">
        <v>23</v>
      </c>
      <c r="C1180" t="s">
        <v>13</v>
      </c>
      <c r="D1180">
        <v>2379531</v>
      </c>
      <c r="E1180" t="s">
        <v>57</v>
      </c>
      <c r="F1180" t="s">
        <v>38</v>
      </c>
      <c r="G1180" t="s">
        <v>37</v>
      </c>
      <c r="H1180">
        <f t="shared" si="18"/>
        <v>2380000</v>
      </c>
    </row>
    <row r="1181" spans="1:8" x14ac:dyDescent="0.3">
      <c r="A1181" t="s">
        <v>25</v>
      </c>
      <c r="B1181" t="s">
        <v>23</v>
      </c>
      <c r="C1181" t="s">
        <v>14</v>
      </c>
      <c r="D1181">
        <v>1661072</v>
      </c>
      <c r="E1181" t="s">
        <v>57</v>
      </c>
      <c r="F1181" t="s">
        <v>38</v>
      </c>
      <c r="G1181" t="s">
        <v>37</v>
      </c>
      <c r="H1181">
        <f t="shared" si="18"/>
        <v>1660000</v>
      </c>
    </row>
    <row r="1182" spans="1:8" x14ac:dyDescent="0.3">
      <c r="A1182" t="s">
        <v>25</v>
      </c>
      <c r="B1182" t="s">
        <v>23</v>
      </c>
      <c r="C1182" t="s">
        <v>15</v>
      </c>
      <c r="D1182">
        <v>51681</v>
      </c>
      <c r="E1182" t="s">
        <v>57</v>
      </c>
      <c r="F1182" t="s">
        <v>38</v>
      </c>
      <c r="G1182" t="s">
        <v>37</v>
      </c>
      <c r="H1182">
        <f t="shared" si="18"/>
        <v>51700</v>
      </c>
    </row>
    <row r="1183" spans="1:8" x14ac:dyDescent="0.3">
      <c r="A1183" t="s">
        <v>25</v>
      </c>
      <c r="B1183" t="s">
        <v>23</v>
      </c>
      <c r="C1183" t="s">
        <v>16</v>
      </c>
      <c r="D1183">
        <v>523760</v>
      </c>
      <c r="E1183" t="s">
        <v>57</v>
      </c>
      <c r="F1183" t="s">
        <v>38</v>
      </c>
      <c r="G1183" t="s">
        <v>37</v>
      </c>
      <c r="H1183">
        <f t="shared" si="18"/>
        <v>524000</v>
      </c>
    </row>
    <row r="1184" spans="1:8" x14ac:dyDescent="0.3">
      <c r="A1184" t="s">
        <v>25</v>
      </c>
      <c r="B1184" t="s">
        <v>23</v>
      </c>
      <c r="C1184" t="s">
        <v>17</v>
      </c>
      <c r="D1184">
        <v>53557</v>
      </c>
      <c r="E1184" t="s">
        <v>57</v>
      </c>
      <c r="F1184" t="s">
        <v>38</v>
      </c>
      <c r="G1184" t="s">
        <v>37</v>
      </c>
      <c r="H1184">
        <f t="shared" si="18"/>
        <v>53600</v>
      </c>
    </row>
    <row r="1185" spans="1:8" x14ac:dyDescent="0.3">
      <c r="A1185" t="s">
        <v>25</v>
      </c>
      <c r="B1185" t="s">
        <v>23</v>
      </c>
      <c r="C1185" t="s">
        <v>18</v>
      </c>
      <c r="D1185">
        <v>3</v>
      </c>
      <c r="E1185" t="s">
        <v>57</v>
      </c>
      <c r="F1185" t="s">
        <v>38</v>
      </c>
      <c r="G1185" t="s">
        <v>37</v>
      </c>
      <c r="H1185">
        <f t="shared" si="18"/>
        <v>3</v>
      </c>
    </row>
    <row r="1186" spans="1:8" x14ac:dyDescent="0.3">
      <c r="A1186" t="s">
        <v>25</v>
      </c>
      <c r="B1186" t="s">
        <v>23</v>
      </c>
      <c r="C1186" t="s">
        <v>19</v>
      </c>
      <c r="D1186">
        <v>233172</v>
      </c>
      <c r="E1186" t="s">
        <v>57</v>
      </c>
      <c r="F1186" t="s">
        <v>38</v>
      </c>
      <c r="G1186" t="s">
        <v>37</v>
      </c>
      <c r="H1186">
        <f t="shared" si="18"/>
        <v>233000</v>
      </c>
    </row>
    <row r="1187" spans="1:8" x14ac:dyDescent="0.3">
      <c r="A1187" t="s">
        <v>25</v>
      </c>
      <c r="B1187" t="s">
        <v>23</v>
      </c>
      <c r="C1187" t="s">
        <v>20</v>
      </c>
      <c r="D1187">
        <v>60202</v>
      </c>
      <c r="E1187" t="s">
        <v>57</v>
      </c>
      <c r="F1187" t="s">
        <v>38</v>
      </c>
      <c r="G1187" t="s">
        <v>37</v>
      </c>
      <c r="H1187">
        <f t="shared" si="18"/>
        <v>60200</v>
      </c>
    </row>
    <row r="1188" spans="1:8" x14ac:dyDescent="0.3">
      <c r="A1188" t="s">
        <v>25</v>
      </c>
      <c r="B1188" t="s">
        <v>23</v>
      </c>
      <c r="C1188" t="s">
        <v>21</v>
      </c>
      <c r="D1188">
        <v>35525</v>
      </c>
      <c r="E1188" t="s">
        <v>57</v>
      </c>
      <c r="F1188" t="s">
        <v>38</v>
      </c>
      <c r="G1188" t="s">
        <v>37</v>
      </c>
      <c r="H1188">
        <f t="shared" si="18"/>
        <v>35500</v>
      </c>
    </row>
    <row r="1189" spans="1:8" x14ac:dyDescent="0.3">
      <c r="A1189" t="s">
        <v>25</v>
      </c>
      <c r="B1189" t="s">
        <v>23</v>
      </c>
      <c r="C1189" t="s">
        <v>22</v>
      </c>
      <c r="D1189">
        <v>4647588</v>
      </c>
      <c r="E1189" t="s">
        <v>57</v>
      </c>
      <c r="F1189" t="s">
        <v>38</v>
      </c>
      <c r="G1189" t="s">
        <v>37</v>
      </c>
      <c r="H1189">
        <f t="shared" si="18"/>
        <v>4650000</v>
      </c>
    </row>
    <row r="1190" spans="1:8" x14ac:dyDescent="0.3">
      <c r="A1190" t="s">
        <v>61</v>
      </c>
      <c r="B1190" t="s">
        <v>8</v>
      </c>
      <c r="C1190" t="s">
        <v>9</v>
      </c>
      <c r="D1190">
        <v>294</v>
      </c>
      <c r="E1190" t="s">
        <v>57</v>
      </c>
      <c r="F1190" t="s">
        <v>38</v>
      </c>
      <c r="G1190" t="s">
        <v>37</v>
      </c>
      <c r="H1190">
        <f t="shared" si="18"/>
        <v>294</v>
      </c>
    </row>
    <row r="1191" spans="1:8" x14ac:dyDescent="0.3">
      <c r="A1191" t="s">
        <v>61</v>
      </c>
      <c r="B1191" t="s">
        <v>8</v>
      </c>
      <c r="C1191" t="s">
        <v>13</v>
      </c>
      <c r="D1191">
        <v>765</v>
      </c>
      <c r="E1191" t="s">
        <v>57</v>
      </c>
      <c r="F1191" t="s">
        <v>38</v>
      </c>
      <c r="G1191" t="s">
        <v>37</v>
      </c>
      <c r="H1191">
        <f t="shared" si="18"/>
        <v>765</v>
      </c>
    </row>
    <row r="1192" spans="1:8" x14ac:dyDescent="0.3">
      <c r="A1192" t="s">
        <v>61</v>
      </c>
      <c r="B1192" t="s">
        <v>8</v>
      </c>
      <c r="C1192" t="s">
        <v>14</v>
      </c>
      <c r="D1192">
        <v>757</v>
      </c>
      <c r="E1192" t="s">
        <v>57</v>
      </c>
      <c r="F1192" t="s">
        <v>38</v>
      </c>
      <c r="G1192" t="s">
        <v>37</v>
      </c>
      <c r="H1192">
        <f t="shared" si="18"/>
        <v>757</v>
      </c>
    </row>
    <row r="1193" spans="1:8" x14ac:dyDescent="0.3">
      <c r="A1193" t="s">
        <v>61</v>
      </c>
      <c r="B1193" t="s">
        <v>8</v>
      </c>
      <c r="C1193" t="s">
        <v>15</v>
      </c>
      <c r="D1193">
        <v>56</v>
      </c>
      <c r="E1193" t="s">
        <v>57</v>
      </c>
      <c r="F1193" t="s">
        <v>38</v>
      </c>
      <c r="G1193" t="s">
        <v>37</v>
      </c>
      <c r="H1193">
        <f t="shared" si="18"/>
        <v>56</v>
      </c>
    </row>
    <row r="1194" spans="1:8" x14ac:dyDescent="0.3">
      <c r="A1194" t="s">
        <v>61</v>
      </c>
      <c r="B1194" t="s">
        <v>8</v>
      </c>
      <c r="C1194" t="s">
        <v>16</v>
      </c>
      <c r="D1194">
        <v>1021</v>
      </c>
      <c r="E1194" t="s">
        <v>57</v>
      </c>
      <c r="F1194" t="s">
        <v>38</v>
      </c>
      <c r="G1194" t="s">
        <v>37</v>
      </c>
      <c r="H1194">
        <f t="shared" si="18"/>
        <v>1020</v>
      </c>
    </row>
    <row r="1195" spans="1:8" x14ac:dyDescent="0.3">
      <c r="A1195" t="s">
        <v>61</v>
      </c>
      <c r="B1195" t="s">
        <v>8</v>
      </c>
      <c r="C1195" t="s">
        <v>17</v>
      </c>
      <c r="D1195">
        <v>173</v>
      </c>
      <c r="E1195" t="s">
        <v>57</v>
      </c>
      <c r="F1195" t="s">
        <v>38</v>
      </c>
      <c r="G1195" t="s">
        <v>37</v>
      </c>
      <c r="H1195">
        <f t="shared" si="18"/>
        <v>173</v>
      </c>
    </row>
    <row r="1196" spans="1:8" x14ac:dyDescent="0.3">
      <c r="A1196" t="s">
        <v>61</v>
      </c>
      <c r="B1196" t="s">
        <v>8</v>
      </c>
      <c r="C1196" t="s">
        <v>18</v>
      </c>
      <c r="D1196">
        <v>0</v>
      </c>
      <c r="E1196" t="s">
        <v>57</v>
      </c>
      <c r="F1196" t="s">
        <v>38</v>
      </c>
      <c r="G1196" t="s">
        <v>37</v>
      </c>
      <c r="H1196">
        <f t="shared" si="18"/>
        <v>0</v>
      </c>
    </row>
    <row r="1197" spans="1:8" x14ac:dyDescent="0.3">
      <c r="A1197" t="s">
        <v>61</v>
      </c>
      <c r="B1197" t="s">
        <v>8</v>
      </c>
      <c r="C1197" t="s">
        <v>19</v>
      </c>
      <c r="D1197">
        <v>10</v>
      </c>
      <c r="E1197" t="s">
        <v>57</v>
      </c>
      <c r="F1197" t="s">
        <v>38</v>
      </c>
      <c r="G1197" t="s">
        <v>37</v>
      </c>
      <c r="H1197">
        <f t="shared" si="18"/>
        <v>10</v>
      </c>
    </row>
    <row r="1198" spans="1:8" x14ac:dyDescent="0.3">
      <c r="A1198" t="s">
        <v>61</v>
      </c>
      <c r="B1198" t="s">
        <v>8</v>
      </c>
      <c r="C1198" t="s">
        <v>20</v>
      </c>
      <c r="D1198">
        <v>163</v>
      </c>
      <c r="E1198" t="s">
        <v>57</v>
      </c>
      <c r="F1198" t="s">
        <v>38</v>
      </c>
      <c r="G1198" t="s">
        <v>37</v>
      </c>
      <c r="H1198">
        <f t="shared" si="18"/>
        <v>163</v>
      </c>
    </row>
    <row r="1199" spans="1:8" x14ac:dyDescent="0.3">
      <c r="A1199" t="s">
        <v>61</v>
      </c>
      <c r="B1199" t="s">
        <v>8</v>
      </c>
      <c r="C1199" t="s">
        <v>21</v>
      </c>
      <c r="D1199">
        <v>928</v>
      </c>
      <c r="E1199" t="s">
        <v>57</v>
      </c>
      <c r="F1199" t="s">
        <v>38</v>
      </c>
      <c r="G1199" t="s">
        <v>37</v>
      </c>
      <c r="H1199">
        <f t="shared" si="18"/>
        <v>928</v>
      </c>
    </row>
    <row r="1200" spans="1:8" x14ac:dyDescent="0.3">
      <c r="A1200" t="s">
        <v>61</v>
      </c>
      <c r="B1200" t="s">
        <v>8</v>
      </c>
      <c r="C1200" t="s">
        <v>22</v>
      </c>
      <c r="D1200">
        <v>47486</v>
      </c>
      <c r="E1200" t="s">
        <v>57</v>
      </c>
      <c r="F1200" t="s">
        <v>38</v>
      </c>
      <c r="G1200" t="s">
        <v>37</v>
      </c>
      <c r="H1200">
        <f t="shared" si="18"/>
        <v>47500</v>
      </c>
    </row>
    <row r="1201" spans="1:8" x14ac:dyDescent="0.3">
      <c r="A1201" t="s">
        <v>61</v>
      </c>
      <c r="B1201" t="s">
        <v>23</v>
      </c>
      <c r="C1201" t="s">
        <v>9</v>
      </c>
      <c r="D1201">
        <v>85869</v>
      </c>
      <c r="E1201" t="s">
        <v>57</v>
      </c>
      <c r="F1201" t="s">
        <v>38</v>
      </c>
      <c r="G1201" t="s">
        <v>37</v>
      </c>
      <c r="H1201">
        <f t="shared" si="18"/>
        <v>85900</v>
      </c>
    </row>
    <row r="1202" spans="1:8" x14ac:dyDescent="0.3">
      <c r="A1202" t="s">
        <v>61</v>
      </c>
      <c r="B1202" t="s">
        <v>23</v>
      </c>
      <c r="C1202" t="s">
        <v>13</v>
      </c>
      <c r="D1202">
        <v>654955</v>
      </c>
      <c r="E1202" t="s">
        <v>57</v>
      </c>
      <c r="F1202" t="s">
        <v>38</v>
      </c>
      <c r="G1202" t="s">
        <v>37</v>
      </c>
      <c r="H1202">
        <f t="shared" si="18"/>
        <v>655000</v>
      </c>
    </row>
    <row r="1203" spans="1:8" x14ac:dyDescent="0.3">
      <c r="A1203" t="s">
        <v>61</v>
      </c>
      <c r="B1203" t="s">
        <v>23</v>
      </c>
      <c r="C1203" t="s">
        <v>14</v>
      </c>
      <c r="D1203">
        <v>685933</v>
      </c>
      <c r="E1203" t="s">
        <v>57</v>
      </c>
      <c r="F1203" t="s">
        <v>38</v>
      </c>
      <c r="G1203" t="s">
        <v>37</v>
      </c>
      <c r="H1203">
        <f t="shared" si="18"/>
        <v>686000</v>
      </c>
    </row>
    <row r="1204" spans="1:8" x14ac:dyDescent="0.3">
      <c r="A1204" t="s">
        <v>61</v>
      </c>
      <c r="B1204" t="s">
        <v>23</v>
      </c>
      <c r="C1204" t="s">
        <v>15</v>
      </c>
      <c r="D1204">
        <v>21572</v>
      </c>
      <c r="E1204" t="s">
        <v>57</v>
      </c>
      <c r="F1204" t="s">
        <v>38</v>
      </c>
      <c r="G1204" t="s">
        <v>37</v>
      </c>
      <c r="H1204">
        <f t="shared" si="18"/>
        <v>21600</v>
      </c>
    </row>
    <row r="1205" spans="1:8" x14ac:dyDescent="0.3">
      <c r="A1205" t="s">
        <v>61</v>
      </c>
      <c r="B1205" t="s">
        <v>23</v>
      </c>
      <c r="C1205" t="s">
        <v>16</v>
      </c>
      <c r="D1205">
        <v>226048</v>
      </c>
      <c r="E1205" t="s">
        <v>57</v>
      </c>
      <c r="F1205" t="s">
        <v>38</v>
      </c>
      <c r="G1205" t="s">
        <v>37</v>
      </c>
      <c r="H1205">
        <f t="shared" si="18"/>
        <v>226000</v>
      </c>
    </row>
    <row r="1206" spans="1:8" x14ac:dyDescent="0.3">
      <c r="A1206" t="s">
        <v>61</v>
      </c>
      <c r="B1206" t="s">
        <v>23</v>
      </c>
      <c r="C1206" t="s">
        <v>17</v>
      </c>
      <c r="D1206">
        <v>23230</v>
      </c>
      <c r="E1206" t="s">
        <v>57</v>
      </c>
      <c r="F1206" t="s">
        <v>38</v>
      </c>
      <c r="G1206" t="s">
        <v>37</v>
      </c>
      <c r="H1206">
        <f t="shared" si="18"/>
        <v>23200</v>
      </c>
    </row>
    <row r="1207" spans="1:8" x14ac:dyDescent="0.3">
      <c r="A1207" t="s">
        <v>61</v>
      </c>
      <c r="B1207" t="s">
        <v>23</v>
      </c>
      <c r="C1207" t="s">
        <v>18</v>
      </c>
      <c r="D1207">
        <v>1</v>
      </c>
      <c r="E1207" t="s">
        <v>57</v>
      </c>
      <c r="F1207" t="s">
        <v>38</v>
      </c>
      <c r="G1207" t="s">
        <v>37</v>
      </c>
      <c r="H1207">
        <f t="shared" si="18"/>
        <v>1</v>
      </c>
    </row>
    <row r="1208" spans="1:8" x14ac:dyDescent="0.3">
      <c r="A1208" t="s">
        <v>61</v>
      </c>
      <c r="B1208" t="s">
        <v>23</v>
      </c>
      <c r="C1208" t="s">
        <v>19</v>
      </c>
      <c r="D1208">
        <v>91428</v>
      </c>
      <c r="E1208" t="s">
        <v>57</v>
      </c>
      <c r="F1208" t="s">
        <v>38</v>
      </c>
      <c r="G1208" t="s">
        <v>37</v>
      </c>
      <c r="H1208">
        <f t="shared" si="18"/>
        <v>91400</v>
      </c>
    </row>
    <row r="1209" spans="1:8" x14ac:dyDescent="0.3">
      <c r="A1209" t="s">
        <v>61</v>
      </c>
      <c r="B1209" t="s">
        <v>23</v>
      </c>
      <c r="C1209" t="s">
        <v>20</v>
      </c>
      <c r="D1209">
        <v>25430</v>
      </c>
      <c r="E1209" t="s">
        <v>57</v>
      </c>
      <c r="F1209" t="s">
        <v>38</v>
      </c>
      <c r="G1209" t="s">
        <v>37</v>
      </c>
      <c r="H1209">
        <f t="shared" si="18"/>
        <v>25400</v>
      </c>
    </row>
    <row r="1210" spans="1:8" x14ac:dyDescent="0.3">
      <c r="A1210" t="s">
        <v>61</v>
      </c>
      <c r="B1210" t="s">
        <v>23</v>
      </c>
      <c r="C1210" t="s">
        <v>21</v>
      </c>
      <c r="D1210">
        <v>14956</v>
      </c>
      <c r="E1210" t="s">
        <v>57</v>
      </c>
      <c r="F1210" t="s">
        <v>38</v>
      </c>
      <c r="G1210" t="s">
        <v>37</v>
      </c>
      <c r="H1210">
        <f t="shared" si="18"/>
        <v>15000</v>
      </c>
    </row>
    <row r="1211" spans="1:8" x14ac:dyDescent="0.3">
      <c r="A1211" t="s">
        <v>61</v>
      </c>
      <c r="B1211" t="s">
        <v>23</v>
      </c>
      <c r="C1211" t="s">
        <v>22</v>
      </c>
      <c r="D1211">
        <v>2009672</v>
      </c>
      <c r="E1211" t="s">
        <v>57</v>
      </c>
      <c r="F1211" t="s">
        <v>38</v>
      </c>
      <c r="G1211" t="s">
        <v>37</v>
      </c>
      <c r="H1211">
        <f t="shared" si="18"/>
        <v>2010000</v>
      </c>
    </row>
    <row r="1212" spans="1:8" x14ac:dyDescent="0.3">
      <c r="A1212" t="s">
        <v>62</v>
      </c>
      <c r="B1212" t="s">
        <v>8</v>
      </c>
      <c r="C1212" t="s">
        <v>9</v>
      </c>
      <c r="D1212">
        <v>391</v>
      </c>
      <c r="E1212" t="s">
        <v>57</v>
      </c>
      <c r="F1212" t="s">
        <v>38</v>
      </c>
      <c r="G1212" t="s">
        <v>37</v>
      </c>
      <c r="H1212">
        <f t="shared" si="18"/>
        <v>391</v>
      </c>
    </row>
    <row r="1213" spans="1:8" x14ac:dyDescent="0.3">
      <c r="A1213" t="s">
        <v>62</v>
      </c>
      <c r="B1213" t="s">
        <v>8</v>
      </c>
      <c r="C1213" t="s">
        <v>13</v>
      </c>
      <c r="D1213">
        <v>1016</v>
      </c>
      <c r="E1213" t="s">
        <v>57</v>
      </c>
      <c r="F1213" t="s">
        <v>38</v>
      </c>
      <c r="G1213" t="s">
        <v>37</v>
      </c>
      <c r="H1213">
        <f t="shared" si="18"/>
        <v>1020</v>
      </c>
    </row>
    <row r="1214" spans="1:8" x14ac:dyDescent="0.3">
      <c r="A1214" t="s">
        <v>62</v>
      </c>
      <c r="B1214" t="s">
        <v>8</v>
      </c>
      <c r="C1214" t="s">
        <v>14</v>
      </c>
      <c r="D1214">
        <v>1005</v>
      </c>
      <c r="E1214" t="s">
        <v>57</v>
      </c>
      <c r="F1214" t="s">
        <v>38</v>
      </c>
      <c r="G1214" t="s">
        <v>37</v>
      </c>
      <c r="H1214">
        <f t="shared" si="18"/>
        <v>1010</v>
      </c>
    </row>
    <row r="1215" spans="1:8" x14ac:dyDescent="0.3">
      <c r="A1215" t="s">
        <v>62</v>
      </c>
      <c r="B1215" t="s">
        <v>8</v>
      </c>
      <c r="C1215" t="s">
        <v>15</v>
      </c>
      <c r="D1215">
        <v>74</v>
      </c>
      <c r="E1215" t="s">
        <v>57</v>
      </c>
      <c r="F1215" t="s">
        <v>38</v>
      </c>
      <c r="G1215" t="s">
        <v>37</v>
      </c>
      <c r="H1215">
        <f t="shared" si="18"/>
        <v>74</v>
      </c>
    </row>
    <row r="1216" spans="1:8" x14ac:dyDescent="0.3">
      <c r="A1216" t="s">
        <v>62</v>
      </c>
      <c r="B1216" t="s">
        <v>8</v>
      </c>
      <c r="C1216" t="s">
        <v>16</v>
      </c>
      <c r="D1216">
        <v>1357</v>
      </c>
      <c r="E1216" t="s">
        <v>57</v>
      </c>
      <c r="F1216" t="s">
        <v>38</v>
      </c>
      <c r="G1216" t="s">
        <v>37</v>
      </c>
      <c r="H1216">
        <f t="shared" si="18"/>
        <v>1360</v>
      </c>
    </row>
    <row r="1217" spans="1:8" x14ac:dyDescent="0.3">
      <c r="A1217" t="s">
        <v>62</v>
      </c>
      <c r="B1217" t="s">
        <v>8</v>
      </c>
      <c r="C1217" t="s">
        <v>17</v>
      </c>
      <c r="D1217">
        <v>230</v>
      </c>
      <c r="E1217" t="s">
        <v>57</v>
      </c>
      <c r="F1217" t="s">
        <v>38</v>
      </c>
      <c r="G1217" t="s">
        <v>37</v>
      </c>
      <c r="H1217">
        <f t="shared" si="18"/>
        <v>230</v>
      </c>
    </row>
    <row r="1218" spans="1:8" x14ac:dyDescent="0.3">
      <c r="A1218" t="s">
        <v>62</v>
      </c>
      <c r="B1218" t="s">
        <v>8</v>
      </c>
      <c r="C1218" t="s">
        <v>18</v>
      </c>
      <c r="D1218">
        <v>0</v>
      </c>
      <c r="E1218" t="s">
        <v>57</v>
      </c>
      <c r="F1218" t="s">
        <v>38</v>
      </c>
      <c r="G1218" t="s">
        <v>37</v>
      </c>
      <c r="H1218">
        <f t="shared" si="18"/>
        <v>0</v>
      </c>
    </row>
    <row r="1219" spans="1:8" x14ac:dyDescent="0.3">
      <c r="A1219" t="s">
        <v>62</v>
      </c>
      <c r="B1219" t="s">
        <v>8</v>
      </c>
      <c r="C1219" t="s">
        <v>19</v>
      </c>
      <c r="D1219">
        <v>14</v>
      </c>
      <c r="E1219" t="s">
        <v>57</v>
      </c>
      <c r="F1219" t="s">
        <v>38</v>
      </c>
      <c r="G1219" t="s">
        <v>37</v>
      </c>
      <c r="H1219">
        <f t="shared" ref="H1219:H1282" si="19">ROUND(D1219, 3 - LEN(INT(ABS(D1219))))</f>
        <v>14</v>
      </c>
    </row>
    <row r="1220" spans="1:8" x14ac:dyDescent="0.3">
      <c r="A1220" t="s">
        <v>62</v>
      </c>
      <c r="B1220" t="s">
        <v>8</v>
      </c>
      <c r="C1220" t="s">
        <v>20</v>
      </c>
      <c r="D1220">
        <v>216</v>
      </c>
      <c r="E1220" t="s">
        <v>57</v>
      </c>
      <c r="F1220" t="s">
        <v>38</v>
      </c>
      <c r="G1220" t="s">
        <v>37</v>
      </c>
      <c r="H1220">
        <f t="shared" si="19"/>
        <v>216</v>
      </c>
    </row>
    <row r="1221" spans="1:8" x14ac:dyDescent="0.3">
      <c r="A1221" t="s">
        <v>62</v>
      </c>
      <c r="B1221" t="s">
        <v>8</v>
      </c>
      <c r="C1221" t="s">
        <v>21</v>
      </c>
      <c r="D1221">
        <v>1233</v>
      </c>
      <c r="E1221" t="s">
        <v>57</v>
      </c>
      <c r="F1221" t="s">
        <v>38</v>
      </c>
      <c r="G1221" t="s">
        <v>37</v>
      </c>
      <c r="H1221">
        <f t="shared" si="19"/>
        <v>1230</v>
      </c>
    </row>
    <row r="1222" spans="1:8" x14ac:dyDescent="0.3">
      <c r="A1222" t="s">
        <v>62</v>
      </c>
      <c r="B1222" t="s">
        <v>8</v>
      </c>
      <c r="C1222" t="s">
        <v>22</v>
      </c>
      <c r="D1222">
        <v>63110</v>
      </c>
      <c r="E1222" t="s">
        <v>57</v>
      </c>
      <c r="F1222" t="s">
        <v>38</v>
      </c>
      <c r="G1222" t="s">
        <v>37</v>
      </c>
      <c r="H1222">
        <f t="shared" si="19"/>
        <v>63100</v>
      </c>
    </row>
    <row r="1223" spans="1:8" x14ac:dyDescent="0.3">
      <c r="A1223" t="s">
        <v>62</v>
      </c>
      <c r="B1223" t="s">
        <v>23</v>
      </c>
      <c r="C1223" t="s">
        <v>9</v>
      </c>
      <c r="D1223">
        <v>114122</v>
      </c>
      <c r="E1223" t="s">
        <v>57</v>
      </c>
      <c r="F1223" t="s">
        <v>38</v>
      </c>
      <c r="G1223" t="s">
        <v>37</v>
      </c>
      <c r="H1223">
        <f t="shared" si="19"/>
        <v>114000</v>
      </c>
    </row>
    <row r="1224" spans="1:8" x14ac:dyDescent="0.3">
      <c r="A1224" t="s">
        <v>62</v>
      </c>
      <c r="B1224" t="s">
        <v>23</v>
      </c>
      <c r="C1224" t="s">
        <v>13</v>
      </c>
      <c r="D1224">
        <v>870450</v>
      </c>
      <c r="E1224" t="s">
        <v>57</v>
      </c>
      <c r="F1224" t="s">
        <v>38</v>
      </c>
      <c r="G1224" t="s">
        <v>37</v>
      </c>
      <c r="H1224">
        <f t="shared" si="19"/>
        <v>870000</v>
      </c>
    </row>
    <row r="1225" spans="1:8" x14ac:dyDescent="0.3">
      <c r="A1225" t="s">
        <v>62</v>
      </c>
      <c r="B1225" t="s">
        <v>23</v>
      </c>
      <c r="C1225" t="s">
        <v>14</v>
      </c>
      <c r="D1225">
        <v>911621</v>
      </c>
      <c r="E1225" t="s">
        <v>57</v>
      </c>
      <c r="F1225" t="s">
        <v>38</v>
      </c>
      <c r="G1225" t="s">
        <v>37</v>
      </c>
      <c r="H1225">
        <f t="shared" si="19"/>
        <v>912000</v>
      </c>
    </row>
    <row r="1226" spans="1:8" x14ac:dyDescent="0.3">
      <c r="A1226" t="s">
        <v>62</v>
      </c>
      <c r="B1226" t="s">
        <v>23</v>
      </c>
      <c r="C1226" t="s">
        <v>15</v>
      </c>
      <c r="D1226">
        <v>28669</v>
      </c>
      <c r="E1226" t="s">
        <v>57</v>
      </c>
      <c r="F1226" t="s">
        <v>38</v>
      </c>
      <c r="G1226" t="s">
        <v>37</v>
      </c>
      <c r="H1226">
        <f t="shared" si="19"/>
        <v>28700</v>
      </c>
    </row>
    <row r="1227" spans="1:8" x14ac:dyDescent="0.3">
      <c r="A1227" t="s">
        <v>62</v>
      </c>
      <c r="B1227" t="s">
        <v>23</v>
      </c>
      <c r="C1227" t="s">
        <v>16</v>
      </c>
      <c r="D1227">
        <v>300423</v>
      </c>
      <c r="E1227" t="s">
        <v>57</v>
      </c>
      <c r="F1227" t="s">
        <v>38</v>
      </c>
      <c r="G1227" t="s">
        <v>37</v>
      </c>
      <c r="H1227">
        <f t="shared" si="19"/>
        <v>300000</v>
      </c>
    </row>
    <row r="1228" spans="1:8" x14ac:dyDescent="0.3">
      <c r="A1228" t="s">
        <v>62</v>
      </c>
      <c r="B1228" t="s">
        <v>23</v>
      </c>
      <c r="C1228" t="s">
        <v>17</v>
      </c>
      <c r="D1228">
        <v>30873</v>
      </c>
      <c r="E1228" t="s">
        <v>57</v>
      </c>
      <c r="F1228" t="s">
        <v>38</v>
      </c>
      <c r="G1228" t="s">
        <v>37</v>
      </c>
      <c r="H1228">
        <f t="shared" si="19"/>
        <v>30900</v>
      </c>
    </row>
    <row r="1229" spans="1:8" x14ac:dyDescent="0.3">
      <c r="A1229" t="s">
        <v>62</v>
      </c>
      <c r="B1229" t="s">
        <v>23</v>
      </c>
      <c r="C1229" t="s">
        <v>18</v>
      </c>
      <c r="D1229">
        <v>1</v>
      </c>
      <c r="E1229" t="s">
        <v>57</v>
      </c>
      <c r="F1229" t="s">
        <v>38</v>
      </c>
      <c r="G1229" t="s">
        <v>37</v>
      </c>
      <c r="H1229">
        <f t="shared" si="19"/>
        <v>1</v>
      </c>
    </row>
    <row r="1230" spans="1:8" x14ac:dyDescent="0.3">
      <c r="A1230" t="s">
        <v>62</v>
      </c>
      <c r="B1230" t="s">
        <v>23</v>
      </c>
      <c r="C1230" t="s">
        <v>19</v>
      </c>
      <c r="D1230">
        <v>121510</v>
      </c>
      <c r="E1230" t="s">
        <v>57</v>
      </c>
      <c r="F1230" t="s">
        <v>38</v>
      </c>
      <c r="G1230" t="s">
        <v>37</v>
      </c>
      <c r="H1230">
        <f t="shared" si="19"/>
        <v>122000</v>
      </c>
    </row>
    <row r="1231" spans="1:8" x14ac:dyDescent="0.3">
      <c r="A1231" t="s">
        <v>62</v>
      </c>
      <c r="B1231" t="s">
        <v>23</v>
      </c>
      <c r="C1231" t="s">
        <v>20</v>
      </c>
      <c r="D1231">
        <v>33797</v>
      </c>
      <c r="E1231" t="s">
        <v>57</v>
      </c>
      <c r="F1231" t="s">
        <v>38</v>
      </c>
      <c r="G1231" t="s">
        <v>37</v>
      </c>
      <c r="H1231">
        <f t="shared" si="19"/>
        <v>33800</v>
      </c>
    </row>
    <row r="1232" spans="1:8" x14ac:dyDescent="0.3">
      <c r="A1232" t="s">
        <v>62</v>
      </c>
      <c r="B1232" t="s">
        <v>23</v>
      </c>
      <c r="C1232" t="s">
        <v>21</v>
      </c>
      <c r="D1232">
        <v>19877</v>
      </c>
      <c r="E1232" t="s">
        <v>57</v>
      </c>
      <c r="F1232" t="s">
        <v>38</v>
      </c>
      <c r="G1232" t="s">
        <v>37</v>
      </c>
      <c r="H1232">
        <f t="shared" si="19"/>
        <v>19900</v>
      </c>
    </row>
    <row r="1233" spans="1:8" x14ac:dyDescent="0.3">
      <c r="A1233" t="s">
        <v>62</v>
      </c>
      <c r="B1233" t="s">
        <v>23</v>
      </c>
      <c r="C1233" t="s">
        <v>22</v>
      </c>
      <c r="D1233">
        <v>2670901</v>
      </c>
      <c r="E1233" t="s">
        <v>57</v>
      </c>
      <c r="F1233" t="s">
        <v>38</v>
      </c>
      <c r="G1233" t="s">
        <v>37</v>
      </c>
      <c r="H1233">
        <f t="shared" si="19"/>
        <v>2670000</v>
      </c>
    </row>
    <row r="1234" spans="1:8" x14ac:dyDescent="0.3">
      <c r="A1234" t="s">
        <v>26</v>
      </c>
      <c r="B1234" t="s">
        <v>8</v>
      </c>
      <c r="C1234" t="s">
        <v>9</v>
      </c>
      <c r="D1234">
        <v>32</v>
      </c>
      <c r="E1234" t="s">
        <v>57</v>
      </c>
      <c r="F1234" t="s">
        <v>38</v>
      </c>
      <c r="G1234" t="s">
        <v>37</v>
      </c>
      <c r="H1234">
        <f t="shared" si="19"/>
        <v>32</v>
      </c>
    </row>
    <row r="1235" spans="1:8" x14ac:dyDescent="0.3">
      <c r="A1235" t="s">
        <v>26</v>
      </c>
      <c r="B1235" t="s">
        <v>8</v>
      </c>
      <c r="C1235" t="s">
        <v>13</v>
      </c>
      <c r="D1235">
        <v>85</v>
      </c>
      <c r="E1235" t="s">
        <v>57</v>
      </c>
      <c r="F1235" t="s">
        <v>38</v>
      </c>
      <c r="G1235" t="s">
        <v>37</v>
      </c>
      <c r="H1235">
        <f t="shared" si="19"/>
        <v>85</v>
      </c>
    </row>
    <row r="1236" spans="1:8" x14ac:dyDescent="0.3">
      <c r="A1236" t="s">
        <v>26</v>
      </c>
      <c r="B1236" t="s">
        <v>8</v>
      </c>
      <c r="C1236" t="s">
        <v>14</v>
      </c>
      <c r="D1236">
        <v>84</v>
      </c>
      <c r="E1236" t="s">
        <v>57</v>
      </c>
      <c r="F1236" t="s">
        <v>38</v>
      </c>
      <c r="G1236" t="s">
        <v>37</v>
      </c>
      <c r="H1236">
        <f t="shared" si="19"/>
        <v>84</v>
      </c>
    </row>
    <row r="1237" spans="1:8" x14ac:dyDescent="0.3">
      <c r="A1237" t="s">
        <v>26</v>
      </c>
      <c r="B1237" t="s">
        <v>8</v>
      </c>
      <c r="C1237" t="s">
        <v>15</v>
      </c>
      <c r="D1237">
        <v>6</v>
      </c>
      <c r="E1237" t="s">
        <v>57</v>
      </c>
      <c r="F1237" t="s">
        <v>38</v>
      </c>
      <c r="G1237" t="s">
        <v>37</v>
      </c>
      <c r="H1237">
        <f t="shared" si="19"/>
        <v>6</v>
      </c>
    </row>
    <row r="1238" spans="1:8" x14ac:dyDescent="0.3">
      <c r="A1238" t="s">
        <v>26</v>
      </c>
      <c r="B1238" t="s">
        <v>8</v>
      </c>
      <c r="C1238" t="s">
        <v>16</v>
      </c>
      <c r="D1238">
        <v>113</v>
      </c>
      <c r="E1238" t="s">
        <v>57</v>
      </c>
      <c r="F1238" t="s">
        <v>38</v>
      </c>
      <c r="G1238" t="s">
        <v>37</v>
      </c>
      <c r="H1238">
        <f t="shared" si="19"/>
        <v>113</v>
      </c>
    </row>
    <row r="1239" spans="1:8" x14ac:dyDescent="0.3">
      <c r="A1239" t="s">
        <v>26</v>
      </c>
      <c r="B1239" t="s">
        <v>8</v>
      </c>
      <c r="C1239" t="s">
        <v>17</v>
      </c>
      <c r="D1239">
        <v>19</v>
      </c>
      <c r="E1239" t="s">
        <v>57</v>
      </c>
      <c r="F1239" t="s">
        <v>38</v>
      </c>
      <c r="G1239" t="s">
        <v>37</v>
      </c>
      <c r="H1239">
        <f t="shared" si="19"/>
        <v>19</v>
      </c>
    </row>
    <row r="1240" spans="1:8" x14ac:dyDescent="0.3">
      <c r="A1240" t="s">
        <v>26</v>
      </c>
      <c r="B1240" t="s">
        <v>8</v>
      </c>
      <c r="C1240" t="s">
        <v>18</v>
      </c>
      <c r="D1240">
        <v>0</v>
      </c>
      <c r="E1240" t="s">
        <v>57</v>
      </c>
      <c r="F1240" t="s">
        <v>38</v>
      </c>
      <c r="G1240" t="s">
        <v>37</v>
      </c>
      <c r="H1240">
        <f t="shared" si="19"/>
        <v>0</v>
      </c>
    </row>
    <row r="1241" spans="1:8" x14ac:dyDescent="0.3">
      <c r="A1241" t="s">
        <v>26</v>
      </c>
      <c r="B1241" t="s">
        <v>8</v>
      </c>
      <c r="C1241" t="s">
        <v>19</v>
      </c>
      <c r="D1241">
        <v>1</v>
      </c>
      <c r="E1241" t="s">
        <v>57</v>
      </c>
      <c r="F1241" t="s">
        <v>38</v>
      </c>
      <c r="G1241" t="s">
        <v>37</v>
      </c>
      <c r="H1241">
        <f t="shared" si="19"/>
        <v>1</v>
      </c>
    </row>
    <row r="1242" spans="1:8" x14ac:dyDescent="0.3">
      <c r="A1242" t="s">
        <v>26</v>
      </c>
      <c r="B1242" t="s">
        <v>8</v>
      </c>
      <c r="C1242" t="s">
        <v>20</v>
      </c>
      <c r="D1242">
        <v>18</v>
      </c>
      <c r="E1242" t="s">
        <v>57</v>
      </c>
      <c r="F1242" t="s">
        <v>38</v>
      </c>
      <c r="G1242" t="s">
        <v>37</v>
      </c>
      <c r="H1242">
        <f t="shared" si="19"/>
        <v>18</v>
      </c>
    </row>
    <row r="1243" spans="1:8" x14ac:dyDescent="0.3">
      <c r="A1243" t="s">
        <v>26</v>
      </c>
      <c r="B1243" t="s">
        <v>8</v>
      </c>
      <c r="C1243" t="s">
        <v>21</v>
      </c>
      <c r="D1243">
        <v>103</v>
      </c>
      <c r="E1243" t="s">
        <v>57</v>
      </c>
      <c r="F1243" t="s">
        <v>38</v>
      </c>
      <c r="G1243" t="s">
        <v>37</v>
      </c>
      <c r="H1243">
        <f t="shared" si="19"/>
        <v>103</v>
      </c>
    </row>
    <row r="1244" spans="1:8" x14ac:dyDescent="0.3">
      <c r="A1244" t="s">
        <v>26</v>
      </c>
      <c r="B1244" t="s">
        <v>8</v>
      </c>
      <c r="C1244" t="s">
        <v>22</v>
      </c>
      <c r="D1244">
        <v>5248</v>
      </c>
      <c r="E1244" t="s">
        <v>57</v>
      </c>
      <c r="F1244" t="s">
        <v>38</v>
      </c>
      <c r="G1244" t="s">
        <v>37</v>
      </c>
      <c r="H1244">
        <f t="shared" si="19"/>
        <v>5250</v>
      </c>
    </row>
    <row r="1245" spans="1:8" x14ac:dyDescent="0.3">
      <c r="A1245" t="s">
        <v>26</v>
      </c>
      <c r="B1245" t="s">
        <v>23</v>
      </c>
      <c r="C1245" t="s">
        <v>9</v>
      </c>
      <c r="D1245">
        <v>9490</v>
      </c>
      <c r="E1245" t="s">
        <v>57</v>
      </c>
      <c r="F1245" t="s">
        <v>38</v>
      </c>
      <c r="G1245" t="s">
        <v>37</v>
      </c>
      <c r="H1245">
        <f t="shared" si="19"/>
        <v>9490</v>
      </c>
    </row>
    <row r="1246" spans="1:8" x14ac:dyDescent="0.3">
      <c r="A1246" t="s">
        <v>26</v>
      </c>
      <c r="B1246" t="s">
        <v>23</v>
      </c>
      <c r="C1246" t="s">
        <v>13</v>
      </c>
      <c r="D1246">
        <v>72387</v>
      </c>
      <c r="E1246" t="s">
        <v>57</v>
      </c>
      <c r="F1246" t="s">
        <v>38</v>
      </c>
      <c r="G1246" t="s">
        <v>37</v>
      </c>
      <c r="H1246">
        <f t="shared" si="19"/>
        <v>72400</v>
      </c>
    </row>
    <row r="1247" spans="1:8" x14ac:dyDescent="0.3">
      <c r="A1247" t="s">
        <v>26</v>
      </c>
      <c r="B1247" t="s">
        <v>23</v>
      </c>
      <c r="C1247" t="s">
        <v>14</v>
      </c>
      <c r="D1247">
        <v>75810</v>
      </c>
      <c r="E1247" t="s">
        <v>57</v>
      </c>
      <c r="F1247" t="s">
        <v>38</v>
      </c>
      <c r="G1247" t="s">
        <v>37</v>
      </c>
      <c r="H1247">
        <f t="shared" si="19"/>
        <v>75800</v>
      </c>
    </row>
    <row r="1248" spans="1:8" x14ac:dyDescent="0.3">
      <c r="A1248" t="s">
        <v>26</v>
      </c>
      <c r="B1248" t="s">
        <v>23</v>
      </c>
      <c r="C1248" t="s">
        <v>15</v>
      </c>
      <c r="D1248">
        <v>2384</v>
      </c>
      <c r="E1248" t="s">
        <v>57</v>
      </c>
      <c r="F1248" t="s">
        <v>38</v>
      </c>
      <c r="G1248" t="s">
        <v>37</v>
      </c>
      <c r="H1248">
        <f t="shared" si="19"/>
        <v>2380</v>
      </c>
    </row>
    <row r="1249" spans="1:8" x14ac:dyDescent="0.3">
      <c r="A1249" t="s">
        <v>26</v>
      </c>
      <c r="B1249" t="s">
        <v>23</v>
      </c>
      <c r="C1249" t="s">
        <v>16</v>
      </c>
      <c r="D1249">
        <v>24983</v>
      </c>
      <c r="E1249" t="s">
        <v>57</v>
      </c>
      <c r="F1249" t="s">
        <v>38</v>
      </c>
      <c r="G1249" t="s">
        <v>37</v>
      </c>
      <c r="H1249">
        <f t="shared" si="19"/>
        <v>25000</v>
      </c>
    </row>
    <row r="1250" spans="1:8" x14ac:dyDescent="0.3">
      <c r="A1250" t="s">
        <v>26</v>
      </c>
      <c r="B1250" t="s">
        <v>23</v>
      </c>
      <c r="C1250" t="s">
        <v>17</v>
      </c>
      <c r="D1250">
        <v>2567</v>
      </c>
      <c r="E1250" t="s">
        <v>57</v>
      </c>
      <c r="F1250" t="s">
        <v>38</v>
      </c>
      <c r="G1250" t="s">
        <v>37</v>
      </c>
      <c r="H1250">
        <f t="shared" si="19"/>
        <v>2570</v>
      </c>
    </row>
    <row r="1251" spans="1:8" x14ac:dyDescent="0.3">
      <c r="A1251" t="s">
        <v>26</v>
      </c>
      <c r="B1251" t="s">
        <v>23</v>
      </c>
      <c r="C1251" t="s">
        <v>18</v>
      </c>
      <c r="D1251">
        <v>0</v>
      </c>
      <c r="E1251" t="s">
        <v>57</v>
      </c>
      <c r="F1251" t="s">
        <v>38</v>
      </c>
      <c r="G1251" t="s">
        <v>37</v>
      </c>
      <c r="H1251">
        <f t="shared" si="19"/>
        <v>0</v>
      </c>
    </row>
    <row r="1252" spans="1:8" x14ac:dyDescent="0.3">
      <c r="A1252" t="s">
        <v>26</v>
      </c>
      <c r="B1252" t="s">
        <v>23</v>
      </c>
      <c r="C1252" t="s">
        <v>19</v>
      </c>
      <c r="D1252">
        <v>10105</v>
      </c>
      <c r="E1252" t="s">
        <v>57</v>
      </c>
      <c r="F1252" t="s">
        <v>38</v>
      </c>
      <c r="G1252" t="s">
        <v>37</v>
      </c>
      <c r="H1252">
        <f t="shared" si="19"/>
        <v>10100</v>
      </c>
    </row>
    <row r="1253" spans="1:8" x14ac:dyDescent="0.3">
      <c r="A1253" t="s">
        <v>26</v>
      </c>
      <c r="B1253" t="s">
        <v>23</v>
      </c>
      <c r="C1253" t="s">
        <v>20</v>
      </c>
      <c r="D1253">
        <v>2811</v>
      </c>
      <c r="E1253" t="s">
        <v>57</v>
      </c>
      <c r="F1253" t="s">
        <v>38</v>
      </c>
      <c r="G1253" t="s">
        <v>37</v>
      </c>
      <c r="H1253">
        <f t="shared" si="19"/>
        <v>2810</v>
      </c>
    </row>
    <row r="1254" spans="1:8" x14ac:dyDescent="0.3">
      <c r="A1254" t="s">
        <v>26</v>
      </c>
      <c r="B1254" t="s">
        <v>23</v>
      </c>
      <c r="C1254" t="s">
        <v>21</v>
      </c>
      <c r="D1254">
        <v>1653</v>
      </c>
      <c r="E1254" t="s">
        <v>57</v>
      </c>
      <c r="F1254" t="s">
        <v>38</v>
      </c>
      <c r="G1254" t="s">
        <v>37</v>
      </c>
      <c r="H1254">
        <f t="shared" si="19"/>
        <v>1650</v>
      </c>
    </row>
    <row r="1255" spans="1:8" x14ac:dyDescent="0.3">
      <c r="A1255" t="s">
        <v>26</v>
      </c>
      <c r="B1255" t="s">
        <v>23</v>
      </c>
      <c r="C1255" t="s">
        <v>22</v>
      </c>
      <c r="D1255">
        <v>222112</v>
      </c>
      <c r="E1255" t="s">
        <v>57</v>
      </c>
      <c r="F1255" t="s">
        <v>38</v>
      </c>
      <c r="G1255" t="s">
        <v>37</v>
      </c>
      <c r="H1255">
        <f t="shared" si="19"/>
        <v>222000</v>
      </c>
    </row>
    <row r="1256" spans="1:8" x14ac:dyDescent="0.3">
      <c r="A1256" t="s">
        <v>27</v>
      </c>
      <c r="B1256" t="s">
        <v>8</v>
      </c>
      <c r="C1256" t="s">
        <v>9</v>
      </c>
      <c r="D1256">
        <v>2616</v>
      </c>
      <c r="E1256" t="s">
        <v>57</v>
      </c>
      <c r="F1256" t="s">
        <v>38</v>
      </c>
      <c r="G1256" t="s">
        <v>37</v>
      </c>
      <c r="H1256">
        <f t="shared" si="19"/>
        <v>2620</v>
      </c>
    </row>
    <row r="1257" spans="1:8" x14ac:dyDescent="0.3">
      <c r="A1257" t="s">
        <v>27</v>
      </c>
      <c r="B1257" t="s">
        <v>8</v>
      </c>
      <c r="C1257" t="s">
        <v>13</v>
      </c>
      <c r="D1257">
        <v>359</v>
      </c>
      <c r="E1257" t="s">
        <v>57</v>
      </c>
      <c r="F1257" t="s">
        <v>38</v>
      </c>
      <c r="G1257" t="s">
        <v>37</v>
      </c>
      <c r="H1257">
        <f t="shared" si="19"/>
        <v>359</v>
      </c>
    </row>
    <row r="1258" spans="1:8" x14ac:dyDescent="0.3">
      <c r="A1258" t="s">
        <v>27</v>
      </c>
      <c r="B1258" t="s">
        <v>8</v>
      </c>
      <c r="C1258" t="s">
        <v>14</v>
      </c>
      <c r="D1258">
        <v>95573</v>
      </c>
      <c r="E1258" t="s">
        <v>57</v>
      </c>
      <c r="F1258" t="s">
        <v>38</v>
      </c>
      <c r="G1258" t="s">
        <v>37</v>
      </c>
      <c r="H1258">
        <f t="shared" si="19"/>
        <v>95600</v>
      </c>
    </row>
    <row r="1259" spans="1:8" x14ac:dyDescent="0.3">
      <c r="A1259" t="s">
        <v>27</v>
      </c>
      <c r="B1259" t="s">
        <v>8</v>
      </c>
      <c r="C1259" t="s">
        <v>15</v>
      </c>
      <c r="D1259">
        <v>118</v>
      </c>
      <c r="E1259" t="s">
        <v>57</v>
      </c>
      <c r="F1259" t="s">
        <v>38</v>
      </c>
      <c r="G1259" t="s">
        <v>37</v>
      </c>
      <c r="H1259">
        <f t="shared" si="19"/>
        <v>118</v>
      </c>
    </row>
    <row r="1260" spans="1:8" x14ac:dyDescent="0.3">
      <c r="A1260" t="s">
        <v>27</v>
      </c>
      <c r="B1260" t="s">
        <v>8</v>
      </c>
      <c r="C1260" t="s">
        <v>16</v>
      </c>
      <c r="D1260">
        <v>446609</v>
      </c>
      <c r="E1260" t="s">
        <v>57</v>
      </c>
      <c r="F1260" t="s">
        <v>38</v>
      </c>
      <c r="G1260" t="s">
        <v>37</v>
      </c>
      <c r="H1260">
        <f t="shared" si="19"/>
        <v>447000</v>
      </c>
    </row>
    <row r="1261" spans="1:8" x14ac:dyDescent="0.3">
      <c r="A1261" t="s">
        <v>27</v>
      </c>
      <c r="B1261" t="s">
        <v>8</v>
      </c>
      <c r="C1261" t="s">
        <v>17</v>
      </c>
      <c r="D1261">
        <v>28094</v>
      </c>
      <c r="E1261" t="s">
        <v>57</v>
      </c>
      <c r="F1261" t="s">
        <v>38</v>
      </c>
      <c r="G1261" t="s">
        <v>37</v>
      </c>
      <c r="H1261">
        <f t="shared" si="19"/>
        <v>28100</v>
      </c>
    </row>
    <row r="1262" spans="1:8" x14ac:dyDescent="0.3">
      <c r="A1262" t="s">
        <v>27</v>
      </c>
      <c r="B1262" t="s">
        <v>8</v>
      </c>
      <c r="C1262" t="s">
        <v>18</v>
      </c>
      <c r="D1262">
        <v>0</v>
      </c>
      <c r="E1262" t="s">
        <v>57</v>
      </c>
      <c r="F1262" t="s">
        <v>38</v>
      </c>
      <c r="G1262" t="s">
        <v>37</v>
      </c>
      <c r="H1262">
        <f t="shared" si="19"/>
        <v>0</v>
      </c>
    </row>
    <row r="1263" spans="1:8" x14ac:dyDescent="0.3">
      <c r="A1263" t="s">
        <v>27</v>
      </c>
      <c r="B1263" t="s">
        <v>8</v>
      </c>
      <c r="C1263" t="s">
        <v>19</v>
      </c>
      <c r="D1263">
        <v>20</v>
      </c>
      <c r="E1263" t="s">
        <v>57</v>
      </c>
      <c r="F1263" t="s">
        <v>38</v>
      </c>
      <c r="G1263" t="s">
        <v>37</v>
      </c>
      <c r="H1263">
        <f t="shared" si="19"/>
        <v>20</v>
      </c>
    </row>
    <row r="1264" spans="1:8" x14ac:dyDescent="0.3">
      <c r="A1264" t="s">
        <v>27</v>
      </c>
      <c r="B1264" t="s">
        <v>8</v>
      </c>
      <c r="C1264" t="s">
        <v>20</v>
      </c>
      <c r="D1264">
        <v>416</v>
      </c>
      <c r="E1264" t="s">
        <v>57</v>
      </c>
      <c r="F1264" t="s">
        <v>38</v>
      </c>
      <c r="G1264" t="s">
        <v>37</v>
      </c>
      <c r="H1264">
        <f t="shared" si="19"/>
        <v>416</v>
      </c>
    </row>
    <row r="1265" spans="1:8" x14ac:dyDescent="0.3">
      <c r="A1265" t="s">
        <v>27</v>
      </c>
      <c r="B1265" t="s">
        <v>8</v>
      </c>
      <c r="C1265" t="s">
        <v>21</v>
      </c>
      <c r="D1265">
        <v>384</v>
      </c>
      <c r="E1265" t="s">
        <v>57</v>
      </c>
      <c r="F1265" t="s">
        <v>38</v>
      </c>
      <c r="G1265" t="s">
        <v>37</v>
      </c>
      <c r="H1265">
        <f t="shared" si="19"/>
        <v>384</v>
      </c>
    </row>
    <row r="1266" spans="1:8" x14ac:dyDescent="0.3">
      <c r="A1266" t="s">
        <v>27</v>
      </c>
      <c r="B1266" t="s">
        <v>8</v>
      </c>
      <c r="C1266" t="s">
        <v>22</v>
      </c>
      <c r="D1266">
        <v>16686</v>
      </c>
      <c r="E1266" t="s">
        <v>57</v>
      </c>
      <c r="F1266" t="s">
        <v>38</v>
      </c>
      <c r="G1266" t="s">
        <v>37</v>
      </c>
      <c r="H1266">
        <f t="shared" si="19"/>
        <v>16700</v>
      </c>
    </row>
    <row r="1267" spans="1:8" x14ac:dyDescent="0.3">
      <c r="A1267" t="s">
        <v>27</v>
      </c>
      <c r="B1267" t="s">
        <v>23</v>
      </c>
      <c r="C1267" t="s">
        <v>9</v>
      </c>
      <c r="D1267">
        <v>90775</v>
      </c>
      <c r="E1267" t="s">
        <v>57</v>
      </c>
      <c r="F1267" t="s">
        <v>38</v>
      </c>
      <c r="G1267" t="s">
        <v>37</v>
      </c>
      <c r="H1267">
        <f t="shared" si="19"/>
        <v>90800</v>
      </c>
    </row>
    <row r="1268" spans="1:8" x14ac:dyDescent="0.3">
      <c r="A1268" t="s">
        <v>27</v>
      </c>
      <c r="B1268" t="s">
        <v>23</v>
      </c>
      <c r="C1268" t="s">
        <v>13</v>
      </c>
      <c r="D1268">
        <v>238314</v>
      </c>
      <c r="E1268" t="s">
        <v>57</v>
      </c>
      <c r="F1268" t="s">
        <v>38</v>
      </c>
      <c r="G1268" t="s">
        <v>37</v>
      </c>
      <c r="H1268">
        <f t="shared" si="19"/>
        <v>238000</v>
      </c>
    </row>
    <row r="1269" spans="1:8" x14ac:dyDescent="0.3">
      <c r="A1269" t="s">
        <v>27</v>
      </c>
      <c r="B1269" t="s">
        <v>23</v>
      </c>
      <c r="C1269" t="s">
        <v>14</v>
      </c>
      <c r="D1269">
        <v>6548605</v>
      </c>
      <c r="E1269" t="s">
        <v>57</v>
      </c>
      <c r="F1269" t="s">
        <v>38</v>
      </c>
      <c r="G1269" t="s">
        <v>37</v>
      </c>
      <c r="H1269">
        <f t="shared" si="19"/>
        <v>6550000</v>
      </c>
    </row>
    <row r="1270" spans="1:8" x14ac:dyDescent="0.3">
      <c r="A1270" t="s">
        <v>27</v>
      </c>
      <c r="B1270" t="s">
        <v>23</v>
      </c>
      <c r="C1270" t="s">
        <v>15</v>
      </c>
      <c r="D1270">
        <v>26823</v>
      </c>
      <c r="E1270" t="s">
        <v>57</v>
      </c>
      <c r="F1270" t="s">
        <v>38</v>
      </c>
      <c r="G1270" t="s">
        <v>37</v>
      </c>
      <c r="H1270">
        <f t="shared" si="19"/>
        <v>26800</v>
      </c>
    </row>
    <row r="1271" spans="1:8" x14ac:dyDescent="0.3">
      <c r="A1271" t="s">
        <v>27</v>
      </c>
      <c r="B1271" t="s">
        <v>23</v>
      </c>
      <c r="C1271" t="s">
        <v>16</v>
      </c>
      <c r="D1271">
        <v>13804326</v>
      </c>
      <c r="E1271" t="s">
        <v>57</v>
      </c>
      <c r="F1271" t="s">
        <v>38</v>
      </c>
      <c r="G1271" t="s">
        <v>37</v>
      </c>
      <c r="H1271">
        <f t="shared" si="19"/>
        <v>13800000</v>
      </c>
    </row>
    <row r="1272" spans="1:8" x14ac:dyDescent="0.3">
      <c r="A1272" t="s">
        <v>27</v>
      </c>
      <c r="B1272" t="s">
        <v>23</v>
      </c>
      <c r="C1272" t="s">
        <v>17</v>
      </c>
      <c r="D1272">
        <v>1742135</v>
      </c>
      <c r="E1272" t="s">
        <v>57</v>
      </c>
      <c r="F1272" t="s">
        <v>38</v>
      </c>
      <c r="G1272" t="s">
        <v>37</v>
      </c>
      <c r="H1272">
        <f t="shared" si="19"/>
        <v>1740000</v>
      </c>
    </row>
    <row r="1273" spans="1:8" x14ac:dyDescent="0.3">
      <c r="A1273" t="s">
        <v>27</v>
      </c>
      <c r="B1273" t="s">
        <v>23</v>
      </c>
      <c r="C1273" t="s">
        <v>18</v>
      </c>
      <c r="D1273">
        <v>88</v>
      </c>
      <c r="E1273" t="s">
        <v>57</v>
      </c>
      <c r="F1273" t="s">
        <v>38</v>
      </c>
      <c r="G1273" t="s">
        <v>37</v>
      </c>
      <c r="H1273">
        <f t="shared" si="19"/>
        <v>88</v>
      </c>
    </row>
    <row r="1274" spans="1:8" x14ac:dyDescent="0.3">
      <c r="A1274" t="s">
        <v>27</v>
      </c>
      <c r="B1274" t="s">
        <v>23</v>
      </c>
      <c r="C1274" t="s">
        <v>19</v>
      </c>
      <c r="D1274">
        <v>61529</v>
      </c>
      <c r="E1274" t="s">
        <v>57</v>
      </c>
      <c r="F1274" t="s">
        <v>38</v>
      </c>
      <c r="G1274" t="s">
        <v>37</v>
      </c>
      <c r="H1274">
        <f t="shared" si="19"/>
        <v>61500</v>
      </c>
    </row>
    <row r="1275" spans="1:8" x14ac:dyDescent="0.3">
      <c r="A1275" t="s">
        <v>27</v>
      </c>
      <c r="B1275" t="s">
        <v>23</v>
      </c>
      <c r="C1275" t="s">
        <v>20</v>
      </c>
      <c r="D1275">
        <v>202712</v>
      </c>
      <c r="E1275" t="s">
        <v>57</v>
      </c>
      <c r="F1275" t="s">
        <v>38</v>
      </c>
      <c r="G1275" t="s">
        <v>37</v>
      </c>
      <c r="H1275">
        <f t="shared" si="19"/>
        <v>203000</v>
      </c>
    </row>
    <row r="1276" spans="1:8" x14ac:dyDescent="0.3">
      <c r="A1276" t="s">
        <v>27</v>
      </c>
      <c r="B1276" t="s">
        <v>23</v>
      </c>
      <c r="C1276" t="s">
        <v>21</v>
      </c>
      <c r="D1276">
        <v>20638</v>
      </c>
      <c r="E1276" t="s">
        <v>57</v>
      </c>
      <c r="F1276" t="s">
        <v>38</v>
      </c>
      <c r="G1276" t="s">
        <v>37</v>
      </c>
      <c r="H1276">
        <f t="shared" si="19"/>
        <v>20600</v>
      </c>
    </row>
    <row r="1277" spans="1:8" x14ac:dyDescent="0.3">
      <c r="A1277" t="s">
        <v>27</v>
      </c>
      <c r="B1277" t="s">
        <v>23</v>
      </c>
      <c r="C1277" t="s">
        <v>22</v>
      </c>
      <c r="D1277">
        <v>675396</v>
      </c>
      <c r="E1277" t="s">
        <v>57</v>
      </c>
      <c r="F1277" t="s">
        <v>38</v>
      </c>
      <c r="G1277" t="s">
        <v>37</v>
      </c>
      <c r="H1277">
        <f t="shared" si="19"/>
        <v>675000</v>
      </c>
    </row>
    <row r="1278" spans="1:8" x14ac:dyDescent="0.3">
      <c r="A1278" t="s">
        <v>63</v>
      </c>
      <c r="B1278" t="s">
        <v>8</v>
      </c>
      <c r="C1278" t="s">
        <v>9</v>
      </c>
      <c r="D1278">
        <v>71959</v>
      </c>
      <c r="E1278" t="s">
        <v>57</v>
      </c>
      <c r="F1278" t="s">
        <v>38</v>
      </c>
      <c r="G1278" t="s">
        <v>37</v>
      </c>
      <c r="H1278">
        <f t="shared" si="19"/>
        <v>72000</v>
      </c>
    </row>
    <row r="1279" spans="1:8" x14ac:dyDescent="0.3">
      <c r="A1279" t="s">
        <v>63</v>
      </c>
      <c r="B1279" t="s">
        <v>8</v>
      </c>
      <c r="C1279" t="s">
        <v>13</v>
      </c>
      <c r="D1279">
        <v>1286</v>
      </c>
      <c r="E1279" t="s">
        <v>57</v>
      </c>
      <c r="F1279" t="s">
        <v>38</v>
      </c>
      <c r="G1279" t="s">
        <v>37</v>
      </c>
      <c r="H1279">
        <f t="shared" si="19"/>
        <v>1290</v>
      </c>
    </row>
    <row r="1280" spans="1:8" x14ac:dyDescent="0.3">
      <c r="A1280" t="s">
        <v>63</v>
      </c>
      <c r="B1280" t="s">
        <v>8</v>
      </c>
      <c r="C1280" t="s">
        <v>14</v>
      </c>
      <c r="D1280">
        <v>2302</v>
      </c>
      <c r="E1280" t="s">
        <v>57</v>
      </c>
      <c r="F1280" t="s">
        <v>38</v>
      </c>
      <c r="G1280" t="s">
        <v>37</v>
      </c>
      <c r="H1280">
        <f t="shared" si="19"/>
        <v>2300</v>
      </c>
    </row>
    <row r="1281" spans="1:8" x14ac:dyDescent="0.3">
      <c r="A1281" t="s">
        <v>63</v>
      </c>
      <c r="B1281" t="s">
        <v>8</v>
      </c>
      <c r="C1281" t="s">
        <v>15</v>
      </c>
      <c r="D1281">
        <v>224</v>
      </c>
      <c r="E1281" t="s">
        <v>57</v>
      </c>
      <c r="F1281" t="s">
        <v>38</v>
      </c>
      <c r="G1281" t="s">
        <v>37</v>
      </c>
      <c r="H1281">
        <f t="shared" si="19"/>
        <v>224</v>
      </c>
    </row>
    <row r="1282" spans="1:8" x14ac:dyDescent="0.3">
      <c r="A1282" t="s">
        <v>63</v>
      </c>
      <c r="B1282" t="s">
        <v>8</v>
      </c>
      <c r="C1282" t="s">
        <v>16</v>
      </c>
      <c r="D1282">
        <v>1398</v>
      </c>
      <c r="E1282" t="s">
        <v>57</v>
      </c>
      <c r="F1282" t="s">
        <v>38</v>
      </c>
      <c r="G1282" t="s">
        <v>37</v>
      </c>
      <c r="H1282">
        <f t="shared" si="19"/>
        <v>1400</v>
      </c>
    </row>
    <row r="1283" spans="1:8" x14ac:dyDescent="0.3">
      <c r="A1283" t="s">
        <v>63</v>
      </c>
      <c r="B1283" t="s">
        <v>8</v>
      </c>
      <c r="C1283" t="s">
        <v>17</v>
      </c>
      <c r="D1283">
        <v>4914</v>
      </c>
      <c r="E1283" t="s">
        <v>57</v>
      </c>
      <c r="F1283" t="s">
        <v>38</v>
      </c>
      <c r="G1283" t="s">
        <v>37</v>
      </c>
      <c r="H1283">
        <f t="shared" ref="H1283:H1346" si="20">ROUND(D1283, 3 - LEN(INT(ABS(D1283))))</f>
        <v>4910</v>
      </c>
    </row>
    <row r="1284" spans="1:8" x14ac:dyDescent="0.3">
      <c r="A1284" t="s">
        <v>63</v>
      </c>
      <c r="B1284" t="s">
        <v>8</v>
      </c>
      <c r="C1284" t="s">
        <v>18</v>
      </c>
      <c r="D1284">
        <v>0</v>
      </c>
      <c r="E1284" t="s">
        <v>57</v>
      </c>
      <c r="F1284" t="s">
        <v>38</v>
      </c>
      <c r="G1284" t="s">
        <v>37</v>
      </c>
      <c r="H1284">
        <f t="shared" si="20"/>
        <v>0</v>
      </c>
    </row>
    <row r="1285" spans="1:8" x14ac:dyDescent="0.3">
      <c r="A1285" t="s">
        <v>63</v>
      </c>
      <c r="B1285" t="s">
        <v>8</v>
      </c>
      <c r="C1285" t="s">
        <v>19</v>
      </c>
      <c r="D1285">
        <v>89</v>
      </c>
      <c r="E1285" t="s">
        <v>57</v>
      </c>
      <c r="F1285" t="s">
        <v>38</v>
      </c>
      <c r="G1285" t="s">
        <v>37</v>
      </c>
      <c r="H1285">
        <f t="shared" si="20"/>
        <v>89</v>
      </c>
    </row>
    <row r="1286" spans="1:8" x14ac:dyDescent="0.3">
      <c r="A1286" t="s">
        <v>63</v>
      </c>
      <c r="B1286" t="s">
        <v>8</v>
      </c>
      <c r="C1286" t="s">
        <v>20</v>
      </c>
      <c r="D1286">
        <v>97</v>
      </c>
      <c r="E1286" t="s">
        <v>57</v>
      </c>
      <c r="F1286" t="s">
        <v>38</v>
      </c>
      <c r="G1286" t="s">
        <v>37</v>
      </c>
      <c r="H1286">
        <f t="shared" si="20"/>
        <v>97</v>
      </c>
    </row>
    <row r="1287" spans="1:8" x14ac:dyDescent="0.3">
      <c r="A1287" t="s">
        <v>63</v>
      </c>
      <c r="B1287" t="s">
        <v>8</v>
      </c>
      <c r="C1287" t="s">
        <v>21</v>
      </c>
      <c r="D1287">
        <v>357</v>
      </c>
      <c r="E1287" t="s">
        <v>57</v>
      </c>
      <c r="F1287" t="s">
        <v>38</v>
      </c>
      <c r="G1287" t="s">
        <v>37</v>
      </c>
      <c r="H1287">
        <f t="shared" si="20"/>
        <v>357</v>
      </c>
    </row>
    <row r="1288" spans="1:8" x14ac:dyDescent="0.3">
      <c r="A1288" t="s">
        <v>63</v>
      </c>
      <c r="B1288" t="s">
        <v>8</v>
      </c>
      <c r="C1288" t="s">
        <v>22</v>
      </c>
      <c r="D1288">
        <v>3504</v>
      </c>
      <c r="E1288" t="s">
        <v>57</v>
      </c>
      <c r="F1288" t="s">
        <v>38</v>
      </c>
      <c r="G1288" t="s">
        <v>37</v>
      </c>
      <c r="H1288">
        <f t="shared" si="20"/>
        <v>3500</v>
      </c>
    </row>
    <row r="1289" spans="1:8" x14ac:dyDescent="0.3">
      <c r="A1289" t="s">
        <v>63</v>
      </c>
      <c r="B1289" t="s">
        <v>23</v>
      </c>
      <c r="C1289" t="s">
        <v>9</v>
      </c>
      <c r="D1289">
        <v>5549096</v>
      </c>
      <c r="E1289" t="s">
        <v>57</v>
      </c>
      <c r="F1289" t="s">
        <v>38</v>
      </c>
      <c r="G1289" t="s">
        <v>37</v>
      </c>
      <c r="H1289">
        <f t="shared" si="20"/>
        <v>5550000</v>
      </c>
    </row>
    <row r="1290" spans="1:8" x14ac:dyDescent="0.3">
      <c r="A1290" t="s">
        <v>63</v>
      </c>
      <c r="B1290" t="s">
        <v>23</v>
      </c>
      <c r="C1290" t="s">
        <v>13</v>
      </c>
      <c r="D1290">
        <v>249756</v>
      </c>
      <c r="E1290" t="s">
        <v>57</v>
      </c>
      <c r="F1290" t="s">
        <v>38</v>
      </c>
      <c r="G1290" t="s">
        <v>37</v>
      </c>
      <c r="H1290">
        <f t="shared" si="20"/>
        <v>250000</v>
      </c>
    </row>
    <row r="1291" spans="1:8" x14ac:dyDescent="0.3">
      <c r="A1291" t="s">
        <v>63</v>
      </c>
      <c r="B1291" t="s">
        <v>23</v>
      </c>
      <c r="C1291" t="s">
        <v>14</v>
      </c>
      <c r="D1291">
        <v>3029952</v>
      </c>
      <c r="E1291" t="s">
        <v>57</v>
      </c>
      <c r="F1291" t="s">
        <v>38</v>
      </c>
      <c r="G1291" t="s">
        <v>37</v>
      </c>
      <c r="H1291">
        <f t="shared" si="20"/>
        <v>3030000</v>
      </c>
    </row>
    <row r="1292" spans="1:8" x14ac:dyDescent="0.3">
      <c r="A1292" t="s">
        <v>63</v>
      </c>
      <c r="B1292" t="s">
        <v>23</v>
      </c>
      <c r="C1292" t="s">
        <v>15</v>
      </c>
      <c r="D1292">
        <v>52315</v>
      </c>
      <c r="E1292" t="s">
        <v>57</v>
      </c>
      <c r="F1292" t="s">
        <v>38</v>
      </c>
      <c r="G1292" t="s">
        <v>37</v>
      </c>
      <c r="H1292">
        <f t="shared" si="20"/>
        <v>52300</v>
      </c>
    </row>
    <row r="1293" spans="1:8" x14ac:dyDescent="0.3">
      <c r="A1293" t="s">
        <v>63</v>
      </c>
      <c r="B1293" t="s">
        <v>23</v>
      </c>
      <c r="C1293" t="s">
        <v>16</v>
      </c>
      <c r="D1293">
        <v>1503555</v>
      </c>
      <c r="E1293" t="s">
        <v>57</v>
      </c>
      <c r="F1293" t="s">
        <v>38</v>
      </c>
      <c r="G1293" t="s">
        <v>37</v>
      </c>
      <c r="H1293">
        <f t="shared" si="20"/>
        <v>1500000</v>
      </c>
    </row>
    <row r="1294" spans="1:8" x14ac:dyDescent="0.3">
      <c r="A1294" t="s">
        <v>63</v>
      </c>
      <c r="B1294" t="s">
        <v>23</v>
      </c>
      <c r="C1294" t="s">
        <v>17</v>
      </c>
      <c r="D1294">
        <v>102004</v>
      </c>
      <c r="E1294" t="s">
        <v>57</v>
      </c>
      <c r="F1294" t="s">
        <v>38</v>
      </c>
      <c r="G1294" t="s">
        <v>37</v>
      </c>
      <c r="H1294">
        <f t="shared" si="20"/>
        <v>102000</v>
      </c>
    </row>
    <row r="1295" spans="1:8" x14ac:dyDescent="0.3">
      <c r="A1295" t="s">
        <v>63</v>
      </c>
      <c r="B1295" t="s">
        <v>23</v>
      </c>
      <c r="C1295" t="s">
        <v>18</v>
      </c>
      <c r="D1295">
        <v>0</v>
      </c>
      <c r="E1295" t="s">
        <v>57</v>
      </c>
      <c r="F1295" t="s">
        <v>38</v>
      </c>
      <c r="G1295" t="s">
        <v>37</v>
      </c>
      <c r="H1295">
        <f t="shared" si="20"/>
        <v>0</v>
      </c>
    </row>
    <row r="1296" spans="1:8" x14ac:dyDescent="0.3">
      <c r="A1296" t="s">
        <v>63</v>
      </c>
      <c r="B1296" t="s">
        <v>23</v>
      </c>
      <c r="C1296" t="s">
        <v>19</v>
      </c>
      <c r="D1296">
        <v>100672</v>
      </c>
      <c r="E1296" t="s">
        <v>57</v>
      </c>
      <c r="F1296" t="s">
        <v>38</v>
      </c>
      <c r="G1296" t="s">
        <v>37</v>
      </c>
      <c r="H1296">
        <f t="shared" si="20"/>
        <v>101000</v>
      </c>
    </row>
    <row r="1297" spans="1:8" x14ac:dyDescent="0.3">
      <c r="A1297" t="s">
        <v>63</v>
      </c>
      <c r="B1297" t="s">
        <v>23</v>
      </c>
      <c r="C1297" t="s">
        <v>20</v>
      </c>
      <c r="D1297">
        <v>57601</v>
      </c>
      <c r="E1297" t="s">
        <v>57</v>
      </c>
      <c r="F1297" t="s">
        <v>38</v>
      </c>
      <c r="G1297" t="s">
        <v>37</v>
      </c>
      <c r="H1297">
        <f t="shared" si="20"/>
        <v>57600</v>
      </c>
    </row>
    <row r="1298" spans="1:8" x14ac:dyDescent="0.3">
      <c r="A1298" t="s">
        <v>63</v>
      </c>
      <c r="B1298" t="s">
        <v>23</v>
      </c>
      <c r="C1298" t="s">
        <v>21</v>
      </c>
      <c r="D1298">
        <v>55646</v>
      </c>
      <c r="E1298" t="s">
        <v>57</v>
      </c>
      <c r="F1298" t="s">
        <v>38</v>
      </c>
      <c r="G1298" t="s">
        <v>37</v>
      </c>
      <c r="H1298">
        <f t="shared" si="20"/>
        <v>55600</v>
      </c>
    </row>
    <row r="1299" spans="1:8" x14ac:dyDescent="0.3">
      <c r="A1299" t="s">
        <v>63</v>
      </c>
      <c r="B1299" t="s">
        <v>23</v>
      </c>
      <c r="C1299" t="s">
        <v>22</v>
      </c>
      <c r="D1299">
        <v>26636</v>
      </c>
      <c r="E1299" t="s">
        <v>57</v>
      </c>
      <c r="F1299" t="s">
        <v>38</v>
      </c>
      <c r="G1299" t="s">
        <v>37</v>
      </c>
      <c r="H1299">
        <f t="shared" si="20"/>
        <v>26600</v>
      </c>
    </row>
    <row r="1300" spans="1:8" x14ac:dyDescent="0.3">
      <c r="A1300" t="s">
        <v>52</v>
      </c>
      <c r="B1300" t="s">
        <v>8</v>
      </c>
      <c r="C1300" t="s">
        <v>9</v>
      </c>
      <c r="D1300">
        <v>21490</v>
      </c>
      <c r="E1300" t="s">
        <v>57</v>
      </c>
      <c r="F1300" t="s">
        <v>38</v>
      </c>
      <c r="G1300" t="s">
        <v>37</v>
      </c>
      <c r="H1300">
        <f t="shared" si="20"/>
        <v>21500</v>
      </c>
    </row>
    <row r="1301" spans="1:8" x14ac:dyDescent="0.3">
      <c r="A1301" t="s">
        <v>52</v>
      </c>
      <c r="B1301" t="s">
        <v>8</v>
      </c>
      <c r="C1301" t="s">
        <v>13</v>
      </c>
      <c r="D1301">
        <v>384</v>
      </c>
      <c r="E1301" t="s">
        <v>57</v>
      </c>
      <c r="F1301" t="s">
        <v>38</v>
      </c>
      <c r="G1301" t="s">
        <v>37</v>
      </c>
      <c r="H1301">
        <f t="shared" si="20"/>
        <v>384</v>
      </c>
    </row>
    <row r="1302" spans="1:8" x14ac:dyDescent="0.3">
      <c r="A1302" t="s">
        <v>52</v>
      </c>
      <c r="B1302" t="s">
        <v>8</v>
      </c>
      <c r="C1302" t="s">
        <v>14</v>
      </c>
      <c r="D1302">
        <v>687</v>
      </c>
      <c r="E1302" t="s">
        <v>57</v>
      </c>
      <c r="F1302" t="s">
        <v>38</v>
      </c>
      <c r="G1302" t="s">
        <v>37</v>
      </c>
      <c r="H1302">
        <f t="shared" si="20"/>
        <v>687</v>
      </c>
    </row>
    <row r="1303" spans="1:8" x14ac:dyDescent="0.3">
      <c r="A1303" t="s">
        <v>52</v>
      </c>
      <c r="B1303" t="s">
        <v>8</v>
      </c>
      <c r="C1303" t="s">
        <v>15</v>
      </c>
      <c r="D1303">
        <v>67</v>
      </c>
      <c r="E1303" t="s">
        <v>57</v>
      </c>
      <c r="F1303" t="s">
        <v>38</v>
      </c>
      <c r="G1303" t="s">
        <v>37</v>
      </c>
      <c r="H1303">
        <f t="shared" si="20"/>
        <v>67</v>
      </c>
    </row>
    <row r="1304" spans="1:8" x14ac:dyDescent="0.3">
      <c r="A1304" t="s">
        <v>52</v>
      </c>
      <c r="B1304" t="s">
        <v>8</v>
      </c>
      <c r="C1304" t="s">
        <v>16</v>
      </c>
      <c r="D1304">
        <v>418</v>
      </c>
      <c r="E1304" t="s">
        <v>57</v>
      </c>
      <c r="F1304" t="s">
        <v>38</v>
      </c>
      <c r="G1304" t="s">
        <v>37</v>
      </c>
      <c r="H1304">
        <f t="shared" si="20"/>
        <v>418</v>
      </c>
    </row>
    <row r="1305" spans="1:8" x14ac:dyDescent="0.3">
      <c r="A1305" t="s">
        <v>52</v>
      </c>
      <c r="B1305" t="s">
        <v>8</v>
      </c>
      <c r="C1305" t="s">
        <v>17</v>
      </c>
      <c r="D1305">
        <v>1467</v>
      </c>
      <c r="E1305" t="s">
        <v>57</v>
      </c>
      <c r="F1305" t="s">
        <v>38</v>
      </c>
      <c r="G1305" t="s">
        <v>37</v>
      </c>
      <c r="H1305">
        <f t="shared" si="20"/>
        <v>1470</v>
      </c>
    </row>
    <row r="1306" spans="1:8" x14ac:dyDescent="0.3">
      <c r="A1306" t="s">
        <v>52</v>
      </c>
      <c r="B1306" t="s">
        <v>8</v>
      </c>
      <c r="C1306" t="s">
        <v>18</v>
      </c>
      <c r="D1306">
        <v>0</v>
      </c>
      <c r="E1306" t="s">
        <v>57</v>
      </c>
      <c r="F1306" t="s">
        <v>38</v>
      </c>
      <c r="G1306" t="s">
        <v>37</v>
      </c>
      <c r="H1306">
        <f t="shared" si="20"/>
        <v>0</v>
      </c>
    </row>
    <row r="1307" spans="1:8" x14ac:dyDescent="0.3">
      <c r="A1307" t="s">
        <v>52</v>
      </c>
      <c r="B1307" t="s">
        <v>8</v>
      </c>
      <c r="C1307" t="s">
        <v>19</v>
      </c>
      <c r="D1307">
        <v>27</v>
      </c>
      <c r="E1307" t="s">
        <v>57</v>
      </c>
      <c r="F1307" t="s">
        <v>38</v>
      </c>
      <c r="G1307" t="s">
        <v>37</v>
      </c>
      <c r="H1307">
        <f t="shared" si="20"/>
        <v>27</v>
      </c>
    </row>
    <row r="1308" spans="1:8" x14ac:dyDescent="0.3">
      <c r="A1308" t="s">
        <v>52</v>
      </c>
      <c r="B1308" t="s">
        <v>8</v>
      </c>
      <c r="C1308" t="s">
        <v>20</v>
      </c>
      <c r="D1308">
        <v>29</v>
      </c>
      <c r="E1308" t="s">
        <v>57</v>
      </c>
      <c r="F1308" t="s">
        <v>38</v>
      </c>
      <c r="G1308" t="s">
        <v>37</v>
      </c>
      <c r="H1308">
        <f t="shared" si="20"/>
        <v>29</v>
      </c>
    </row>
    <row r="1309" spans="1:8" x14ac:dyDescent="0.3">
      <c r="A1309" t="s">
        <v>52</v>
      </c>
      <c r="B1309" t="s">
        <v>8</v>
      </c>
      <c r="C1309" t="s">
        <v>21</v>
      </c>
      <c r="D1309">
        <v>107</v>
      </c>
      <c r="E1309" t="s">
        <v>57</v>
      </c>
      <c r="F1309" t="s">
        <v>38</v>
      </c>
      <c r="G1309" t="s">
        <v>37</v>
      </c>
      <c r="H1309">
        <f t="shared" si="20"/>
        <v>107</v>
      </c>
    </row>
    <row r="1310" spans="1:8" x14ac:dyDescent="0.3">
      <c r="A1310" t="s">
        <v>52</v>
      </c>
      <c r="B1310" t="s">
        <v>8</v>
      </c>
      <c r="C1310" t="s">
        <v>22</v>
      </c>
      <c r="D1310">
        <v>1047</v>
      </c>
      <c r="E1310" t="s">
        <v>57</v>
      </c>
      <c r="F1310" t="s">
        <v>38</v>
      </c>
      <c r="G1310" t="s">
        <v>37</v>
      </c>
      <c r="H1310">
        <f t="shared" si="20"/>
        <v>1050</v>
      </c>
    </row>
    <row r="1311" spans="1:8" x14ac:dyDescent="0.3">
      <c r="A1311" t="s">
        <v>52</v>
      </c>
      <c r="B1311" t="s">
        <v>23</v>
      </c>
      <c r="C1311" t="s">
        <v>9</v>
      </c>
      <c r="D1311">
        <v>1657196</v>
      </c>
      <c r="E1311" t="s">
        <v>57</v>
      </c>
      <c r="F1311" t="s">
        <v>38</v>
      </c>
      <c r="G1311" t="s">
        <v>37</v>
      </c>
      <c r="H1311">
        <f t="shared" si="20"/>
        <v>1660000</v>
      </c>
    </row>
    <row r="1312" spans="1:8" x14ac:dyDescent="0.3">
      <c r="A1312" t="s">
        <v>52</v>
      </c>
      <c r="B1312" t="s">
        <v>23</v>
      </c>
      <c r="C1312" t="s">
        <v>13</v>
      </c>
      <c r="D1312">
        <v>74588</v>
      </c>
      <c r="E1312" t="s">
        <v>57</v>
      </c>
      <c r="F1312" t="s">
        <v>38</v>
      </c>
      <c r="G1312" t="s">
        <v>37</v>
      </c>
      <c r="H1312">
        <f t="shared" si="20"/>
        <v>74600</v>
      </c>
    </row>
    <row r="1313" spans="1:8" x14ac:dyDescent="0.3">
      <c r="A1313" t="s">
        <v>52</v>
      </c>
      <c r="B1313" t="s">
        <v>23</v>
      </c>
      <c r="C1313" t="s">
        <v>14</v>
      </c>
      <c r="D1313">
        <v>904872</v>
      </c>
      <c r="E1313" t="s">
        <v>57</v>
      </c>
      <c r="F1313" t="s">
        <v>38</v>
      </c>
      <c r="G1313" t="s">
        <v>37</v>
      </c>
      <c r="H1313">
        <f t="shared" si="20"/>
        <v>905000</v>
      </c>
    </row>
    <row r="1314" spans="1:8" x14ac:dyDescent="0.3">
      <c r="A1314" t="s">
        <v>52</v>
      </c>
      <c r="B1314" t="s">
        <v>23</v>
      </c>
      <c r="C1314" t="s">
        <v>15</v>
      </c>
      <c r="D1314">
        <v>15624</v>
      </c>
      <c r="E1314" t="s">
        <v>57</v>
      </c>
      <c r="F1314" t="s">
        <v>38</v>
      </c>
      <c r="G1314" t="s">
        <v>37</v>
      </c>
      <c r="H1314">
        <f t="shared" si="20"/>
        <v>15600</v>
      </c>
    </row>
    <row r="1315" spans="1:8" x14ac:dyDescent="0.3">
      <c r="A1315" t="s">
        <v>52</v>
      </c>
      <c r="B1315" t="s">
        <v>23</v>
      </c>
      <c r="C1315" t="s">
        <v>16</v>
      </c>
      <c r="D1315">
        <v>449026</v>
      </c>
      <c r="E1315" t="s">
        <v>57</v>
      </c>
      <c r="F1315" t="s">
        <v>38</v>
      </c>
      <c r="G1315" t="s">
        <v>37</v>
      </c>
      <c r="H1315">
        <f t="shared" si="20"/>
        <v>449000</v>
      </c>
    </row>
    <row r="1316" spans="1:8" x14ac:dyDescent="0.3">
      <c r="A1316" t="s">
        <v>52</v>
      </c>
      <c r="B1316" t="s">
        <v>23</v>
      </c>
      <c r="C1316" t="s">
        <v>17</v>
      </c>
      <c r="D1316">
        <v>30463</v>
      </c>
      <c r="E1316" t="s">
        <v>57</v>
      </c>
      <c r="F1316" t="s">
        <v>38</v>
      </c>
      <c r="G1316" t="s">
        <v>37</v>
      </c>
      <c r="H1316">
        <f t="shared" si="20"/>
        <v>30500</v>
      </c>
    </row>
    <row r="1317" spans="1:8" x14ac:dyDescent="0.3">
      <c r="A1317" t="s">
        <v>52</v>
      </c>
      <c r="B1317" t="s">
        <v>23</v>
      </c>
      <c r="C1317" t="s">
        <v>18</v>
      </c>
      <c r="D1317">
        <v>0</v>
      </c>
      <c r="E1317" t="s">
        <v>57</v>
      </c>
      <c r="F1317" t="s">
        <v>38</v>
      </c>
      <c r="G1317" t="s">
        <v>37</v>
      </c>
      <c r="H1317">
        <f t="shared" si="20"/>
        <v>0</v>
      </c>
    </row>
    <row r="1318" spans="1:8" x14ac:dyDescent="0.3">
      <c r="A1318" t="s">
        <v>52</v>
      </c>
      <c r="B1318" t="s">
        <v>23</v>
      </c>
      <c r="C1318" t="s">
        <v>19</v>
      </c>
      <c r="D1318">
        <v>30065</v>
      </c>
      <c r="E1318" t="s">
        <v>57</v>
      </c>
      <c r="F1318" t="s">
        <v>38</v>
      </c>
      <c r="G1318" t="s">
        <v>37</v>
      </c>
      <c r="H1318">
        <f t="shared" si="20"/>
        <v>30100</v>
      </c>
    </row>
    <row r="1319" spans="1:8" x14ac:dyDescent="0.3">
      <c r="A1319" t="s">
        <v>52</v>
      </c>
      <c r="B1319" t="s">
        <v>23</v>
      </c>
      <c r="C1319" t="s">
        <v>20</v>
      </c>
      <c r="D1319">
        <v>17202</v>
      </c>
      <c r="E1319" t="s">
        <v>57</v>
      </c>
      <c r="F1319" t="s">
        <v>38</v>
      </c>
      <c r="G1319" t="s">
        <v>37</v>
      </c>
      <c r="H1319">
        <f t="shared" si="20"/>
        <v>17200</v>
      </c>
    </row>
    <row r="1320" spans="1:8" x14ac:dyDescent="0.3">
      <c r="A1320" t="s">
        <v>52</v>
      </c>
      <c r="B1320" t="s">
        <v>23</v>
      </c>
      <c r="C1320" t="s">
        <v>21</v>
      </c>
      <c r="D1320">
        <v>16618</v>
      </c>
      <c r="E1320" t="s">
        <v>57</v>
      </c>
      <c r="F1320" t="s">
        <v>38</v>
      </c>
      <c r="G1320" t="s">
        <v>37</v>
      </c>
      <c r="H1320">
        <f t="shared" si="20"/>
        <v>16600</v>
      </c>
    </row>
    <row r="1321" spans="1:8" x14ac:dyDescent="0.3">
      <c r="A1321" t="s">
        <v>52</v>
      </c>
      <c r="B1321" t="s">
        <v>23</v>
      </c>
      <c r="C1321" t="s">
        <v>22</v>
      </c>
      <c r="D1321">
        <v>7955</v>
      </c>
      <c r="E1321" t="s">
        <v>57</v>
      </c>
      <c r="F1321" t="s">
        <v>38</v>
      </c>
      <c r="G1321" t="s">
        <v>37</v>
      </c>
      <c r="H1321">
        <f t="shared" si="20"/>
        <v>7960</v>
      </c>
    </row>
    <row r="1322" spans="1:8" x14ac:dyDescent="0.3">
      <c r="A1322" t="s">
        <v>64</v>
      </c>
      <c r="B1322" t="s">
        <v>8</v>
      </c>
      <c r="C1322" t="s">
        <v>9</v>
      </c>
      <c r="D1322">
        <v>559</v>
      </c>
      <c r="E1322" t="s">
        <v>57</v>
      </c>
      <c r="F1322" t="s">
        <v>38</v>
      </c>
      <c r="G1322" t="s">
        <v>37</v>
      </c>
      <c r="H1322">
        <f t="shared" si="20"/>
        <v>559</v>
      </c>
    </row>
    <row r="1323" spans="1:8" x14ac:dyDescent="0.3">
      <c r="A1323" t="s">
        <v>64</v>
      </c>
      <c r="B1323" t="s">
        <v>8</v>
      </c>
      <c r="C1323" t="s">
        <v>13</v>
      </c>
      <c r="D1323">
        <v>12</v>
      </c>
      <c r="E1323" t="s">
        <v>57</v>
      </c>
      <c r="F1323" t="s">
        <v>38</v>
      </c>
      <c r="G1323" t="s">
        <v>37</v>
      </c>
      <c r="H1323">
        <f t="shared" si="20"/>
        <v>12</v>
      </c>
    </row>
    <row r="1324" spans="1:8" x14ac:dyDescent="0.3">
      <c r="A1324" t="s">
        <v>64</v>
      </c>
      <c r="B1324" t="s">
        <v>8</v>
      </c>
      <c r="C1324" t="s">
        <v>14</v>
      </c>
      <c r="D1324">
        <v>3755</v>
      </c>
      <c r="E1324" t="s">
        <v>57</v>
      </c>
      <c r="F1324" t="s">
        <v>38</v>
      </c>
      <c r="G1324" t="s">
        <v>37</v>
      </c>
      <c r="H1324">
        <f t="shared" si="20"/>
        <v>3760</v>
      </c>
    </row>
    <row r="1325" spans="1:8" x14ac:dyDescent="0.3">
      <c r="A1325" t="s">
        <v>64</v>
      </c>
      <c r="B1325" t="s">
        <v>8</v>
      </c>
      <c r="C1325" t="s">
        <v>15</v>
      </c>
      <c r="D1325">
        <v>13</v>
      </c>
      <c r="E1325" t="s">
        <v>57</v>
      </c>
      <c r="F1325" t="s">
        <v>38</v>
      </c>
      <c r="G1325" t="s">
        <v>37</v>
      </c>
      <c r="H1325">
        <f t="shared" si="20"/>
        <v>13</v>
      </c>
    </row>
    <row r="1326" spans="1:8" x14ac:dyDescent="0.3">
      <c r="A1326" t="s">
        <v>64</v>
      </c>
      <c r="B1326" t="s">
        <v>8</v>
      </c>
      <c r="C1326" t="s">
        <v>16</v>
      </c>
      <c r="D1326">
        <v>99577</v>
      </c>
      <c r="E1326" t="s">
        <v>57</v>
      </c>
      <c r="F1326" t="s">
        <v>38</v>
      </c>
      <c r="G1326" t="s">
        <v>37</v>
      </c>
      <c r="H1326">
        <f t="shared" si="20"/>
        <v>99600</v>
      </c>
    </row>
    <row r="1327" spans="1:8" x14ac:dyDescent="0.3">
      <c r="A1327" t="s">
        <v>64</v>
      </c>
      <c r="B1327" t="s">
        <v>8</v>
      </c>
      <c r="C1327" t="s">
        <v>17</v>
      </c>
      <c r="D1327">
        <v>973</v>
      </c>
      <c r="E1327" t="s">
        <v>57</v>
      </c>
      <c r="F1327" t="s">
        <v>38</v>
      </c>
      <c r="G1327" t="s">
        <v>37</v>
      </c>
      <c r="H1327">
        <f t="shared" si="20"/>
        <v>973</v>
      </c>
    </row>
    <row r="1328" spans="1:8" x14ac:dyDescent="0.3">
      <c r="A1328" t="s">
        <v>64</v>
      </c>
      <c r="B1328" t="s">
        <v>8</v>
      </c>
      <c r="C1328" t="s">
        <v>18</v>
      </c>
      <c r="D1328">
        <v>0</v>
      </c>
      <c r="E1328" t="s">
        <v>57</v>
      </c>
      <c r="F1328" t="s">
        <v>38</v>
      </c>
      <c r="G1328" t="s">
        <v>37</v>
      </c>
      <c r="H1328">
        <f t="shared" si="20"/>
        <v>0</v>
      </c>
    </row>
    <row r="1329" spans="1:8" x14ac:dyDescent="0.3">
      <c r="A1329" t="s">
        <v>64</v>
      </c>
      <c r="B1329" t="s">
        <v>8</v>
      </c>
      <c r="C1329" t="s">
        <v>19</v>
      </c>
      <c r="D1329">
        <v>2</v>
      </c>
      <c r="E1329" t="s">
        <v>57</v>
      </c>
      <c r="F1329" t="s">
        <v>38</v>
      </c>
      <c r="G1329" t="s">
        <v>37</v>
      </c>
      <c r="H1329">
        <f t="shared" si="20"/>
        <v>2</v>
      </c>
    </row>
    <row r="1330" spans="1:8" x14ac:dyDescent="0.3">
      <c r="A1330" t="s">
        <v>64</v>
      </c>
      <c r="B1330" t="s">
        <v>8</v>
      </c>
      <c r="C1330" t="s">
        <v>20</v>
      </c>
      <c r="D1330">
        <v>75</v>
      </c>
      <c r="E1330" t="s">
        <v>57</v>
      </c>
      <c r="F1330" t="s">
        <v>38</v>
      </c>
      <c r="G1330" t="s">
        <v>37</v>
      </c>
      <c r="H1330">
        <f t="shared" si="20"/>
        <v>75</v>
      </c>
    </row>
    <row r="1331" spans="1:8" x14ac:dyDescent="0.3">
      <c r="A1331" t="s">
        <v>64</v>
      </c>
      <c r="B1331" t="s">
        <v>8</v>
      </c>
      <c r="C1331" t="s">
        <v>21</v>
      </c>
      <c r="D1331">
        <v>15</v>
      </c>
      <c r="E1331" t="s">
        <v>57</v>
      </c>
      <c r="F1331" t="s">
        <v>38</v>
      </c>
      <c r="G1331" t="s">
        <v>37</v>
      </c>
      <c r="H1331">
        <f t="shared" si="20"/>
        <v>15</v>
      </c>
    </row>
    <row r="1332" spans="1:8" x14ac:dyDescent="0.3">
      <c r="A1332" t="s">
        <v>64</v>
      </c>
      <c r="B1332" t="s">
        <v>8</v>
      </c>
      <c r="C1332" t="s">
        <v>22</v>
      </c>
      <c r="D1332">
        <v>233</v>
      </c>
      <c r="E1332" t="s">
        <v>57</v>
      </c>
      <c r="F1332" t="s">
        <v>38</v>
      </c>
      <c r="G1332" t="s">
        <v>37</v>
      </c>
      <c r="H1332">
        <f t="shared" si="20"/>
        <v>233</v>
      </c>
    </row>
    <row r="1333" spans="1:8" x14ac:dyDescent="0.3">
      <c r="A1333" t="s">
        <v>64</v>
      </c>
      <c r="B1333" t="s">
        <v>23</v>
      </c>
      <c r="C1333" t="s">
        <v>9</v>
      </c>
      <c r="D1333">
        <v>2579</v>
      </c>
      <c r="E1333" t="s">
        <v>57</v>
      </c>
      <c r="F1333" t="s">
        <v>38</v>
      </c>
      <c r="G1333" t="s">
        <v>37</v>
      </c>
      <c r="H1333">
        <f t="shared" si="20"/>
        <v>2580</v>
      </c>
    </row>
    <row r="1334" spans="1:8" x14ac:dyDescent="0.3">
      <c r="A1334" t="s">
        <v>64</v>
      </c>
      <c r="B1334" t="s">
        <v>23</v>
      </c>
      <c r="C1334" t="s">
        <v>13</v>
      </c>
      <c r="D1334">
        <v>4684</v>
      </c>
      <c r="E1334" t="s">
        <v>57</v>
      </c>
      <c r="F1334" t="s">
        <v>38</v>
      </c>
      <c r="G1334" t="s">
        <v>37</v>
      </c>
      <c r="H1334">
        <f t="shared" si="20"/>
        <v>4680</v>
      </c>
    </row>
    <row r="1335" spans="1:8" x14ac:dyDescent="0.3">
      <c r="A1335" t="s">
        <v>64</v>
      </c>
      <c r="B1335" t="s">
        <v>23</v>
      </c>
      <c r="C1335" t="s">
        <v>14</v>
      </c>
      <c r="D1335">
        <v>14172</v>
      </c>
      <c r="E1335" t="s">
        <v>57</v>
      </c>
      <c r="F1335" t="s">
        <v>38</v>
      </c>
      <c r="G1335" t="s">
        <v>37</v>
      </c>
      <c r="H1335">
        <f t="shared" si="20"/>
        <v>14200</v>
      </c>
    </row>
    <row r="1336" spans="1:8" x14ac:dyDescent="0.3">
      <c r="A1336" t="s">
        <v>64</v>
      </c>
      <c r="B1336" t="s">
        <v>23</v>
      </c>
      <c r="C1336" t="s">
        <v>15</v>
      </c>
      <c r="D1336">
        <v>475</v>
      </c>
      <c r="E1336" t="s">
        <v>57</v>
      </c>
      <c r="F1336" t="s">
        <v>38</v>
      </c>
      <c r="G1336" t="s">
        <v>37</v>
      </c>
      <c r="H1336">
        <f t="shared" si="20"/>
        <v>475</v>
      </c>
    </row>
    <row r="1337" spans="1:8" x14ac:dyDescent="0.3">
      <c r="A1337" t="s">
        <v>64</v>
      </c>
      <c r="B1337" t="s">
        <v>23</v>
      </c>
      <c r="C1337" t="s">
        <v>16</v>
      </c>
      <c r="D1337">
        <v>2930071</v>
      </c>
      <c r="E1337" t="s">
        <v>57</v>
      </c>
      <c r="F1337" t="s">
        <v>38</v>
      </c>
      <c r="G1337" t="s">
        <v>37</v>
      </c>
      <c r="H1337">
        <f t="shared" si="20"/>
        <v>2930000</v>
      </c>
    </row>
    <row r="1338" spans="1:8" x14ac:dyDescent="0.3">
      <c r="A1338" t="s">
        <v>64</v>
      </c>
      <c r="B1338" t="s">
        <v>23</v>
      </c>
      <c r="C1338" t="s">
        <v>17</v>
      </c>
      <c r="D1338">
        <v>593</v>
      </c>
      <c r="E1338" t="s">
        <v>57</v>
      </c>
      <c r="F1338" t="s">
        <v>38</v>
      </c>
      <c r="G1338" t="s">
        <v>37</v>
      </c>
      <c r="H1338">
        <f t="shared" si="20"/>
        <v>593</v>
      </c>
    </row>
    <row r="1339" spans="1:8" x14ac:dyDescent="0.3">
      <c r="A1339" t="s">
        <v>64</v>
      </c>
      <c r="B1339" t="s">
        <v>23</v>
      </c>
      <c r="C1339" t="s">
        <v>18</v>
      </c>
      <c r="D1339">
        <v>19</v>
      </c>
      <c r="E1339" t="s">
        <v>57</v>
      </c>
      <c r="F1339" t="s">
        <v>38</v>
      </c>
      <c r="G1339" t="s">
        <v>37</v>
      </c>
      <c r="H1339">
        <f t="shared" si="20"/>
        <v>19</v>
      </c>
    </row>
    <row r="1340" spans="1:8" x14ac:dyDescent="0.3">
      <c r="A1340" t="s">
        <v>64</v>
      </c>
      <c r="B1340" t="s">
        <v>23</v>
      </c>
      <c r="C1340" t="s">
        <v>19</v>
      </c>
      <c r="D1340">
        <v>927</v>
      </c>
      <c r="E1340" t="s">
        <v>57</v>
      </c>
      <c r="F1340" t="s">
        <v>38</v>
      </c>
      <c r="G1340" t="s">
        <v>37</v>
      </c>
      <c r="H1340">
        <f t="shared" si="20"/>
        <v>927</v>
      </c>
    </row>
    <row r="1341" spans="1:8" x14ac:dyDescent="0.3">
      <c r="A1341" t="s">
        <v>64</v>
      </c>
      <c r="B1341" t="s">
        <v>23</v>
      </c>
      <c r="C1341" t="s">
        <v>20</v>
      </c>
      <c r="D1341">
        <v>38468</v>
      </c>
      <c r="E1341" t="s">
        <v>57</v>
      </c>
      <c r="F1341" t="s">
        <v>38</v>
      </c>
      <c r="G1341" t="s">
        <v>37</v>
      </c>
      <c r="H1341">
        <f t="shared" si="20"/>
        <v>38500</v>
      </c>
    </row>
    <row r="1342" spans="1:8" x14ac:dyDescent="0.3">
      <c r="A1342" t="s">
        <v>64</v>
      </c>
      <c r="B1342" t="s">
        <v>23</v>
      </c>
      <c r="C1342" t="s">
        <v>21</v>
      </c>
      <c r="D1342">
        <v>1103</v>
      </c>
      <c r="E1342" t="s">
        <v>57</v>
      </c>
      <c r="F1342" t="s">
        <v>38</v>
      </c>
      <c r="G1342" t="s">
        <v>37</v>
      </c>
      <c r="H1342">
        <f t="shared" si="20"/>
        <v>1100</v>
      </c>
    </row>
    <row r="1343" spans="1:8" x14ac:dyDescent="0.3">
      <c r="A1343" t="s">
        <v>64</v>
      </c>
      <c r="B1343" t="s">
        <v>23</v>
      </c>
      <c r="C1343" t="s">
        <v>22</v>
      </c>
      <c r="D1343">
        <v>5674</v>
      </c>
      <c r="E1343" t="s">
        <v>57</v>
      </c>
      <c r="F1343" t="s">
        <v>38</v>
      </c>
      <c r="G1343" t="s">
        <v>37</v>
      </c>
      <c r="H1343">
        <f t="shared" si="20"/>
        <v>5670</v>
      </c>
    </row>
    <row r="1344" spans="1:8" x14ac:dyDescent="0.3">
      <c r="A1344" t="s">
        <v>32</v>
      </c>
      <c r="B1344" t="s">
        <v>8</v>
      </c>
      <c r="C1344" t="s">
        <v>9</v>
      </c>
      <c r="D1344">
        <v>817</v>
      </c>
      <c r="E1344" t="s">
        <v>57</v>
      </c>
      <c r="F1344" t="s">
        <v>38</v>
      </c>
      <c r="G1344" t="s">
        <v>37</v>
      </c>
      <c r="H1344">
        <f t="shared" si="20"/>
        <v>817</v>
      </c>
    </row>
    <row r="1345" spans="1:8" x14ac:dyDescent="0.3">
      <c r="A1345" t="s">
        <v>32</v>
      </c>
      <c r="B1345" t="s">
        <v>8</v>
      </c>
      <c r="C1345" t="s">
        <v>13</v>
      </c>
      <c r="D1345">
        <v>2126</v>
      </c>
      <c r="E1345" t="s">
        <v>57</v>
      </c>
      <c r="F1345" t="s">
        <v>38</v>
      </c>
      <c r="G1345" t="s">
        <v>37</v>
      </c>
      <c r="H1345">
        <f t="shared" si="20"/>
        <v>2130</v>
      </c>
    </row>
    <row r="1346" spans="1:8" x14ac:dyDescent="0.3">
      <c r="A1346" t="s">
        <v>32</v>
      </c>
      <c r="B1346" t="s">
        <v>8</v>
      </c>
      <c r="C1346" t="s">
        <v>14</v>
      </c>
      <c r="D1346">
        <v>2103</v>
      </c>
      <c r="E1346" t="s">
        <v>57</v>
      </c>
      <c r="F1346" t="s">
        <v>38</v>
      </c>
      <c r="G1346" t="s">
        <v>37</v>
      </c>
      <c r="H1346">
        <f t="shared" si="20"/>
        <v>2100</v>
      </c>
    </row>
    <row r="1347" spans="1:8" x14ac:dyDescent="0.3">
      <c r="A1347" t="s">
        <v>32</v>
      </c>
      <c r="B1347" t="s">
        <v>8</v>
      </c>
      <c r="C1347" t="s">
        <v>15</v>
      </c>
      <c r="D1347">
        <v>155</v>
      </c>
      <c r="E1347" t="s">
        <v>57</v>
      </c>
      <c r="F1347" t="s">
        <v>38</v>
      </c>
      <c r="G1347" t="s">
        <v>37</v>
      </c>
      <c r="H1347">
        <f t="shared" ref="H1347:H1410" si="21">ROUND(D1347, 3 - LEN(INT(ABS(D1347))))</f>
        <v>155</v>
      </c>
    </row>
    <row r="1348" spans="1:8" x14ac:dyDescent="0.3">
      <c r="A1348" t="s">
        <v>32</v>
      </c>
      <c r="B1348" t="s">
        <v>8</v>
      </c>
      <c r="C1348" t="s">
        <v>16</v>
      </c>
      <c r="D1348">
        <v>2838</v>
      </c>
      <c r="E1348" t="s">
        <v>57</v>
      </c>
      <c r="F1348" t="s">
        <v>38</v>
      </c>
      <c r="G1348" t="s">
        <v>37</v>
      </c>
      <c r="H1348">
        <f t="shared" si="21"/>
        <v>2840</v>
      </c>
    </row>
    <row r="1349" spans="1:8" x14ac:dyDescent="0.3">
      <c r="A1349" t="s">
        <v>32</v>
      </c>
      <c r="B1349" t="s">
        <v>8</v>
      </c>
      <c r="C1349" t="s">
        <v>17</v>
      </c>
      <c r="D1349">
        <v>481</v>
      </c>
      <c r="E1349" t="s">
        <v>57</v>
      </c>
      <c r="F1349" t="s">
        <v>38</v>
      </c>
      <c r="G1349" t="s">
        <v>37</v>
      </c>
      <c r="H1349">
        <f t="shared" si="21"/>
        <v>481</v>
      </c>
    </row>
    <row r="1350" spans="1:8" x14ac:dyDescent="0.3">
      <c r="A1350" t="s">
        <v>32</v>
      </c>
      <c r="B1350" t="s">
        <v>8</v>
      </c>
      <c r="C1350" t="s">
        <v>18</v>
      </c>
      <c r="D1350">
        <v>0</v>
      </c>
      <c r="E1350" t="s">
        <v>57</v>
      </c>
      <c r="F1350" t="s">
        <v>38</v>
      </c>
      <c r="G1350" t="s">
        <v>37</v>
      </c>
      <c r="H1350">
        <f t="shared" si="21"/>
        <v>0</v>
      </c>
    </row>
    <row r="1351" spans="1:8" x14ac:dyDescent="0.3">
      <c r="A1351" t="s">
        <v>32</v>
      </c>
      <c r="B1351" t="s">
        <v>8</v>
      </c>
      <c r="C1351" t="s">
        <v>19</v>
      </c>
      <c r="D1351">
        <v>29</v>
      </c>
      <c r="E1351" t="s">
        <v>57</v>
      </c>
      <c r="F1351" t="s">
        <v>38</v>
      </c>
      <c r="G1351" t="s">
        <v>37</v>
      </c>
      <c r="H1351">
        <f t="shared" si="21"/>
        <v>29</v>
      </c>
    </row>
    <row r="1352" spans="1:8" x14ac:dyDescent="0.3">
      <c r="A1352" t="s">
        <v>32</v>
      </c>
      <c r="B1352" t="s">
        <v>8</v>
      </c>
      <c r="C1352" t="s">
        <v>20</v>
      </c>
      <c r="D1352">
        <v>452</v>
      </c>
      <c r="E1352" t="s">
        <v>57</v>
      </c>
      <c r="F1352" t="s">
        <v>38</v>
      </c>
      <c r="G1352" t="s">
        <v>37</v>
      </c>
      <c r="H1352">
        <f t="shared" si="21"/>
        <v>452</v>
      </c>
    </row>
    <row r="1353" spans="1:8" x14ac:dyDescent="0.3">
      <c r="A1353" t="s">
        <v>32</v>
      </c>
      <c r="B1353" t="s">
        <v>8</v>
      </c>
      <c r="C1353" t="s">
        <v>21</v>
      </c>
      <c r="D1353">
        <v>2579</v>
      </c>
      <c r="E1353" t="s">
        <v>57</v>
      </c>
      <c r="F1353" t="s">
        <v>38</v>
      </c>
      <c r="G1353" t="s">
        <v>37</v>
      </c>
      <c r="H1353">
        <f t="shared" si="21"/>
        <v>2580</v>
      </c>
    </row>
    <row r="1354" spans="1:8" x14ac:dyDescent="0.3">
      <c r="A1354" t="s">
        <v>32</v>
      </c>
      <c r="B1354" t="s">
        <v>8</v>
      </c>
      <c r="C1354" t="s">
        <v>22</v>
      </c>
      <c r="D1354">
        <v>131997</v>
      </c>
      <c r="E1354" t="s">
        <v>57</v>
      </c>
      <c r="F1354" t="s">
        <v>38</v>
      </c>
      <c r="G1354" t="s">
        <v>37</v>
      </c>
      <c r="H1354">
        <f t="shared" si="21"/>
        <v>132000</v>
      </c>
    </row>
    <row r="1355" spans="1:8" x14ac:dyDescent="0.3">
      <c r="A1355" t="s">
        <v>32</v>
      </c>
      <c r="B1355" t="s">
        <v>23</v>
      </c>
      <c r="C1355" t="s">
        <v>9</v>
      </c>
      <c r="D1355">
        <v>238688</v>
      </c>
      <c r="E1355" t="s">
        <v>57</v>
      </c>
      <c r="F1355" t="s">
        <v>38</v>
      </c>
      <c r="G1355" t="s">
        <v>37</v>
      </c>
      <c r="H1355">
        <f t="shared" si="21"/>
        <v>239000</v>
      </c>
    </row>
    <row r="1356" spans="1:8" x14ac:dyDescent="0.3">
      <c r="A1356" t="s">
        <v>32</v>
      </c>
      <c r="B1356" t="s">
        <v>23</v>
      </c>
      <c r="C1356" t="s">
        <v>13</v>
      </c>
      <c r="D1356">
        <v>1820570</v>
      </c>
      <c r="E1356" t="s">
        <v>57</v>
      </c>
      <c r="F1356" t="s">
        <v>38</v>
      </c>
      <c r="G1356" t="s">
        <v>37</v>
      </c>
      <c r="H1356">
        <f t="shared" si="21"/>
        <v>1820000</v>
      </c>
    </row>
    <row r="1357" spans="1:8" x14ac:dyDescent="0.3">
      <c r="A1357" t="s">
        <v>32</v>
      </c>
      <c r="B1357" t="s">
        <v>23</v>
      </c>
      <c r="C1357" t="s">
        <v>14</v>
      </c>
      <c r="D1357">
        <v>1906680</v>
      </c>
      <c r="E1357" t="s">
        <v>57</v>
      </c>
      <c r="F1357" t="s">
        <v>38</v>
      </c>
      <c r="G1357" t="s">
        <v>37</v>
      </c>
      <c r="H1357">
        <f t="shared" si="21"/>
        <v>1910000</v>
      </c>
    </row>
    <row r="1358" spans="1:8" x14ac:dyDescent="0.3">
      <c r="A1358" t="s">
        <v>32</v>
      </c>
      <c r="B1358" t="s">
        <v>23</v>
      </c>
      <c r="C1358" t="s">
        <v>15</v>
      </c>
      <c r="D1358">
        <v>59962</v>
      </c>
      <c r="E1358" t="s">
        <v>57</v>
      </c>
      <c r="F1358" t="s">
        <v>38</v>
      </c>
      <c r="G1358" t="s">
        <v>37</v>
      </c>
      <c r="H1358">
        <f t="shared" si="21"/>
        <v>60000</v>
      </c>
    </row>
    <row r="1359" spans="1:8" x14ac:dyDescent="0.3">
      <c r="A1359" t="s">
        <v>32</v>
      </c>
      <c r="B1359" t="s">
        <v>23</v>
      </c>
      <c r="C1359" t="s">
        <v>16</v>
      </c>
      <c r="D1359">
        <v>628342</v>
      </c>
      <c r="E1359" t="s">
        <v>57</v>
      </c>
      <c r="F1359" t="s">
        <v>38</v>
      </c>
      <c r="G1359" t="s">
        <v>37</v>
      </c>
      <c r="H1359">
        <f t="shared" si="21"/>
        <v>628000</v>
      </c>
    </row>
    <row r="1360" spans="1:8" x14ac:dyDescent="0.3">
      <c r="A1360" t="s">
        <v>32</v>
      </c>
      <c r="B1360" t="s">
        <v>23</v>
      </c>
      <c r="C1360" t="s">
        <v>17</v>
      </c>
      <c r="D1360">
        <v>64571</v>
      </c>
      <c r="E1360" t="s">
        <v>57</v>
      </c>
      <c r="F1360" t="s">
        <v>38</v>
      </c>
      <c r="G1360" t="s">
        <v>37</v>
      </c>
      <c r="H1360">
        <f t="shared" si="21"/>
        <v>64600</v>
      </c>
    </row>
    <row r="1361" spans="1:8" x14ac:dyDescent="0.3">
      <c r="A1361" t="s">
        <v>32</v>
      </c>
      <c r="B1361" t="s">
        <v>23</v>
      </c>
      <c r="C1361" t="s">
        <v>18</v>
      </c>
      <c r="D1361">
        <v>3</v>
      </c>
      <c r="E1361" t="s">
        <v>57</v>
      </c>
      <c r="F1361" t="s">
        <v>38</v>
      </c>
      <c r="G1361" t="s">
        <v>37</v>
      </c>
      <c r="H1361">
        <f t="shared" si="21"/>
        <v>3</v>
      </c>
    </row>
    <row r="1362" spans="1:8" x14ac:dyDescent="0.3">
      <c r="A1362" t="s">
        <v>32</v>
      </c>
      <c r="B1362" t="s">
        <v>23</v>
      </c>
      <c r="C1362" t="s">
        <v>19</v>
      </c>
      <c r="D1362">
        <v>254141</v>
      </c>
      <c r="E1362" t="s">
        <v>57</v>
      </c>
      <c r="F1362" t="s">
        <v>38</v>
      </c>
      <c r="G1362" t="s">
        <v>37</v>
      </c>
      <c r="H1362">
        <f t="shared" si="21"/>
        <v>254000</v>
      </c>
    </row>
    <row r="1363" spans="1:8" x14ac:dyDescent="0.3">
      <c r="A1363" t="s">
        <v>32</v>
      </c>
      <c r="B1363" t="s">
        <v>23</v>
      </c>
      <c r="C1363" t="s">
        <v>20</v>
      </c>
      <c r="D1363">
        <v>70688</v>
      </c>
      <c r="E1363" t="s">
        <v>57</v>
      </c>
      <c r="F1363" t="s">
        <v>38</v>
      </c>
      <c r="G1363" t="s">
        <v>37</v>
      </c>
      <c r="H1363">
        <f t="shared" si="21"/>
        <v>70700</v>
      </c>
    </row>
    <row r="1364" spans="1:8" x14ac:dyDescent="0.3">
      <c r="A1364" t="s">
        <v>32</v>
      </c>
      <c r="B1364" t="s">
        <v>23</v>
      </c>
      <c r="C1364" t="s">
        <v>21</v>
      </c>
      <c r="D1364">
        <v>41573</v>
      </c>
      <c r="E1364" t="s">
        <v>57</v>
      </c>
      <c r="F1364" t="s">
        <v>38</v>
      </c>
      <c r="G1364" t="s">
        <v>37</v>
      </c>
      <c r="H1364">
        <f t="shared" si="21"/>
        <v>41600</v>
      </c>
    </row>
    <row r="1365" spans="1:8" x14ac:dyDescent="0.3">
      <c r="A1365" t="s">
        <v>32</v>
      </c>
      <c r="B1365" t="s">
        <v>23</v>
      </c>
      <c r="C1365" t="s">
        <v>22</v>
      </c>
      <c r="D1365">
        <v>5586261</v>
      </c>
      <c r="E1365" t="s">
        <v>57</v>
      </c>
      <c r="F1365" t="s">
        <v>38</v>
      </c>
      <c r="G1365" t="s">
        <v>37</v>
      </c>
      <c r="H1365">
        <f t="shared" si="21"/>
        <v>5590000</v>
      </c>
    </row>
    <row r="1366" spans="1:8" x14ac:dyDescent="0.3">
      <c r="A1366" t="s">
        <v>65</v>
      </c>
      <c r="B1366" t="s">
        <v>8</v>
      </c>
      <c r="C1366" t="s">
        <v>9</v>
      </c>
      <c r="D1366">
        <v>484</v>
      </c>
      <c r="E1366" t="s">
        <v>57</v>
      </c>
      <c r="F1366" t="s">
        <v>38</v>
      </c>
      <c r="G1366" t="s">
        <v>37</v>
      </c>
      <c r="H1366">
        <f t="shared" si="21"/>
        <v>484</v>
      </c>
    </row>
    <row r="1367" spans="1:8" x14ac:dyDescent="0.3">
      <c r="A1367" t="s">
        <v>65</v>
      </c>
      <c r="B1367" t="s">
        <v>8</v>
      </c>
      <c r="C1367" t="s">
        <v>13</v>
      </c>
      <c r="D1367">
        <v>11</v>
      </c>
      <c r="E1367" t="s">
        <v>57</v>
      </c>
      <c r="F1367" t="s">
        <v>38</v>
      </c>
      <c r="G1367" t="s">
        <v>37</v>
      </c>
      <c r="H1367">
        <f t="shared" si="21"/>
        <v>11</v>
      </c>
    </row>
    <row r="1368" spans="1:8" x14ac:dyDescent="0.3">
      <c r="A1368" t="s">
        <v>65</v>
      </c>
      <c r="B1368" t="s">
        <v>8</v>
      </c>
      <c r="C1368" t="s">
        <v>14</v>
      </c>
      <c r="D1368">
        <v>3254</v>
      </c>
      <c r="E1368" t="s">
        <v>57</v>
      </c>
      <c r="F1368" t="s">
        <v>38</v>
      </c>
      <c r="G1368" t="s">
        <v>37</v>
      </c>
      <c r="H1368">
        <f t="shared" si="21"/>
        <v>3250</v>
      </c>
    </row>
    <row r="1369" spans="1:8" x14ac:dyDescent="0.3">
      <c r="A1369" t="s">
        <v>65</v>
      </c>
      <c r="B1369" t="s">
        <v>8</v>
      </c>
      <c r="C1369" t="s">
        <v>15</v>
      </c>
      <c r="D1369">
        <v>11</v>
      </c>
      <c r="E1369" t="s">
        <v>57</v>
      </c>
      <c r="F1369" t="s">
        <v>38</v>
      </c>
      <c r="G1369" t="s">
        <v>37</v>
      </c>
      <c r="H1369">
        <f t="shared" si="21"/>
        <v>11</v>
      </c>
    </row>
    <row r="1370" spans="1:8" x14ac:dyDescent="0.3">
      <c r="A1370" t="s">
        <v>65</v>
      </c>
      <c r="B1370" t="s">
        <v>8</v>
      </c>
      <c r="C1370" t="s">
        <v>16</v>
      </c>
      <c r="D1370">
        <v>86300</v>
      </c>
      <c r="E1370" t="s">
        <v>57</v>
      </c>
      <c r="F1370" t="s">
        <v>38</v>
      </c>
      <c r="G1370" t="s">
        <v>37</v>
      </c>
      <c r="H1370">
        <f t="shared" si="21"/>
        <v>86300</v>
      </c>
    </row>
    <row r="1371" spans="1:8" x14ac:dyDescent="0.3">
      <c r="A1371" t="s">
        <v>65</v>
      </c>
      <c r="B1371" t="s">
        <v>8</v>
      </c>
      <c r="C1371" t="s">
        <v>17</v>
      </c>
      <c r="D1371">
        <v>843</v>
      </c>
      <c r="E1371" t="s">
        <v>57</v>
      </c>
      <c r="F1371" t="s">
        <v>38</v>
      </c>
      <c r="G1371" t="s">
        <v>37</v>
      </c>
      <c r="H1371">
        <f t="shared" si="21"/>
        <v>843</v>
      </c>
    </row>
    <row r="1372" spans="1:8" x14ac:dyDescent="0.3">
      <c r="A1372" t="s">
        <v>65</v>
      </c>
      <c r="B1372" t="s">
        <v>8</v>
      </c>
      <c r="C1372" t="s">
        <v>18</v>
      </c>
      <c r="D1372">
        <v>0</v>
      </c>
      <c r="E1372" t="s">
        <v>57</v>
      </c>
      <c r="F1372" t="s">
        <v>38</v>
      </c>
      <c r="G1372" t="s">
        <v>37</v>
      </c>
      <c r="H1372">
        <f t="shared" si="21"/>
        <v>0</v>
      </c>
    </row>
    <row r="1373" spans="1:8" x14ac:dyDescent="0.3">
      <c r="A1373" t="s">
        <v>65</v>
      </c>
      <c r="B1373" t="s">
        <v>8</v>
      </c>
      <c r="C1373" t="s">
        <v>19</v>
      </c>
      <c r="D1373">
        <v>2</v>
      </c>
      <c r="E1373" t="s">
        <v>57</v>
      </c>
      <c r="F1373" t="s">
        <v>38</v>
      </c>
      <c r="G1373" t="s">
        <v>37</v>
      </c>
      <c r="H1373">
        <f t="shared" si="21"/>
        <v>2</v>
      </c>
    </row>
    <row r="1374" spans="1:8" x14ac:dyDescent="0.3">
      <c r="A1374" t="s">
        <v>65</v>
      </c>
      <c r="B1374" t="s">
        <v>8</v>
      </c>
      <c r="C1374" t="s">
        <v>20</v>
      </c>
      <c r="D1374">
        <v>65</v>
      </c>
      <c r="E1374" t="s">
        <v>57</v>
      </c>
      <c r="F1374" t="s">
        <v>38</v>
      </c>
      <c r="G1374" t="s">
        <v>37</v>
      </c>
      <c r="H1374">
        <f t="shared" si="21"/>
        <v>65</v>
      </c>
    </row>
    <row r="1375" spans="1:8" x14ac:dyDescent="0.3">
      <c r="A1375" t="s">
        <v>65</v>
      </c>
      <c r="B1375" t="s">
        <v>8</v>
      </c>
      <c r="C1375" t="s">
        <v>21</v>
      </c>
      <c r="D1375">
        <v>13</v>
      </c>
      <c r="E1375" t="s">
        <v>57</v>
      </c>
      <c r="F1375" t="s">
        <v>38</v>
      </c>
      <c r="G1375" t="s">
        <v>37</v>
      </c>
      <c r="H1375">
        <f t="shared" si="21"/>
        <v>13</v>
      </c>
    </row>
    <row r="1376" spans="1:8" x14ac:dyDescent="0.3">
      <c r="A1376" t="s">
        <v>65</v>
      </c>
      <c r="B1376" t="s">
        <v>8</v>
      </c>
      <c r="C1376" t="s">
        <v>22</v>
      </c>
      <c r="D1376">
        <v>202</v>
      </c>
      <c r="E1376" t="s">
        <v>57</v>
      </c>
      <c r="F1376" t="s">
        <v>38</v>
      </c>
      <c r="G1376" t="s">
        <v>37</v>
      </c>
      <c r="H1376">
        <f t="shared" si="21"/>
        <v>202</v>
      </c>
    </row>
    <row r="1377" spans="1:8" x14ac:dyDescent="0.3">
      <c r="A1377" t="s">
        <v>65</v>
      </c>
      <c r="B1377" t="s">
        <v>23</v>
      </c>
      <c r="C1377" t="s">
        <v>9</v>
      </c>
      <c r="D1377">
        <v>2235</v>
      </c>
      <c r="E1377" t="s">
        <v>57</v>
      </c>
      <c r="F1377" t="s">
        <v>38</v>
      </c>
      <c r="G1377" t="s">
        <v>37</v>
      </c>
      <c r="H1377">
        <f t="shared" si="21"/>
        <v>2240</v>
      </c>
    </row>
    <row r="1378" spans="1:8" x14ac:dyDescent="0.3">
      <c r="A1378" t="s">
        <v>65</v>
      </c>
      <c r="B1378" t="s">
        <v>23</v>
      </c>
      <c r="C1378" t="s">
        <v>13</v>
      </c>
      <c r="D1378">
        <v>4059</v>
      </c>
      <c r="E1378" t="s">
        <v>57</v>
      </c>
      <c r="F1378" t="s">
        <v>38</v>
      </c>
      <c r="G1378" t="s">
        <v>37</v>
      </c>
      <c r="H1378">
        <f t="shared" si="21"/>
        <v>4060</v>
      </c>
    </row>
    <row r="1379" spans="1:8" x14ac:dyDescent="0.3">
      <c r="A1379" t="s">
        <v>65</v>
      </c>
      <c r="B1379" t="s">
        <v>23</v>
      </c>
      <c r="C1379" t="s">
        <v>14</v>
      </c>
      <c r="D1379">
        <v>12283</v>
      </c>
      <c r="E1379" t="s">
        <v>57</v>
      </c>
      <c r="F1379" t="s">
        <v>38</v>
      </c>
      <c r="G1379" t="s">
        <v>37</v>
      </c>
      <c r="H1379">
        <f t="shared" si="21"/>
        <v>12300</v>
      </c>
    </row>
    <row r="1380" spans="1:8" x14ac:dyDescent="0.3">
      <c r="A1380" t="s">
        <v>65</v>
      </c>
      <c r="B1380" t="s">
        <v>23</v>
      </c>
      <c r="C1380" t="s">
        <v>15</v>
      </c>
      <c r="D1380">
        <v>412</v>
      </c>
      <c r="E1380" t="s">
        <v>57</v>
      </c>
      <c r="F1380" t="s">
        <v>38</v>
      </c>
      <c r="G1380" t="s">
        <v>37</v>
      </c>
      <c r="H1380">
        <f t="shared" si="21"/>
        <v>412</v>
      </c>
    </row>
    <row r="1381" spans="1:8" x14ac:dyDescent="0.3">
      <c r="A1381" t="s">
        <v>65</v>
      </c>
      <c r="B1381" t="s">
        <v>23</v>
      </c>
      <c r="C1381" t="s">
        <v>16</v>
      </c>
      <c r="D1381">
        <v>2539395</v>
      </c>
      <c r="E1381" t="s">
        <v>57</v>
      </c>
      <c r="F1381" t="s">
        <v>38</v>
      </c>
      <c r="G1381" t="s">
        <v>37</v>
      </c>
      <c r="H1381">
        <f t="shared" si="21"/>
        <v>2540000</v>
      </c>
    </row>
    <row r="1382" spans="1:8" x14ac:dyDescent="0.3">
      <c r="A1382" t="s">
        <v>65</v>
      </c>
      <c r="B1382" t="s">
        <v>23</v>
      </c>
      <c r="C1382" t="s">
        <v>17</v>
      </c>
      <c r="D1382">
        <v>514</v>
      </c>
      <c r="E1382" t="s">
        <v>57</v>
      </c>
      <c r="F1382" t="s">
        <v>38</v>
      </c>
      <c r="G1382" t="s">
        <v>37</v>
      </c>
      <c r="H1382">
        <f t="shared" si="21"/>
        <v>514</v>
      </c>
    </row>
    <row r="1383" spans="1:8" x14ac:dyDescent="0.3">
      <c r="A1383" t="s">
        <v>65</v>
      </c>
      <c r="B1383" t="s">
        <v>23</v>
      </c>
      <c r="C1383" t="s">
        <v>18</v>
      </c>
      <c r="D1383">
        <v>16</v>
      </c>
      <c r="E1383" t="s">
        <v>57</v>
      </c>
      <c r="F1383" t="s">
        <v>38</v>
      </c>
      <c r="G1383" t="s">
        <v>37</v>
      </c>
      <c r="H1383">
        <f t="shared" si="21"/>
        <v>16</v>
      </c>
    </row>
    <row r="1384" spans="1:8" x14ac:dyDescent="0.3">
      <c r="A1384" t="s">
        <v>65</v>
      </c>
      <c r="B1384" t="s">
        <v>23</v>
      </c>
      <c r="C1384" t="s">
        <v>19</v>
      </c>
      <c r="D1384">
        <v>804</v>
      </c>
      <c r="E1384" t="s">
        <v>57</v>
      </c>
      <c r="F1384" t="s">
        <v>38</v>
      </c>
      <c r="G1384" t="s">
        <v>37</v>
      </c>
      <c r="H1384">
        <f t="shared" si="21"/>
        <v>804</v>
      </c>
    </row>
    <row r="1385" spans="1:8" x14ac:dyDescent="0.3">
      <c r="A1385" t="s">
        <v>65</v>
      </c>
      <c r="B1385" t="s">
        <v>23</v>
      </c>
      <c r="C1385" t="s">
        <v>20</v>
      </c>
      <c r="D1385">
        <v>33339</v>
      </c>
      <c r="E1385" t="s">
        <v>57</v>
      </c>
      <c r="F1385" t="s">
        <v>38</v>
      </c>
      <c r="G1385" t="s">
        <v>37</v>
      </c>
      <c r="H1385">
        <f t="shared" si="21"/>
        <v>33300</v>
      </c>
    </row>
    <row r="1386" spans="1:8" x14ac:dyDescent="0.3">
      <c r="A1386" t="s">
        <v>65</v>
      </c>
      <c r="B1386" t="s">
        <v>23</v>
      </c>
      <c r="C1386" t="s">
        <v>21</v>
      </c>
      <c r="D1386">
        <v>956</v>
      </c>
      <c r="E1386" t="s">
        <v>57</v>
      </c>
      <c r="F1386" t="s">
        <v>38</v>
      </c>
      <c r="G1386" t="s">
        <v>37</v>
      </c>
      <c r="H1386">
        <f t="shared" si="21"/>
        <v>956</v>
      </c>
    </row>
    <row r="1387" spans="1:8" x14ac:dyDescent="0.3">
      <c r="A1387" t="s">
        <v>65</v>
      </c>
      <c r="B1387" t="s">
        <v>23</v>
      </c>
      <c r="C1387" t="s">
        <v>22</v>
      </c>
      <c r="D1387">
        <v>4917</v>
      </c>
      <c r="E1387" t="s">
        <v>57</v>
      </c>
      <c r="F1387" t="s">
        <v>38</v>
      </c>
      <c r="G1387" t="s">
        <v>37</v>
      </c>
      <c r="H1387">
        <f t="shared" si="21"/>
        <v>4920</v>
      </c>
    </row>
    <row r="1388" spans="1:8" x14ac:dyDescent="0.3">
      <c r="A1388" t="s">
        <v>33</v>
      </c>
      <c r="B1388" t="s">
        <v>8</v>
      </c>
      <c r="C1388" t="s">
        <v>9</v>
      </c>
      <c r="D1388">
        <v>1916</v>
      </c>
      <c r="E1388" t="s">
        <v>57</v>
      </c>
      <c r="F1388" t="s">
        <v>38</v>
      </c>
      <c r="G1388" t="s">
        <v>37</v>
      </c>
      <c r="H1388">
        <f t="shared" si="21"/>
        <v>1920</v>
      </c>
    </row>
    <row r="1389" spans="1:8" x14ac:dyDescent="0.3">
      <c r="A1389" t="s">
        <v>33</v>
      </c>
      <c r="B1389" t="s">
        <v>8</v>
      </c>
      <c r="C1389" t="s">
        <v>13</v>
      </c>
      <c r="D1389">
        <v>42</v>
      </c>
      <c r="E1389" t="s">
        <v>57</v>
      </c>
      <c r="F1389" t="s">
        <v>38</v>
      </c>
      <c r="G1389" t="s">
        <v>37</v>
      </c>
      <c r="H1389">
        <f t="shared" si="21"/>
        <v>42</v>
      </c>
    </row>
    <row r="1390" spans="1:8" x14ac:dyDescent="0.3">
      <c r="A1390" t="s">
        <v>33</v>
      </c>
      <c r="B1390" t="s">
        <v>8</v>
      </c>
      <c r="C1390" t="s">
        <v>14</v>
      </c>
      <c r="D1390">
        <v>12874</v>
      </c>
      <c r="E1390" t="s">
        <v>57</v>
      </c>
      <c r="F1390" t="s">
        <v>38</v>
      </c>
      <c r="G1390" t="s">
        <v>37</v>
      </c>
      <c r="H1390">
        <f t="shared" si="21"/>
        <v>12900</v>
      </c>
    </row>
    <row r="1391" spans="1:8" x14ac:dyDescent="0.3">
      <c r="A1391" t="s">
        <v>33</v>
      </c>
      <c r="B1391" t="s">
        <v>8</v>
      </c>
      <c r="C1391" t="s">
        <v>15</v>
      </c>
      <c r="D1391">
        <v>43</v>
      </c>
      <c r="E1391" t="s">
        <v>57</v>
      </c>
      <c r="F1391" t="s">
        <v>38</v>
      </c>
      <c r="G1391" t="s">
        <v>37</v>
      </c>
      <c r="H1391">
        <f t="shared" si="21"/>
        <v>43</v>
      </c>
    </row>
    <row r="1392" spans="1:8" x14ac:dyDescent="0.3">
      <c r="A1392" t="s">
        <v>33</v>
      </c>
      <c r="B1392" t="s">
        <v>8</v>
      </c>
      <c r="C1392" t="s">
        <v>16</v>
      </c>
      <c r="D1392">
        <v>341438</v>
      </c>
      <c r="E1392" t="s">
        <v>57</v>
      </c>
      <c r="F1392" t="s">
        <v>38</v>
      </c>
      <c r="G1392" t="s">
        <v>37</v>
      </c>
      <c r="H1392">
        <f t="shared" si="21"/>
        <v>341000</v>
      </c>
    </row>
    <row r="1393" spans="1:8" x14ac:dyDescent="0.3">
      <c r="A1393" t="s">
        <v>33</v>
      </c>
      <c r="B1393" t="s">
        <v>8</v>
      </c>
      <c r="C1393" t="s">
        <v>17</v>
      </c>
      <c r="D1393">
        <v>3336</v>
      </c>
      <c r="E1393" t="s">
        <v>57</v>
      </c>
      <c r="F1393" t="s">
        <v>38</v>
      </c>
      <c r="G1393" t="s">
        <v>37</v>
      </c>
      <c r="H1393">
        <f t="shared" si="21"/>
        <v>3340</v>
      </c>
    </row>
    <row r="1394" spans="1:8" x14ac:dyDescent="0.3">
      <c r="A1394" t="s">
        <v>33</v>
      </c>
      <c r="B1394" t="s">
        <v>8</v>
      </c>
      <c r="C1394" t="s">
        <v>18</v>
      </c>
      <c r="D1394">
        <v>0</v>
      </c>
      <c r="E1394" t="s">
        <v>57</v>
      </c>
      <c r="F1394" t="s">
        <v>38</v>
      </c>
      <c r="G1394" t="s">
        <v>37</v>
      </c>
      <c r="H1394">
        <f t="shared" si="21"/>
        <v>0</v>
      </c>
    </row>
    <row r="1395" spans="1:8" x14ac:dyDescent="0.3">
      <c r="A1395" t="s">
        <v>33</v>
      </c>
      <c r="B1395" t="s">
        <v>8</v>
      </c>
      <c r="C1395" t="s">
        <v>19</v>
      </c>
      <c r="D1395">
        <v>8</v>
      </c>
      <c r="E1395" t="s">
        <v>57</v>
      </c>
      <c r="F1395" t="s">
        <v>38</v>
      </c>
      <c r="G1395" t="s">
        <v>37</v>
      </c>
      <c r="H1395">
        <f t="shared" si="21"/>
        <v>8</v>
      </c>
    </row>
    <row r="1396" spans="1:8" x14ac:dyDescent="0.3">
      <c r="A1396" t="s">
        <v>33</v>
      </c>
      <c r="B1396" t="s">
        <v>8</v>
      </c>
      <c r="C1396" t="s">
        <v>20</v>
      </c>
      <c r="D1396">
        <v>256</v>
      </c>
      <c r="E1396" t="s">
        <v>57</v>
      </c>
      <c r="F1396" t="s">
        <v>38</v>
      </c>
      <c r="G1396" t="s">
        <v>37</v>
      </c>
      <c r="H1396">
        <f t="shared" si="21"/>
        <v>256</v>
      </c>
    </row>
    <row r="1397" spans="1:8" x14ac:dyDescent="0.3">
      <c r="A1397" t="s">
        <v>33</v>
      </c>
      <c r="B1397" t="s">
        <v>8</v>
      </c>
      <c r="C1397" t="s">
        <v>21</v>
      </c>
      <c r="D1397">
        <v>53</v>
      </c>
      <c r="E1397" t="s">
        <v>57</v>
      </c>
      <c r="F1397" t="s">
        <v>38</v>
      </c>
      <c r="G1397" t="s">
        <v>37</v>
      </c>
      <c r="H1397">
        <f t="shared" si="21"/>
        <v>53</v>
      </c>
    </row>
    <row r="1398" spans="1:8" x14ac:dyDescent="0.3">
      <c r="A1398" t="s">
        <v>33</v>
      </c>
      <c r="B1398" t="s">
        <v>8</v>
      </c>
      <c r="C1398" t="s">
        <v>22</v>
      </c>
      <c r="D1398">
        <v>799</v>
      </c>
      <c r="E1398" t="s">
        <v>57</v>
      </c>
      <c r="F1398" t="s">
        <v>38</v>
      </c>
      <c r="G1398" t="s">
        <v>37</v>
      </c>
      <c r="H1398">
        <f t="shared" si="21"/>
        <v>799</v>
      </c>
    </row>
    <row r="1399" spans="1:8" x14ac:dyDescent="0.3">
      <c r="A1399" t="s">
        <v>33</v>
      </c>
      <c r="B1399" t="s">
        <v>23</v>
      </c>
      <c r="C1399" t="s">
        <v>9</v>
      </c>
      <c r="D1399">
        <v>8842</v>
      </c>
      <c r="E1399" t="s">
        <v>57</v>
      </c>
      <c r="F1399" t="s">
        <v>38</v>
      </c>
      <c r="G1399" t="s">
        <v>37</v>
      </c>
      <c r="H1399">
        <f t="shared" si="21"/>
        <v>8840</v>
      </c>
    </row>
    <row r="1400" spans="1:8" x14ac:dyDescent="0.3">
      <c r="A1400" t="s">
        <v>33</v>
      </c>
      <c r="B1400" t="s">
        <v>23</v>
      </c>
      <c r="C1400" t="s">
        <v>13</v>
      </c>
      <c r="D1400">
        <v>16060</v>
      </c>
      <c r="E1400" t="s">
        <v>57</v>
      </c>
      <c r="F1400" t="s">
        <v>38</v>
      </c>
      <c r="G1400" t="s">
        <v>37</v>
      </c>
      <c r="H1400">
        <f t="shared" si="21"/>
        <v>16100</v>
      </c>
    </row>
    <row r="1401" spans="1:8" x14ac:dyDescent="0.3">
      <c r="A1401" t="s">
        <v>33</v>
      </c>
      <c r="B1401" t="s">
        <v>23</v>
      </c>
      <c r="C1401" t="s">
        <v>14</v>
      </c>
      <c r="D1401">
        <v>48595</v>
      </c>
      <c r="E1401" t="s">
        <v>57</v>
      </c>
      <c r="F1401" t="s">
        <v>38</v>
      </c>
      <c r="G1401" t="s">
        <v>37</v>
      </c>
      <c r="H1401">
        <f t="shared" si="21"/>
        <v>48600</v>
      </c>
    </row>
    <row r="1402" spans="1:8" x14ac:dyDescent="0.3">
      <c r="A1402" t="s">
        <v>33</v>
      </c>
      <c r="B1402" t="s">
        <v>23</v>
      </c>
      <c r="C1402" t="s">
        <v>15</v>
      </c>
      <c r="D1402">
        <v>1629</v>
      </c>
      <c r="E1402" t="s">
        <v>57</v>
      </c>
      <c r="F1402" t="s">
        <v>38</v>
      </c>
      <c r="G1402" t="s">
        <v>37</v>
      </c>
      <c r="H1402">
        <f t="shared" si="21"/>
        <v>1630</v>
      </c>
    </row>
    <row r="1403" spans="1:8" x14ac:dyDescent="0.3">
      <c r="A1403" t="s">
        <v>33</v>
      </c>
      <c r="B1403" t="s">
        <v>23</v>
      </c>
      <c r="C1403" t="s">
        <v>16</v>
      </c>
      <c r="D1403">
        <v>10046863</v>
      </c>
      <c r="E1403" t="s">
        <v>57</v>
      </c>
      <c r="F1403" t="s">
        <v>38</v>
      </c>
      <c r="G1403" t="s">
        <v>37</v>
      </c>
      <c r="H1403">
        <f t="shared" si="21"/>
        <v>10000000</v>
      </c>
    </row>
    <row r="1404" spans="1:8" x14ac:dyDescent="0.3">
      <c r="A1404" t="s">
        <v>33</v>
      </c>
      <c r="B1404" t="s">
        <v>23</v>
      </c>
      <c r="C1404" t="s">
        <v>17</v>
      </c>
      <c r="D1404">
        <v>2035</v>
      </c>
      <c r="E1404" t="s">
        <v>57</v>
      </c>
      <c r="F1404" t="s">
        <v>38</v>
      </c>
      <c r="G1404" t="s">
        <v>37</v>
      </c>
      <c r="H1404">
        <f t="shared" si="21"/>
        <v>2040</v>
      </c>
    </row>
    <row r="1405" spans="1:8" x14ac:dyDescent="0.3">
      <c r="A1405" t="s">
        <v>33</v>
      </c>
      <c r="B1405" t="s">
        <v>23</v>
      </c>
      <c r="C1405" t="s">
        <v>18</v>
      </c>
      <c r="D1405">
        <v>65</v>
      </c>
      <c r="E1405" t="s">
        <v>57</v>
      </c>
      <c r="F1405" t="s">
        <v>38</v>
      </c>
      <c r="G1405" t="s">
        <v>37</v>
      </c>
      <c r="H1405">
        <f t="shared" si="21"/>
        <v>65</v>
      </c>
    </row>
    <row r="1406" spans="1:8" x14ac:dyDescent="0.3">
      <c r="A1406" t="s">
        <v>33</v>
      </c>
      <c r="B1406" t="s">
        <v>23</v>
      </c>
      <c r="C1406" t="s">
        <v>19</v>
      </c>
      <c r="D1406">
        <v>3180</v>
      </c>
      <c r="E1406" t="s">
        <v>57</v>
      </c>
      <c r="F1406" t="s">
        <v>38</v>
      </c>
      <c r="G1406" t="s">
        <v>37</v>
      </c>
      <c r="H1406">
        <f t="shared" si="21"/>
        <v>3180</v>
      </c>
    </row>
    <row r="1407" spans="1:8" x14ac:dyDescent="0.3">
      <c r="A1407" t="s">
        <v>33</v>
      </c>
      <c r="B1407" t="s">
        <v>23</v>
      </c>
      <c r="C1407" t="s">
        <v>20</v>
      </c>
      <c r="D1407">
        <v>131903</v>
      </c>
      <c r="E1407" t="s">
        <v>57</v>
      </c>
      <c r="F1407" t="s">
        <v>38</v>
      </c>
      <c r="G1407" t="s">
        <v>37</v>
      </c>
      <c r="H1407">
        <f t="shared" si="21"/>
        <v>132000</v>
      </c>
    </row>
    <row r="1408" spans="1:8" x14ac:dyDescent="0.3">
      <c r="A1408" t="s">
        <v>33</v>
      </c>
      <c r="B1408" t="s">
        <v>23</v>
      </c>
      <c r="C1408" t="s">
        <v>21</v>
      </c>
      <c r="D1408">
        <v>3782</v>
      </c>
      <c r="E1408" t="s">
        <v>57</v>
      </c>
      <c r="F1408" t="s">
        <v>38</v>
      </c>
      <c r="G1408" t="s">
        <v>37</v>
      </c>
      <c r="H1408">
        <f t="shared" si="21"/>
        <v>3780</v>
      </c>
    </row>
    <row r="1409" spans="1:8" x14ac:dyDescent="0.3">
      <c r="A1409" t="s">
        <v>33</v>
      </c>
      <c r="B1409" t="s">
        <v>23</v>
      </c>
      <c r="C1409" t="s">
        <v>22</v>
      </c>
      <c r="D1409">
        <v>19454</v>
      </c>
      <c r="E1409" t="s">
        <v>57</v>
      </c>
      <c r="F1409" t="s">
        <v>38</v>
      </c>
      <c r="G1409" t="s">
        <v>37</v>
      </c>
      <c r="H1409">
        <f t="shared" si="21"/>
        <v>19500</v>
      </c>
    </row>
    <row r="1410" spans="1:8" x14ac:dyDescent="0.3">
      <c r="A1410" t="s">
        <v>34</v>
      </c>
      <c r="B1410" t="s">
        <v>8</v>
      </c>
      <c r="C1410" t="s">
        <v>9</v>
      </c>
      <c r="D1410">
        <v>699</v>
      </c>
      <c r="E1410" t="s">
        <v>57</v>
      </c>
      <c r="F1410" t="s">
        <v>38</v>
      </c>
      <c r="G1410" t="s">
        <v>37</v>
      </c>
      <c r="H1410">
        <f t="shared" si="21"/>
        <v>699</v>
      </c>
    </row>
    <row r="1411" spans="1:8" x14ac:dyDescent="0.3">
      <c r="A1411" t="s">
        <v>34</v>
      </c>
      <c r="B1411" t="s">
        <v>8</v>
      </c>
      <c r="C1411" t="s">
        <v>13</v>
      </c>
      <c r="D1411">
        <v>1819</v>
      </c>
      <c r="E1411" t="s">
        <v>57</v>
      </c>
      <c r="F1411" t="s">
        <v>38</v>
      </c>
      <c r="G1411" t="s">
        <v>37</v>
      </c>
      <c r="H1411">
        <f t="shared" ref="H1411:H1474" si="22">ROUND(D1411, 3 - LEN(INT(ABS(D1411))))</f>
        <v>1820</v>
      </c>
    </row>
    <row r="1412" spans="1:8" x14ac:dyDescent="0.3">
      <c r="A1412" t="s">
        <v>34</v>
      </c>
      <c r="B1412" t="s">
        <v>8</v>
      </c>
      <c r="C1412" t="s">
        <v>14</v>
      </c>
      <c r="D1412">
        <v>1799</v>
      </c>
      <c r="E1412" t="s">
        <v>57</v>
      </c>
      <c r="F1412" t="s">
        <v>38</v>
      </c>
      <c r="G1412" t="s">
        <v>37</v>
      </c>
      <c r="H1412">
        <f t="shared" si="22"/>
        <v>1800</v>
      </c>
    </row>
    <row r="1413" spans="1:8" x14ac:dyDescent="0.3">
      <c r="A1413" t="s">
        <v>34</v>
      </c>
      <c r="B1413" t="s">
        <v>8</v>
      </c>
      <c r="C1413" t="s">
        <v>15</v>
      </c>
      <c r="D1413">
        <v>133</v>
      </c>
      <c r="E1413" t="s">
        <v>57</v>
      </c>
      <c r="F1413" t="s">
        <v>38</v>
      </c>
      <c r="G1413" t="s">
        <v>37</v>
      </c>
      <c r="H1413">
        <f t="shared" si="22"/>
        <v>133</v>
      </c>
    </row>
    <row r="1414" spans="1:8" x14ac:dyDescent="0.3">
      <c r="A1414" t="s">
        <v>34</v>
      </c>
      <c r="B1414" t="s">
        <v>8</v>
      </c>
      <c r="C1414" t="s">
        <v>16</v>
      </c>
      <c r="D1414">
        <v>2429</v>
      </c>
      <c r="E1414" t="s">
        <v>57</v>
      </c>
      <c r="F1414" t="s">
        <v>38</v>
      </c>
      <c r="G1414" t="s">
        <v>37</v>
      </c>
      <c r="H1414">
        <f t="shared" si="22"/>
        <v>2430</v>
      </c>
    </row>
    <row r="1415" spans="1:8" x14ac:dyDescent="0.3">
      <c r="A1415" t="s">
        <v>34</v>
      </c>
      <c r="B1415" t="s">
        <v>8</v>
      </c>
      <c r="C1415" t="s">
        <v>17</v>
      </c>
      <c r="D1415">
        <v>411</v>
      </c>
      <c r="E1415" t="s">
        <v>57</v>
      </c>
      <c r="F1415" t="s">
        <v>38</v>
      </c>
      <c r="G1415" t="s">
        <v>37</v>
      </c>
      <c r="H1415">
        <f t="shared" si="22"/>
        <v>411</v>
      </c>
    </row>
    <row r="1416" spans="1:8" x14ac:dyDescent="0.3">
      <c r="A1416" t="s">
        <v>34</v>
      </c>
      <c r="B1416" t="s">
        <v>8</v>
      </c>
      <c r="C1416" t="s">
        <v>18</v>
      </c>
      <c r="D1416">
        <v>0</v>
      </c>
      <c r="E1416" t="s">
        <v>57</v>
      </c>
      <c r="F1416" t="s">
        <v>38</v>
      </c>
      <c r="G1416" t="s">
        <v>37</v>
      </c>
      <c r="H1416">
        <f t="shared" si="22"/>
        <v>0</v>
      </c>
    </row>
    <row r="1417" spans="1:8" x14ac:dyDescent="0.3">
      <c r="A1417" t="s">
        <v>34</v>
      </c>
      <c r="B1417" t="s">
        <v>8</v>
      </c>
      <c r="C1417" t="s">
        <v>19</v>
      </c>
      <c r="D1417">
        <v>25</v>
      </c>
      <c r="E1417" t="s">
        <v>57</v>
      </c>
      <c r="F1417" t="s">
        <v>38</v>
      </c>
      <c r="G1417" t="s">
        <v>37</v>
      </c>
      <c r="H1417">
        <f t="shared" si="22"/>
        <v>25</v>
      </c>
    </row>
    <row r="1418" spans="1:8" x14ac:dyDescent="0.3">
      <c r="A1418" t="s">
        <v>34</v>
      </c>
      <c r="B1418" t="s">
        <v>8</v>
      </c>
      <c r="C1418" t="s">
        <v>20</v>
      </c>
      <c r="D1418">
        <v>387</v>
      </c>
      <c r="E1418" t="s">
        <v>57</v>
      </c>
      <c r="F1418" t="s">
        <v>38</v>
      </c>
      <c r="G1418" t="s">
        <v>37</v>
      </c>
      <c r="H1418">
        <f t="shared" si="22"/>
        <v>387</v>
      </c>
    </row>
    <row r="1419" spans="1:8" x14ac:dyDescent="0.3">
      <c r="A1419" t="s">
        <v>34</v>
      </c>
      <c r="B1419" t="s">
        <v>8</v>
      </c>
      <c r="C1419" t="s">
        <v>21</v>
      </c>
      <c r="D1419">
        <v>2207</v>
      </c>
      <c r="E1419" t="s">
        <v>57</v>
      </c>
      <c r="F1419" t="s">
        <v>38</v>
      </c>
      <c r="G1419" t="s">
        <v>37</v>
      </c>
      <c r="H1419">
        <f t="shared" si="22"/>
        <v>2210</v>
      </c>
    </row>
    <row r="1420" spans="1:8" x14ac:dyDescent="0.3">
      <c r="A1420" t="s">
        <v>34</v>
      </c>
      <c r="B1420" t="s">
        <v>8</v>
      </c>
      <c r="C1420" t="s">
        <v>22</v>
      </c>
      <c r="D1420">
        <v>112946</v>
      </c>
      <c r="E1420" t="s">
        <v>57</v>
      </c>
      <c r="F1420" t="s">
        <v>38</v>
      </c>
      <c r="G1420" t="s">
        <v>37</v>
      </c>
      <c r="H1420">
        <f t="shared" si="22"/>
        <v>113000</v>
      </c>
    </row>
    <row r="1421" spans="1:8" x14ac:dyDescent="0.3">
      <c r="A1421" t="s">
        <v>34</v>
      </c>
      <c r="B1421" t="s">
        <v>23</v>
      </c>
      <c r="C1421" t="s">
        <v>9</v>
      </c>
      <c r="D1421">
        <v>204240</v>
      </c>
      <c r="E1421" t="s">
        <v>57</v>
      </c>
      <c r="F1421" t="s">
        <v>38</v>
      </c>
      <c r="G1421" t="s">
        <v>37</v>
      </c>
      <c r="H1421">
        <f t="shared" si="22"/>
        <v>204000</v>
      </c>
    </row>
    <row r="1422" spans="1:8" x14ac:dyDescent="0.3">
      <c r="A1422" t="s">
        <v>34</v>
      </c>
      <c r="B1422" t="s">
        <v>23</v>
      </c>
      <c r="C1422" t="s">
        <v>13</v>
      </c>
      <c r="D1422">
        <v>1557819</v>
      </c>
      <c r="E1422" t="s">
        <v>57</v>
      </c>
      <c r="F1422" t="s">
        <v>38</v>
      </c>
      <c r="G1422" t="s">
        <v>37</v>
      </c>
      <c r="H1422">
        <f t="shared" si="22"/>
        <v>1560000</v>
      </c>
    </row>
    <row r="1423" spans="1:8" x14ac:dyDescent="0.3">
      <c r="A1423" t="s">
        <v>34</v>
      </c>
      <c r="B1423" t="s">
        <v>23</v>
      </c>
      <c r="C1423" t="s">
        <v>14</v>
      </c>
      <c r="D1423">
        <v>1631501</v>
      </c>
      <c r="E1423" t="s">
        <v>57</v>
      </c>
      <c r="F1423" t="s">
        <v>38</v>
      </c>
      <c r="G1423" t="s">
        <v>37</v>
      </c>
      <c r="H1423">
        <f t="shared" si="22"/>
        <v>1630000</v>
      </c>
    </row>
    <row r="1424" spans="1:8" x14ac:dyDescent="0.3">
      <c r="A1424" t="s">
        <v>34</v>
      </c>
      <c r="B1424" t="s">
        <v>23</v>
      </c>
      <c r="C1424" t="s">
        <v>15</v>
      </c>
      <c r="D1424">
        <v>51308</v>
      </c>
      <c r="E1424" t="s">
        <v>57</v>
      </c>
      <c r="F1424" t="s">
        <v>38</v>
      </c>
      <c r="G1424" t="s">
        <v>37</v>
      </c>
      <c r="H1424">
        <f t="shared" si="22"/>
        <v>51300</v>
      </c>
    </row>
    <row r="1425" spans="1:8" x14ac:dyDescent="0.3">
      <c r="A1425" t="s">
        <v>34</v>
      </c>
      <c r="B1425" t="s">
        <v>23</v>
      </c>
      <c r="C1425" t="s">
        <v>16</v>
      </c>
      <c r="D1425">
        <v>537658</v>
      </c>
      <c r="E1425" t="s">
        <v>57</v>
      </c>
      <c r="F1425" t="s">
        <v>38</v>
      </c>
      <c r="G1425" t="s">
        <v>37</v>
      </c>
      <c r="H1425">
        <f t="shared" si="22"/>
        <v>538000</v>
      </c>
    </row>
    <row r="1426" spans="1:8" x14ac:dyDescent="0.3">
      <c r="A1426" t="s">
        <v>34</v>
      </c>
      <c r="B1426" t="s">
        <v>23</v>
      </c>
      <c r="C1426" t="s">
        <v>17</v>
      </c>
      <c r="D1426">
        <v>55252</v>
      </c>
      <c r="E1426" t="s">
        <v>57</v>
      </c>
      <c r="F1426" t="s">
        <v>38</v>
      </c>
      <c r="G1426" t="s">
        <v>37</v>
      </c>
      <c r="H1426">
        <f t="shared" si="22"/>
        <v>55300</v>
      </c>
    </row>
    <row r="1427" spans="1:8" x14ac:dyDescent="0.3">
      <c r="A1427" t="s">
        <v>34</v>
      </c>
      <c r="B1427" t="s">
        <v>23</v>
      </c>
      <c r="C1427" t="s">
        <v>18</v>
      </c>
      <c r="D1427">
        <v>3</v>
      </c>
      <c r="E1427" t="s">
        <v>57</v>
      </c>
      <c r="F1427" t="s">
        <v>38</v>
      </c>
      <c r="G1427" t="s">
        <v>37</v>
      </c>
      <c r="H1427">
        <f t="shared" si="22"/>
        <v>3</v>
      </c>
    </row>
    <row r="1428" spans="1:8" x14ac:dyDescent="0.3">
      <c r="A1428" t="s">
        <v>34</v>
      </c>
      <c r="B1428" t="s">
        <v>23</v>
      </c>
      <c r="C1428" t="s">
        <v>19</v>
      </c>
      <c r="D1428">
        <v>217462</v>
      </c>
      <c r="E1428" t="s">
        <v>57</v>
      </c>
      <c r="F1428" t="s">
        <v>38</v>
      </c>
      <c r="G1428" t="s">
        <v>37</v>
      </c>
      <c r="H1428">
        <f t="shared" si="22"/>
        <v>217000</v>
      </c>
    </row>
    <row r="1429" spans="1:8" x14ac:dyDescent="0.3">
      <c r="A1429" t="s">
        <v>34</v>
      </c>
      <c r="B1429" t="s">
        <v>23</v>
      </c>
      <c r="C1429" t="s">
        <v>20</v>
      </c>
      <c r="D1429">
        <v>60486</v>
      </c>
      <c r="E1429" t="s">
        <v>57</v>
      </c>
      <c r="F1429" t="s">
        <v>38</v>
      </c>
      <c r="G1429" t="s">
        <v>37</v>
      </c>
      <c r="H1429">
        <f t="shared" si="22"/>
        <v>60500</v>
      </c>
    </row>
    <row r="1430" spans="1:8" x14ac:dyDescent="0.3">
      <c r="A1430" t="s">
        <v>34</v>
      </c>
      <c r="B1430" t="s">
        <v>23</v>
      </c>
      <c r="C1430" t="s">
        <v>21</v>
      </c>
      <c r="D1430">
        <v>35573</v>
      </c>
      <c r="E1430" t="s">
        <v>57</v>
      </c>
      <c r="F1430" t="s">
        <v>38</v>
      </c>
      <c r="G1430" t="s">
        <v>37</v>
      </c>
      <c r="H1430">
        <f t="shared" si="22"/>
        <v>35600</v>
      </c>
    </row>
    <row r="1431" spans="1:8" x14ac:dyDescent="0.3">
      <c r="A1431" t="s">
        <v>34</v>
      </c>
      <c r="B1431" t="s">
        <v>23</v>
      </c>
      <c r="C1431" t="s">
        <v>22</v>
      </c>
      <c r="D1431">
        <v>4780032</v>
      </c>
      <c r="E1431" t="s">
        <v>57</v>
      </c>
      <c r="F1431" t="s">
        <v>38</v>
      </c>
      <c r="G1431" t="s">
        <v>37</v>
      </c>
      <c r="H1431">
        <f t="shared" si="22"/>
        <v>4780000</v>
      </c>
    </row>
    <row r="1432" spans="1:8" x14ac:dyDescent="0.3">
      <c r="A1432" t="s">
        <v>55</v>
      </c>
      <c r="B1432" t="s">
        <v>8</v>
      </c>
      <c r="C1432" t="s">
        <v>9</v>
      </c>
      <c r="D1432">
        <v>20839</v>
      </c>
      <c r="E1432" t="s">
        <v>57</v>
      </c>
      <c r="F1432" t="s">
        <v>38</v>
      </c>
      <c r="G1432" t="s">
        <v>37</v>
      </c>
      <c r="H1432">
        <f t="shared" si="22"/>
        <v>20800</v>
      </c>
    </row>
    <row r="1433" spans="1:8" x14ac:dyDescent="0.3">
      <c r="A1433" t="s">
        <v>55</v>
      </c>
      <c r="B1433" t="s">
        <v>8</v>
      </c>
      <c r="C1433" t="s">
        <v>13</v>
      </c>
      <c r="D1433">
        <v>373</v>
      </c>
      <c r="E1433" t="s">
        <v>57</v>
      </c>
      <c r="F1433" t="s">
        <v>38</v>
      </c>
      <c r="G1433" t="s">
        <v>37</v>
      </c>
      <c r="H1433">
        <f t="shared" si="22"/>
        <v>373</v>
      </c>
    </row>
    <row r="1434" spans="1:8" x14ac:dyDescent="0.3">
      <c r="A1434" t="s">
        <v>55</v>
      </c>
      <c r="B1434" t="s">
        <v>8</v>
      </c>
      <c r="C1434" t="s">
        <v>14</v>
      </c>
      <c r="D1434">
        <v>667</v>
      </c>
      <c r="E1434" t="s">
        <v>57</v>
      </c>
      <c r="F1434" t="s">
        <v>38</v>
      </c>
      <c r="G1434" t="s">
        <v>37</v>
      </c>
      <c r="H1434">
        <f t="shared" si="22"/>
        <v>667</v>
      </c>
    </row>
    <row r="1435" spans="1:8" x14ac:dyDescent="0.3">
      <c r="A1435" t="s">
        <v>55</v>
      </c>
      <c r="B1435" t="s">
        <v>8</v>
      </c>
      <c r="C1435" t="s">
        <v>15</v>
      </c>
      <c r="D1435">
        <v>65</v>
      </c>
      <c r="E1435" t="s">
        <v>57</v>
      </c>
      <c r="F1435" t="s">
        <v>38</v>
      </c>
      <c r="G1435" t="s">
        <v>37</v>
      </c>
      <c r="H1435">
        <f t="shared" si="22"/>
        <v>65</v>
      </c>
    </row>
    <row r="1436" spans="1:8" x14ac:dyDescent="0.3">
      <c r="A1436" t="s">
        <v>55</v>
      </c>
      <c r="B1436" t="s">
        <v>8</v>
      </c>
      <c r="C1436" t="s">
        <v>16</v>
      </c>
      <c r="D1436">
        <v>405</v>
      </c>
      <c r="E1436" t="s">
        <v>57</v>
      </c>
      <c r="F1436" t="s">
        <v>38</v>
      </c>
      <c r="G1436" t="s">
        <v>37</v>
      </c>
      <c r="H1436">
        <f t="shared" si="22"/>
        <v>405</v>
      </c>
    </row>
    <row r="1437" spans="1:8" x14ac:dyDescent="0.3">
      <c r="A1437" t="s">
        <v>55</v>
      </c>
      <c r="B1437" t="s">
        <v>8</v>
      </c>
      <c r="C1437" t="s">
        <v>17</v>
      </c>
      <c r="D1437">
        <v>1423</v>
      </c>
      <c r="E1437" t="s">
        <v>57</v>
      </c>
      <c r="F1437" t="s">
        <v>38</v>
      </c>
      <c r="G1437" t="s">
        <v>37</v>
      </c>
      <c r="H1437">
        <f t="shared" si="22"/>
        <v>1420</v>
      </c>
    </row>
    <row r="1438" spans="1:8" x14ac:dyDescent="0.3">
      <c r="A1438" t="s">
        <v>55</v>
      </c>
      <c r="B1438" t="s">
        <v>8</v>
      </c>
      <c r="C1438" t="s">
        <v>18</v>
      </c>
      <c r="D1438">
        <v>0</v>
      </c>
      <c r="E1438" t="s">
        <v>57</v>
      </c>
      <c r="F1438" t="s">
        <v>38</v>
      </c>
      <c r="G1438" t="s">
        <v>37</v>
      </c>
      <c r="H1438">
        <f t="shared" si="22"/>
        <v>0</v>
      </c>
    </row>
    <row r="1439" spans="1:8" x14ac:dyDescent="0.3">
      <c r="A1439" t="s">
        <v>55</v>
      </c>
      <c r="B1439" t="s">
        <v>8</v>
      </c>
      <c r="C1439" t="s">
        <v>19</v>
      </c>
      <c r="D1439">
        <v>26</v>
      </c>
      <c r="E1439" t="s">
        <v>57</v>
      </c>
      <c r="F1439" t="s">
        <v>38</v>
      </c>
      <c r="G1439" t="s">
        <v>37</v>
      </c>
      <c r="H1439">
        <f t="shared" si="22"/>
        <v>26</v>
      </c>
    </row>
    <row r="1440" spans="1:8" x14ac:dyDescent="0.3">
      <c r="A1440" t="s">
        <v>55</v>
      </c>
      <c r="B1440" t="s">
        <v>8</v>
      </c>
      <c r="C1440" t="s">
        <v>20</v>
      </c>
      <c r="D1440">
        <v>28</v>
      </c>
      <c r="E1440" t="s">
        <v>57</v>
      </c>
      <c r="F1440" t="s">
        <v>38</v>
      </c>
      <c r="G1440" t="s">
        <v>37</v>
      </c>
      <c r="H1440">
        <f t="shared" si="22"/>
        <v>28</v>
      </c>
    </row>
    <row r="1441" spans="1:8" x14ac:dyDescent="0.3">
      <c r="A1441" t="s">
        <v>55</v>
      </c>
      <c r="B1441" t="s">
        <v>8</v>
      </c>
      <c r="C1441" t="s">
        <v>21</v>
      </c>
      <c r="D1441">
        <v>103</v>
      </c>
      <c r="E1441" t="s">
        <v>57</v>
      </c>
      <c r="F1441" t="s">
        <v>38</v>
      </c>
      <c r="G1441" t="s">
        <v>37</v>
      </c>
      <c r="H1441">
        <f t="shared" si="22"/>
        <v>103</v>
      </c>
    </row>
    <row r="1442" spans="1:8" x14ac:dyDescent="0.3">
      <c r="A1442" t="s">
        <v>55</v>
      </c>
      <c r="B1442" t="s">
        <v>8</v>
      </c>
      <c r="C1442" t="s">
        <v>22</v>
      </c>
      <c r="D1442">
        <v>1015</v>
      </c>
      <c r="E1442" t="s">
        <v>57</v>
      </c>
      <c r="F1442" t="s">
        <v>38</v>
      </c>
      <c r="G1442" t="s">
        <v>37</v>
      </c>
      <c r="H1442">
        <f t="shared" si="22"/>
        <v>1020</v>
      </c>
    </row>
    <row r="1443" spans="1:8" x14ac:dyDescent="0.3">
      <c r="A1443" t="s">
        <v>55</v>
      </c>
      <c r="B1443" t="s">
        <v>23</v>
      </c>
      <c r="C1443" t="s">
        <v>9</v>
      </c>
      <c r="D1443">
        <v>1606978</v>
      </c>
      <c r="E1443" t="s">
        <v>57</v>
      </c>
      <c r="F1443" t="s">
        <v>38</v>
      </c>
      <c r="G1443" t="s">
        <v>37</v>
      </c>
      <c r="H1443">
        <f t="shared" si="22"/>
        <v>1610000</v>
      </c>
    </row>
    <row r="1444" spans="1:8" x14ac:dyDescent="0.3">
      <c r="A1444" t="s">
        <v>55</v>
      </c>
      <c r="B1444" t="s">
        <v>23</v>
      </c>
      <c r="C1444" t="s">
        <v>13</v>
      </c>
      <c r="D1444">
        <v>72328</v>
      </c>
      <c r="E1444" t="s">
        <v>57</v>
      </c>
      <c r="F1444" t="s">
        <v>38</v>
      </c>
      <c r="G1444" t="s">
        <v>37</v>
      </c>
      <c r="H1444">
        <f t="shared" si="22"/>
        <v>72300</v>
      </c>
    </row>
    <row r="1445" spans="1:8" x14ac:dyDescent="0.3">
      <c r="A1445" t="s">
        <v>55</v>
      </c>
      <c r="B1445" t="s">
        <v>23</v>
      </c>
      <c r="C1445" t="s">
        <v>14</v>
      </c>
      <c r="D1445">
        <v>877452</v>
      </c>
      <c r="E1445" t="s">
        <v>57</v>
      </c>
      <c r="F1445" t="s">
        <v>38</v>
      </c>
      <c r="G1445" t="s">
        <v>37</v>
      </c>
      <c r="H1445">
        <f t="shared" si="22"/>
        <v>877000</v>
      </c>
    </row>
    <row r="1446" spans="1:8" x14ac:dyDescent="0.3">
      <c r="A1446" t="s">
        <v>55</v>
      </c>
      <c r="B1446" t="s">
        <v>23</v>
      </c>
      <c r="C1446" t="s">
        <v>15</v>
      </c>
      <c r="D1446">
        <v>15150</v>
      </c>
      <c r="E1446" t="s">
        <v>57</v>
      </c>
      <c r="F1446" t="s">
        <v>38</v>
      </c>
      <c r="G1446" t="s">
        <v>37</v>
      </c>
      <c r="H1446">
        <f t="shared" si="22"/>
        <v>15200</v>
      </c>
    </row>
    <row r="1447" spans="1:8" x14ac:dyDescent="0.3">
      <c r="A1447" t="s">
        <v>55</v>
      </c>
      <c r="B1447" t="s">
        <v>23</v>
      </c>
      <c r="C1447" t="s">
        <v>16</v>
      </c>
      <c r="D1447">
        <v>435419</v>
      </c>
      <c r="E1447" t="s">
        <v>57</v>
      </c>
      <c r="F1447" t="s">
        <v>38</v>
      </c>
      <c r="G1447" t="s">
        <v>37</v>
      </c>
      <c r="H1447">
        <f t="shared" si="22"/>
        <v>435000</v>
      </c>
    </row>
    <row r="1448" spans="1:8" x14ac:dyDescent="0.3">
      <c r="A1448" t="s">
        <v>55</v>
      </c>
      <c r="B1448" t="s">
        <v>23</v>
      </c>
      <c r="C1448" t="s">
        <v>17</v>
      </c>
      <c r="D1448">
        <v>29540</v>
      </c>
      <c r="E1448" t="s">
        <v>57</v>
      </c>
      <c r="F1448" t="s">
        <v>38</v>
      </c>
      <c r="G1448" t="s">
        <v>37</v>
      </c>
      <c r="H1448">
        <f t="shared" si="22"/>
        <v>29500</v>
      </c>
    </row>
    <row r="1449" spans="1:8" x14ac:dyDescent="0.3">
      <c r="A1449" t="s">
        <v>55</v>
      </c>
      <c r="B1449" t="s">
        <v>23</v>
      </c>
      <c r="C1449" t="s">
        <v>18</v>
      </c>
      <c r="D1449">
        <v>0</v>
      </c>
      <c r="E1449" t="s">
        <v>57</v>
      </c>
      <c r="F1449" t="s">
        <v>38</v>
      </c>
      <c r="G1449" t="s">
        <v>37</v>
      </c>
      <c r="H1449">
        <f t="shared" si="22"/>
        <v>0</v>
      </c>
    </row>
    <row r="1450" spans="1:8" x14ac:dyDescent="0.3">
      <c r="A1450" t="s">
        <v>55</v>
      </c>
      <c r="B1450" t="s">
        <v>23</v>
      </c>
      <c r="C1450" t="s">
        <v>19</v>
      </c>
      <c r="D1450">
        <v>29154</v>
      </c>
      <c r="E1450" t="s">
        <v>57</v>
      </c>
      <c r="F1450" t="s">
        <v>38</v>
      </c>
      <c r="G1450" t="s">
        <v>37</v>
      </c>
      <c r="H1450">
        <f t="shared" si="22"/>
        <v>29200</v>
      </c>
    </row>
    <row r="1451" spans="1:8" x14ac:dyDescent="0.3">
      <c r="A1451" t="s">
        <v>55</v>
      </c>
      <c r="B1451" t="s">
        <v>23</v>
      </c>
      <c r="C1451" t="s">
        <v>20</v>
      </c>
      <c r="D1451">
        <v>16681</v>
      </c>
      <c r="E1451" t="s">
        <v>57</v>
      </c>
      <c r="F1451" t="s">
        <v>38</v>
      </c>
      <c r="G1451" t="s">
        <v>37</v>
      </c>
      <c r="H1451">
        <f t="shared" si="22"/>
        <v>16700</v>
      </c>
    </row>
    <row r="1452" spans="1:8" x14ac:dyDescent="0.3">
      <c r="A1452" t="s">
        <v>55</v>
      </c>
      <c r="B1452" t="s">
        <v>23</v>
      </c>
      <c r="C1452" t="s">
        <v>21</v>
      </c>
      <c r="D1452">
        <v>16115</v>
      </c>
      <c r="E1452" t="s">
        <v>57</v>
      </c>
      <c r="F1452" t="s">
        <v>38</v>
      </c>
      <c r="G1452" t="s">
        <v>37</v>
      </c>
      <c r="H1452">
        <f t="shared" si="22"/>
        <v>16100</v>
      </c>
    </row>
    <row r="1453" spans="1:8" x14ac:dyDescent="0.3">
      <c r="A1453" t="s">
        <v>55</v>
      </c>
      <c r="B1453" t="s">
        <v>23</v>
      </c>
      <c r="C1453" t="s">
        <v>22</v>
      </c>
      <c r="D1453">
        <v>7714</v>
      </c>
      <c r="E1453" t="s">
        <v>57</v>
      </c>
      <c r="F1453" t="s">
        <v>38</v>
      </c>
      <c r="G1453" t="s">
        <v>37</v>
      </c>
      <c r="H1453">
        <f t="shared" si="22"/>
        <v>7710</v>
      </c>
    </row>
    <row r="1454" spans="1:8" x14ac:dyDescent="0.3">
      <c r="A1454" t="s">
        <v>35</v>
      </c>
      <c r="B1454" t="s">
        <v>8</v>
      </c>
      <c r="C1454" t="s">
        <v>9</v>
      </c>
      <c r="D1454">
        <v>303</v>
      </c>
      <c r="E1454" t="s">
        <v>57</v>
      </c>
      <c r="F1454" t="s">
        <v>38</v>
      </c>
      <c r="G1454" t="s">
        <v>37</v>
      </c>
      <c r="H1454">
        <f t="shared" si="22"/>
        <v>303</v>
      </c>
    </row>
    <row r="1455" spans="1:8" x14ac:dyDescent="0.3">
      <c r="A1455" t="s">
        <v>35</v>
      </c>
      <c r="B1455" t="s">
        <v>8</v>
      </c>
      <c r="C1455" t="s">
        <v>13</v>
      </c>
      <c r="D1455">
        <v>789</v>
      </c>
      <c r="E1455" t="s">
        <v>57</v>
      </c>
      <c r="F1455" t="s">
        <v>38</v>
      </c>
      <c r="G1455" t="s">
        <v>37</v>
      </c>
      <c r="H1455">
        <f t="shared" si="22"/>
        <v>789</v>
      </c>
    </row>
    <row r="1456" spans="1:8" x14ac:dyDescent="0.3">
      <c r="A1456" t="s">
        <v>35</v>
      </c>
      <c r="B1456" t="s">
        <v>8</v>
      </c>
      <c r="C1456" t="s">
        <v>14</v>
      </c>
      <c r="D1456">
        <v>780</v>
      </c>
      <c r="E1456" t="s">
        <v>57</v>
      </c>
      <c r="F1456" t="s">
        <v>38</v>
      </c>
      <c r="G1456" t="s">
        <v>37</v>
      </c>
      <c r="H1456">
        <f t="shared" si="22"/>
        <v>780</v>
      </c>
    </row>
    <row r="1457" spans="1:8" x14ac:dyDescent="0.3">
      <c r="A1457" t="s">
        <v>35</v>
      </c>
      <c r="B1457" t="s">
        <v>8</v>
      </c>
      <c r="C1457" t="s">
        <v>15</v>
      </c>
      <c r="D1457">
        <v>57</v>
      </c>
      <c r="E1457" t="s">
        <v>57</v>
      </c>
      <c r="F1457" t="s">
        <v>38</v>
      </c>
      <c r="G1457" t="s">
        <v>37</v>
      </c>
      <c r="H1457">
        <f t="shared" si="22"/>
        <v>57</v>
      </c>
    </row>
    <row r="1458" spans="1:8" x14ac:dyDescent="0.3">
      <c r="A1458" t="s">
        <v>35</v>
      </c>
      <c r="B1458" t="s">
        <v>8</v>
      </c>
      <c r="C1458" t="s">
        <v>16</v>
      </c>
      <c r="D1458">
        <v>1053</v>
      </c>
      <c r="E1458" t="s">
        <v>57</v>
      </c>
      <c r="F1458" t="s">
        <v>38</v>
      </c>
      <c r="G1458" t="s">
        <v>37</v>
      </c>
      <c r="H1458">
        <f t="shared" si="22"/>
        <v>1050</v>
      </c>
    </row>
    <row r="1459" spans="1:8" x14ac:dyDescent="0.3">
      <c r="A1459" t="s">
        <v>35</v>
      </c>
      <c r="B1459" t="s">
        <v>8</v>
      </c>
      <c r="C1459" t="s">
        <v>17</v>
      </c>
      <c r="D1459">
        <v>178</v>
      </c>
      <c r="E1459" t="s">
        <v>57</v>
      </c>
      <c r="F1459" t="s">
        <v>38</v>
      </c>
      <c r="G1459" t="s">
        <v>37</v>
      </c>
      <c r="H1459">
        <f t="shared" si="22"/>
        <v>178</v>
      </c>
    </row>
    <row r="1460" spans="1:8" x14ac:dyDescent="0.3">
      <c r="A1460" t="s">
        <v>35</v>
      </c>
      <c r="B1460" t="s">
        <v>8</v>
      </c>
      <c r="C1460" t="s">
        <v>18</v>
      </c>
      <c r="D1460">
        <v>0</v>
      </c>
      <c r="E1460" t="s">
        <v>57</v>
      </c>
      <c r="F1460" t="s">
        <v>38</v>
      </c>
      <c r="G1460" t="s">
        <v>37</v>
      </c>
      <c r="H1460">
        <f t="shared" si="22"/>
        <v>0</v>
      </c>
    </row>
    <row r="1461" spans="1:8" x14ac:dyDescent="0.3">
      <c r="A1461" t="s">
        <v>35</v>
      </c>
      <c r="B1461" t="s">
        <v>8</v>
      </c>
      <c r="C1461" t="s">
        <v>19</v>
      </c>
      <c r="D1461">
        <v>11</v>
      </c>
      <c r="E1461" t="s">
        <v>57</v>
      </c>
      <c r="F1461" t="s">
        <v>38</v>
      </c>
      <c r="G1461" t="s">
        <v>37</v>
      </c>
      <c r="H1461">
        <f t="shared" si="22"/>
        <v>11</v>
      </c>
    </row>
    <row r="1462" spans="1:8" x14ac:dyDescent="0.3">
      <c r="A1462" t="s">
        <v>35</v>
      </c>
      <c r="B1462" t="s">
        <v>8</v>
      </c>
      <c r="C1462" t="s">
        <v>20</v>
      </c>
      <c r="D1462">
        <v>168</v>
      </c>
      <c r="E1462" t="s">
        <v>57</v>
      </c>
      <c r="F1462" t="s">
        <v>38</v>
      </c>
      <c r="G1462" t="s">
        <v>37</v>
      </c>
      <c r="H1462">
        <f t="shared" si="22"/>
        <v>168</v>
      </c>
    </row>
    <row r="1463" spans="1:8" x14ac:dyDescent="0.3">
      <c r="A1463" t="s">
        <v>35</v>
      </c>
      <c r="B1463" t="s">
        <v>8</v>
      </c>
      <c r="C1463" t="s">
        <v>21</v>
      </c>
      <c r="D1463">
        <v>957</v>
      </c>
      <c r="E1463" t="s">
        <v>57</v>
      </c>
      <c r="F1463" t="s">
        <v>38</v>
      </c>
      <c r="G1463" t="s">
        <v>37</v>
      </c>
      <c r="H1463">
        <f t="shared" si="22"/>
        <v>957</v>
      </c>
    </row>
    <row r="1464" spans="1:8" x14ac:dyDescent="0.3">
      <c r="A1464" t="s">
        <v>35</v>
      </c>
      <c r="B1464" t="s">
        <v>8</v>
      </c>
      <c r="C1464" t="s">
        <v>22</v>
      </c>
      <c r="D1464">
        <v>48970</v>
      </c>
      <c r="E1464" t="s">
        <v>57</v>
      </c>
      <c r="F1464" t="s">
        <v>38</v>
      </c>
      <c r="G1464" t="s">
        <v>37</v>
      </c>
      <c r="H1464">
        <f t="shared" si="22"/>
        <v>49000</v>
      </c>
    </row>
    <row r="1465" spans="1:8" x14ac:dyDescent="0.3">
      <c r="A1465" t="s">
        <v>35</v>
      </c>
      <c r="B1465" t="s">
        <v>23</v>
      </c>
      <c r="C1465" t="s">
        <v>9</v>
      </c>
      <c r="D1465">
        <v>88552</v>
      </c>
      <c r="E1465" t="s">
        <v>57</v>
      </c>
      <c r="F1465" t="s">
        <v>38</v>
      </c>
      <c r="G1465" t="s">
        <v>37</v>
      </c>
      <c r="H1465">
        <f t="shared" si="22"/>
        <v>88600</v>
      </c>
    </row>
    <row r="1466" spans="1:8" x14ac:dyDescent="0.3">
      <c r="A1466" t="s">
        <v>35</v>
      </c>
      <c r="B1466" t="s">
        <v>23</v>
      </c>
      <c r="C1466" t="s">
        <v>13</v>
      </c>
      <c r="D1466">
        <v>675422</v>
      </c>
      <c r="E1466" t="s">
        <v>57</v>
      </c>
      <c r="F1466" t="s">
        <v>38</v>
      </c>
      <c r="G1466" t="s">
        <v>37</v>
      </c>
      <c r="H1466">
        <f t="shared" si="22"/>
        <v>675000</v>
      </c>
    </row>
    <row r="1467" spans="1:8" x14ac:dyDescent="0.3">
      <c r="A1467" t="s">
        <v>35</v>
      </c>
      <c r="B1467" t="s">
        <v>23</v>
      </c>
      <c r="C1467" t="s">
        <v>14</v>
      </c>
      <c r="D1467">
        <v>707369</v>
      </c>
      <c r="E1467" t="s">
        <v>57</v>
      </c>
      <c r="F1467" t="s">
        <v>38</v>
      </c>
      <c r="G1467" t="s">
        <v>37</v>
      </c>
      <c r="H1467">
        <f t="shared" si="22"/>
        <v>707000</v>
      </c>
    </row>
    <row r="1468" spans="1:8" x14ac:dyDescent="0.3">
      <c r="A1468" t="s">
        <v>35</v>
      </c>
      <c r="B1468" t="s">
        <v>23</v>
      </c>
      <c r="C1468" t="s">
        <v>15</v>
      </c>
      <c r="D1468">
        <v>22246</v>
      </c>
      <c r="E1468" t="s">
        <v>57</v>
      </c>
      <c r="F1468" t="s">
        <v>38</v>
      </c>
      <c r="G1468" t="s">
        <v>37</v>
      </c>
      <c r="H1468">
        <f t="shared" si="22"/>
        <v>22200</v>
      </c>
    </row>
    <row r="1469" spans="1:8" x14ac:dyDescent="0.3">
      <c r="A1469" t="s">
        <v>35</v>
      </c>
      <c r="B1469" t="s">
        <v>23</v>
      </c>
      <c r="C1469" t="s">
        <v>16</v>
      </c>
      <c r="D1469">
        <v>233112</v>
      </c>
      <c r="E1469" t="s">
        <v>57</v>
      </c>
      <c r="F1469" t="s">
        <v>38</v>
      </c>
      <c r="G1469" t="s">
        <v>37</v>
      </c>
      <c r="H1469">
        <f t="shared" si="22"/>
        <v>233000</v>
      </c>
    </row>
    <row r="1470" spans="1:8" x14ac:dyDescent="0.3">
      <c r="A1470" t="s">
        <v>35</v>
      </c>
      <c r="B1470" t="s">
        <v>23</v>
      </c>
      <c r="C1470" t="s">
        <v>17</v>
      </c>
      <c r="D1470">
        <v>23955</v>
      </c>
      <c r="E1470" t="s">
        <v>57</v>
      </c>
      <c r="F1470" t="s">
        <v>38</v>
      </c>
      <c r="G1470" t="s">
        <v>37</v>
      </c>
      <c r="H1470">
        <f t="shared" si="22"/>
        <v>24000</v>
      </c>
    </row>
    <row r="1471" spans="1:8" x14ac:dyDescent="0.3">
      <c r="A1471" t="s">
        <v>35</v>
      </c>
      <c r="B1471" t="s">
        <v>23</v>
      </c>
      <c r="C1471" t="s">
        <v>18</v>
      </c>
      <c r="D1471">
        <v>1</v>
      </c>
      <c r="E1471" t="s">
        <v>57</v>
      </c>
      <c r="F1471" t="s">
        <v>38</v>
      </c>
      <c r="G1471" t="s">
        <v>37</v>
      </c>
      <c r="H1471">
        <f t="shared" si="22"/>
        <v>1</v>
      </c>
    </row>
    <row r="1472" spans="1:8" x14ac:dyDescent="0.3">
      <c r="A1472" t="s">
        <v>35</v>
      </c>
      <c r="B1472" t="s">
        <v>23</v>
      </c>
      <c r="C1472" t="s">
        <v>19</v>
      </c>
      <c r="D1472">
        <v>94285</v>
      </c>
      <c r="E1472" t="s">
        <v>57</v>
      </c>
      <c r="F1472" t="s">
        <v>38</v>
      </c>
      <c r="G1472" t="s">
        <v>37</v>
      </c>
      <c r="H1472">
        <f t="shared" si="22"/>
        <v>94300</v>
      </c>
    </row>
    <row r="1473" spans="1:8" x14ac:dyDescent="0.3">
      <c r="A1473" t="s">
        <v>35</v>
      </c>
      <c r="B1473" t="s">
        <v>23</v>
      </c>
      <c r="C1473" t="s">
        <v>20</v>
      </c>
      <c r="D1473">
        <v>26225</v>
      </c>
      <c r="E1473" t="s">
        <v>57</v>
      </c>
      <c r="F1473" t="s">
        <v>38</v>
      </c>
      <c r="G1473" t="s">
        <v>37</v>
      </c>
      <c r="H1473">
        <f t="shared" si="22"/>
        <v>26200</v>
      </c>
    </row>
    <row r="1474" spans="1:8" x14ac:dyDescent="0.3">
      <c r="A1474" t="s">
        <v>35</v>
      </c>
      <c r="B1474" t="s">
        <v>23</v>
      </c>
      <c r="C1474" t="s">
        <v>21</v>
      </c>
      <c r="D1474">
        <v>15423</v>
      </c>
      <c r="E1474" t="s">
        <v>57</v>
      </c>
      <c r="F1474" t="s">
        <v>38</v>
      </c>
      <c r="G1474" t="s">
        <v>37</v>
      </c>
      <c r="H1474">
        <f t="shared" si="22"/>
        <v>15400</v>
      </c>
    </row>
    <row r="1475" spans="1:8" x14ac:dyDescent="0.3">
      <c r="A1475" t="s">
        <v>35</v>
      </c>
      <c r="B1475" t="s">
        <v>23</v>
      </c>
      <c r="C1475" t="s">
        <v>22</v>
      </c>
      <c r="D1475">
        <v>2072475</v>
      </c>
      <c r="E1475" t="s">
        <v>57</v>
      </c>
      <c r="F1475" t="s">
        <v>38</v>
      </c>
      <c r="G1475" t="s">
        <v>37</v>
      </c>
      <c r="H1475">
        <f t="shared" ref="H1475:H1538" si="23">ROUND(D1475, 3 - LEN(INT(ABS(D1475))))</f>
        <v>2070000</v>
      </c>
    </row>
    <row r="1476" spans="1:8" x14ac:dyDescent="0.3">
      <c r="A1476" t="s">
        <v>56</v>
      </c>
      <c r="B1476" t="s">
        <v>8</v>
      </c>
      <c r="C1476" t="s">
        <v>9</v>
      </c>
      <c r="D1476">
        <v>74295</v>
      </c>
      <c r="E1476" t="s">
        <v>57</v>
      </c>
      <c r="F1476" t="s">
        <v>38</v>
      </c>
      <c r="G1476" t="s">
        <v>37</v>
      </c>
      <c r="H1476">
        <f t="shared" si="23"/>
        <v>74300</v>
      </c>
    </row>
    <row r="1477" spans="1:8" x14ac:dyDescent="0.3">
      <c r="A1477" t="s">
        <v>56</v>
      </c>
      <c r="B1477" t="s">
        <v>8</v>
      </c>
      <c r="C1477" t="s">
        <v>13</v>
      </c>
      <c r="D1477">
        <v>30985</v>
      </c>
      <c r="E1477" t="s">
        <v>57</v>
      </c>
      <c r="F1477" t="s">
        <v>38</v>
      </c>
      <c r="G1477" t="s">
        <v>37</v>
      </c>
      <c r="H1477">
        <f t="shared" si="23"/>
        <v>31000</v>
      </c>
    </row>
    <row r="1478" spans="1:8" x14ac:dyDescent="0.3">
      <c r="A1478" t="s">
        <v>56</v>
      </c>
      <c r="B1478" t="s">
        <v>8</v>
      </c>
      <c r="C1478" t="s">
        <v>14</v>
      </c>
      <c r="D1478">
        <v>20930</v>
      </c>
      <c r="E1478" t="s">
        <v>57</v>
      </c>
      <c r="F1478" t="s">
        <v>38</v>
      </c>
      <c r="G1478" t="s">
        <v>37</v>
      </c>
      <c r="H1478">
        <f t="shared" si="23"/>
        <v>20900</v>
      </c>
    </row>
    <row r="1479" spans="1:8" x14ac:dyDescent="0.3">
      <c r="A1479" t="s">
        <v>56</v>
      </c>
      <c r="B1479" t="s">
        <v>8</v>
      </c>
      <c r="C1479" t="s">
        <v>15</v>
      </c>
      <c r="D1479">
        <v>319</v>
      </c>
      <c r="E1479" t="s">
        <v>57</v>
      </c>
      <c r="F1479" t="s">
        <v>38</v>
      </c>
      <c r="G1479" t="s">
        <v>37</v>
      </c>
      <c r="H1479">
        <f t="shared" si="23"/>
        <v>319</v>
      </c>
    </row>
    <row r="1480" spans="1:8" x14ac:dyDescent="0.3">
      <c r="A1480" t="s">
        <v>56</v>
      </c>
      <c r="B1480" t="s">
        <v>8</v>
      </c>
      <c r="C1480" t="s">
        <v>16</v>
      </c>
      <c r="D1480">
        <v>494870</v>
      </c>
      <c r="E1480" t="s">
        <v>57</v>
      </c>
      <c r="F1480" t="s">
        <v>38</v>
      </c>
      <c r="G1480" t="s">
        <v>37</v>
      </c>
      <c r="H1480">
        <f t="shared" si="23"/>
        <v>495000</v>
      </c>
    </row>
    <row r="1481" spans="1:8" x14ac:dyDescent="0.3">
      <c r="A1481" t="s">
        <v>56</v>
      </c>
      <c r="B1481" t="s">
        <v>8</v>
      </c>
      <c r="C1481" t="s">
        <v>17</v>
      </c>
      <c r="D1481">
        <v>9815</v>
      </c>
      <c r="E1481" t="s">
        <v>57</v>
      </c>
      <c r="F1481" t="s">
        <v>38</v>
      </c>
      <c r="G1481" t="s">
        <v>37</v>
      </c>
      <c r="H1481">
        <f t="shared" si="23"/>
        <v>9820</v>
      </c>
    </row>
    <row r="1482" spans="1:8" x14ac:dyDescent="0.3">
      <c r="A1482" t="s">
        <v>56</v>
      </c>
      <c r="B1482" t="s">
        <v>8</v>
      </c>
      <c r="C1482" t="s">
        <v>18</v>
      </c>
      <c r="D1482">
        <v>0</v>
      </c>
      <c r="E1482" t="s">
        <v>57</v>
      </c>
      <c r="F1482" t="s">
        <v>38</v>
      </c>
      <c r="G1482" t="s">
        <v>37</v>
      </c>
      <c r="H1482">
        <f t="shared" si="23"/>
        <v>0</v>
      </c>
    </row>
    <row r="1483" spans="1:8" x14ac:dyDescent="0.3">
      <c r="A1483" t="s">
        <v>56</v>
      </c>
      <c r="B1483" t="s">
        <v>8</v>
      </c>
      <c r="C1483" t="s">
        <v>19</v>
      </c>
      <c r="D1483">
        <v>181</v>
      </c>
      <c r="E1483" t="s">
        <v>57</v>
      </c>
      <c r="F1483" t="s">
        <v>38</v>
      </c>
      <c r="G1483" t="s">
        <v>37</v>
      </c>
      <c r="H1483">
        <f t="shared" si="23"/>
        <v>181</v>
      </c>
    </row>
    <row r="1484" spans="1:8" x14ac:dyDescent="0.3">
      <c r="A1484" t="s">
        <v>56</v>
      </c>
      <c r="B1484" t="s">
        <v>8</v>
      </c>
      <c r="C1484" t="s">
        <v>20</v>
      </c>
      <c r="D1484">
        <v>472</v>
      </c>
      <c r="E1484" t="s">
        <v>57</v>
      </c>
      <c r="F1484" t="s">
        <v>38</v>
      </c>
      <c r="G1484" t="s">
        <v>37</v>
      </c>
      <c r="H1484">
        <f t="shared" si="23"/>
        <v>472</v>
      </c>
    </row>
    <row r="1485" spans="1:8" x14ac:dyDescent="0.3">
      <c r="A1485" t="s">
        <v>56</v>
      </c>
      <c r="B1485" t="s">
        <v>8</v>
      </c>
      <c r="C1485" t="s">
        <v>21</v>
      </c>
      <c r="D1485">
        <v>455</v>
      </c>
      <c r="E1485" t="s">
        <v>57</v>
      </c>
      <c r="F1485" t="s">
        <v>38</v>
      </c>
      <c r="G1485" t="s">
        <v>37</v>
      </c>
      <c r="H1485">
        <f t="shared" si="23"/>
        <v>455</v>
      </c>
    </row>
    <row r="1486" spans="1:8" x14ac:dyDescent="0.3">
      <c r="A1486" t="s">
        <v>56</v>
      </c>
      <c r="B1486" t="s">
        <v>8</v>
      </c>
      <c r="C1486" t="s">
        <v>22</v>
      </c>
      <c r="D1486">
        <v>11454</v>
      </c>
      <c r="E1486" t="s">
        <v>57</v>
      </c>
      <c r="F1486" t="s">
        <v>38</v>
      </c>
      <c r="G1486" t="s">
        <v>37</v>
      </c>
      <c r="H1486">
        <f t="shared" si="23"/>
        <v>11500</v>
      </c>
    </row>
    <row r="1487" spans="1:8" x14ac:dyDescent="0.3">
      <c r="A1487" t="s">
        <v>56</v>
      </c>
      <c r="B1487" t="s">
        <v>23</v>
      </c>
      <c r="C1487" t="s">
        <v>9</v>
      </c>
      <c r="D1487">
        <v>5550634</v>
      </c>
      <c r="E1487" t="s">
        <v>57</v>
      </c>
      <c r="F1487" t="s">
        <v>38</v>
      </c>
      <c r="G1487" t="s">
        <v>37</v>
      </c>
      <c r="H1487">
        <f t="shared" si="23"/>
        <v>5550000</v>
      </c>
    </row>
    <row r="1488" spans="1:8" x14ac:dyDescent="0.3">
      <c r="A1488" t="s">
        <v>56</v>
      </c>
      <c r="B1488" t="s">
        <v>23</v>
      </c>
      <c r="C1488" t="s">
        <v>13</v>
      </c>
      <c r="D1488">
        <v>4632145</v>
      </c>
      <c r="E1488" t="s">
        <v>57</v>
      </c>
      <c r="F1488" t="s">
        <v>38</v>
      </c>
      <c r="G1488" t="s">
        <v>37</v>
      </c>
      <c r="H1488">
        <f t="shared" si="23"/>
        <v>4630000</v>
      </c>
    </row>
    <row r="1489" spans="1:8" x14ac:dyDescent="0.3">
      <c r="A1489" t="s">
        <v>56</v>
      </c>
      <c r="B1489" t="s">
        <v>23</v>
      </c>
      <c r="C1489" t="s">
        <v>14</v>
      </c>
      <c r="D1489">
        <v>3552402</v>
      </c>
      <c r="E1489" t="s">
        <v>57</v>
      </c>
      <c r="F1489" t="s">
        <v>38</v>
      </c>
      <c r="G1489" t="s">
        <v>37</v>
      </c>
      <c r="H1489">
        <f t="shared" si="23"/>
        <v>3550000</v>
      </c>
    </row>
    <row r="1490" spans="1:8" x14ac:dyDescent="0.3">
      <c r="A1490" t="s">
        <v>56</v>
      </c>
      <c r="B1490" t="s">
        <v>23</v>
      </c>
      <c r="C1490" t="s">
        <v>15</v>
      </c>
      <c r="D1490">
        <v>66408</v>
      </c>
      <c r="E1490" t="s">
        <v>57</v>
      </c>
      <c r="F1490" t="s">
        <v>38</v>
      </c>
      <c r="G1490" t="s">
        <v>37</v>
      </c>
      <c r="H1490">
        <f t="shared" si="23"/>
        <v>66400</v>
      </c>
    </row>
    <row r="1491" spans="1:8" x14ac:dyDescent="0.3">
      <c r="A1491" t="s">
        <v>56</v>
      </c>
      <c r="B1491" t="s">
        <v>23</v>
      </c>
      <c r="C1491" t="s">
        <v>16</v>
      </c>
      <c r="D1491">
        <v>16051667</v>
      </c>
      <c r="E1491" t="s">
        <v>57</v>
      </c>
      <c r="F1491" t="s">
        <v>38</v>
      </c>
      <c r="G1491" t="s">
        <v>37</v>
      </c>
      <c r="H1491">
        <f t="shared" si="23"/>
        <v>16100000</v>
      </c>
    </row>
    <row r="1492" spans="1:8" x14ac:dyDescent="0.3">
      <c r="A1492" t="s">
        <v>56</v>
      </c>
      <c r="B1492" t="s">
        <v>23</v>
      </c>
      <c r="C1492" t="s">
        <v>17</v>
      </c>
      <c r="D1492">
        <v>106975</v>
      </c>
      <c r="E1492" t="s">
        <v>57</v>
      </c>
      <c r="F1492" t="s">
        <v>38</v>
      </c>
      <c r="G1492" t="s">
        <v>37</v>
      </c>
      <c r="H1492">
        <f t="shared" si="23"/>
        <v>107000</v>
      </c>
    </row>
    <row r="1493" spans="1:8" x14ac:dyDescent="0.3">
      <c r="A1493" t="s">
        <v>56</v>
      </c>
      <c r="B1493" t="s">
        <v>23</v>
      </c>
      <c r="C1493" t="s">
        <v>18</v>
      </c>
      <c r="D1493">
        <v>95</v>
      </c>
      <c r="E1493" t="s">
        <v>57</v>
      </c>
      <c r="F1493" t="s">
        <v>38</v>
      </c>
      <c r="G1493" t="s">
        <v>37</v>
      </c>
      <c r="H1493">
        <f t="shared" si="23"/>
        <v>95</v>
      </c>
    </row>
    <row r="1494" spans="1:8" x14ac:dyDescent="0.3">
      <c r="A1494" t="s">
        <v>56</v>
      </c>
      <c r="B1494" t="s">
        <v>23</v>
      </c>
      <c r="C1494" t="s">
        <v>19</v>
      </c>
      <c r="D1494">
        <v>225427</v>
      </c>
      <c r="E1494" t="s">
        <v>57</v>
      </c>
      <c r="F1494" t="s">
        <v>38</v>
      </c>
      <c r="G1494" t="s">
        <v>37</v>
      </c>
      <c r="H1494">
        <f t="shared" si="23"/>
        <v>225000</v>
      </c>
    </row>
    <row r="1495" spans="1:8" x14ac:dyDescent="0.3">
      <c r="A1495" t="s">
        <v>56</v>
      </c>
      <c r="B1495" t="s">
        <v>23</v>
      </c>
      <c r="C1495" t="s">
        <v>20</v>
      </c>
      <c r="D1495">
        <v>258515</v>
      </c>
      <c r="E1495" t="s">
        <v>57</v>
      </c>
      <c r="F1495" t="s">
        <v>38</v>
      </c>
      <c r="G1495" t="s">
        <v>37</v>
      </c>
      <c r="H1495">
        <f t="shared" si="23"/>
        <v>259000</v>
      </c>
    </row>
    <row r="1496" spans="1:8" x14ac:dyDescent="0.3">
      <c r="A1496" t="s">
        <v>56</v>
      </c>
      <c r="B1496" t="s">
        <v>23</v>
      </c>
      <c r="C1496" t="s">
        <v>21</v>
      </c>
      <c r="D1496">
        <v>67623</v>
      </c>
      <c r="E1496" t="s">
        <v>57</v>
      </c>
      <c r="F1496" t="s">
        <v>38</v>
      </c>
      <c r="G1496" t="s">
        <v>37</v>
      </c>
      <c r="H1496">
        <f t="shared" si="23"/>
        <v>67600</v>
      </c>
    </row>
    <row r="1497" spans="1:8" x14ac:dyDescent="0.3">
      <c r="A1497" t="s">
        <v>56</v>
      </c>
      <c r="B1497" t="s">
        <v>23</v>
      </c>
      <c r="C1497" t="s">
        <v>22</v>
      </c>
      <c r="D1497">
        <v>354635</v>
      </c>
      <c r="E1497" t="s">
        <v>57</v>
      </c>
      <c r="F1497" t="s">
        <v>38</v>
      </c>
      <c r="G1497" t="s">
        <v>37</v>
      </c>
      <c r="H1497">
        <f t="shared" si="23"/>
        <v>355000</v>
      </c>
    </row>
    <row r="1498" spans="1:8" x14ac:dyDescent="0.3">
      <c r="A1498" t="s">
        <v>66</v>
      </c>
      <c r="B1498" t="s">
        <v>8</v>
      </c>
      <c r="C1498" t="s">
        <v>9</v>
      </c>
      <c r="D1498">
        <v>45856</v>
      </c>
      <c r="E1498" t="s">
        <v>57</v>
      </c>
      <c r="F1498" t="s">
        <v>38</v>
      </c>
      <c r="G1498" t="s">
        <v>37</v>
      </c>
      <c r="H1498">
        <f t="shared" si="23"/>
        <v>45900</v>
      </c>
    </row>
    <row r="1499" spans="1:8" x14ac:dyDescent="0.3">
      <c r="A1499" t="s">
        <v>66</v>
      </c>
      <c r="B1499" t="s">
        <v>8</v>
      </c>
      <c r="C1499" t="s">
        <v>13</v>
      </c>
      <c r="D1499">
        <v>820</v>
      </c>
      <c r="E1499" t="s">
        <v>57</v>
      </c>
      <c r="F1499" t="s">
        <v>38</v>
      </c>
      <c r="G1499" t="s">
        <v>37</v>
      </c>
      <c r="H1499">
        <f t="shared" si="23"/>
        <v>820</v>
      </c>
    </row>
    <row r="1500" spans="1:8" x14ac:dyDescent="0.3">
      <c r="A1500" t="s">
        <v>66</v>
      </c>
      <c r="B1500" t="s">
        <v>8</v>
      </c>
      <c r="C1500" t="s">
        <v>14</v>
      </c>
      <c r="D1500">
        <v>1467</v>
      </c>
      <c r="E1500" t="s">
        <v>57</v>
      </c>
      <c r="F1500" t="s">
        <v>38</v>
      </c>
      <c r="G1500" t="s">
        <v>37</v>
      </c>
      <c r="H1500">
        <f t="shared" si="23"/>
        <v>1470</v>
      </c>
    </row>
    <row r="1501" spans="1:8" x14ac:dyDescent="0.3">
      <c r="A1501" t="s">
        <v>66</v>
      </c>
      <c r="B1501" t="s">
        <v>8</v>
      </c>
      <c r="C1501" t="s">
        <v>15</v>
      </c>
      <c r="D1501">
        <v>143</v>
      </c>
      <c r="E1501" t="s">
        <v>57</v>
      </c>
      <c r="F1501" t="s">
        <v>38</v>
      </c>
      <c r="G1501" t="s">
        <v>37</v>
      </c>
      <c r="H1501">
        <f t="shared" si="23"/>
        <v>143</v>
      </c>
    </row>
    <row r="1502" spans="1:8" x14ac:dyDescent="0.3">
      <c r="A1502" t="s">
        <v>66</v>
      </c>
      <c r="B1502" t="s">
        <v>8</v>
      </c>
      <c r="C1502" t="s">
        <v>16</v>
      </c>
      <c r="D1502">
        <v>891</v>
      </c>
      <c r="E1502" t="s">
        <v>57</v>
      </c>
      <c r="F1502" t="s">
        <v>38</v>
      </c>
      <c r="G1502" t="s">
        <v>37</v>
      </c>
      <c r="H1502">
        <f t="shared" si="23"/>
        <v>891</v>
      </c>
    </row>
    <row r="1503" spans="1:8" x14ac:dyDescent="0.3">
      <c r="A1503" t="s">
        <v>66</v>
      </c>
      <c r="B1503" t="s">
        <v>8</v>
      </c>
      <c r="C1503" t="s">
        <v>17</v>
      </c>
      <c r="D1503">
        <v>3131</v>
      </c>
      <c r="E1503" t="s">
        <v>57</v>
      </c>
      <c r="F1503" t="s">
        <v>38</v>
      </c>
      <c r="G1503" t="s">
        <v>37</v>
      </c>
      <c r="H1503">
        <f t="shared" si="23"/>
        <v>3130</v>
      </c>
    </row>
    <row r="1504" spans="1:8" x14ac:dyDescent="0.3">
      <c r="A1504" t="s">
        <v>66</v>
      </c>
      <c r="B1504" t="s">
        <v>8</v>
      </c>
      <c r="C1504" t="s">
        <v>18</v>
      </c>
      <c r="D1504">
        <v>0</v>
      </c>
      <c r="E1504" t="s">
        <v>57</v>
      </c>
      <c r="F1504" t="s">
        <v>38</v>
      </c>
      <c r="G1504" t="s">
        <v>37</v>
      </c>
      <c r="H1504">
        <f t="shared" si="23"/>
        <v>0</v>
      </c>
    </row>
    <row r="1505" spans="1:8" x14ac:dyDescent="0.3">
      <c r="A1505" t="s">
        <v>66</v>
      </c>
      <c r="B1505" t="s">
        <v>8</v>
      </c>
      <c r="C1505" t="s">
        <v>19</v>
      </c>
      <c r="D1505">
        <v>57</v>
      </c>
      <c r="E1505" t="s">
        <v>57</v>
      </c>
      <c r="F1505" t="s">
        <v>38</v>
      </c>
      <c r="G1505" t="s">
        <v>37</v>
      </c>
      <c r="H1505">
        <f t="shared" si="23"/>
        <v>57</v>
      </c>
    </row>
    <row r="1506" spans="1:8" x14ac:dyDescent="0.3">
      <c r="A1506" t="s">
        <v>66</v>
      </c>
      <c r="B1506" t="s">
        <v>8</v>
      </c>
      <c r="C1506" t="s">
        <v>20</v>
      </c>
      <c r="D1506">
        <v>62</v>
      </c>
      <c r="E1506" t="s">
        <v>57</v>
      </c>
      <c r="F1506" t="s">
        <v>38</v>
      </c>
      <c r="G1506" t="s">
        <v>37</v>
      </c>
      <c r="H1506">
        <f t="shared" si="23"/>
        <v>62</v>
      </c>
    </row>
    <row r="1507" spans="1:8" x14ac:dyDescent="0.3">
      <c r="A1507" t="s">
        <v>66</v>
      </c>
      <c r="B1507" t="s">
        <v>8</v>
      </c>
      <c r="C1507" t="s">
        <v>21</v>
      </c>
      <c r="D1507">
        <v>227</v>
      </c>
      <c r="E1507" t="s">
        <v>57</v>
      </c>
      <c r="F1507" t="s">
        <v>38</v>
      </c>
      <c r="G1507" t="s">
        <v>37</v>
      </c>
      <c r="H1507">
        <f t="shared" si="23"/>
        <v>227</v>
      </c>
    </row>
    <row r="1508" spans="1:8" x14ac:dyDescent="0.3">
      <c r="A1508" t="s">
        <v>66</v>
      </c>
      <c r="B1508" t="s">
        <v>8</v>
      </c>
      <c r="C1508" t="s">
        <v>22</v>
      </c>
      <c r="D1508">
        <v>2233</v>
      </c>
      <c r="E1508" t="s">
        <v>57</v>
      </c>
      <c r="F1508" t="s">
        <v>38</v>
      </c>
      <c r="G1508" t="s">
        <v>37</v>
      </c>
      <c r="H1508">
        <f t="shared" si="23"/>
        <v>2230</v>
      </c>
    </row>
    <row r="1509" spans="1:8" x14ac:dyDescent="0.3">
      <c r="A1509" t="s">
        <v>66</v>
      </c>
      <c r="B1509" t="s">
        <v>23</v>
      </c>
      <c r="C1509" t="s">
        <v>9</v>
      </c>
      <c r="D1509">
        <v>3536189</v>
      </c>
      <c r="E1509" t="s">
        <v>57</v>
      </c>
      <c r="F1509" t="s">
        <v>38</v>
      </c>
      <c r="G1509" t="s">
        <v>37</v>
      </c>
      <c r="H1509">
        <f t="shared" si="23"/>
        <v>3540000</v>
      </c>
    </row>
    <row r="1510" spans="1:8" x14ac:dyDescent="0.3">
      <c r="A1510" t="s">
        <v>66</v>
      </c>
      <c r="B1510" t="s">
        <v>23</v>
      </c>
      <c r="C1510" t="s">
        <v>13</v>
      </c>
      <c r="D1510">
        <v>159158</v>
      </c>
      <c r="E1510" t="s">
        <v>57</v>
      </c>
      <c r="F1510" t="s">
        <v>38</v>
      </c>
      <c r="G1510" t="s">
        <v>37</v>
      </c>
      <c r="H1510">
        <f t="shared" si="23"/>
        <v>159000</v>
      </c>
    </row>
    <row r="1511" spans="1:8" x14ac:dyDescent="0.3">
      <c r="A1511" t="s">
        <v>66</v>
      </c>
      <c r="B1511" t="s">
        <v>23</v>
      </c>
      <c r="C1511" t="s">
        <v>14</v>
      </c>
      <c r="D1511">
        <v>1930852</v>
      </c>
      <c r="E1511" t="s">
        <v>57</v>
      </c>
      <c r="F1511" t="s">
        <v>38</v>
      </c>
      <c r="G1511" t="s">
        <v>37</v>
      </c>
      <c r="H1511">
        <f t="shared" si="23"/>
        <v>1930000</v>
      </c>
    </row>
    <row r="1512" spans="1:8" x14ac:dyDescent="0.3">
      <c r="A1512" t="s">
        <v>66</v>
      </c>
      <c r="B1512" t="s">
        <v>23</v>
      </c>
      <c r="C1512" t="s">
        <v>15</v>
      </c>
      <c r="D1512">
        <v>33338</v>
      </c>
      <c r="E1512" t="s">
        <v>57</v>
      </c>
      <c r="F1512" t="s">
        <v>38</v>
      </c>
      <c r="G1512" t="s">
        <v>37</v>
      </c>
      <c r="H1512">
        <f t="shared" si="23"/>
        <v>33300</v>
      </c>
    </row>
    <row r="1513" spans="1:8" x14ac:dyDescent="0.3">
      <c r="A1513" t="s">
        <v>66</v>
      </c>
      <c r="B1513" t="s">
        <v>23</v>
      </c>
      <c r="C1513" t="s">
        <v>16</v>
      </c>
      <c r="D1513">
        <v>958148</v>
      </c>
      <c r="E1513" t="s">
        <v>57</v>
      </c>
      <c r="F1513" t="s">
        <v>38</v>
      </c>
      <c r="G1513" t="s">
        <v>37</v>
      </c>
      <c r="H1513">
        <f t="shared" si="23"/>
        <v>958000</v>
      </c>
    </row>
    <row r="1514" spans="1:8" x14ac:dyDescent="0.3">
      <c r="A1514" t="s">
        <v>66</v>
      </c>
      <c r="B1514" t="s">
        <v>23</v>
      </c>
      <c r="C1514" t="s">
        <v>17</v>
      </c>
      <c r="D1514">
        <v>65003</v>
      </c>
      <c r="E1514" t="s">
        <v>57</v>
      </c>
      <c r="F1514" t="s">
        <v>38</v>
      </c>
      <c r="G1514" t="s">
        <v>37</v>
      </c>
      <c r="H1514">
        <f t="shared" si="23"/>
        <v>65000</v>
      </c>
    </row>
    <row r="1515" spans="1:8" x14ac:dyDescent="0.3">
      <c r="A1515" t="s">
        <v>66</v>
      </c>
      <c r="B1515" t="s">
        <v>23</v>
      </c>
      <c r="C1515" t="s">
        <v>18</v>
      </c>
      <c r="D1515">
        <v>0</v>
      </c>
      <c r="E1515" t="s">
        <v>57</v>
      </c>
      <c r="F1515" t="s">
        <v>38</v>
      </c>
      <c r="G1515" t="s">
        <v>37</v>
      </c>
      <c r="H1515">
        <f t="shared" si="23"/>
        <v>0</v>
      </c>
    </row>
    <row r="1516" spans="1:8" x14ac:dyDescent="0.3">
      <c r="A1516" t="s">
        <v>66</v>
      </c>
      <c r="B1516" t="s">
        <v>23</v>
      </c>
      <c r="C1516" t="s">
        <v>19</v>
      </c>
      <c r="D1516">
        <v>64154</v>
      </c>
      <c r="E1516" t="s">
        <v>57</v>
      </c>
      <c r="F1516" t="s">
        <v>38</v>
      </c>
      <c r="G1516" t="s">
        <v>37</v>
      </c>
      <c r="H1516">
        <f t="shared" si="23"/>
        <v>64200</v>
      </c>
    </row>
    <row r="1517" spans="1:8" x14ac:dyDescent="0.3">
      <c r="A1517" t="s">
        <v>66</v>
      </c>
      <c r="B1517" t="s">
        <v>23</v>
      </c>
      <c r="C1517" t="s">
        <v>20</v>
      </c>
      <c r="D1517">
        <v>36707</v>
      </c>
      <c r="E1517" t="s">
        <v>57</v>
      </c>
      <c r="F1517" t="s">
        <v>38</v>
      </c>
      <c r="G1517" t="s">
        <v>37</v>
      </c>
      <c r="H1517">
        <f t="shared" si="23"/>
        <v>36700</v>
      </c>
    </row>
    <row r="1518" spans="1:8" x14ac:dyDescent="0.3">
      <c r="A1518" t="s">
        <v>66</v>
      </c>
      <c r="B1518" t="s">
        <v>23</v>
      </c>
      <c r="C1518" t="s">
        <v>21</v>
      </c>
      <c r="D1518">
        <v>35461</v>
      </c>
      <c r="E1518" t="s">
        <v>57</v>
      </c>
      <c r="F1518" t="s">
        <v>38</v>
      </c>
      <c r="G1518" t="s">
        <v>37</v>
      </c>
      <c r="H1518">
        <f t="shared" si="23"/>
        <v>35500</v>
      </c>
    </row>
    <row r="1519" spans="1:8" x14ac:dyDescent="0.3">
      <c r="A1519" t="s">
        <v>66</v>
      </c>
      <c r="B1519" t="s">
        <v>23</v>
      </c>
      <c r="C1519" t="s">
        <v>22</v>
      </c>
      <c r="D1519">
        <v>16974</v>
      </c>
      <c r="E1519" t="s">
        <v>57</v>
      </c>
      <c r="F1519" t="s">
        <v>38</v>
      </c>
      <c r="G1519" t="s">
        <v>37</v>
      </c>
      <c r="H1519">
        <f t="shared" si="23"/>
        <v>17000</v>
      </c>
    </row>
    <row r="1520" spans="1:8" x14ac:dyDescent="0.3">
      <c r="A1520" t="s">
        <v>43</v>
      </c>
      <c r="B1520" t="s">
        <v>8</v>
      </c>
      <c r="C1520" t="s">
        <v>9</v>
      </c>
      <c r="D1520">
        <v>0</v>
      </c>
      <c r="E1520" t="s">
        <v>57</v>
      </c>
      <c r="F1520" t="s">
        <v>39</v>
      </c>
      <c r="G1520" t="s">
        <v>40</v>
      </c>
      <c r="H1520">
        <f t="shared" si="23"/>
        <v>0</v>
      </c>
    </row>
    <row r="1521" spans="1:8" x14ac:dyDescent="0.3">
      <c r="A1521" t="s">
        <v>43</v>
      </c>
      <c r="B1521" t="s">
        <v>8</v>
      </c>
      <c r="C1521" t="s">
        <v>13</v>
      </c>
      <c r="D1521">
        <v>0</v>
      </c>
      <c r="E1521" t="s">
        <v>57</v>
      </c>
      <c r="F1521" t="s">
        <v>39</v>
      </c>
      <c r="G1521" t="s">
        <v>40</v>
      </c>
      <c r="H1521">
        <f t="shared" si="23"/>
        <v>0</v>
      </c>
    </row>
    <row r="1522" spans="1:8" x14ac:dyDescent="0.3">
      <c r="A1522" t="s">
        <v>43</v>
      </c>
      <c r="B1522" t="s">
        <v>8</v>
      </c>
      <c r="C1522" t="s">
        <v>14</v>
      </c>
      <c r="D1522">
        <v>56</v>
      </c>
      <c r="E1522" t="s">
        <v>57</v>
      </c>
      <c r="F1522" t="s">
        <v>39</v>
      </c>
      <c r="G1522" t="s">
        <v>40</v>
      </c>
      <c r="H1522">
        <f t="shared" si="23"/>
        <v>56</v>
      </c>
    </row>
    <row r="1523" spans="1:8" x14ac:dyDescent="0.3">
      <c r="A1523" t="s">
        <v>43</v>
      </c>
      <c r="B1523" t="s">
        <v>8</v>
      </c>
      <c r="C1523" t="s">
        <v>15</v>
      </c>
      <c r="D1523">
        <v>0</v>
      </c>
      <c r="E1523" t="s">
        <v>57</v>
      </c>
      <c r="F1523" t="s">
        <v>39</v>
      </c>
      <c r="G1523" t="s">
        <v>40</v>
      </c>
      <c r="H1523">
        <f t="shared" si="23"/>
        <v>0</v>
      </c>
    </row>
    <row r="1524" spans="1:8" x14ac:dyDescent="0.3">
      <c r="A1524" t="s">
        <v>43</v>
      </c>
      <c r="B1524" t="s">
        <v>8</v>
      </c>
      <c r="C1524" t="s">
        <v>16</v>
      </c>
      <c r="D1524">
        <v>2</v>
      </c>
      <c r="E1524" t="s">
        <v>57</v>
      </c>
      <c r="F1524" t="s">
        <v>39</v>
      </c>
      <c r="G1524" t="s">
        <v>40</v>
      </c>
      <c r="H1524">
        <f t="shared" si="23"/>
        <v>2</v>
      </c>
    </row>
    <row r="1525" spans="1:8" x14ac:dyDescent="0.3">
      <c r="A1525" t="s">
        <v>43</v>
      </c>
      <c r="B1525" t="s">
        <v>8</v>
      </c>
      <c r="C1525" t="s">
        <v>17</v>
      </c>
      <c r="D1525">
        <v>0</v>
      </c>
      <c r="E1525" t="s">
        <v>57</v>
      </c>
      <c r="F1525" t="s">
        <v>39</v>
      </c>
      <c r="G1525" t="s">
        <v>40</v>
      </c>
      <c r="H1525">
        <f t="shared" si="23"/>
        <v>0</v>
      </c>
    </row>
    <row r="1526" spans="1:8" x14ac:dyDescent="0.3">
      <c r="A1526" t="s">
        <v>43</v>
      </c>
      <c r="B1526" t="s">
        <v>8</v>
      </c>
      <c r="C1526" t="s">
        <v>18</v>
      </c>
      <c r="D1526">
        <v>0</v>
      </c>
      <c r="E1526" t="s">
        <v>57</v>
      </c>
      <c r="F1526" t="s">
        <v>39</v>
      </c>
      <c r="G1526" t="s">
        <v>40</v>
      </c>
      <c r="H1526">
        <f t="shared" si="23"/>
        <v>0</v>
      </c>
    </row>
    <row r="1527" spans="1:8" x14ac:dyDescent="0.3">
      <c r="A1527" t="s">
        <v>43</v>
      </c>
      <c r="B1527" t="s">
        <v>8</v>
      </c>
      <c r="C1527" t="s">
        <v>19</v>
      </c>
      <c r="D1527">
        <v>0</v>
      </c>
      <c r="E1527" t="s">
        <v>57</v>
      </c>
      <c r="F1527" t="s">
        <v>39</v>
      </c>
      <c r="G1527" t="s">
        <v>40</v>
      </c>
      <c r="H1527">
        <f t="shared" si="23"/>
        <v>0</v>
      </c>
    </row>
    <row r="1528" spans="1:8" x14ac:dyDescent="0.3">
      <c r="A1528" t="s">
        <v>43</v>
      </c>
      <c r="B1528" t="s">
        <v>8</v>
      </c>
      <c r="C1528" t="s">
        <v>20</v>
      </c>
      <c r="D1528">
        <v>0</v>
      </c>
      <c r="E1528" t="s">
        <v>57</v>
      </c>
      <c r="F1528" t="s">
        <v>39</v>
      </c>
      <c r="G1528" t="s">
        <v>40</v>
      </c>
      <c r="H1528">
        <f t="shared" si="23"/>
        <v>0</v>
      </c>
    </row>
    <row r="1529" spans="1:8" x14ac:dyDescent="0.3">
      <c r="A1529" t="s">
        <v>43</v>
      </c>
      <c r="B1529" t="s">
        <v>8</v>
      </c>
      <c r="C1529" t="s">
        <v>21</v>
      </c>
      <c r="D1529">
        <v>0</v>
      </c>
      <c r="E1529" t="s">
        <v>57</v>
      </c>
      <c r="F1529" t="s">
        <v>39</v>
      </c>
      <c r="G1529" t="s">
        <v>40</v>
      </c>
      <c r="H1529">
        <f t="shared" si="23"/>
        <v>0</v>
      </c>
    </row>
    <row r="1530" spans="1:8" x14ac:dyDescent="0.3">
      <c r="A1530" t="s">
        <v>43</v>
      </c>
      <c r="B1530" t="s">
        <v>8</v>
      </c>
      <c r="C1530" t="s">
        <v>22</v>
      </c>
      <c r="D1530">
        <v>11</v>
      </c>
      <c r="E1530" t="s">
        <v>57</v>
      </c>
      <c r="F1530" t="s">
        <v>39</v>
      </c>
      <c r="G1530" t="s">
        <v>40</v>
      </c>
      <c r="H1530">
        <f t="shared" si="23"/>
        <v>11</v>
      </c>
    </row>
    <row r="1531" spans="1:8" x14ac:dyDescent="0.3">
      <c r="A1531" t="s">
        <v>43</v>
      </c>
      <c r="B1531" t="s">
        <v>23</v>
      </c>
      <c r="C1531" t="s">
        <v>9</v>
      </c>
      <c r="D1531">
        <v>59</v>
      </c>
      <c r="E1531" t="s">
        <v>57</v>
      </c>
      <c r="F1531" t="s">
        <v>39</v>
      </c>
      <c r="G1531" t="s">
        <v>40</v>
      </c>
      <c r="H1531">
        <f t="shared" si="23"/>
        <v>59</v>
      </c>
    </row>
    <row r="1532" spans="1:8" x14ac:dyDescent="0.3">
      <c r="A1532" t="s">
        <v>43</v>
      </c>
      <c r="B1532" t="s">
        <v>23</v>
      </c>
      <c r="C1532" t="s">
        <v>13</v>
      </c>
      <c r="D1532">
        <v>40</v>
      </c>
      <c r="E1532" t="s">
        <v>57</v>
      </c>
      <c r="F1532" t="s">
        <v>39</v>
      </c>
      <c r="G1532" t="s">
        <v>40</v>
      </c>
      <c r="H1532">
        <f t="shared" si="23"/>
        <v>40</v>
      </c>
    </row>
    <row r="1533" spans="1:8" x14ac:dyDescent="0.3">
      <c r="A1533" t="s">
        <v>43</v>
      </c>
      <c r="B1533" t="s">
        <v>23</v>
      </c>
      <c r="C1533" t="s">
        <v>14</v>
      </c>
      <c r="D1533">
        <v>25647</v>
      </c>
      <c r="E1533" t="s">
        <v>57</v>
      </c>
      <c r="F1533" t="s">
        <v>39</v>
      </c>
      <c r="G1533" t="s">
        <v>40</v>
      </c>
      <c r="H1533">
        <f t="shared" si="23"/>
        <v>25600</v>
      </c>
    </row>
    <row r="1534" spans="1:8" x14ac:dyDescent="0.3">
      <c r="A1534" t="s">
        <v>43</v>
      </c>
      <c r="B1534" t="s">
        <v>23</v>
      </c>
      <c r="C1534" t="s">
        <v>15</v>
      </c>
      <c r="D1534">
        <v>11</v>
      </c>
      <c r="E1534" t="s">
        <v>57</v>
      </c>
      <c r="F1534" t="s">
        <v>39</v>
      </c>
      <c r="G1534" t="s">
        <v>40</v>
      </c>
      <c r="H1534">
        <f t="shared" si="23"/>
        <v>11</v>
      </c>
    </row>
    <row r="1535" spans="1:8" x14ac:dyDescent="0.3">
      <c r="A1535" t="s">
        <v>43</v>
      </c>
      <c r="B1535" t="s">
        <v>23</v>
      </c>
      <c r="C1535" t="s">
        <v>16</v>
      </c>
      <c r="D1535">
        <v>6735</v>
      </c>
      <c r="E1535" t="s">
        <v>57</v>
      </c>
      <c r="F1535" t="s">
        <v>39</v>
      </c>
      <c r="G1535" t="s">
        <v>40</v>
      </c>
      <c r="H1535">
        <f t="shared" si="23"/>
        <v>6740</v>
      </c>
    </row>
    <row r="1536" spans="1:8" x14ac:dyDescent="0.3">
      <c r="A1536" t="s">
        <v>43</v>
      </c>
      <c r="B1536" t="s">
        <v>23</v>
      </c>
      <c r="C1536" t="s">
        <v>17</v>
      </c>
      <c r="D1536">
        <v>3</v>
      </c>
      <c r="E1536" t="s">
        <v>57</v>
      </c>
      <c r="F1536" t="s">
        <v>39</v>
      </c>
      <c r="G1536" t="s">
        <v>40</v>
      </c>
      <c r="H1536">
        <f t="shared" si="23"/>
        <v>3</v>
      </c>
    </row>
    <row r="1537" spans="1:8" x14ac:dyDescent="0.3">
      <c r="A1537" t="s">
        <v>43</v>
      </c>
      <c r="B1537" t="s">
        <v>23</v>
      </c>
      <c r="C1537" t="s">
        <v>18</v>
      </c>
      <c r="D1537">
        <v>0</v>
      </c>
      <c r="E1537" t="s">
        <v>57</v>
      </c>
      <c r="F1537" t="s">
        <v>39</v>
      </c>
      <c r="G1537" t="s">
        <v>40</v>
      </c>
      <c r="H1537">
        <f t="shared" si="23"/>
        <v>0</v>
      </c>
    </row>
    <row r="1538" spans="1:8" x14ac:dyDescent="0.3">
      <c r="A1538" t="s">
        <v>43</v>
      </c>
      <c r="B1538" t="s">
        <v>23</v>
      </c>
      <c r="C1538" t="s">
        <v>19</v>
      </c>
      <c r="D1538">
        <v>2</v>
      </c>
      <c r="E1538" t="s">
        <v>57</v>
      </c>
      <c r="F1538" t="s">
        <v>39</v>
      </c>
      <c r="G1538" t="s">
        <v>40</v>
      </c>
      <c r="H1538">
        <f t="shared" si="23"/>
        <v>2</v>
      </c>
    </row>
    <row r="1539" spans="1:8" x14ac:dyDescent="0.3">
      <c r="A1539" t="s">
        <v>43</v>
      </c>
      <c r="B1539" t="s">
        <v>23</v>
      </c>
      <c r="C1539" t="s">
        <v>20</v>
      </c>
      <c r="D1539">
        <v>63</v>
      </c>
      <c r="E1539" t="s">
        <v>57</v>
      </c>
      <c r="F1539" t="s">
        <v>39</v>
      </c>
      <c r="G1539" t="s">
        <v>40</v>
      </c>
      <c r="H1539">
        <f t="shared" ref="H1539:H1602" si="24">ROUND(D1539, 3 - LEN(INT(ABS(D1539))))</f>
        <v>63</v>
      </c>
    </row>
    <row r="1540" spans="1:8" x14ac:dyDescent="0.3">
      <c r="A1540" t="s">
        <v>43</v>
      </c>
      <c r="B1540" t="s">
        <v>23</v>
      </c>
      <c r="C1540" t="s">
        <v>21</v>
      </c>
      <c r="D1540">
        <v>7</v>
      </c>
      <c r="E1540" t="s">
        <v>57</v>
      </c>
      <c r="F1540" t="s">
        <v>39</v>
      </c>
      <c r="G1540" t="s">
        <v>40</v>
      </c>
      <c r="H1540">
        <f t="shared" si="24"/>
        <v>7</v>
      </c>
    </row>
    <row r="1541" spans="1:8" x14ac:dyDescent="0.3">
      <c r="A1541" t="s">
        <v>43</v>
      </c>
      <c r="B1541" t="s">
        <v>23</v>
      </c>
      <c r="C1541" t="s">
        <v>22</v>
      </c>
      <c r="D1541">
        <v>75</v>
      </c>
      <c r="E1541" t="s">
        <v>57</v>
      </c>
      <c r="F1541" t="s">
        <v>39</v>
      </c>
      <c r="G1541" t="s">
        <v>40</v>
      </c>
      <c r="H1541">
        <f t="shared" si="24"/>
        <v>75</v>
      </c>
    </row>
    <row r="1542" spans="1:8" x14ac:dyDescent="0.3">
      <c r="A1542" t="s">
        <v>7</v>
      </c>
      <c r="B1542" t="s">
        <v>8</v>
      </c>
      <c r="C1542" t="s">
        <v>9</v>
      </c>
      <c r="D1542">
        <v>0</v>
      </c>
      <c r="E1542" t="s">
        <v>57</v>
      </c>
      <c r="F1542" t="s">
        <v>39</v>
      </c>
      <c r="G1542" t="s">
        <v>40</v>
      </c>
      <c r="H1542">
        <f t="shared" si="24"/>
        <v>0</v>
      </c>
    </row>
    <row r="1543" spans="1:8" x14ac:dyDescent="0.3">
      <c r="A1543" t="s">
        <v>7</v>
      </c>
      <c r="B1543" t="s">
        <v>8</v>
      </c>
      <c r="C1543" t="s">
        <v>13</v>
      </c>
      <c r="D1543">
        <v>4</v>
      </c>
      <c r="E1543" t="s">
        <v>57</v>
      </c>
      <c r="F1543" t="s">
        <v>39</v>
      </c>
      <c r="G1543" t="s">
        <v>40</v>
      </c>
      <c r="H1543">
        <f t="shared" si="24"/>
        <v>4</v>
      </c>
    </row>
    <row r="1544" spans="1:8" x14ac:dyDescent="0.3">
      <c r="A1544" t="s">
        <v>7</v>
      </c>
      <c r="B1544" t="s">
        <v>8</v>
      </c>
      <c r="C1544" t="s">
        <v>14</v>
      </c>
      <c r="D1544">
        <v>0</v>
      </c>
      <c r="E1544" t="s">
        <v>57</v>
      </c>
      <c r="F1544" t="s">
        <v>39</v>
      </c>
      <c r="G1544" t="s">
        <v>40</v>
      </c>
      <c r="H1544">
        <f t="shared" si="24"/>
        <v>0</v>
      </c>
    </row>
    <row r="1545" spans="1:8" x14ac:dyDescent="0.3">
      <c r="A1545" t="s">
        <v>7</v>
      </c>
      <c r="B1545" t="s">
        <v>8</v>
      </c>
      <c r="C1545" t="s">
        <v>15</v>
      </c>
      <c r="D1545">
        <v>2</v>
      </c>
      <c r="E1545" t="s">
        <v>57</v>
      </c>
      <c r="F1545" t="s">
        <v>39</v>
      </c>
      <c r="G1545" t="s">
        <v>40</v>
      </c>
      <c r="H1545">
        <f t="shared" si="24"/>
        <v>2</v>
      </c>
    </row>
    <row r="1546" spans="1:8" x14ac:dyDescent="0.3">
      <c r="A1546" t="s">
        <v>7</v>
      </c>
      <c r="B1546" t="s">
        <v>8</v>
      </c>
      <c r="C1546" t="s">
        <v>16</v>
      </c>
      <c r="D1546">
        <v>6</v>
      </c>
      <c r="E1546" t="s">
        <v>57</v>
      </c>
      <c r="F1546" t="s">
        <v>39</v>
      </c>
      <c r="G1546" t="s">
        <v>40</v>
      </c>
      <c r="H1546">
        <f t="shared" si="24"/>
        <v>6</v>
      </c>
    </row>
    <row r="1547" spans="1:8" x14ac:dyDescent="0.3">
      <c r="A1547" t="s">
        <v>7</v>
      </c>
      <c r="B1547" t="s">
        <v>8</v>
      </c>
      <c r="C1547" t="s">
        <v>17</v>
      </c>
      <c r="D1547">
        <v>0</v>
      </c>
      <c r="E1547" t="s">
        <v>57</v>
      </c>
      <c r="F1547" t="s">
        <v>39</v>
      </c>
      <c r="G1547" t="s">
        <v>40</v>
      </c>
      <c r="H1547">
        <f t="shared" si="24"/>
        <v>0</v>
      </c>
    </row>
    <row r="1548" spans="1:8" x14ac:dyDescent="0.3">
      <c r="A1548" t="s">
        <v>7</v>
      </c>
      <c r="B1548" t="s">
        <v>8</v>
      </c>
      <c r="C1548" t="s">
        <v>18</v>
      </c>
      <c r="D1548">
        <v>0</v>
      </c>
      <c r="E1548" t="s">
        <v>57</v>
      </c>
      <c r="F1548" t="s">
        <v>39</v>
      </c>
      <c r="G1548" t="s">
        <v>40</v>
      </c>
      <c r="H1548">
        <f t="shared" si="24"/>
        <v>0</v>
      </c>
    </row>
    <row r="1549" spans="1:8" x14ac:dyDescent="0.3">
      <c r="A1549" t="s">
        <v>7</v>
      </c>
      <c r="B1549" t="s">
        <v>8</v>
      </c>
      <c r="C1549" t="s">
        <v>19</v>
      </c>
      <c r="D1549">
        <v>0</v>
      </c>
      <c r="E1549" t="s">
        <v>57</v>
      </c>
      <c r="F1549" t="s">
        <v>39</v>
      </c>
      <c r="G1549" t="s">
        <v>40</v>
      </c>
      <c r="H1549">
        <f t="shared" si="24"/>
        <v>0</v>
      </c>
    </row>
    <row r="1550" spans="1:8" x14ac:dyDescent="0.3">
      <c r="A1550" t="s">
        <v>7</v>
      </c>
      <c r="B1550" t="s">
        <v>8</v>
      </c>
      <c r="C1550" t="s">
        <v>20</v>
      </c>
      <c r="D1550">
        <v>0</v>
      </c>
      <c r="E1550" t="s">
        <v>57</v>
      </c>
      <c r="F1550" t="s">
        <v>39</v>
      </c>
      <c r="G1550" t="s">
        <v>40</v>
      </c>
      <c r="H1550">
        <f t="shared" si="24"/>
        <v>0</v>
      </c>
    </row>
    <row r="1551" spans="1:8" x14ac:dyDescent="0.3">
      <c r="A1551" t="s">
        <v>7</v>
      </c>
      <c r="B1551" t="s">
        <v>8</v>
      </c>
      <c r="C1551" t="s">
        <v>21</v>
      </c>
      <c r="D1551">
        <v>0</v>
      </c>
      <c r="E1551" t="s">
        <v>57</v>
      </c>
      <c r="F1551" t="s">
        <v>39</v>
      </c>
      <c r="G1551" t="s">
        <v>40</v>
      </c>
      <c r="H1551">
        <f t="shared" si="24"/>
        <v>0</v>
      </c>
    </row>
    <row r="1552" spans="1:8" x14ac:dyDescent="0.3">
      <c r="A1552" t="s">
        <v>7</v>
      </c>
      <c r="B1552" t="s">
        <v>8</v>
      </c>
      <c r="C1552" t="s">
        <v>22</v>
      </c>
      <c r="D1552">
        <v>3413</v>
      </c>
      <c r="E1552" t="s">
        <v>57</v>
      </c>
      <c r="F1552" t="s">
        <v>39</v>
      </c>
      <c r="G1552" t="s">
        <v>40</v>
      </c>
      <c r="H1552">
        <f t="shared" si="24"/>
        <v>3410</v>
      </c>
    </row>
    <row r="1553" spans="1:8" x14ac:dyDescent="0.3">
      <c r="A1553" t="s">
        <v>7</v>
      </c>
      <c r="B1553" t="s">
        <v>23</v>
      </c>
      <c r="C1553" t="s">
        <v>9</v>
      </c>
      <c r="D1553">
        <v>624</v>
      </c>
      <c r="E1553" t="s">
        <v>57</v>
      </c>
      <c r="F1553" t="s">
        <v>39</v>
      </c>
      <c r="G1553" t="s">
        <v>40</v>
      </c>
      <c r="H1553">
        <f t="shared" si="24"/>
        <v>624</v>
      </c>
    </row>
    <row r="1554" spans="1:8" x14ac:dyDescent="0.3">
      <c r="A1554" t="s">
        <v>7</v>
      </c>
      <c r="B1554" t="s">
        <v>23</v>
      </c>
      <c r="C1554" t="s">
        <v>13</v>
      </c>
      <c r="D1554">
        <v>7667</v>
      </c>
      <c r="E1554" t="s">
        <v>57</v>
      </c>
      <c r="F1554" t="s">
        <v>39</v>
      </c>
      <c r="G1554" t="s">
        <v>40</v>
      </c>
      <c r="H1554">
        <f t="shared" si="24"/>
        <v>7670</v>
      </c>
    </row>
    <row r="1555" spans="1:8" x14ac:dyDescent="0.3">
      <c r="A1555" t="s">
        <v>7</v>
      </c>
      <c r="B1555" t="s">
        <v>23</v>
      </c>
      <c r="C1555" t="s">
        <v>14</v>
      </c>
      <c r="D1555">
        <v>1703</v>
      </c>
      <c r="E1555" t="s">
        <v>57</v>
      </c>
      <c r="F1555" t="s">
        <v>39</v>
      </c>
      <c r="G1555" t="s">
        <v>40</v>
      </c>
      <c r="H1555">
        <f t="shared" si="24"/>
        <v>1700</v>
      </c>
    </row>
    <row r="1556" spans="1:8" x14ac:dyDescent="0.3">
      <c r="A1556" t="s">
        <v>7</v>
      </c>
      <c r="B1556" t="s">
        <v>23</v>
      </c>
      <c r="C1556" t="s">
        <v>15</v>
      </c>
      <c r="D1556">
        <v>110</v>
      </c>
      <c r="E1556" t="s">
        <v>57</v>
      </c>
      <c r="F1556" t="s">
        <v>39</v>
      </c>
      <c r="G1556" t="s">
        <v>40</v>
      </c>
      <c r="H1556">
        <f t="shared" si="24"/>
        <v>110</v>
      </c>
    </row>
    <row r="1557" spans="1:8" x14ac:dyDescent="0.3">
      <c r="A1557" t="s">
        <v>7</v>
      </c>
      <c r="B1557" t="s">
        <v>23</v>
      </c>
      <c r="C1557" t="s">
        <v>16</v>
      </c>
      <c r="D1557">
        <v>2430</v>
      </c>
      <c r="E1557" t="s">
        <v>57</v>
      </c>
      <c r="F1557" t="s">
        <v>39</v>
      </c>
      <c r="G1557" t="s">
        <v>40</v>
      </c>
      <c r="H1557">
        <f t="shared" si="24"/>
        <v>2430</v>
      </c>
    </row>
    <row r="1558" spans="1:8" x14ac:dyDescent="0.3">
      <c r="A1558" t="s">
        <v>7</v>
      </c>
      <c r="B1558" t="s">
        <v>23</v>
      </c>
      <c r="C1558" t="s">
        <v>17</v>
      </c>
      <c r="D1558">
        <v>169</v>
      </c>
      <c r="E1558" t="s">
        <v>57</v>
      </c>
      <c r="F1558" t="s">
        <v>39</v>
      </c>
      <c r="G1558" t="s">
        <v>40</v>
      </c>
      <c r="H1558">
        <f t="shared" si="24"/>
        <v>169</v>
      </c>
    </row>
    <row r="1559" spans="1:8" x14ac:dyDescent="0.3">
      <c r="A1559" t="s">
        <v>7</v>
      </c>
      <c r="B1559" t="s">
        <v>23</v>
      </c>
      <c r="C1559" t="s">
        <v>18</v>
      </c>
      <c r="D1559">
        <v>0</v>
      </c>
      <c r="E1559" t="s">
        <v>57</v>
      </c>
      <c r="F1559" t="s">
        <v>39</v>
      </c>
      <c r="G1559" t="s">
        <v>40</v>
      </c>
      <c r="H1559">
        <f t="shared" si="24"/>
        <v>0</v>
      </c>
    </row>
    <row r="1560" spans="1:8" x14ac:dyDescent="0.3">
      <c r="A1560" t="s">
        <v>7</v>
      </c>
      <c r="B1560" t="s">
        <v>23</v>
      </c>
      <c r="C1560" t="s">
        <v>19</v>
      </c>
      <c r="D1560">
        <v>139</v>
      </c>
      <c r="E1560" t="s">
        <v>57</v>
      </c>
      <c r="F1560" t="s">
        <v>39</v>
      </c>
      <c r="G1560" t="s">
        <v>40</v>
      </c>
      <c r="H1560">
        <f t="shared" si="24"/>
        <v>139</v>
      </c>
    </row>
    <row r="1561" spans="1:8" x14ac:dyDescent="0.3">
      <c r="A1561" t="s">
        <v>7</v>
      </c>
      <c r="B1561" t="s">
        <v>23</v>
      </c>
      <c r="C1561" t="s">
        <v>20</v>
      </c>
      <c r="D1561">
        <v>335</v>
      </c>
      <c r="E1561" t="s">
        <v>57</v>
      </c>
      <c r="F1561" t="s">
        <v>39</v>
      </c>
      <c r="G1561" t="s">
        <v>40</v>
      </c>
      <c r="H1561">
        <f t="shared" si="24"/>
        <v>335</v>
      </c>
    </row>
    <row r="1562" spans="1:8" x14ac:dyDescent="0.3">
      <c r="A1562" t="s">
        <v>7</v>
      </c>
      <c r="B1562" t="s">
        <v>23</v>
      </c>
      <c r="C1562" t="s">
        <v>21</v>
      </c>
      <c r="D1562">
        <v>35</v>
      </c>
      <c r="E1562" t="s">
        <v>57</v>
      </c>
      <c r="F1562" t="s">
        <v>39</v>
      </c>
      <c r="G1562" t="s">
        <v>40</v>
      </c>
      <c r="H1562">
        <f t="shared" si="24"/>
        <v>35</v>
      </c>
    </row>
    <row r="1563" spans="1:8" x14ac:dyDescent="0.3">
      <c r="A1563" t="s">
        <v>7</v>
      </c>
      <c r="B1563" t="s">
        <v>23</v>
      </c>
      <c r="C1563" t="s">
        <v>22</v>
      </c>
      <c r="D1563">
        <v>65541</v>
      </c>
      <c r="E1563" t="s">
        <v>57</v>
      </c>
      <c r="F1563" t="s">
        <v>39</v>
      </c>
      <c r="G1563" t="s">
        <v>40</v>
      </c>
      <c r="H1563">
        <f t="shared" si="24"/>
        <v>65500</v>
      </c>
    </row>
    <row r="1564" spans="1:8" x14ac:dyDescent="0.3">
      <c r="A1564" t="s">
        <v>44</v>
      </c>
      <c r="B1564" t="s">
        <v>8</v>
      </c>
      <c r="C1564" t="s">
        <v>9</v>
      </c>
      <c r="D1564">
        <v>0</v>
      </c>
      <c r="E1564" t="s">
        <v>57</v>
      </c>
      <c r="F1564" t="s">
        <v>39</v>
      </c>
      <c r="G1564" t="s">
        <v>40</v>
      </c>
      <c r="H1564">
        <f t="shared" si="24"/>
        <v>0</v>
      </c>
    </row>
    <row r="1565" spans="1:8" x14ac:dyDescent="0.3">
      <c r="A1565" t="s">
        <v>44</v>
      </c>
      <c r="B1565" t="s">
        <v>8</v>
      </c>
      <c r="C1565" t="s">
        <v>13</v>
      </c>
      <c r="D1565">
        <v>0</v>
      </c>
      <c r="E1565" t="s">
        <v>57</v>
      </c>
      <c r="F1565" t="s">
        <v>39</v>
      </c>
      <c r="G1565" t="s">
        <v>40</v>
      </c>
      <c r="H1565">
        <f t="shared" si="24"/>
        <v>0</v>
      </c>
    </row>
    <row r="1566" spans="1:8" x14ac:dyDescent="0.3">
      <c r="A1566" t="s">
        <v>44</v>
      </c>
      <c r="B1566" t="s">
        <v>8</v>
      </c>
      <c r="C1566" t="s">
        <v>14</v>
      </c>
      <c r="D1566">
        <v>74</v>
      </c>
      <c r="E1566" t="s">
        <v>57</v>
      </c>
      <c r="F1566" t="s">
        <v>39</v>
      </c>
      <c r="G1566" t="s">
        <v>40</v>
      </c>
      <c r="H1566">
        <f t="shared" si="24"/>
        <v>74</v>
      </c>
    </row>
    <row r="1567" spans="1:8" x14ac:dyDescent="0.3">
      <c r="A1567" t="s">
        <v>44</v>
      </c>
      <c r="B1567" t="s">
        <v>8</v>
      </c>
      <c r="C1567" t="s">
        <v>15</v>
      </c>
      <c r="D1567">
        <v>0</v>
      </c>
      <c r="E1567" t="s">
        <v>57</v>
      </c>
      <c r="F1567" t="s">
        <v>39</v>
      </c>
      <c r="G1567" t="s">
        <v>40</v>
      </c>
      <c r="H1567">
        <f t="shared" si="24"/>
        <v>0</v>
      </c>
    </row>
    <row r="1568" spans="1:8" x14ac:dyDescent="0.3">
      <c r="A1568" t="s">
        <v>44</v>
      </c>
      <c r="B1568" t="s">
        <v>8</v>
      </c>
      <c r="C1568" t="s">
        <v>16</v>
      </c>
      <c r="D1568">
        <v>3</v>
      </c>
      <c r="E1568" t="s">
        <v>57</v>
      </c>
      <c r="F1568" t="s">
        <v>39</v>
      </c>
      <c r="G1568" t="s">
        <v>40</v>
      </c>
      <c r="H1568">
        <f t="shared" si="24"/>
        <v>3</v>
      </c>
    </row>
    <row r="1569" spans="1:8" x14ac:dyDescent="0.3">
      <c r="A1569" t="s">
        <v>44</v>
      </c>
      <c r="B1569" t="s">
        <v>8</v>
      </c>
      <c r="C1569" t="s">
        <v>17</v>
      </c>
      <c r="D1569">
        <v>0</v>
      </c>
      <c r="E1569" t="s">
        <v>57</v>
      </c>
      <c r="F1569" t="s">
        <v>39</v>
      </c>
      <c r="G1569" t="s">
        <v>40</v>
      </c>
      <c r="H1569">
        <f t="shared" si="24"/>
        <v>0</v>
      </c>
    </row>
    <row r="1570" spans="1:8" x14ac:dyDescent="0.3">
      <c r="A1570" t="s">
        <v>44</v>
      </c>
      <c r="B1570" t="s">
        <v>8</v>
      </c>
      <c r="C1570" t="s">
        <v>18</v>
      </c>
      <c r="D1570">
        <v>0</v>
      </c>
      <c r="E1570" t="s">
        <v>57</v>
      </c>
      <c r="F1570" t="s">
        <v>39</v>
      </c>
      <c r="G1570" t="s">
        <v>40</v>
      </c>
      <c r="H1570">
        <f t="shared" si="24"/>
        <v>0</v>
      </c>
    </row>
    <row r="1571" spans="1:8" x14ac:dyDescent="0.3">
      <c r="A1571" t="s">
        <v>44</v>
      </c>
      <c r="B1571" t="s">
        <v>8</v>
      </c>
      <c r="C1571" t="s">
        <v>19</v>
      </c>
      <c r="D1571">
        <v>0</v>
      </c>
      <c r="E1571" t="s">
        <v>57</v>
      </c>
      <c r="F1571" t="s">
        <v>39</v>
      </c>
      <c r="G1571" t="s">
        <v>40</v>
      </c>
      <c r="H1571">
        <f t="shared" si="24"/>
        <v>0</v>
      </c>
    </row>
    <row r="1572" spans="1:8" x14ac:dyDescent="0.3">
      <c r="A1572" t="s">
        <v>44</v>
      </c>
      <c r="B1572" t="s">
        <v>8</v>
      </c>
      <c r="C1572" t="s">
        <v>20</v>
      </c>
      <c r="D1572">
        <v>0</v>
      </c>
      <c r="E1572" t="s">
        <v>57</v>
      </c>
      <c r="F1572" t="s">
        <v>39</v>
      </c>
      <c r="G1572" t="s">
        <v>40</v>
      </c>
      <c r="H1572">
        <f t="shared" si="24"/>
        <v>0</v>
      </c>
    </row>
    <row r="1573" spans="1:8" x14ac:dyDescent="0.3">
      <c r="A1573" t="s">
        <v>44</v>
      </c>
      <c r="B1573" t="s">
        <v>8</v>
      </c>
      <c r="C1573" t="s">
        <v>21</v>
      </c>
      <c r="D1573">
        <v>0</v>
      </c>
      <c r="E1573" t="s">
        <v>57</v>
      </c>
      <c r="F1573" t="s">
        <v>39</v>
      </c>
      <c r="G1573" t="s">
        <v>40</v>
      </c>
      <c r="H1573">
        <f t="shared" si="24"/>
        <v>0</v>
      </c>
    </row>
    <row r="1574" spans="1:8" x14ac:dyDescent="0.3">
      <c r="A1574" t="s">
        <v>44</v>
      </c>
      <c r="B1574" t="s">
        <v>8</v>
      </c>
      <c r="C1574" t="s">
        <v>22</v>
      </c>
      <c r="D1574">
        <v>15</v>
      </c>
      <c r="E1574" t="s">
        <v>57</v>
      </c>
      <c r="F1574" t="s">
        <v>39</v>
      </c>
      <c r="G1574" t="s">
        <v>40</v>
      </c>
      <c r="H1574">
        <f t="shared" si="24"/>
        <v>15</v>
      </c>
    </row>
    <row r="1575" spans="1:8" x14ac:dyDescent="0.3">
      <c r="A1575" t="s">
        <v>44</v>
      </c>
      <c r="B1575" t="s">
        <v>23</v>
      </c>
      <c r="C1575" t="s">
        <v>9</v>
      </c>
      <c r="D1575">
        <v>77</v>
      </c>
      <c r="E1575" t="s">
        <v>57</v>
      </c>
      <c r="F1575" t="s">
        <v>39</v>
      </c>
      <c r="G1575" t="s">
        <v>40</v>
      </c>
      <c r="H1575">
        <f t="shared" si="24"/>
        <v>77</v>
      </c>
    </row>
    <row r="1576" spans="1:8" x14ac:dyDescent="0.3">
      <c r="A1576" t="s">
        <v>44</v>
      </c>
      <c r="B1576" t="s">
        <v>23</v>
      </c>
      <c r="C1576" t="s">
        <v>13</v>
      </c>
      <c r="D1576">
        <v>52</v>
      </c>
      <c r="E1576" t="s">
        <v>57</v>
      </c>
      <c r="F1576" t="s">
        <v>39</v>
      </c>
      <c r="G1576" t="s">
        <v>40</v>
      </c>
      <c r="H1576">
        <f t="shared" si="24"/>
        <v>52</v>
      </c>
    </row>
    <row r="1577" spans="1:8" x14ac:dyDescent="0.3">
      <c r="A1577" t="s">
        <v>44</v>
      </c>
      <c r="B1577" t="s">
        <v>23</v>
      </c>
      <c r="C1577" t="s">
        <v>14</v>
      </c>
      <c r="D1577">
        <v>33866</v>
      </c>
      <c r="E1577" t="s">
        <v>57</v>
      </c>
      <c r="F1577" t="s">
        <v>39</v>
      </c>
      <c r="G1577" t="s">
        <v>40</v>
      </c>
      <c r="H1577">
        <f t="shared" si="24"/>
        <v>33900</v>
      </c>
    </row>
    <row r="1578" spans="1:8" x14ac:dyDescent="0.3">
      <c r="A1578" t="s">
        <v>44</v>
      </c>
      <c r="B1578" t="s">
        <v>23</v>
      </c>
      <c r="C1578" t="s">
        <v>15</v>
      </c>
      <c r="D1578">
        <v>15</v>
      </c>
      <c r="E1578" t="s">
        <v>57</v>
      </c>
      <c r="F1578" t="s">
        <v>39</v>
      </c>
      <c r="G1578" t="s">
        <v>40</v>
      </c>
      <c r="H1578">
        <f t="shared" si="24"/>
        <v>15</v>
      </c>
    </row>
    <row r="1579" spans="1:8" x14ac:dyDescent="0.3">
      <c r="A1579" t="s">
        <v>44</v>
      </c>
      <c r="B1579" t="s">
        <v>23</v>
      </c>
      <c r="C1579" t="s">
        <v>16</v>
      </c>
      <c r="D1579">
        <v>8893</v>
      </c>
      <c r="E1579" t="s">
        <v>57</v>
      </c>
      <c r="F1579" t="s">
        <v>39</v>
      </c>
      <c r="G1579" t="s">
        <v>40</v>
      </c>
      <c r="H1579">
        <f t="shared" si="24"/>
        <v>8890</v>
      </c>
    </row>
    <row r="1580" spans="1:8" x14ac:dyDescent="0.3">
      <c r="A1580" t="s">
        <v>44</v>
      </c>
      <c r="B1580" t="s">
        <v>23</v>
      </c>
      <c r="C1580" t="s">
        <v>17</v>
      </c>
      <c r="D1580">
        <v>5</v>
      </c>
      <c r="E1580" t="s">
        <v>57</v>
      </c>
      <c r="F1580" t="s">
        <v>39</v>
      </c>
      <c r="G1580" t="s">
        <v>40</v>
      </c>
      <c r="H1580">
        <f t="shared" si="24"/>
        <v>5</v>
      </c>
    </row>
    <row r="1581" spans="1:8" x14ac:dyDescent="0.3">
      <c r="A1581" t="s">
        <v>44</v>
      </c>
      <c r="B1581" t="s">
        <v>23</v>
      </c>
      <c r="C1581" t="s">
        <v>18</v>
      </c>
      <c r="D1581">
        <v>0</v>
      </c>
      <c r="E1581" t="s">
        <v>57</v>
      </c>
      <c r="F1581" t="s">
        <v>39</v>
      </c>
      <c r="G1581" t="s">
        <v>40</v>
      </c>
      <c r="H1581">
        <f t="shared" si="24"/>
        <v>0</v>
      </c>
    </row>
    <row r="1582" spans="1:8" x14ac:dyDescent="0.3">
      <c r="A1582" t="s">
        <v>44</v>
      </c>
      <c r="B1582" t="s">
        <v>23</v>
      </c>
      <c r="C1582" t="s">
        <v>19</v>
      </c>
      <c r="D1582">
        <v>3</v>
      </c>
      <c r="E1582" t="s">
        <v>57</v>
      </c>
      <c r="F1582" t="s">
        <v>39</v>
      </c>
      <c r="G1582" t="s">
        <v>40</v>
      </c>
      <c r="H1582">
        <f t="shared" si="24"/>
        <v>3</v>
      </c>
    </row>
    <row r="1583" spans="1:8" x14ac:dyDescent="0.3">
      <c r="A1583" t="s">
        <v>44</v>
      </c>
      <c r="B1583" t="s">
        <v>23</v>
      </c>
      <c r="C1583" t="s">
        <v>20</v>
      </c>
      <c r="D1583">
        <v>84</v>
      </c>
      <c r="E1583" t="s">
        <v>57</v>
      </c>
      <c r="F1583" t="s">
        <v>39</v>
      </c>
      <c r="G1583" t="s">
        <v>40</v>
      </c>
      <c r="H1583">
        <f t="shared" si="24"/>
        <v>84</v>
      </c>
    </row>
    <row r="1584" spans="1:8" x14ac:dyDescent="0.3">
      <c r="A1584" t="s">
        <v>44</v>
      </c>
      <c r="B1584" t="s">
        <v>23</v>
      </c>
      <c r="C1584" t="s">
        <v>21</v>
      </c>
      <c r="D1584">
        <v>9</v>
      </c>
      <c r="E1584" t="s">
        <v>57</v>
      </c>
      <c r="F1584" t="s">
        <v>39</v>
      </c>
      <c r="G1584" t="s">
        <v>40</v>
      </c>
      <c r="H1584">
        <f t="shared" si="24"/>
        <v>9</v>
      </c>
    </row>
    <row r="1585" spans="1:8" x14ac:dyDescent="0.3">
      <c r="A1585" t="s">
        <v>44</v>
      </c>
      <c r="B1585" t="s">
        <v>23</v>
      </c>
      <c r="C1585" t="s">
        <v>22</v>
      </c>
      <c r="D1585">
        <v>99</v>
      </c>
      <c r="E1585" t="s">
        <v>57</v>
      </c>
      <c r="F1585" t="s">
        <v>39</v>
      </c>
      <c r="G1585" t="s">
        <v>40</v>
      </c>
      <c r="H1585">
        <f t="shared" si="24"/>
        <v>99</v>
      </c>
    </row>
    <row r="1586" spans="1:8" x14ac:dyDescent="0.3">
      <c r="A1586" t="s">
        <v>45</v>
      </c>
      <c r="B1586" t="s">
        <v>8</v>
      </c>
      <c r="C1586" t="s">
        <v>9</v>
      </c>
      <c r="D1586">
        <v>23</v>
      </c>
      <c r="E1586" t="s">
        <v>57</v>
      </c>
      <c r="F1586" t="s">
        <v>39</v>
      </c>
      <c r="G1586" t="s">
        <v>40</v>
      </c>
      <c r="H1586">
        <f t="shared" si="24"/>
        <v>23</v>
      </c>
    </row>
    <row r="1587" spans="1:8" x14ac:dyDescent="0.3">
      <c r="A1587" t="s">
        <v>45</v>
      </c>
      <c r="B1587" t="s">
        <v>8</v>
      </c>
      <c r="C1587" t="s">
        <v>13</v>
      </c>
      <c r="D1587">
        <v>49</v>
      </c>
      <c r="E1587" t="s">
        <v>57</v>
      </c>
      <c r="F1587" t="s">
        <v>39</v>
      </c>
      <c r="G1587" t="s">
        <v>40</v>
      </c>
      <c r="H1587">
        <f t="shared" si="24"/>
        <v>49</v>
      </c>
    </row>
    <row r="1588" spans="1:8" x14ac:dyDescent="0.3">
      <c r="A1588" t="s">
        <v>45</v>
      </c>
      <c r="B1588" t="s">
        <v>8</v>
      </c>
      <c r="C1588" t="s">
        <v>14</v>
      </c>
      <c r="D1588">
        <v>0</v>
      </c>
      <c r="E1588" t="s">
        <v>57</v>
      </c>
      <c r="F1588" t="s">
        <v>39</v>
      </c>
      <c r="G1588" t="s">
        <v>40</v>
      </c>
      <c r="H1588">
        <f t="shared" si="24"/>
        <v>0</v>
      </c>
    </row>
    <row r="1589" spans="1:8" x14ac:dyDescent="0.3">
      <c r="A1589" t="s">
        <v>45</v>
      </c>
      <c r="B1589" t="s">
        <v>8</v>
      </c>
      <c r="C1589" t="s">
        <v>15</v>
      </c>
      <c r="D1589">
        <v>1</v>
      </c>
      <c r="E1589" t="s">
        <v>57</v>
      </c>
      <c r="F1589" t="s">
        <v>39</v>
      </c>
      <c r="G1589" t="s">
        <v>40</v>
      </c>
      <c r="H1589">
        <f t="shared" si="24"/>
        <v>1</v>
      </c>
    </row>
    <row r="1590" spans="1:8" x14ac:dyDescent="0.3">
      <c r="A1590" t="s">
        <v>45</v>
      </c>
      <c r="B1590" t="s">
        <v>8</v>
      </c>
      <c r="C1590" t="s">
        <v>16</v>
      </c>
      <c r="D1590">
        <v>260</v>
      </c>
      <c r="E1590" t="s">
        <v>57</v>
      </c>
      <c r="F1590" t="s">
        <v>39</v>
      </c>
      <c r="G1590" t="s">
        <v>40</v>
      </c>
      <c r="H1590">
        <f t="shared" si="24"/>
        <v>260</v>
      </c>
    </row>
    <row r="1591" spans="1:8" x14ac:dyDescent="0.3">
      <c r="A1591" t="s">
        <v>45</v>
      </c>
      <c r="B1591" t="s">
        <v>8</v>
      </c>
      <c r="C1591" t="s">
        <v>17</v>
      </c>
      <c r="D1591">
        <v>3</v>
      </c>
      <c r="E1591" t="s">
        <v>57</v>
      </c>
      <c r="F1591" t="s">
        <v>39</v>
      </c>
      <c r="G1591" t="s">
        <v>40</v>
      </c>
      <c r="H1591">
        <f t="shared" si="24"/>
        <v>3</v>
      </c>
    </row>
    <row r="1592" spans="1:8" x14ac:dyDescent="0.3">
      <c r="A1592" t="s">
        <v>45</v>
      </c>
      <c r="B1592" t="s">
        <v>8</v>
      </c>
      <c r="C1592" t="s">
        <v>18</v>
      </c>
      <c r="D1592">
        <v>0</v>
      </c>
      <c r="E1592" t="s">
        <v>57</v>
      </c>
      <c r="F1592" t="s">
        <v>39</v>
      </c>
      <c r="G1592" t="s">
        <v>40</v>
      </c>
      <c r="H1592">
        <f t="shared" si="24"/>
        <v>0</v>
      </c>
    </row>
    <row r="1593" spans="1:8" x14ac:dyDescent="0.3">
      <c r="A1593" t="s">
        <v>45</v>
      </c>
      <c r="B1593" t="s">
        <v>8</v>
      </c>
      <c r="C1593" t="s">
        <v>19</v>
      </c>
      <c r="D1593">
        <v>11</v>
      </c>
      <c r="E1593" t="s">
        <v>57</v>
      </c>
      <c r="F1593" t="s">
        <v>39</v>
      </c>
      <c r="G1593" t="s">
        <v>40</v>
      </c>
      <c r="H1593">
        <f t="shared" si="24"/>
        <v>11</v>
      </c>
    </row>
    <row r="1594" spans="1:8" x14ac:dyDescent="0.3">
      <c r="A1594" t="s">
        <v>45</v>
      </c>
      <c r="B1594" t="s">
        <v>8</v>
      </c>
      <c r="C1594" t="s">
        <v>20</v>
      </c>
      <c r="D1594">
        <v>0</v>
      </c>
      <c r="E1594" t="s">
        <v>57</v>
      </c>
      <c r="F1594" t="s">
        <v>39</v>
      </c>
      <c r="G1594" t="s">
        <v>40</v>
      </c>
      <c r="H1594">
        <f t="shared" si="24"/>
        <v>0</v>
      </c>
    </row>
    <row r="1595" spans="1:8" x14ac:dyDescent="0.3">
      <c r="A1595" t="s">
        <v>45</v>
      </c>
      <c r="B1595" t="s">
        <v>8</v>
      </c>
      <c r="C1595" t="s">
        <v>21</v>
      </c>
      <c r="D1595">
        <v>0</v>
      </c>
      <c r="E1595" t="s">
        <v>57</v>
      </c>
      <c r="F1595" t="s">
        <v>39</v>
      </c>
      <c r="G1595" t="s">
        <v>40</v>
      </c>
      <c r="H1595">
        <f t="shared" si="24"/>
        <v>0</v>
      </c>
    </row>
    <row r="1596" spans="1:8" x14ac:dyDescent="0.3">
      <c r="A1596" t="s">
        <v>45</v>
      </c>
      <c r="B1596" t="s">
        <v>8</v>
      </c>
      <c r="C1596" t="s">
        <v>22</v>
      </c>
      <c r="D1596">
        <v>24</v>
      </c>
      <c r="E1596" t="s">
        <v>57</v>
      </c>
      <c r="F1596" t="s">
        <v>39</v>
      </c>
      <c r="G1596" t="s">
        <v>40</v>
      </c>
      <c r="H1596">
        <f t="shared" si="24"/>
        <v>24</v>
      </c>
    </row>
    <row r="1597" spans="1:8" x14ac:dyDescent="0.3">
      <c r="A1597" t="s">
        <v>45</v>
      </c>
      <c r="B1597" t="s">
        <v>23</v>
      </c>
      <c r="C1597" t="s">
        <v>9</v>
      </c>
      <c r="D1597">
        <v>11165</v>
      </c>
      <c r="E1597" t="s">
        <v>57</v>
      </c>
      <c r="F1597" t="s">
        <v>39</v>
      </c>
      <c r="G1597" t="s">
        <v>40</v>
      </c>
      <c r="H1597">
        <f t="shared" si="24"/>
        <v>11200</v>
      </c>
    </row>
    <row r="1598" spans="1:8" x14ac:dyDescent="0.3">
      <c r="A1598" t="s">
        <v>45</v>
      </c>
      <c r="B1598" t="s">
        <v>23</v>
      </c>
      <c r="C1598" t="s">
        <v>13</v>
      </c>
      <c r="D1598">
        <v>225</v>
      </c>
      <c r="E1598" t="s">
        <v>57</v>
      </c>
      <c r="F1598" t="s">
        <v>39</v>
      </c>
      <c r="G1598" t="s">
        <v>40</v>
      </c>
      <c r="H1598">
        <f t="shared" si="24"/>
        <v>225</v>
      </c>
    </row>
    <row r="1599" spans="1:8" x14ac:dyDescent="0.3">
      <c r="A1599" t="s">
        <v>45</v>
      </c>
      <c r="B1599" t="s">
        <v>23</v>
      </c>
      <c r="C1599" t="s">
        <v>14</v>
      </c>
      <c r="D1599">
        <v>465</v>
      </c>
      <c r="E1599" t="s">
        <v>57</v>
      </c>
      <c r="F1599" t="s">
        <v>39</v>
      </c>
      <c r="G1599" t="s">
        <v>40</v>
      </c>
      <c r="H1599">
        <f t="shared" si="24"/>
        <v>465</v>
      </c>
    </row>
    <row r="1600" spans="1:8" x14ac:dyDescent="0.3">
      <c r="A1600" t="s">
        <v>45</v>
      </c>
      <c r="B1600" t="s">
        <v>23</v>
      </c>
      <c r="C1600" t="s">
        <v>15</v>
      </c>
      <c r="D1600">
        <v>54</v>
      </c>
      <c r="E1600" t="s">
        <v>57</v>
      </c>
      <c r="F1600" t="s">
        <v>39</v>
      </c>
      <c r="G1600" t="s">
        <v>40</v>
      </c>
      <c r="H1600">
        <f t="shared" si="24"/>
        <v>54</v>
      </c>
    </row>
    <row r="1601" spans="1:8" x14ac:dyDescent="0.3">
      <c r="A1601" t="s">
        <v>45</v>
      </c>
      <c r="B1601" t="s">
        <v>23</v>
      </c>
      <c r="C1601" t="s">
        <v>16</v>
      </c>
      <c r="D1601">
        <v>26902</v>
      </c>
      <c r="E1601" t="s">
        <v>57</v>
      </c>
      <c r="F1601" t="s">
        <v>39</v>
      </c>
      <c r="G1601" t="s">
        <v>40</v>
      </c>
      <c r="H1601">
        <f t="shared" si="24"/>
        <v>26900</v>
      </c>
    </row>
    <row r="1602" spans="1:8" x14ac:dyDescent="0.3">
      <c r="A1602" t="s">
        <v>45</v>
      </c>
      <c r="B1602" t="s">
        <v>23</v>
      </c>
      <c r="C1602" t="s">
        <v>17</v>
      </c>
      <c r="D1602">
        <v>109</v>
      </c>
      <c r="E1602" t="s">
        <v>57</v>
      </c>
      <c r="F1602" t="s">
        <v>39</v>
      </c>
      <c r="G1602" t="s">
        <v>40</v>
      </c>
      <c r="H1602">
        <f t="shared" si="24"/>
        <v>109</v>
      </c>
    </row>
    <row r="1603" spans="1:8" x14ac:dyDescent="0.3">
      <c r="A1603" t="s">
        <v>45</v>
      </c>
      <c r="B1603" t="s">
        <v>23</v>
      </c>
      <c r="C1603" t="s">
        <v>18</v>
      </c>
      <c r="D1603">
        <v>0</v>
      </c>
      <c r="E1603" t="s">
        <v>57</v>
      </c>
      <c r="F1603" t="s">
        <v>39</v>
      </c>
      <c r="G1603" t="s">
        <v>40</v>
      </c>
      <c r="H1603">
        <f t="shared" ref="H1603:H1666" si="25">ROUND(D1603, 3 - LEN(INT(ABS(D1603))))</f>
        <v>0</v>
      </c>
    </row>
    <row r="1604" spans="1:8" x14ac:dyDescent="0.3">
      <c r="A1604" t="s">
        <v>45</v>
      </c>
      <c r="B1604" t="s">
        <v>23</v>
      </c>
      <c r="C1604" t="s">
        <v>19</v>
      </c>
      <c r="D1604">
        <v>6031</v>
      </c>
      <c r="E1604" t="s">
        <v>57</v>
      </c>
      <c r="F1604" t="s">
        <v>39</v>
      </c>
      <c r="G1604" t="s">
        <v>40</v>
      </c>
      <c r="H1604">
        <f t="shared" si="25"/>
        <v>6030</v>
      </c>
    </row>
    <row r="1605" spans="1:8" x14ac:dyDescent="0.3">
      <c r="A1605" t="s">
        <v>45</v>
      </c>
      <c r="B1605" t="s">
        <v>23</v>
      </c>
      <c r="C1605" t="s">
        <v>20</v>
      </c>
      <c r="D1605">
        <v>311</v>
      </c>
      <c r="E1605" t="s">
        <v>57</v>
      </c>
      <c r="F1605" t="s">
        <v>39</v>
      </c>
      <c r="G1605" t="s">
        <v>40</v>
      </c>
      <c r="H1605">
        <f t="shared" si="25"/>
        <v>311</v>
      </c>
    </row>
    <row r="1606" spans="1:8" x14ac:dyDescent="0.3">
      <c r="A1606" t="s">
        <v>45</v>
      </c>
      <c r="B1606" t="s">
        <v>23</v>
      </c>
      <c r="C1606" t="s">
        <v>21</v>
      </c>
      <c r="D1606">
        <v>16</v>
      </c>
      <c r="E1606" t="s">
        <v>57</v>
      </c>
      <c r="F1606" t="s">
        <v>39</v>
      </c>
      <c r="G1606" t="s">
        <v>40</v>
      </c>
      <c r="H1606">
        <f t="shared" si="25"/>
        <v>16</v>
      </c>
    </row>
    <row r="1607" spans="1:8" x14ac:dyDescent="0.3">
      <c r="A1607" t="s">
        <v>45</v>
      </c>
      <c r="B1607" t="s">
        <v>23</v>
      </c>
      <c r="C1607" t="s">
        <v>22</v>
      </c>
      <c r="D1607">
        <v>206</v>
      </c>
      <c r="E1607" t="s">
        <v>57</v>
      </c>
      <c r="F1607" t="s">
        <v>39</v>
      </c>
      <c r="G1607" t="s">
        <v>40</v>
      </c>
      <c r="H1607">
        <f t="shared" si="25"/>
        <v>206</v>
      </c>
    </row>
    <row r="1608" spans="1:8" x14ac:dyDescent="0.3">
      <c r="A1608" t="s">
        <v>58</v>
      </c>
      <c r="B1608" t="s">
        <v>8</v>
      </c>
      <c r="C1608" t="s">
        <v>9</v>
      </c>
      <c r="D1608">
        <v>0</v>
      </c>
      <c r="E1608" t="s">
        <v>57</v>
      </c>
      <c r="F1608" t="s">
        <v>39</v>
      </c>
      <c r="G1608" t="s">
        <v>40</v>
      </c>
      <c r="H1608">
        <f t="shared" si="25"/>
        <v>0</v>
      </c>
    </row>
    <row r="1609" spans="1:8" x14ac:dyDescent="0.3">
      <c r="A1609" t="s">
        <v>58</v>
      </c>
      <c r="B1609" t="s">
        <v>8</v>
      </c>
      <c r="C1609" t="s">
        <v>13</v>
      </c>
      <c r="D1609">
        <v>0</v>
      </c>
      <c r="E1609" t="s">
        <v>57</v>
      </c>
      <c r="F1609" t="s">
        <v>39</v>
      </c>
      <c r="G1609" t="s">
        <v>40</v>
      </c>
      <c r="H1609">
        <f t="shared" si="25"/>
        <v>0</v>
      </c>
    </row>
    <row r="1610" spans="1:8" x14ac:dyDescent="0.3">
      <c r="A1610" t="s">
        <v>58</v>
      </c>
      <c r="B1610" t="s">
        <v>8</v>
      </c>
      <c r="C1610" t="s">
        <v>14</v>
      </c>
      <c r="D1610">
        <v>0</v>
      </c>
      <c r="E1610" t="s">
        <v>57</v>
      </c>
      <c r="F1610" t="s">
        <v>39</v>
      </c>
      <c r="G1610" t="s">
        <v>40</v>
      </c>
      <c r="H1610">
        <f t="shared" si="25"/>
        <v>0</v>
      </c>
    </row>
    <row r="1611" spans="1:8" x14ac:dyDescent="0.3">
      <c r="A1611" t="s">
        <v>58</v>
      </c>
      <c r="B1611" t="s">
        <v>8</v>
      </c>
      <c r="C1611" t="s">
        <v>15</v>
      </c>
      <c r="D1611">
        <v>0</v>
      </c>
      <c r="E1611" t="s">
        <v>57</v>
      </c>
      <c r="F1611" t="s">
        <v>39</v>
      </c>
      <c r="G1611" t="s">
        <v>40</v>
      </c>
      <c r="H1611">
        <f t="shared" si="25"/>
        <v>0</v>
      </c>
    </row>
    <row r="1612" spans="1:8" x14ac:dyDescent="0.3">
      <c r="A1612" t="s">
        <v>58</v>
      </c>
      <c r="B1612" t="s">
        <v>8</v>
      </c>
      <c r="C1612" t="s">
        <v>16</v>
      </c>
      <c r="D1612">
        <v>231</v>
      </c>
      <c r="E1612" t="s">
        <v>57</v>
      </c>
      <c r="F1612" t="s">
        <v>39</v>
      </c>
      <c r="G1612" t="s">
        <v>40</v>
      </c>
      <c r="H1612">
        <f t="shared" si="25"/>
        <v>231</v>
      </c>
    </row>
    <row r="1613" spans="1:8" x14ac:dyDescent="0.3">
      <c r="A1613" t="s">
        <v>58</v>
      </c>
      <c r="B1613" t="s">
        <v>8</v>
      </c>
      <c r="C1613" t="s">
        <v>17</v>
      </c>
      <c r="D1613">
        <v>0</v>
      </c>
      <c r="E1613" t="s">
        <v>57</v>
      </c>
      <c r="F1613" t="s">
        <v>39</v>
      </c>
      <c r="G1613" t="s">
        <v>40</v>
      </c>
      <c r="H1613">
        <f t="shared" si="25"/>
        <v>0</v>
      </c>
    </row>
    <row r="1614" spans="1:8" x14ac:dyDescent="0.3">
      <c r="A1614" t="s">
        <v>58</v>
      </c>
      <c r="B1614" t="s">
        <v>8</v>
      </c>
      <c r="C1614" t="s">
        <v>18</v>
      </c>
      <c r="D1614">
        <v>0</v>
      </c>
      <c r="E1614" t="s">
        <v>57</v>
      </c>
      <c r="F1614" t="s">
        <v>39</v>
      </c>
      <c r="G1614" t="s">
        <v>40</v>
      </c>
      <c r="H1614">
        <f t="shared" si="25"/>
        <v>0</v>
      </c>
    </row>
    <row r="1615" spans="1:8" x14ac:dyDescent="0.3">
      <c r="A1615" t="s">
        <v>58</v>
      </c>
      <c r="B1615" t="s">
        <v>8</v>
      </c>
      <c r="C1615" t="s">
        <v>19</v>
      </c>
      <c r="D1615">
        <v>0</v>
      </c>
      <c r="E1615" t="s">
        <v>57</v>
      </c>
      <c r="F1615" t="s">
        <v>39</v>
      </c>
      <c r="G1615" t="s">
        <v>40</v>
      </c>
      <c r="H1615">
        <f t="shared" si="25"/>
        <v>0</v>
      </c>
    </row>
    <row r="1616" spans="1:8" x14ac:dyDescent="0.3">
      <c r="A1616" t="s">
        <v>58</v>
      </c>
      <c r="B1616" t="s">
        <v>8</v>
      </c>
      <c r="C1616" t="s">
        <v>20</v>
      </c>
      <c r="D1616">
        <v>0</v>
      </c>
      <c r="E1616" t="s">
        <v>57</v>
      </c>
      <c r="F1616" t="s">
        <v>39</v>
      </c>
      <c r="G1616" t="s">
        <v>40</v>
      </c>
      <c r="H1616">
        <f t="shared" si="25"/>
        <v>0</v>
      </c>
    </row>
    <row r="1617" spans="1:8" x14ac:dyDescent="0.3">
      <c r="A1617" t="s">
        <v>58</v>
      </c>
      <c r="B1617" t="s">
        <v>8</v>
      </c>
      <c r="C1617" t="s">
        <v>21</v>
      </c>
      <c r="D1617">
        <v>0</v>
      </c>
      <c r="E1617" t="s">
        <v>57</v>
      </c>
      <c r="F1617" t="s">
        <v>39</v>
      </c>
      <c r="G1617" t="s">
        <v>40</v>
      </c>
      <c r="H1617">
        <f t="shared" si="25"/>
        <v>0</v>
      </c>
    </row>
    <row r="1618" spans="1:8" x14ac:dyDescent="0.3">
      <c r="A1618" t="s">
        <v>58</v>
      </c>
      <c r="B1618" t="s">
        <v>8</v>
      </c>
      <c r="C1618" t="s">
        <v>22</v>
      </c>
      <c r="D1618">
        <v>5</v>
      </c>
      <c r="E1618" t="s">
        <v>57</v>
      </c>
      <c r="F1618" t="s">
        <v>39</v>
      </c>
      <c r="G1618" t="s">
        <v>40</v>
      </c>
      <c r="H1618">
        <f t="shared" si="25"/>
        <v>5</v>
      </c>
    </row>
    <row r="1619" spans="1:8" x14ac:dyDescent="0.3">
      <c r="A1619" t="s">
        <v>58</v>
      </c>
      <c r="B1619" t="s">
        <v>23</v>
      </c>
      <c r="C1619" t="s">
        <v>9</v>
      </c>
      <c r="D1619">
        <v>15</v>
      </c>
      <c r="E1619" t="s">
        <v>57</v>
      </c>
      <c r="F1619" t="s">
        <v>39</v>
      </c>
      <c r="G1619" t="s">
        <v>40</v>
      </c>
      <c r="H1619">
        <f t="shared" si="25"/>
        <v>15</v>
      </c>
    </row>
    <row r="1620" spans="1:8" x14ac:dyDescent="0.3">
      <c r="A1620" t="s">
        <v>58</v>
      </c>
      <c r="B1620" t="s">
        <v>23</v>
      </c>
      <c r="C1620" t="s">
        <v>13</v>
      </c>
      <c r="D1620">
        <v>20</v>
      </c>
      <c r="E1620" t="s">
        <v>57</v>
      </c>
      <c r="F1620" t="s">
        <v>39</v>
      </c>
      <c r="G1620" t="s">
        <v>40</v>
      </c>
      <c r="H1620">
        <f t="shared" si="25"/>
        <v>20</v>
      </c>
    </row>
    <row r="1621" spans="1:8" x14ac:dyDescent="0.3">
      <c r="A1621" t="s">
        <v>58</v>
      </c>
      <c r="B1621" t="s">
        <v>23</v>
      </c>
      <c r="C1621" t="s">
        <v>14</v>
      </c>
      <c r="D1621">
        <v>36</v>
      </c>
      <c r="E1621" t="s">
        <v>57</v>
      </c>
      <c r="F1621" t="s">
        <v>39</v>
      </c>
      <c r="G1621" t="s">
        <v>40</v>
      </c>
      <c r="H1621">
        <f t="shared" si="25"/>
        <v>36</v>
      </c>
    </row>
    <row r="1622" spans="1:8" x14ac:dyDescent="0.3">
      <c r="A1622" t="s">
        <v>58</v>
      </c>
      <c r="B1622" t="s">
        <v>23</v>
      </c>
      <c r="C1622" t="s">
        <v>15</v>
      </c>
      <c r="D1622">
        <v>3</v>
      </c>
      <c r="E1622" t="s">
        <v>57</v>
      </c>
      <c r="F1622" t="s">
        <v>39</v>
      </c>
      <c r="G1622" t="s">
        <v>40</v>
      </c>
      <c r="H1622">
        <f t="shared" si="25"/>
        <v>3</v>
      </c>
    </row>
    <row r="1623" spans="1:8" x14ac:dyDescent="0.3">
      <c r="A1623" t="s">
        <v>58</v>
      </c>
      <c r="B1623" t="s">
        <v>23</v>
      </c>
      <c r="C1623" t="s">
        <v>16</v>
      </c>
      <c r="D1623">
        <v>22958</v>
      </c>
      <c r="E1623" t="s">
        <v>57</v>
      </c>
      <c r="F1623" t="s">
        <v>39</v>
      </c>
      <c r="G1623" t="s">
        <v>40</v>
      </c>
      <c r="H1623">
        <f t="shared" si="25"/>
        <v>23000</v>
      </c>
    </row>
    <row r="1624" spans="1:8" x14ac:dyDescent="0.3">
      <c r="A1624" t="s">
        <v>58</v>
      </c>
      <c r="B1624" t="s">
        <v>23</v>
      </c>
      <c r="C1624" t="s">
        <v>17</v>
      </c>
      <c r="D1624">
        <v>3</v>
      </c>
      <c r="E1624" t="s">
        <v>57</v>
      </c>
      <c r="F1624" t="s">
        <v>39</v>
      </c>
      <c r="G1624" t="s">
        <v>40</v>
      </c>
      <c r="H1624">
        <f t="shared" si="25"/>
        <v>3</v>
      </c>
    </row>
    <row r="1625" spans="1:8" x14ac:dyDescent="0.3">
      <c r="A1625" t="s">
        <v>58</v>
      </c>
      <c r="B1625" t="s">
        <v>23</v>
      </c>
      <c r="C1625" t="s">
        <v>18</v>
      </c>
      <c r="D1625">
        <v>0</v>
      </c>
      <c r="E1625" t="s">
        <v>57</v>
      </c>
      <c r="F1625" t="s">
        <v>39</v>
      </c>
      <c r="G1625" t="s">
        <v>40</v>
      </c>
      <c r="H1625">
        <f t="shared" si="25"/>
        <v>0</v>
      </c>
    </row>
    <row r="1626" spans="1:8" x14ac:dyDescent="0.3">
      <c r="A1626" t="s">
        <v>58</v>
      </c>
      <c r="B1626" t="s">
        <v>23</v>
      </c>
      <c r="C1626" t="s">
        <v>19</v>
      </c>
      <c r="D1626">
        <v>0</v>
      </c>
      <c r="E1626" t="s">
        <v>57</v>
      </c>
      <c r="F1626" t="s">
        <v>39</v>
      </c>
      <c r="G1626" t="s">
        <v>40</v>
      </c>
      <c r="H1626">
        <f t="shared" si="25"/>
        <v>0</v>
      </c>
    </row>
    <row r="1627" spans="1:8" x14ac:dyDescent="0.3">
      <c r="A1627" t="s">
        <v>58</v>
      </c>
      <c r="B1627" t="s">
        <v>23</v>
      </c>
      <c r="C1627" t="s">
        <v>20</v>
      </c>
      <c r="D1627">
        <v>198</v>
      </c>
      <c r="E1627" t="s">
        <v>57</v>
      </c>
      <c r="F1627" t="s">
        <v>39</v>
      </c>
      <c r="G1627" t="s">
        <v>40</v>
      </c>
      <c r="H1627">
        <f t="shared" si="25"/>
        <v>198</v>
      </c>
    </row>
    <row r="1628" spans="1:8" x14ac:dyDescent="0.3">
      <c r="A1628" t="s">
        <v>58</v>
      </c>
      <c r="B1628" t="s">
        <v>23</v>
      </c>
      <c r="C1628" t="s">
        <v>21</v>
      </c>
      <c r="D1628">
        <v>0</v>
      </c>
      <c r="E1628" t="s">
        <v>57</v>
      </c>
      <c r="F1628" t="s">
        <v>39</v>
      </c>
      <c r="G1628" t="s">
        <v>40</v>
      </c>
      <c r="H1628">
        <f t="shared" si="25"/>
        <v>0</v>
      </c>
    </row>
    <row r="1629" spans="1:8" x14ac:dyDescent="0.3">
      <c r="A1629" t="s">
        <v>58</v>
      </c>
      <c r="B1629" t="s">
        <v>23</v>
      </c>
      <c r="C1629" t="s">
        <v>22</v>
      </c>
      <c r="D1629">
        <v>91</v>
      </c>
      <c r="E1629" t="s">
        <v>57</v>
      </c>
      <c r="F1629" t="s">
        <v>39</v>
      </c>
      <c r="G1629" t="s">
        <v>40</v>
      </c>
      <c r="H1629">
        <f t="shared" si="25"/>
        <v>91</v>
      </c>
    </row>
    <row r="1630" spans="1:8" x14ac:dyDescent="0.3">
      <c r="A1630" t="s">
        <v>59</v>
      </c>
      <c r="B1630" t="s">
        <v>8</v>
      </c>
      <c r="C1630" t="s">
        <v>9</v>
      </c>
      <c r="D1630">
        <v>103</v>
      </c>
      <c r="E1630" t="s">
        <v>57</v>
      </c>
      <c r="F1630" t="s">
        <v>39</v>
      </c>
      <c r="G1630" t="s">
        <v>40</v>
      </c>
      <c r="H1630">
        <f t="shared" si="25"/>
        <v>103</v>
      </c>
    </row>
    <row r="1631" spans="1:8" x14ac:dyDescent="0.3">
      <c r="A1631" t="s">
        <v>59</v>
      </c>
      <c r="B1631" t="s">
        <v>8</v>
      </c>
      <c r="C1631" t="s">
        <v>13</v>
      </c>
      <c r="D1631">
        <v>5</v>
      </c>
      <c r="E1631" t="s">
        <v>57</v>
      </c>
      <c r="F1631" t="s">
        <v>39</v>
      </c>
      <c r="G1631" t="s">
        <v>40</v>
      </c>
      <c r="H1631">
        <f t="shared" si="25"/>
        <v>5</v>
      </c>
    </row>
    <row r="1632" spans="1:8" x14ac:dyDescent="0.3">
      <c r="A1632" t="s">
        <v>59</v>
      </c>
      <c r="B1632" t="s">
        <v>8</v>
      </c>
      <c r="C1632" t="s">
        <v>14</v>
      </c>
      <c r="D1632">
        <v>0</v>
      </c>
      <c r="E1632" t="s">
        <v>57</v>
      </c>
      <c r="F1632" t="s">
        <v>39</v>
      </c>
      <c r="G1632" t="s">
        <v>40</v>
      </c>
      <c r="H1632">
        <f t="shared" si="25"/>
        <v>0</v>
      </c>
    </row>
    <row r="1633" spans="1:8" x14ac:dyDescent="0.3">
      <c r="A1633" t="s">
        <v>59</v>
      </c>
      <c r="B1633" t="s">
        <v>8</v>
      </c>
      <c r="C1633" t="s">
        <v>15</v>
      </c>
      <c r="D1633">
        <v>2</v>
      </c>
      <c r="E1633" t="s">
        <v>57</v>
      </c>
      <c r="F1633" t="s">
        <v>39</v>
      </c>
      <c r="G1633" t="s">
        <v>40</v>
      </c>
      <c r="H1633">
        <f t="shared" si="25"/>
        <v>2</v>
      </c>
    </row>
    <row r="1634" spans="1:8" x14ac:dyDescent="0.3">
      <c r="A1634" t="s">
        <v>59</v>
      </c>
      <c r="B1634" t="s">
        <v>8</v>
      </c>
      <c r="C1634" t="s">
        <v>16</v>
      </c>
      <c r="D1634">
        <v>2</v>
      </c>
      <c r="E1634" t="s">
        <v>57</v>
      </c>
      <c r="F1634" t="s">
        <v>39</v>
      </c>
      <c r="G1634" t="s">
        <v>40</v>
      </c>
      <c r="H1634">
        <f t="shared" si="25"/>
        <v>2</v>
      </c>
    </row>
    <row r="1635" spans="1:8" x14ac:dyDescent="0.3">
      <c r="A1635" t="s">
        <v>59</v>
      </c>
      <c r="B1635" t="s">
        <v>8</v>
      </c>
      <c r="C1635" t="s">
        <v>17</v>
      </c>
      <c r="D1635">
        <v>8</v>
      </c>
      <c r="E1635" t="s">
        <v>57</v>
      </c>
      <c r="F1635" t="s">
        <v>39</v>
      </c>
      <c r="G1635" t="s">
        <v>40</v>
      </c>
      <c r="H1635">
        <f t="shared" si="25"/>
        <v>8</v>
      </c>
    </row>
    <row r="1636" spans="1:8" x14ac:dyDescent="0.3">
      <c r="A1636" t="s">
        <v>59</v>
      </c>
      <c r="B1636" t="s">
        <v>8</v>
      </c>
      <c r="C1636" t="s">
        <v>18</v>
      </c>
      <c r="D1636">
        <v>0</v>
      </c>
      <c r="E1636" t="s">
        <v>57</v>
      </c>
      <c r="F1636" t="s">
        <v>39</v>
      </c>
      <c r="G1636" t="s">
        <v>40</v>
      </c>
      <c r="H1636">
        <f t="shared" si="25"/>
        <v>0</v>
      </c>
    </row>
    <row r="1637" spans="1:8" x14ac:dyDescent="0.3">
      <c r="A1637" t="s">
        <v>59</v>
      </c>
      <c r="B1637" t="s">
        <v>8</v>
      </c>
      <c r="C1637" t="s">
        <v>19</v>
      </c>
      <c r="D1637">
        <v>0</v>
      </c>
      <c r="E1637" t="s">
        <v>57</v>
      </c>
      <c r="F1637" t="s">
        <v>39</v>
      </c>
      <c r="G1637" t="s">
        <v>40</v>
      </c>
      <c r="H1637">
        <f t="shared" si="25"/>
        <v>0</v>
      </c>
    </row>
    <row r="1638" spans="1:8" x14ac:dyDescent="0.3">
      <c r="A1638" t="s">
        <v>59</v>
      </c>
      <c r="B1638" t="s">
        <v>8</v>
      </c>
      <c r="C1638" t="s">
        <v>20</v>
      </c>
      <c r="D1638">
        <v>0</v>
      </c>
      <c r="E1638" t="s">
        <v>57</v>
      </c>
      <c r="F1638" t="s">
        <v>39</v>
      </c>
      <c r="G1638" t="s">
        <v>40</v>
      </c>
      <c r="H1638">
        <f t="shared" si="25"/>
        <v>0</v>
      </c>
    </row>
    <row r="1639" spans="1:8" x14ac:dyDescent="0.3">
      <c r="A1639" t="s">
        <v>59</v>
      </c>
      <c r="B1639" t="s">
        <v>8</v>
      </c>
      <c r="C1639" t="s">
        <v>21</v>
      </c>
      <c r="D1639">
        <v>0</v>
      </c>
      <c r="E1639" t="s">
        <v>57</v>
      </c>
      <c r="F1639" t="s">
        <v>39</v>
      </c>
      <c r="G1639" t="s">
        <v>40</v>
      </c>
      <c r="H1639">
        <f t="shared" si="25"/>
        <v>0</v>
      </c>
    </row>
    <row r="1640" spans="1:8" x14ac:dyDescent="0.3">
      <c r="A1640" t="s">
        <v>59</v>
      </c>
      <c r="B1640" t="s">
        <v>8</v>
      </c>
      <c r="C1640" t="s">
        <v>22</v>
      </c>
      <c r="D1640">
        <v>78</v>
      </c>
      <c r="E1640" t="s">
        <v>57</v>
      </c>
      <c r="F1640" t="s">
        <v>39</v>
      </c>
      <c r="G1640" t="s">
        <v>40</v>
      </c>
      <c r="H1640">
        <f t="shared" si="25"/>
        <v>78</v>
      </c>
    </row>
    <row r="1641" spans="1:8" x14ac:dyDescent="0.3">
      <c r="A1641" t="s">
        <v>59</v>
      </c>
      <c r="B1641" t="s">
        <v>23</v>
      </c>
      <c r="C1641" t="s">
        <v>9</v>
      </c>
      <c r="D1641">
        <v>51185</v>
      </c>
      <c r="E1641" t="s">
        <v>57</v>
      </c>
      <c r="F1641" t="s">
        <v>39</v>
      </c>
      <c r="G1641" t="s">
        <v>40</v>
      </c>
      <c r="H1641">
        <f t="shared" si="25"/>
        <v>51200</v>
      </c>
    </row>
    <row r="1642" spans="1:8" x14ac:dyDescent="0.3">
      <c r="A1642" t="s">
        <v>59</v>
      </c>
      <c r="B1642" t="s">
        <v>23</v>
      </c>
      <c r="C1642" t="s">
        <v>13</v>
      </c>
      <c r="D1642">
        <v>386</v>
      </c>
      <c r="E1642" t="s">
        <v>57</v>
      </c>
      <c r="F1642" t="s">
        <v>39</v>
      </c>
      <c r="G1642" t="s">
        <v>40</v>
      </c>
      <c r="H1642">
        <f t="shared" si="25"/>
        <v>386</v>
      </c>
    </row>
    <row r="1643" spans="1:8" x14ac:dyDescent="0.3">
      <c r="A1643" t="s">
        <v>59</v>
      </c>
      <c r="B1643" t="s">
        <v>23</v>
      </c>
      <c r="C1643" t="s">
        <v>14</v>
      </c>
      <c r="D1643">
        <v>1730</v>
      </c>
      <c r="E1643" t="s">
        <v>57</v>
      </c>
      <c r="F1643" t="s">
        <v>39</v>
      </c>
      <c r="G1643" t="s">
        <v>40</v>
      </c>
      <c r="H1643">
        <f t="shared" si="25"/>
        <v>1730</v>
      </c>
    </row>
    <row r="1644" spans="1:8" x14ac:dyDescent="0.3">
      <c r="A1644" t="s">
        <v>59</v>
      </c>
      <c r="B1644" t="s">
        <v>23</v>
      </c>
      <c r="C1644" t="s">
        <v>15</v>
      </c>
      <c r="D1644">
        <v>53</v>
      </c>
      <c r="E1644" t="s">
        <v>57</v>
      </c>
      <c r="F1644" t="s">
        <v>39</v>
      </c>
      <c r="G1644" t="s">
        <v>40</v>
      </c>
      <c r="H1644">
        <f t="shared" si="25"/>
        <v>53</v>
      </c>
    </row>
    <row r="1645" spans="1:8" x14ac:dyDescent="0.3">
      <c r="A1645" t="s">
        <v>59</v>
      </c>
      <c r="B1645" t="s">
        <v>23</v>
      </c>
      <c r="C1645" t="s">
        <v>16</v>
      </c>
      <c r="D1645">
        <v>5089</v>
      </c>
      <c r="E1645" t="s">
        <v>57</v>
      </c>
      <c r="F1645" t="s">
        <v>39</v>
      </c>
      <c r="G1645" t="s">
        <v>40</v>
      </c>
      <c r="H1645">
        <f t="shared" si="25"/>
        <v>5090</v>
      </c>
    </row>
    <row r="1646" spans="1:8" x14ac:dyDescent="0.3">
      <c r="A1646" t="s">
        <v>59</v>
      </c>
      <c r="B1646" t="s">
        <v>23</v>
      </c>
      <c r="C1646" t="s">
        <v>17</v>
      </c>
      <c r="D1646">
        <v>483</v>
      </c>
      <c r="E1646" t="s">
        <v>57</v>
      </c>
      <c r="F1646" t="s">
        <v>39</v>
      </c>
      <c r="G1646" t="s">
        <v>40</v>
      </c>
      <c r="H1646">
        <f t="shared" si="25"/>
        <v>483</v>
      </c>
    </row>
    <row r="1647" spans="1:8" x14ac:dyDescent="0.3">
      <c r="A1647" t="s">
        <v>59</v>
      </c>
      <c r="B1647" t="s">
        <v>23</v>
      </c>
      <c r="C1647" t="s">
        <v>18</v>
      </c>
      <c r="D1647">
        <v>0</v>
      </c>
      <c r="E1647" t="s">
        <v>57</v>
      </c>
      <c r="F1647" t="s">
        <v>39</v>
      </c>
      <c r="G1647" t="s">
        <v>40</v>
      </c>
      <c r="H1647">
        <f t="shared" si="25"/>
        <v>0</v>
      </c>
    </row>
    <row r="1648" spans="1:8" x14ac:dyDescent="0.3">
      <c r="A1648" t="s">
        <v>59</v>
      </c>
      <c r="B1648" t="s">
        <v>23</v>
      </c>
      <c r="C1648" t="s">
        <v>19</v>
      </c>
      <c r="D1648">
        <v>56</v>
      </c>
      <c r="E1648" t="s">
        <v>57</v>
      </c>
      <c r="F1648" t="s">
        <v>39</v>
      </c>
      <c r="G1648" t="s">
        <v>40</v>
      </c>
      <c r="H1648">
        <f t="shared" si="25"/>
        <v>56</v>
      </c>
    </row>
    <row r="1649" spans="1:8" x14ac:dyDescent="0.3">
      <c r="A1649" t="s">
        <v>59</v>
      </c>
      <c r="B1649" t="s">
        <v>23</v>
      </c>
      <c r="C1649" t="s">
        <v>20</v>
      </c>
      <c r="D1649">
        <v>318</v>
      </c>
      <c r="E1649" t="s">
        <v>57</v>
      </c>
      <c r="F1649" t="s">
        <v>39</v>
      </c>
      <c r="G1649" t="s">
        <v>40</v>
      </c>
      <c r="H1649">
        <f t="shared" si="25"/>
        <v>318</v>
      </c>
    </row>
    <row r="1650" spans="1:8" x14ac:dyDescent="0.3">
      <c r="A1650" t="s">
        <v>59</v>
      </c>
      <c r="B1650" t="s">
        <v>23</v>
      </c>
      <c r="C1650" t="s">
        <v>21</v>
      </c>
      <c r="D1650">
        <v>69</v>
      </c>
      <c r="E1650" t="s">
        <v>57</v>
      </c>
      <c r="F1650" t="s">
        <v>39</v>
      </c>
      <c r="G1650" t="s">
        <v>40</v>
      </c>
      <c r="H1650">
        <f t="shared" si="25"/>
        <v>69</v>
      </c>
    </row>
    <row r="1651" spans="1:8" x14ac:dyDescent="0.3">
      <c r="A1651" t="s">
        <v>59</v>
      </c>
      <c r="B1651" t="s">
        <v>23</v>
      </c>
      <c r="C1651" t="s">
        <v>22</v>
      </c>
      <c r="D1651">
        <v>202</v>
      </c>
      <c r="E1651" t="s">
        <v>57</v>
      </c>
      <c r="F1651" t="s">
        <v>39</v>
      </c>
      <c r="G1651" t="s">
        <v>40</v>
      </c>
      <c r="H1651">
        <f t="shared" si="25"/>
        <v>202</v>
      </c>
    </row>
    <row r="1652" spans="1:8" x14ac:dyDescent="0.3">
      <c r="A1652" t="s">
        <v>60</v>
      </c>
      <c r="B1652" t="s">
        <v>8</v>
      </c>
      <c r="C1652" t="s">
        <v>9</v>
      </c>
      <c r="D1652">
        <v>0</v>
      </c>
      <c r="E1652" t="s">
        <v>57</v>
      </c>
      <c r="F1652" t="s">
        <v>39</v>
      </c>
      <c r="G1652" t="s">
        <v>40</v>
      </c>
      <c r="H1652">
        <f t="shared" si="25"/>
        <v>0</v>
      </c>
    </row>
    <row r="1653" spans="1:8" x14ac:dyDescent="0.3">
      <c r="A1653" t="s">
        <v>60</v>
      </c>
      <c r="B1653" t="s">
        <v>8</v>
      </c>
      <c r="C1653" t="s">
        <v>13</v>
      </c>
      <c r="D1653">
        <v>2</v>
      </c>
      <c r="E1653" t="s">
        <v>57</v>
      </c>
      <c r="F1653" t="s">
        <v>39</v>
      </c>
      <c r="G1653" t="s">
        <v>40</v>
      </c>
      <c r="H1653">
        <f t="shared" si="25"/>
        <v>2</v>
      </c>
    </row>
    <row r="1654" spans="1:8" x14ac:dyDescent="0.3">
      <c r="A1654" t="s">
        <v>60</v>
      </c>
      <c r="B1654" t="s">
        <v>8</v>
      </c>
      <c r="C1654" t="s">
        <v>14</v>
      </c>
      <c r="D1654">
        <v>0</v>
      </c>
      <c r="E1654" t="s">
        <v>57</v>
      </c>
      <c r="F1654" t="s">
        <v>39</v>
      </c>
      <c r="G1654" t="s">
        <v>40</v>
      </c>
      <c r="H1654">
        <f t="shared" si="25"/>
        <v>0</v>
      </c>
    </row>
    <row r="1655" spans="1:8" x14ac:dyDescent="0.3">
      <c r="A1655" t="s">
        <v>60</v>
      </c>
      <c r="B1655" t="s">
        <v>8</v>
      </c>
      <c r="C1655" t="s">
        <v>15</v>
      </c>
      <c r="D1655">
        <v>0</v>
      </c>
      <c r="E1655" t="s">
        <v>57</v>
      </c>
      <c r="F1655" t="s">
        <v>39</v>
      </c>
      <c r="G1655" t="s">
        <v>40</v>
      </c>
      <c r="H1655">
        <f t="shared" si="25"/>
        <v>0</v>
      </c>
    </row>
    <row r="1656" spans="1:8" x14ac:dyDescent="0.3">
      <c r="A1656" t="s">
        <v>60</v>
      </c>
      <c r="B1656" t="s">
        <v>8</v>
      </c>
      <c r="C1656" t="s">
        <v>16</v>
      </c>
      <c r="D1656">
        <v>3</v>
      </c>
      <c r="E1656" t="s">
        <v>57</v>
      </c>
      <c r="F1656" t="s">
        <v>39</v>
      </c>
      <c r="G1656" t="s">
        <v>40</v>
      </c>
      <c r="H1656">
        <f t="shared" si="25"/>
        <v>3</v>
      </c>
    </row>
    <row r="1657" spans="1:8" x14ac:dyDescent="0.3">
      <c r="A1657" t="s">
        <v>60</v>
      </c>
      <c r="B1657" t="s">
        <v>8</v>
      </c>
      <c r="C1657" t="s">
        <v>17</v>
      </c>
      <c r="D1657">
        <v>0</v>
      </c>
      <c r="E1657" t="s">
        <v>57</v>
      </c>
      <c r="F1657" t="s">
        <v>39</v>
      </c>
      <c r="G1657" t="s">
        <v>40</v>
      </c>
      <c r="H1657">
        <f t="shared" si="25"/>
        <v>0</v>
      </c>
    </row>
    <row r="1658" spans="1:8" x14ac:dyDescent="0.3">
      <c r="A1658" t="s">
        <v>60</v>
      </c>
      <c r="B1658" t="s">
        <v>8</v>
      </c>
      <c r="C1658" t="s">
        <v>18</v>
      </c>
      <c r="D1658">
        <v>0</v>
      </c>
      <c r="E1658" t="s">
        <v>57</v>
      </c>
      <c r="F1658" t="s">
        <v>39</v>
      </c>
      <c r="G1658" t="s">
        <v>40</v>
      </c>
      <c r="H1658">
        <f t="shared" si="25"/>
        <v>0</v>
      </c>
    </row>
    <row r="1659" spans="1:8" x14ac:dyDescent="0.3">
      <c r="A1659" t="s">
        <v>60</v>
      </c>
      <c r="B1659" t="s">
        <v>8</v>
      </c>
      <c r="C1659" t="s">
        <v>19</v>
      </c>
      <c r="D1659">
        <v>0</v>
      </c>
      <c r="E1659" t="s">
        <v>57</v>
      </c>
      <c r="F1659" t="s">
        <v>39</v>
      </c>
      <c r="G1659" t="s">
        <v>40</v>
      </c>
      <c r="H1659">
        <f t="shared" si="25"/>
        <v>0</v>
      </c>
    </row>
    <row r="1660" spans="1:8" x14ac:dyDescent="0.3">
      <c r="A1660" t="s">
        <v>60</v>
      </c>
      <c r="B1660" t="s">
        <v>8</v>
      </c>
      <c r="C1660" t="s">
        <v>20</v>
      </c>
      <c r="D1660">
        <v>0</v>
      </c>
      <c r="E1660" t="s">
        <v>57</v>
      </c>
      <c r="F1660" t="s">
        <v>39</v>
      </c>
      <c r="G1660" t="s">
        <v>40</v>
      </c>
      <c r="H1660">
        <f t="shared" si="25"/>
        <v>0</v>
      </c>
    </row>
    <row r="1661" spans="1:8" x14ac:dyDescent="0.3">
      <c r="A1661" t="s">
        <v>60</v>
      </c>
      <c r="B1661" t="s">
        <v>8</v>
      </c>
      <c r="C1661" t="s">
        <v>21</v>
      </c>
      <c r="D1661">
        <v>0</v>
      </c>
      <c r="E1661" t="s">
        <v>57</v>
      </c>
      <c r="F1661" t="s">
        <v>39</v>
      </c>
      <c r="G1661" t="s">
        <v>40</v>
      </c>
      <c r="H1661">
        <f t="shared" si="25"/>
        <v>0</v>
      </c>
    </row>
    <row r="1662" spans="1:8" x14ac:dyDescent="0.3">
      <c r="A1662" t="s">
        <v>60</v>
      </c>
      <c r="B1662" t="s">
        <v>8</v>
      </c>
      <c r="C1662" t="s">
        <v>22</v>
      </c>
      <c r="D1662">
        <v>1751</v>
      </c>
      <c r="E1662" t="s">
        <v>57</v>
      </c>
      <c r="F1662" t="s">
        <v>39</v>
      </c>
      <c r="G1662" t="s">
        <v>40</v>
      </c>
      <c r="H1662">
        <f t="shared" si="25"/>
        <v>1750</v>
      </c>
    </row>
    <row r="1663" spans="1:8" x14ac:dyDescent="0.3">
      <c r="A1663" t="s">
        <v>60</v>
      </c>
      <c r="B1663" t="s">
        <v>23</v>
      </c>
      <c r="C1663" t="s">
        <v>9</v>
      </c>
      <c r="D1663">
        <v>320</v>
      </c>
      <c r="E1663" t="s">
        <v>57</v>
      </c>
      <c r="F1663" t="s">
        <v>39</v>
      </c>
      <c r="G1663" t="s">
        <v>40</v>
      </c>
      <c r="H1663">
        <f t="shared" si="25"/>
        <v>320</v>
      </c>
    </row>
    <row r="1664" spans="1:8" x14ac:dyDescent="0.3">
      <c r="A1664" t="s">
        <v>60</v>
      </c>
      <c r="B1664" t="s">
        <v>23</v>
      </c>
      <c r="C1664" t="s">
        <v>13</v>
      </c>
      <c r="D1664">
        <v>3933</v>
      </c>
      <c r="E1664" t="s">
        <v>57</v>
      </c>
      <c r="F1664" t="s">
        <v>39</v>
      </c>
      <c r="G1664" t="s">
        <v>40</v>
      </c>
      <c r="H1664">
        <f t="shared" si="25"/>
        <v>3930</v>
      </c>
    </row>
    <row r="1665" spans="1:8" x14ac:dyDescent="0.3">
      <c r="A1665" t="s">
        <v>60</v>
      </c>
      <c r="B1665" t="s">
        <v>23</v>
      </c>
      <c r="C1665" t="s">
        <v>14</v>
      </c>
      <c r="D1665">
        <v>874</v>
      </c>
      <c r="E1665" t="s">
        <v>57</v>
      </c>
      <c r="F1665" t="s">
        <v>39</v>
      </c>
      <c r="G1665" t="s">
        <v>40</v>
      </c>
      <c r="H1665">
        <f t="shared" si="25"/>
        <v>874</v>
      </c>
    </row>
    <row r="1666" spans="1:8" x14ac:dyDescent="0.3">
      <c r="A1666" t="s">
        <v>60</v>
      </c>
      <c r="B1666" t="s">
        <v>23</v>
      </c>
      <c r="C1666" t="s">
        <v>15</v>
      </c>
      <c r="D1666">
        <v>56</v>
      </c>
      <c r="E1666" t="s">
        <v>57</v>
      </c>
      <c r="F1666" t="s">
        <v>39</v>
      </c>
      <c r="G1666" t="s">
        <v>40</v>
      </c>
      <c r="H1666">
        <f t="shared" si="25"/>
        <v>56</v>
      </c>
    </row>
    <row r="1667" spans="1:8" x14ac:dyDescent="0.3">
      <c r="A1667" t="s">
        <v>60</v>
      </c>
      <c r="B1667" t="s">
        <v>23</v>
      </c>
      <c r="C1667" t="s">
        <v>16</v>
      </c>
      <c r="D1667">
        <v>1246</v>
      </c>
      <c r="E1667" t="s">
        <v>57</v>
      </c>
      <c r="F1667" t="s">
        <v>39</v>
      </c>
      <c r="G1667" t="s">
        <v>40</v>
      </c>
      <c r="H1667">
        <f t="shared" ref="H1667:H1730" si="26">ROUND(D1667, 3 - LEN(INT(ABS(D1667))))</f>
        <v>1250</v>
      </c>
    </row>
    <row r="1668" spans="1:8" x14ac:dyDescent="0.3">
      <c r="A1668" t="s">
        <v>60</v>
      </c>
      <c r="B1668" t="s">
        <v>23</v>
      </c>
      <c r="C1668" t="s">
        <v>17</v>
      </c>
      <c r="D1668">
        <v>87</v>
      </c>
      <c r="E1668" t="s">
        <v>57</v>
      </c>
      <c r="F1668" t="s">
        <v>39</v>
      </c>
      <c r="G1668" t="s">
        <v>40</v>
      </c>
      <c r="H1668">
        <f t="shared" si="26"/>
        <v>87</v>
      </c>
    </row>
    <row r="1669" spans="1:8" x14ac:dyDescent="0.3">
      <c r="A1669" t="s">
        <v>60</v>
      </c>
      <c r="B1669" t="s">
        <v>23</v>
      </c>
      <c r="C1669" t="s">
        <v>18</v>
      </c>
      <c r="D1669">
        <v>0</v>
      </c>
      <c r="E1669" t="s">
        <v>57</v>
      </c>
      <c r="F1669" t="s">
        <v>39</v>
      </c>
      <c r="G1669" t="s">
        <v>40</v>
      </c>
      <c r="H1669">
        <f t="shared" si="26"/>
        <v>0</v>
      </c>
    </row>
    <row r="1670" spans="1:8" x14ac:dyDescent="0.3">
      <c r="A1670" t="s">
        <v>60</v>
      </c>
      <c r="B1670" t="s">
        <v>23</v>
      </c>
      <c r="C1670" t="s">
        <v>19</v>
      </c>
      <c r="D1670">
        <v>71</v>
      </c>
      <c r="E1670" t="s">
        <v>57</v>
      </c>
      <c r="F1670" t="s">
        <v>39</v>
      </c>
      <c r="G1670" t="s">
        <v>40</v>
      </c>
      <c r="H1670">
        <f t="shared" si="26"/>
        <v>71</v>
      </c>
    </row>
    <row r="1671" spans="1:8" x14ac:dyDescent="0.3">
      <c r="A1671" t="s">
        <v>60</v>
      </c>
      <c r="B1671" t="s">
        <v>23</v>
      </c>
      <c r="C1671" t="s">
        <v>20</v>
      </c>
      <c r="D1671">
        <v>172</v>
      </c>
      <c r="E1671" t="s">
        <v>57</v>
      </c>
      <c r="F1671" t="s">
        <v>39</v>
      </c>
      <c r="G1671" t="s">
        <v>40</v>
      </c>
      <c r="H1671">
        <f t="shared" si="26"/>
        <v>172</v>
      </c>
    </row>
    <row r="1672" spans="1:8" x14ac:dyDescent="0.3">
      <c r="A1672" t="s">
        <v>60</v>
      </c>
      <c r="B1672" t="s">
        <v>23</v>
      </c>
      <c r="C1672" t="s">
        <v>21</v>
      </c>
      <c r="D1672">
        <v>18</v>
      </c>
      <c r="E1672" t="s">
        <v>57</v>
      </c>
      <c r="F1672" t="s">
        <v>39</v>
      </c>
      <c r="G1672" t="s">
        <v>40</v>
      </c>
      <c r="H1672">
        <f t="shared" si="26"/>
        <v>18</v>
      </c>
    </row>
    <row r="1673" spans="1:8" x14ac:dyDescent="0.3">
      <c r="A1673" t="s">
        <v>60</v>
      </c>
      <c r="B1673" t="s">
        <v>23</v>
      </c>
      <c r="C1673" t="s">
        <v>22</v>
      </c>
      <c r="D1673">
        <v>33623</v>
      </c>
      <c r="E1673" t="s">
        <v>57</v>
      </c>
      <c r="F1673" t="s">
        <v>39</v>
      </c>
      <c r="G1673" t="s">
        <v>40</v>
      </c>
      <c r="H1673">
        <f t="shared" si="26"/>
        <v>33600</v>
      </c>
    </row>
    <row r="1674" spans="1:8" x14ac:dyDescent="0.3">
      <c r="A1674" t="s">
        <v>25</v>
      </c>
      <c r="B1674" t="s">
        <v>8</v>
      </c>
      <c r="C1674" t="s">
        <v>9</v>
      </c>
      <c r="D1674">
        <v>0</v>
      </c>
      <c r="E1674" t="s">
        <v>57</v>
      </c>
      <c r="F1674" t="s">
        <v>39</v>
      </c>
      <c r="G1674" t="s">
        <v>40</v>
      </c>
      <c r="H1674">
        <f t="shared" si="26"/>
        <v>0</v>
      </c>
    </row>
    <row r="1675" spans="1:8" x14ac:dyDescent="0.3">
      <c r="A1675" t="s">
        <v>25</v>
      </c>
      <c r="B1675" t="s">
        <v>8</v>
      </c>
      <c r="C1675" t="s">
        <v>13</v>
      </c>
      <c r="D1675">
        <v>36</v>
      </c>
      <c r="E1675" t="s">
        <v>57</v>
      </c>
      <c r="F1675" t="s">
        <v>39</v>
      </c>
      <c r="G1675" t="s">
        <v>40</v>
      </c>
      <c r="H1675">
        <f t="shared" si="26"/>
        <v>36</v>
      </c>
    </row>
    <row r="1676" spans="1:8" x14ac:dyDescent="0.3">
      <c r="A1676" t="s">
        <v>25</v>
      </c>
      <c r="B1676" t="s">
        <v>8</v>
      </c>
      <c r="C1676" t="s">
        <v>14</v>
      </c>
      <c r="D1676">
        <v>0</v>
      </c>
      <c r="E1676" t="s">
        <v>57</v>
      </c>
      <c r="F1676" t="s">
        <v>39</v>
      </c>
      <c r="G1676" t="s">
        <v>40</v>
      </c>
      <c r="H1676">
        <f t="shared" si="26"/>
        <v>0</v>
      </c>
    </row>
    <row r="1677" spans="1:8" x14ac:dyDescent="0.3">
      <c r="A1677" t="s">
        <v>25</v>
      </c>
      <c r="B1677" t="s">
        <v>8</v>
      </c>
      <c r="C1677" t="s">
        <v>15</v>
      </c>
      <c r="D1677">
        <v>3</v>
      </c>
      <c r="E1677" t="s">
        <v>57</v>
      </c>
      <c r="F1677" t="s">
        <v>39</v>
      </c>
      <c r="G1677" t="s">
        <v>40</v>
      </c>
      <c r="H1677">
        <f t="shared" si="26"/>
        <v>3</v>
      </c>
    </row>
    <row r="1678" spans="1:8" x14ac:dyDescent="0.3">
      <c r="A1678" t="s">
        <v>25</v>
      </c>
      <c r="B1678" t="s">
        <v>8</v>
      </c>
      <c r="C1678" t="s">
        <v>16</v>
      </c>
      <c r="D1678">
        <v>10</v>
      </c>
      <c r="E1678" t="s">
        <v>57</v>
      </c>
      <c r="F1678" t="s">
        <v>39</v>
      </c>
      <c r="G1678" t="s">
        <v>40</v>
      </c>
      <c r="H1678">
        <f t="shared" si="26"/>
        <v>10</v>
      </c>
    </row>
    <row r="1679" spans="1:8" x14ac:dyDescent="0.3">
      <c r="A1679" t="s">
        <v>25</v>
      </c>
      <c r="B1679" t="s">
        <v>8</v>
      </c>
      <c r="C1679" t="s">
        <v>17</v>
      </c>
      <c r="D1679">
        <v>1</v>
      </c>
      <c r="E1679" t="s">
        <v>57</v>
      </c>
      <c r="F1679" t="s">
        <v>39</v>
      </c>
      <c r="G1679" t="s">
        <v>40</v>
      </c>
      <c r="H1679">
        <f t="shared" si="26"/>
        <v>1</v>
      </c>
    </row>
    <row r="1680" spans="1:8" x14ac:dyDescent="0.3">
      <c r="A1680" t="s">
        <v>25</v>
      </c>
      <c r="B1680" t="s">
        <v>8</v>
      </c>
      <c r="C1680" t="s">
        <v>18</v>
      </c>
      <c r="D1680">
        <v>0</v>
      </c>
      <c r="E1680" t="s">
        <v>57</v>
      </c>
      <c r="F1680" t="s">
        <v>39</v>
      </c>
      <c r="G1680" t="s">
        <v>40</v>
      </c>
      <c r="H1680">
        <f t="shared" si="26"/>
        <v>0</v>
      </c>
    </row>
    <row r="1681" spans="1:8" x14ac:dyDescent="0.3">
      <c r="A1681" t="s">
        <v>25</v>
      </c>
      <c r="B1681" t="s">
        <v>8</v>
      </c>
      <c r="C1681" t="s">
        <v>19</v>
      </c>
      <c r="D1681">
        <v>0</v>
      </c>
      <c r="E1681" t="s">
        <v>57</v>
      </c>
      <c r="F1681" t="s">
        <v>39</v>
      </c>
      <c r="G1681" t="s">
        <v>40</v>
      </c>
      <c r="H1681">
        <f t="shared" si="26"/>
        <v>0</v>
      </c>
    </row>
    <row r="1682" spans="1:8" x14ac:dyDescent="0.3">
      <c r="A1682" t="s">
        <v>25</v>
      </c>
      <c r="B1682" t="s">
        <v>8</v>
      </c>
      <c r="C1682" t="s">
        <v>20</v>
      </c>
      <c r="D1682">
        <v>0</v>
      </c>
      <c r="E1682" t="s">
        <v>57</v>
      </c>
      <c r="F1682" t="s">
        <v>39</v>
      </c>
      <c r="G1682" t="s">
        <v>40</v>
      </c>
      <c r="H1682">
        <f t="shared" si="26"/>
        <v>0</v>
      </c>
    </row>
    <row r="1683" spans="1:8" x14ac:dyDescent="0.3">
      <c r="A1683" t="s">
        <v>25</v>
      </c>
      <c r="B1683" t="s">
        <v>8</v>
      </c>
      <c r="C1683" t="s">
        <v>21</v>
      </c>
      <c r="D1683">
        <v>0</v>
      </c>
      <c r="E1683" t="s">
        <v>57</v>
      </c>
      <c r="F1683" t="s">
        <v>39</v>
      </c>
      <c r="G1683" t="s">
        <v>40</v>
      </c>
      <c r="H1683">
        <f t="shared" si="26"/>
        <v>0</v>
      </c>
    </row>
    <row r="1684" spans="1:8" x14ac:dyDescent="0.3">
      <c r="A1684" t="s">
        <v>25</v>
      </c>
      <c r="B1684" t="s">
        <v>8</v>
      </c>
      <c r="C1684" t="s">
        <v>22</v>
      </c>
      <c r="D1684">
        <v>6028</v>
      </c>
      <c r="E1684" t="s">
        <v>57</v>
      </c>
      <c r="F1684" t="s">
        <v>39</v>
      </c>
      <c r="G1684" t="s">
        <v>40</v>
      </c>
      <c r="H1684">
        <f t="shared" si="26"/>
        <v>6030</v>
      </c>
    </row>
    <row r="1685" spans="1:8" x14ac:dyDescent="0.3">
      <c r="A1685" t="s">
        <v>25</v>
      </c>
      <c r="B1685" t="s">
        <v>23</v>
      </c>
      <c r="C1685" t="s">
        <v>9</v>
      </c>
      <c r="D1685">
        <v>1113</v>
      </c>
      <c r="E1685" t="s">
        <v>57</v>
      </c>
      <c r="F1685" t="s">
        <v>39</v>
      </c>
      <c r="G1685" t="s">
        <v>40</v>
      </c>
      <c r="H1685">
        <f t="shared" si="26"/>
        <v>1110</v>
      </c>
    </row>
    <row r="1686" spans="1:8" x14ac:dyDescent="0.3">
      <c r="A1686" t="s">
        <v>25</v>
      </c>
      <c r="B1686" t="s">
        <v>23</v>
      </c>
      <c r="C1686" t="s">
        <v>13</v>
      </c>
      <c r="D1686">
        <v>22460</v>
      </c>
      <c r="E1686" t="s">
        <v>57</v>
      </c>
      <c r="F1686" t="s">
        <v>39</v>
      </c>
      <c r="G1686" t="s">
        <v>40</v>
      </c>
      <c r="H1686">
        <f t="shared" si="26"/>
        <v>22500</v>
      </c>
    </row>
    <row r="1687" spans="1:8" x14ac:dyDescent="0.3">
      <c r="A1687" t="s">
        <v>25</v>
      </c>
      <c r="B1687" t="s">
        <v>23</v>
      </c>
      <c r="C1687" t="s">
        <v>14</v>
      </c>
      <c r="D1687">
        <v>3060</v>
      </c>
      <c r="E1687" t="s">
        <v>57</v>
      </c>
      <c r="F1687" t="s">
        <v>39</v>
      </c>
      <c r="G1687" t="s">
        <v>40</v>
      </c>
      <c r="H1687">
        <f t="shared" si="26"/>
        <v>3060</v>
      </c>
    </row>
    <row r="1688" spans="1:8" x14ac:dyDescent="0.3">
      <c r="A1688" t="s">
        <v>25</v>
      </c>
      <c r="B1688" t="s">
        <v>23</v>
      </c>
      <c r="C1688" t="s">
        <v>15</v>
      </c>
      <c r="D1688">
        <v>202</v>
      </c>
      <c r="E1688" t="s">
        <v>57</v>
      </c>
      <c r="F1688" t="s">
        <v>39</v>
      </c>
      <c r="G1688" t="s">
        <v>40</v>
      </c>
      <c r="H1688">
        <f t="shared" si="26"/>
        <v>202</v>
      </c>
    </row>
    <row r="1689" spans="1:8" x14ac:dyDescent="0.3">
      <c r="A1689" t="s">
        <v>25</v>
      </c>
      <c r="B1689" t="s">
        <v>23</v>
      </c>
      <c r="C1689" t="s">
        <v>16</v>
      </c>
      <c r="D1689">
        <v>4284</v>
      </c>
      <c r="E1689" t="s">
        <v>57</v>
      </c>
      <c r="F1689" t="s">
        <v>39</v>
      </c>
      <c r="G1689" t="s">
        <v>40</v>
      </c>
      <c r="H1689">
        <f t="shared" si="26"/>
        <v>4280</v>
      </c>
    </row>
    <row r="1690" spans="1:8" x14ac:dyDescent="0.3">
      <c r="A1690" t="s">
        <v>25</v>
      </c>
      <c r="B1690" t="s">
        <v>23</v>
      </c>
      <c r="C1690" t="s">
        <v>17</v>
      </c>
      <c r="D1690">
        <v>297</v>
      </c>
      <c r="E1690" t="s">
        <v>57</v>
      </c>
      <c r="F1690" t="s">
        <v>39</v>
      </c>
      <c r="G1690" t="s">
        <v>40</v>
      </c>
      <c r="H1690">
        <f t="shared" si="26"/>
        <v>297</v>
      </c>
    </row>
    <row r="1691" spans="1:8" x14ac:dyDescent="0.3">
      <c r="A1691" t="s">
        <v>25</v>
      </c>
      <c r="B1691" t="s">
        <v>23</v>
      </c>
      <c r="C1691" t="s">
        <v>18</v>
      </c>
      <c r="D1691">
        <v>0</v>
      </c>
      <c r="E1691" t="s">
        <v>57</v>
      </c>
      <c r="F1691" t="s">
        <v>39</v>
      </c>
      <c r="G1691" t="s">
        <v>40</v>
      </c>
      <c r="H1691">
        <f t="shared" si="26"/>
        <v>0</v>
      </c>
    </row>
    <row r="1692" spans="1:8" x14ac:dyDescent="0.3">
      <c r="A1692" t="s">
        <v>25</v>
      </c>
      <c r="B1692" t="s">
        <v>23</v>
      </c>
      <c r="C1692" t="s">
        <v>19</v>
      </c>
      <c r="D1692">
        <v>276</v>
      </c>
      <c r="E1692" t="s">
        <v>57</v>
      </c>
      <c r="F1692" t="s">
        <v>39</v>
      </c>
      <c r="G1692" t="s">
        <v>40</v>
      </c>
      <c r="H1692">
        <f t="shared" si="26"/>
        <v>276</v>
      </c>
    </row>
    <row r="1693" spans="1:8" x14ac:dyDescent="0.3">
      <c r="A1693" t="s">
        <v>25</v>
      </c>
      <c r="B1693" t="s">
        <v>23</v>
      </c>
      <c r="C1693" t="s">
        <v>20</v>
      </c>
      <c r="D1693">
        <v>613</v>
      </c>
      <c r="E1693" t="s">
        <v>57</v>
      </c>
      <c r="F1693" t="s">
        <v>39</v>
      </c>
      <c r="G1693" t="s">
        <v>40</v>
      </c>
      <c r="H1693">
        <f t="shared" si="26"/>
        <v>613</v>
      </c>
    </row>
    <row r="1694" spans="1:8" x14ac:dyDescent="0.3">
      <c r="A1694" t="s">
        <v>25</v>
      </c>
      <c r="B1694" t="s">
        <v>23</v>
      </c>
      <c r="C1694" t="s">
        <v>21</v>
      </c>
      <c r="D1694">
        <v>62</v>
      </c>
      <c r="E1694" t="s">
        <v>57</v>
      </c>
      <c r="F1694" t="s">
        <v>39</v>
      </c>
      <c r="G1694" t="s">
        <v>40</v>
      </c>
      <c r="H1694">
        <f t="shared" si="26"/>
        <v>62</v>
      </c>
    </row>
    <row r="1695" spans="1:8" x14ac:dyDescent="0.3">
      <c r="A1695" t="s">
        <v>25</v>
      </c>
      <c r="B1695" t="s">
        <v>23</v>
      </c>
      <c r="C1695" t="s">
        <v>22</v>
      </c>
      <c r="D1695">
        <v>115514</v>
      </c>
      <c r="E1695" t="s">
        <v>57</v>
      </c>
      <c r="F1695" t="s">
        <v>39</v>
      </c>
      <c r="G1695" t="s">
        <v>40</v>
      </c>
      <c r="H1695">
        <f t="shared" si="26"/>
        <v>116000</v>
      </c>
    </row>
    <row r="1696" spans="1:8" x14ac:dyDescent="0.3">
      <c r="A1696" t="s">
        <v>61</v>
      </c>
      <c r="B1696" t="s">
        <v>8</v>
      </c>
      <c r="C1696" t="s">
        <v>9</v>
      </c>
      <c r="D1696">
        <v>0</v>
      </c>
      <c r="E1696" t="s">
        <v>57</v>
      </c>
      <c r="F1696" t="s">
        <v>39</v>
      </c>
      <c r="G1696" t="s">
        <v>40</v>
      </c>
      <c r="H1696">
        <f t="shared" si="26"/>
        <v>0</v>
      </c>
    </row>
    <row r="1697" spans="1:8" x14ac:dyDescent="0.3">
      <c r="A1697" t="s">
        <v>61</v>
      </c>
      <c r="B1697" t="s">
        <v>8</v>
      </c>
      <c r="C1697" t="s">
        <v>13</v>
      </c>
      <c r="D1697">
        <v>3</v>
      </c>
      <c r="E1697" t="s">
        <v>57</v>
      </c>
      <c r="F1697" t="s">
        <v>39</v>
      </c>
      <c r="G1697" t="s">
        <v>40</v>
      </c>
      <c r="H1697">
        <f t="shared" si="26"/>
        <v>3</v>
      </c>
    </row>
    <row r="1698" spans="1:8" x14ac:dyDescent="0.3">
      <c r="A1698" t="s">
        <v>61</v>
      </c>
      <c r="B1698" t="s">
        <v>8</v>
      </c>
      <c r="C1698" t="s">
        <v>14</v>
      </c>
      <c r="D1698">
        <v>0</v>
      </c>
      <c r="E1698" t="s">
        <v>57</v>
      </c>
      <c r="F1698" t="s">
        <v>39</v>
      </c>
      <c r="G1698" t="s">
        <v>40</v>
      </c>
      <c r="H1698">
        <f t="shared" si="26"/>
        <v>0</v>
      </c>
    </row>
    <row r="1699" spans="1:8" x14ac:dyDescent="0.3">
      <c r="A1699" t="s">
        <v>61</v>
      </c>
      <c r="B1699" t="s">
        <v>8</v>
      </c>
      <c r="C1699" t="s">
        <v>15</v>
      </c>
      <c r="D1699">
        <v>1</v>
      </c>
      <c r="E1699" t="s">
        <v>57</v>
      </c>
      <c r="F1699" t="s">
        <v>39</v>
      </c>
      <c r="G1699" t="s">
        <v>40</v>
      </c>
      <c r="H1699">
        <f t="shared" si="26"/>
        <v>1</v>
      </c>
    </row>
    <row r="1700" spans="1:8" x14ac:dyDescent="0.3">
      <c r="A1700" t="s">
        <v>61</v>
      </c>
      <c r="B1700" t="s">
        <v>8</v>
      </c>
      <c r="C1700" t="s">
        <v>16</v>
      </c>
      <c r="D1700">
        <v>4</v>
      </c>
      <c r="E1700" t="s">
        <v>57</v>
      </c>
      <c r="F1700" t="s">
        <v>39</v>
      </c>
      <c r="G1700" t="s">
        <v>40</v>
      </c>
      <c r="H1700">
        <f t="shared" si="26"/>
        <v>4</v>
      </c>
    </row>
    <row r="1701" spans="1:8" x14ac:dyDescent="0.3">
      <c r="A1701" t="s">
        <v>61</v>
      </c>
      <c r="B1701" t="s">
        <v>8</v>
      </c>
      <c r="C1701" t="s">
        <v>17</v>
      </c>
      <c r="D1701">
        <v>0</v>
      </c>
      <c r="E1701" t="s">
        <v>57</v>
      </c>
      <c r="F1701" t="s">
        <v>39</v>
      </c>
      <c r="G1701" t="s">
        <v>40</v>
      </c>
      <c r="H1701">
        <f t="shared" si="26"/>
        <v>0</v>
      </c>
    </row>
    <row r="1702" spans="1:8" x14ac:dyDescent="0.3">
      <c r="A1702" t="s">
        <v>61</v>
      </c>
      <c r="B1702" t="s">
        <v>8</v>
      </c>
      <c r="C1702" t="s">
        <v>18</v>
      </c>
      <c r="D1702">
        <v>0</v>
      </c>
      <c r="E1702" t="s">
        <v>57</v>
      </c>
      <c r="F1702" t="s">
        <v>39</v>
      </c>
      <c r="G1702" t="s">
        <v>40</v>
      </c>
      <c r="H1702">
        <f t="shared" si="26"/>
        <v>0</v>
      </c>
    </row>
    <row r="1703" spans="1:8" x14ac:dyDescent="0.3">
      <c r="A1703" t="s">
        <v>61</v>
      </c>
      <c r="B1703" t="s">
        <v>8</v>
      </c>
      <c r="C1703" t="s">
        <v>19</v>
      </c>
      <c r="D1703">
        <v>0</v>
      </c>
      <c r="E1703" t="s">
        <v>57</v>
      </c>
      <c r="F1703" t="s">
        <v>39</v>
      </c>
      <c r="G1703" t="s">
        <v>40</v>
      </c>
      <c r="H1703">
        <f t="shared" si="26"/>
        <v>0</v>
      </c>
    </row>
    <row r="1704" spans="1:8" x14ac:dyDescent="0.3">
      <c r="A1704" t="s">
        <v>61</v>
      </c>
      <c r="B1704" t="s">
        <v>8</v>
      </c>
      <c r="C1704" t="s">
        <v>20</v>
      </c>
      <c r="D1704">
        <v>0</v>
      </c>
      <c r="E1704" t="s">
        <v>57</v>
      </c>
      <c r="F1704" t="s">
        <v>39</v>
      </c>
      <c r="G1704" t="s">
        <v>40</v>
      </c>
      <c r="H1704">
        <f t="shared" si="26"/>
        <v>0</v>
      </c>
    </row>
    <row r="1705" spans="1:8" x14ac:dyDescent="0.3">
      <c r="A1705" t="s">
        <v>61</v>
      </c>
      <c r="B1705" t="s">
        <v>8</v>
      </c>
      <c r="C1705" t="s">
        <v>21</v>
      </c>
      <c r="D1705">
        <v>0</v>
      </c>
      <c r="E1705" t="s">
        <v>57</v>
      </c>
      <c r="F1705" t="s">
        <v>39</v>
      </c>
      <c r="G1705" t="s">
        <v>40</v>
      </c>
      <c r="H1705">
        <f t="shared" si="26"/>
        <v>0</v>
      </c>
    </row>
    <row r="1706" spans="1:8" x14ac:dyDescent="0.3">
      <c r="A1706" t="s">
        <v>61</v>
      </c>
      <c r="B1706" t="s">
        <v>8</v>
      </c>
      <c r="C1706" t="s">
        <v>22</v>
      </c>
      <c r="D1706">
        <v>2606</v>
      </c>
      <c r="E1706" t="s">
        <v>57</v>
      </c>
      <c r="F1706" t="s">
        <v>39</v>
      </c>
      <c r="G1706" t="s">
        <v>40</v>
      </c>
      <c r="H1706">
        <f t="shared" si="26"/>
        <v>2610</v>
      </c>
    </row>
    <row r="1707" spans="1:8" x14ac:dyDescent="0.3">
      <c r="A1707" t="s">
        <v>61</v>
      </c>
      <c r="B1707" t="s">
        <v>23</v>
      </c>
      <c r="C1707" t="s">
        <v>9</v>
      </c>
      <c r="D1707">
        <v>476</v>
      </c>
      <c r="E1707" t="s">
        <v>57</v>
      </c>
      <c r="F1707" t="s">
        <v>39</v>
      </c>
      <c r="G1707" t="s">
        <v>40</v>
      </c>
      <c r="H1707">
        <f t="shared" si="26"/>
        <v>476</v>
      </c>
    </row>
    <row r="1708" spans="1:8" x14ac:dyDescent="0.3">
      <c r="A1708" t="s">
        <v>61</v>
      </c>
      <c r="B1708" t="s">
        <v>23</v>
      </c>
      <c r="C1708" t="s">
        <v>13</v>
      </c>
      <c r="D1708">
        <v>5854</v>
      </c>
      <c r="E1708" t="s">
        <v>57</v>
      </c>
      <c r="F1708" t="s">
        <v>39</v>
      </c>
      <c r="G1708" t="s">
        <v>40</v>
      </c>
      <c r="H1708">
        <f t="shared" si="26"/>
        <v>5850</v>
      </c>
    </row>
    <row r="1709" spans="1:8" x14ac:dyDescent="0.3">
      <c r="A1709" t="s">
        <v>61</v>
      </c>
      <c r="B1709" t="s">
        <v>23</v>
      </c>
      <c r="C1709" t="s">
        <v>14</v>
      </c>
      <c r="D1709">
        <v>1300</v>
      </c>
      <c r="E1709" t="s">
        <v>57</v>
      </c>
      <c r="F1709" t="s">
        <v>39</v>
      </c>
      <c r="G1709" t="s">
        <v>40</v>
      </c>
      <c r="H1709">
        <f t="shared" si="26"/>
        <v>1300</v>
      </c>
    </row>
    <row r="1710" spans="1:8" x14ac:dyDescent="0.3">
      <c r="A1710" t="s">
        <v>61</v>
      </c>
      <c r="B1710" t="s">
        <v>23</v>
      </c>
      <c r="C1710" t="s">
        <v>15</v>
      </c>
      <c r="D1710">
        <v>84</v>
      </c>
      <c r="E1710" t="s">
        <v>57</v>
      </c>
      <c r="F1710" t="s">
        <v>39</v>
      </c>
      <c r="G1710" t="s">
        <v>40</v>
      </c>
      <c r="H1710">
        <f t="shared" si="26"/>
        <v>84</v>
      </c>
    </row>
    <row r="1711" spans="1:8" x14ac:dyDescent="0.3">
      <c r="A1711" t="s">
        <v>61</v>
      </c>
      <c r="B1711" t="s">
        <v>23</v>
      </c>
      <c r="C1711" t="s">
        <v>16</v>
      </c>
      <c r="D1711">
        <v>1855</v>
      </c>
      <c r="E1711" t="s">
        <v>57</v>
      </c>
      <c r="F1711" t="s">
        <v>39</v>
      </c>
      <c r="G1711" t="s">
        <v>40</v>
      </c>
      <c r="H1711">
        <f t="shared" si="26"/>
        <v>1860</v>
      </c>
    </row>
    <row r="1712" spans="1:8" x14ac:dyDescent="0.3">
      <c r="A1712" t="s">
        <v>61</v>
      </c>
      <c r="B1712" t="s">
        <v>23</v>
      </c>
      <c r="C1712" t="s">
        <v>17</v>
      </c>
      <c r="D1712">
        <v>129</v>
      </c>
      <c r="E1712" t="s">
        <v>57</v>
      </c>
      <c r="F1712" t="s">
        <v>39</v>
      </c>
      <c r="G1712" t="s">
        <v>40</v>
      </c>
      <c r="H1712">
        <f t="shared" si="26"/>
        <v>129</v>
      </c>
    </row>
    <row r="1713" spans="1:8" x14ac:dyDescent="0.3">
      <c r="A1713" t="s">
        <v>61</v>
      </c>
      <c r="B1713" t="s">
        <v>23</v>
      </c>
      <c r="C1713" t="s">
        <v>18</v>
      </c>
      <c r="D1713">
        <v>0</v>
      </c>
      <c r="E1713" t="s">
        <v>57</v>
      </c>
      <c r="F1713" t="s">
        <v>39</v>
      </c>
      <c r="G1713" t="s">
        <v>40</v>
      </c>
      <c r="H1713">
        <f t="shared" si="26"/>
        <v>0</v>
      </c>
    </row>
    <row r="1714" spans="1:8" x14ac:dyDescent="0.3">
      <c r="A1714" t="s">
        <v>61</v>
      </c>
      <c r="B1714" t="s">
        <v>23</v>
      </c>
      <c r="C1714" t="s">
        <v>19</v>
      </c>
      <c r="D1714">
        <v>106</v>
      </c>
      <c r="E1714" t="s">
        <v>57</v>
      </c>
      <c r="F1714" t="s">
        <v>39</v>
      </c>
      <c r="G1714" t="s">
        <v>40</v>
      </c>
      <c r="H1714">
        <f t="shared" si="26"/>
        <v>106</v>
      </c>
    </row>
    <row r="1715" spans="1:8" x14ac:dyDescent="0.3">
      <c r="A1715" t="s">
        <v>61</v>
      </c>
      <c r="B1715" t="s">
        <v>23</v>
      </c>
      <c r="C1715" t="s">
        <v>20</v>
      </c>
      <c r="D1715">
        <v>256</v>
      </c>
      <c r="E1715" t="s">
        <v>57</v>
      </c>
      <c r="F1715" t="s">
        <v>39</v>
      </c>
      <c r="G1715" t="s">
        <v>40</v>
      </c>
      <c r="H1715">
        <f t="shared" si="26"/>
        <v>256</v>
      </c>
    </row>
    <row r="1716" spans="1:8" x14ac:dyDescent="0.3">
      <c r="A1716" t="s">
        <v>61</v>
      </c>
      <c r="B1716" t="s">
        <v>23</v>
      </c>
      <c r="C1716" t="s">
        <v>21</v>
      </c>
      <c r="D1716">
        <v>27</v>
      </c>
      <c r="E1716" t="s">
        <v>57</v>
      </c>
      <c r="F1716" t="s">
        <v>39</v>
      </c>
      <c r="G1716" t="s">
        <v>40</v>
      </c>
      <c r="H1716">
        <f t="shared" si="26"/>
        <v>27</v>
      </c>
    </row>
    <row r="1717" spans="1:8" x14ac:dyDescent="0.3">
      <c r="A1717" t="s">
        <v>61</v>
      </c>
      <c r="B1717" t="s">
        <v>23</v>
      </c>
      <c r="C1717" t="s">
        <v>22</v>
      </c>
      <c r="D1717">
        <v>50043</v>
      </c>
      <c r="E1717" t="s">
        <v>57</v>
      </c>
      <c r="F1717" t="s">
        <v>39</v>
      </c>
      <c r="G1717" t="s">
        <v>40</v>
      </c>
      <c r="H1717">
        <f t="shared" si="26"/>
        <v>50000</v>
      </c>
    </row>
    <row r="1718" spans="1:8" x14ac:dyDescent="0.3">
      <c r="A1718" t="s">
        <v>62</v>
      </c>
      <c r="B1718" t="s">
        <v>8</v>
      </c>
      <c r="C1718" t="s">
        <v>9</v>
      </c>
      <c r="D1718">
        <v>0</v>
      </c>
      <c r="E1718" t="s">
        <v>57</v>
      </c>
      <c r="F1718" t="s">
        <v>39</v>
      </c>
      <c r="G1718" t="s">
        <v>40</v>
      </c>
      <c r="H1718">
        <f t="shared" si="26"/>
        <v>0</v>
      </c>
    </row>
    <row r="1719" spans="1:8" x14ac:dyDescent="0.3">
      <c r="A1719" t="s">
        <v>62</v>
      </c>
      <c r="B1719" t="s">
        <v>8</v>
      </c>
      <c r="C1719" t="s">
        <v>13</v>
      </c>
      <c r="D1719">
        <v>5</v>
      </c>
      <c r="E1719" t="s">
        <v>57</v>
      </c>
      <c r="F1719" t="s">
        <v>39</v>
      </c>
      <c r="G1719" t="s">
        <v>40</v>
      </c>
      <c r="H1719">
        <f t="shared" si="26"/>
        <v>5</v>
      </c>
    </row>
    <row r="1720" spans="1:8" x14ac:dyDescent="0.3">
      <c r="A1720" t="s">
        <v>62</v>
      </c>
      <c r="B1720" t="s">
        <v>8</v>
      </c>
      <c r="C1720" t="s">
        <v>14</v>
      </c>
      <c r="D1720">
        <v>0</v>
      </c>
      <c r="E1720" t="s">
        <v>57</v>
      </c>
      <c r="F1720" t="s">
        <v>39</v>
      </c>
      <c r="G1720" t="s">
        <v>40</v>
      </c>
      <c r="H1720">
        <f t="shared" si="26"/>
        <v>0</v>
      </c>
    </row>
    <row r="1721" spans="1:8" x14ac:dyDescent="0.3">
      <c r="A1721" t="s">
        <v>62</v>
      </c>
      <c r="B1721" t="s">
        <v>8</v>
      </c>
      <c r="C1721" t="s">
        <v>15</v>
      </c>
      <c r="D1721">
        <v>2</v>
      </c>
      <c r="E1721" t="s">
        <v>57</v>
      </c>
      <c r="F1721" t="s">
        <v>39</v>
      </c>
      <c r="G1721" t="s">
        <v>40</v>
      </c>
      <c r="H1721">
        <f t="shared" si="26"/>
        <v>2</v>
      </c>
    </row>
    <row r="1722" spans="1:8" x14ac:dyDescent="0.3">
      <c r="A1722" t="s">
        <v>62</v>
      </c>
      <c r="B1722" t="s">
        <v>8</v>
      </c>
      <c r="C1722" t="s">
        <v>16</v>
      </c>
      <c r="D1722">
        <v>6</v>
      </c>
      <c r="E1722" t="s">
        <v>57</v>
      </c>
      <c r="F1722" t="s">
        <v>39</v>
      </c>
      <c r="G1722" t="s">
        <v>40</v>
      </c>
      <c r="H1722">
        <f t="shared" si="26"/>
        <v>6</v>
      </c>
    </row>
    <row r="1723" spans="1:8" x14ac:dyDescent="0.3">
      <c r="A1723" t="s">
        <v>62</v>
      </c>
      <c r="B1723" t="s">
        <v>8</v>
      </c>
      <c r="C1723" t="s">
        <v>17</v>
      </c>
      <c r="D1723">
        <v>0</v>
      </c>
      <c r="E1723" t="s">
        <v>57</v>
      </c>
      <c r="F1723" t="s">
        <v>39</v>
      </c>
      <c r="G1723" t="s">
        <v>40</v>
      </c>
      <c r="H1723">
        <f t="shared" si="26"/>
        <v>0</v>
      </c>
    </row>
    <row r="1724" spans="1:8" x14ac:dyDescent="0.3">
      <c r="A1724" t="s">
        <v>62</v>
      </c>
      <c r="B1724" t="s">
        <v>8</v>
      </c>
      <c r="C1724" t="s">
        <v>18</v>
      </c>
      <c r="D1724">
        <v>0</v>
      </c>
      <c r="E1724" t="s">
        <v>57</v>
      </c>
      <c r="F1724" t="s">
        <v>39</v>
      </c>
      <c r="G1724" t="s">
        <v>40</v>
      </c>
      <c r="H1724">
        <f t="shared" si="26"/>
        <v>0</v>
      </c>
    </row>
    <row r="1725" spans="1:8" x14ac:dyDescent="0.3">
      <c r="A1725" t="s">
        <v>62</v>
      </c>
      <c r="B1725" t="s">
        <v>8</v>
      </c>
      <c r="C1725" t="s">
        <v>19</v>
      </c>
      <c r="D1725">
        <v>0</v>
      </c>
      <c r="E1725" t="s">
        <v>57</v>
      </c>
      <c r="F1725" t="s">
        <v>39</v>
      </c>
      <c r="G1725" t="s">
        <v>40</v>
      </c>
      <c r="H1725">
        <f t="shared" si="26"/>
        <v>0</v>
      </c>
    </row>
    <row r="1726" spans="1:8" x14ac:dyDescent="0.3">
      <c r="A1726" t="s">
        <v>62</v>
      </c>
      <c r="B1726" t="s">
        <v>8</v>
      </c>
      <c r="C1726" t="s">
        <v>20</v>
      </c>
      <c r="D1726">
        <v>0</v>
      </c>
      <c r="E1726" t="s">
        <v>57</v>
      </c>
      <c r="F1726" t="s">
        <v>39</v>
      </c>
      <c r="G1726" t="s">
        <v>40</v>
      </c>
      <c r="H1726">
        <f t="shared" si="26"/>
        <v>0</v>
      </c>
    </row>
    <row r="1727" spans="1:8" x14ac:dyDescent="0.3">
      <c r="A1727" t="s">
        <v>62</v>
      </c>
      <c r="B1727" t="s">
        <v>8</v>
      </c>
      <c r="C1727" t="s">
        <v>21</v>
      </c>
      <c r="D1727">
        <v>0</v>
      </c>
      <c r="E1727" t="s">
        <v>57</v>
      </c>
      <c r="F1727" t="s">
        <v>39</v>
      </c>
      <c r="G1727" t="s">
        <v>40</v>
      </c>
      <c r="H1727">
        <f t="shared" si="26"/>
        <v>0</v>
      </c>
    </row>
    <row r="1728" spans="1:8" x14ac:dyDescent="0.3">
      <c r="A1728" t="s">
        <v>62</v>
      </c>
      <c r="B1728" t="s">
        <v>8</v>
      </c>
      <c r="C1728" t="s">
        <v>22</v>
      </c>
      <c r="D1728">
        <v>3463</v>
      </c>
      <c r="E1728" t="s">
        <v>57</v>
      </c>
      <c r="F1728" t="s">
        <v>39</v>
      </c>
      <c r="G1728" t="s">
        <v>40</v>
      </c>
      <c r="H1728">
        <f t="shared" si="26"/>
        <v>3460</v>
      </c>
    </row>
    <row r="1729" spans="1:8" x14ac:dyDescent="0.3">
      <c r="A1729" t="s">
        <v>62</v>
      </c>
      <c r="B1729" t="s">
        <v>23</v>
      </c>
      <c r="C1729" t="s">
        <v>9</v>
      </c>
      <c r="D1729">
        <v>633</v>
      </c>
      <c r="E1729" t="s">
        <v>57</v>
      </c>
      <c r="F1729" t="s">
        <v>39</v>
      </c>
      <c r="G1729" t="s">
        <v>40</v>
      </c>
      <c r="H1729">
        <f t="shared" si="26"/>
        <v>633</v>
      </c>
    </row>
    <row r="1730" spans="1:8" x14ac:dyDescent="0.3">
      <c r="A1730" t="s">
        <v>62</v>
      </c>
      <c r="B1730" t="s">
        <v>23</v>
      </c>
      <c r="C1730" t="s">
        <v>13</v>
      </c>
      <c r="D1730">
        <v>7780</v>
      </c>
      <c r="E1730" t="s">
        <v>57</v>
      </c>
      <c r="F1730" t="s">
        <v>39</v>
      </c>
      <c r="G1730" t="s">
        <v>40</v>
      </c>
      <c r="H1730">
        <f t="shared" si="26"/>
        <v>7780</v>
      </c>
    </row>
    <row r="1731" spans="1:8" x14ac:dyDescent="0.3">
      <c r="A1731" t="s">
        <v>62</v>
      </c>
      <c r="B1731" t="s">
        <v>23</v>
      </c>
      <c r="C1731" t="s">
        <v>14</v>
      </c>
      <c r="D1731">
        <v>1728</v>
      </c>
      <c r="E1731" t="s">
        <v>57</v>
      </c>
      <c r="F1731" t="s">
        <v>39</v>
      </c>
      <c r="G1731" t="s">
        <v>40</v>
      </c>
      <c r="H1731">
        <f t="shared" ref="H1731:H1794" si="27">ROUND(D1731, 3 - LEN(INT(ABS(D1731))))</f>
        <v>1730</v>
      </c>
    </row>
    <row r="1732" spans="1:8" x14ac:dyDescent="0.3">
      <c r="A1732" t="s">
        <v>62</v>
      </c>
      <c r="B1732" t="s">
        <v>23</v>
      </c>
      <c r="C1732" t="s">
        <v>15</v>
      </c>
      <c r="D1732">
        <v>111</v>
      </c>
      <c r="E1732" t="s">
        <v>57</v>
      </c>
      <c r="F1732" t="s">
        <v>39</v>
      </c>
      <c r="G1732" t="s">
        <v>40</v>
      </c>
      <c r="H1732">
        <f t="shared" si="27"/>
        <v>111</v>
      </c>
    </row>
    <row r="1733" spans="1:8" x14ac:dyDescent="0.3">
      <c r="A1733" t="s">
        <v>62</v>
      </c>
      <c r="B1733" t="s">
        <v>23</v>
      </c>
      <c r="C1733" t="s">
        <v>16</v>
      </c>
      <c r="D1733">
        <v>2466</v>
      </c>
      <c r="E1733" t="s">
        <v>57</v>
      </c>
      <c r="F1733" t="s">
        <v>39</v>
      </c>
      <c r="G1733" t="s">
        <v>40</v>
      </c>
      <c r="H1733">
        <f t="shared" si="27"/>
        <v>2470</v>
      </c>
    </row>
    <row r="1734" spans="1:8" x14ac:dyDescent="0.3">
      <c r="A1734" t="s">
        <v>62</v>
      </c>
      <c r="B1734" t="s">
        <v>23</v>
      </c>
      <c r="C1734" t="s">
        <v>17</v>
      </c>
      <c r="D1734">
        <v>171</v>
      </c>
      <c r="E1734" t="s">
        <v>57</v>
      </c>
      <c r="F1734" t="s">
        <v>39</v>
      </c>
      <c r="G1734" t="s">
        <v>40</v>
      </c>
      <c r="H1734">
        <f t="shared" si="27"/>
        <v>171</v>
      </c>
    </row>
    <row r="1735" spans="1:8" x14ac:dyDescent="0.3">
      <c r="A1735" t="s">
        <v>62</v>
      </c>
      <c r="B1735" t="s">
        <v>23</v>
      </c>
      <c r="C1735" t="s">
        <v>18</v>
      </c>
      <c r="D1735">
        <v>0</v>
      </c>
      <c r="E1735" t="s">
        <v>57</v>
      </c>
      <c r="F1735" t="s">
        <v>39</v>
      </c>
      <c r="G1735" t="s">
        <v>40</v>
      </c>
      <c r="H1735">
        <f t="shared" si="27"/>
        <v>0</v>
      </c>
    </row>
    <row r="1736" spans="1:8" x14ac:dyDescent="0.3">
      <c r="A1736" t="s">
        <v>62</v>
      </c>
      <c r="B1736" t="s">
        <v>23</v>
      </c>
      <c r="C1736" t="s">
        <v>19</v>
      </c>
      <c r="D1736">
        <v>141</v>
      </c>
      <c r="E1736" t="s">
        <v>57</v>
      </c>
      <c r="F1736" t="s">
        <v>39</v>
      </c>
      <c r="G1736" t="s">
        <v>40</v>
      </c>
      <c r="H1736">
        <f t="shared" si="27"/>
        <v>141</v>
      </c>
    </row>
    <row r="1737" spans="1:8" x14ac:dyDescent="0.3">
      <c r="A1737" t="s">
        <v>62</v>
      </c>
      <c r="B1737" t="s">
        <v>23</v>
      </c>
      <c r="C1737" t="s">
        <v>20</v>
      </c>
      <c r="D1737">
        <v>340</v>
      </c>
      <c r="E1737" t="s">
        <v>57</v>
      </c>
      <c r="F1737" t="s">
        <v>39</v>
      </c>
      <c r="G1737" t="s">
        <v>40</v>
      </c>
      <c r="H1737">
        <f t="shared" si="27"/>
        <v>340</v>
      </c>
    </row>
    <row r="1738" spans="1:8" x14ac:dyDescent="0.3">
      <c r="A1738" t="s">
        <v>62</v>
      </c>
      <c r="B1738" t="s">
        <v>23</v>
      </c>
      <c r="C1738" t="s">
        <v>21</v>
      </c>
      <c r="D1738">
        <v>35</v>
      </c>
      <c r="E1738" t="s">
        <v>57</v>
      </c>
      <c r="F1738" t="s">
        <v>39</v>
      </c>
      <c r="G1738" t="s">
        <v>40</v>
      </c>
      <c r="H1738">
        <f t="shared" si="27"/>
        <v>35</v>
      </c>
    </row>
    <row r="1739" spans="1:8" x14ac:dyDescent="0.3">
      <c r="A1739" t="s">
        <v>62</v>
      </c>
      <c r="B1739" t="s">
        <v>23</v>
      </c>
      <c r="C1739" t="s">
        <v>22</v>
      </c>
      <c r="D1739">
        <v>66508</v>
      </c>
      <c r="E1739" t="s">
        <v>57</v>
      </c>
      <c r="F1739" t="s">
        <v>39</v>
      </c>
      <c r="G1739" t="s">
        <v>40</v>
      </c>
      <c r="H1739">
        <f t="shared" si="27"/>
        <v>66500</v>
      </c>
    </row>
    <row r="1740" spans="1:8" x14ac:dyDescent="0.3">
      <c r="A1740" t="s">
        <v>26</v>
      </c>
      <c r="B1740" t="s">
        <v>8</v>
      </c>
      <c r="C1740" t="s">
        <v>9</v>
      </c>
      <c r="D1740">
        <v>0</v>
      </c>
      <c r="E1740" t="s">
        <v>57</v>
      </c>
      <c r="F1740" t="s">
        <v>39</v>
      </c>
      <c r="G1740" t="s">
        <v>40</v>
      </c>
      <c r="H1740">
        <f t="shared" si="27"/>
        <v>0</v>
      </c>
    </row>
    <row r="1741" spans="1:8" x14ac:dyDescent="0.3">
      <c r="A1741" t="s">
        <v>26</v>
      </c>
      <c r="B1741" t="s">
        <v>8</v>
      </c>
      <c r="C1741" t="s">
        <v>13</v>
      </c>
      <c r="D1741">
        <v>0</v>
      </c>
      <c r="E1741" t="s">
        <v>57</v>
      </c>
      <c r="F1741" t="s">
        <v>39</v>
      </c>
      <c r="G1741" t="s">
        <v>40</v>
      </c>
      <c r="H1741">
        <f t="shared" si="27"/>
        <v>0</v>
      </c>
    </row>
    <row r="1742" spans="1:8" x14ac:dyDescent="0.3">
      <c r="A1742" t="s">
        <v>26</v>
      </c>
      <c r="B1742" t="s">
        <v>8</v>
      </c>
      <c r="C1742" t="s">
        <v>14</v>
      </c>
      <c r="D1742">
        <v>0</v>
      </c>
      <c r="E1742" t="s">
        <v>57</v>
      </c>
      <c r="F1742" t="s">
        <v>39</v>
      </c>
      <c r="G1742" t="s">
        <v>40</v>
      </c>
      <c r="H1742">
        <f t="shared" si="27"/>
        <v>0</v>
      </c>
    </row>
    <row r="1743" spans="1:8" x14ac:dyDescent="0.3">
      <c r="A1743" t="s">
        <v>26</v>
      </c>
      <c r="B1743" t="s">
        <v>8</v>
      </c>
      <c r="C1743" t="s">
        <v>15</v>
      </c>
      <c r="D1743">
        <v>0</v>
      </c>
      <c r="E1743" t="s">
        <v>57</v>
      </c>
      <c r="F1743" t="s">
        <v>39</v>
      </c>
      <c r="G1743" t="s">
        <v>40</v>
      </c>
      <c r="H1743">
        <f t="shared" si="27"/>
        <v>0</v>
      </c>
    </row>
    <row r="1744" spans="1:8" x14ac:dyDescent="0.3">
      <c r="A1744" t="s">
        <v>26</v>
      </c>
      <c r="B1744" t="s">
        <v>8</v>
      </c>
      <c r="C1744" t="s">
        <v>16</v>
      </c>
      <c r="D1744">
        <v>0</v>
      </c>
      <c r="E1744" t="s">
        <v>57</v>
      </c>
      <c r="F1744" t="s">
        <v>39</v>
      </c>
      <c r="G1744" t="s">
        <v>40</v>
      </c>
      <c r="H1744">
        <f t="shared" si="27"/>
        <v>0</v>
      </c>
    </row>
    <row r="1745" spans="1:8" x14ac:dyDescent="0.3">
      <c r="A1745" t="s">
        <v>26</v>
      </c>
      <c r="B1745" t="s">
        <v>8</v>
      </c>
      <c r="C1745" t="s">
        <v>17</v>
      </c>
      <c r="D1745">
        <v>0</v>
      </c>
      <c r="E1745" t="s">
        <v>57</v>
      </c>
      <c r="F1745" t="s">
        <v>39</v>
      </c>
      <c r="G1745" t="s">
        <v>40</v>
      </c>
      <c r="H1745">
        <f t="shared" si="27"/>
        <v>0</v>
      </c>
    </row>
    <row r="1746" spans="1:8" x14ac:dyDescent="0.3">
      <c r="A1746" t="s">
        <v>26</v>
      </c>
      <c r="B1746" t="s">
        <v>8</v>
      </c>
      <c r="C1746" t="s">
        <v>18</v>
      </c>
      <c r="D1746">
        <v>0</v>
      </c>
      <c r="E1746" t="s">
        <v>57</v>
      </c>
      <c r="F1746" t="s">
        <v>39</v>
      </c>
      <c r="G1746" t="s">
        <v>40</v>
      </c>
      <c r="H1746">
        <f t="shared" si="27"/>
        <v>0</v>
      </c>
    </row>
    <row r="1747" spans="1:8" x14ac:dyDescent="0.3">
      <c r="A1747" t="s">
        <v>26</v>
      </c>
      <c r="B1747" t="s">
        <v>8</v>
      </c>
      <c r="C1747" t="s">
        <v>19</v>
      </c>
      <c r="D1747">
        <v>0</v>
      </c>
      <c r="E1747" t="s">
        <v>57</v>
      </c>
      <c r="F1747" t="s">
        <v>39</v>
      </c>
      <c r="G1747" t="s">
        <v>40</v>
      </c>
      <c r="H1747">
        <f t="shared" si="27"/>
        <v>0</v>
      </c>
    </row>
    <row r="1748" spans="1:8" x14ac:dyDescent="0.3">
      <c r="A1748" t="s">
        <v>26</v>
      </c>
      <c r="B1748" t="s">
        <v>8</v>
      </c>
      <c r="C1748" t="s">
        <v>20</v>
      </c>
      <c r="D1748">
        <v>0</v>
      </c>
      <c r="E1748" t="s">
        <v>57</v>
      </c>
      <c r="F1748" t="s">
        <v>39</v>
      </c>
      <c r="G1748" t="s">
        <v>40</v>
      </c>
      <c r="H1748">
        <f t="shared" si="27"/>
        <v>0</v>
      </c>
    </row>
    <row r="1749" spans="1:8" x14ac:dyDescent="0.3">
      <c r="A1749" t="s">
        <v>26</v>
      </c>
      <c r="B1749" t="s">
        <v>8</v>
      </c>
      <c r="C1749" t="s">
        <v>21</v>
      </c>
      <c r="D1749">
        <v>0</v>
      </c>
      <c r="E1749" t="s">
        <v>57</v>
      </c>
      <c r="F1749" t="s">
        <v>39</v>
      </c>
      <c r="G1749" t="s">
        <v>40</v>
      </c>
      <c r="H1749">
        <f t="shared" si="27"/>
        <v>0</v>
      </c>
    </row>
    <row r="1750" spans="1:8" x14ac:dyDescent="0.3">
      <c r="A1750" t="s">
        <v>26</v>
      </c>
      <c r="B1750" t="s">
        <v>8</v>
      </c>
      <c r="C1750" t="s">
        <v>22</v>
      </c>
      <c r="D1750">
        <v>288</v>
      </c>
      <c r="E1750" t="s">
        <v>57</v>
      </c>
      <c r="F1750" t="s">
        <v>39</v>
      </c>
      <c r="G1750" t="s">
        <v>40</v>
      </c>
      <c r="H1750">
        <f t="shared" si="27"/>
        <v>288</v>
      </c>
    </row>
    <row r="1751" spans="1:8" x14ac:dyDescent="0.3">
      <c r="A1751" t="s">
        <v>26</v>
      </c>
      <c r="B1751" t="s">
        <v>23</v>
      </c>
      <c r="C1751" t="s">
        <v>9</v>
      </c>
      <c r="D1751">
        <v>53</v>
      </c>
      <c r="E1751" t="s">
        <v>57</v>
      </c>
      <c r="F1751" t="s">
        <v>39</v>
      </c>
      <c r="G1751" t="s">
        <v>40</v>
      </c>
      <c r="H1751">
        <f t="shared" si="27"/>
        <v>53</v>
      </c>
    </row>
    <row r="1752" spans="1:8" x14ac:dyDescent="0.3">
      <c r="A1752" t="s">
        <v>26</v>
      </c>
      <c r="B1752" t="s">
        <v>23</v>
      </c>
      <c r="C1752" t="s">
        <v>13</v>
      </c>
      <c r="D1752">
        <v>647</v>
      </c>
      <c r="E1752" t="s">
        <v>57</v>
      </c>
      <c r="F1752" t="s">
        <v>39</v>
      </c>
      <c r="G1752" t="s">
        <v>40</v>
      </c>
      <c r="H1752">
        <f t="shared" si="27"/>
        <v>647</v>
      </c>
    </row>
    <row r="1753" spans="1:8" x14ac:dyDescent="0.3">
      <c r="A1753" t="s">
        <v>26</v>
      </c>
      <c r="B1753" t="s">
        <v>23</v>
      </c>
      <c r="C1753" t="s">
        <v>14</v>
      </c>
      <c r="D1753">
        <v>144</v>
      </c>
      <c r="E1753" t="s">
        <v>57</v>
      </c>
      <c r="F1753" t="s">
        <v>39</v>
      </c>
      <c r="G1753" t="s">
        <v>40</v>
      </c>
      <c r="H1753">
        <f t="shared" si="27"/>
        <v>144</v>
      </c>
    </row>
    <row r="1754" spans="1:8" x14ac:dyDescent="0.3">
      <c r="A1754" t="s">
        <v>26</v>
      </c>
      <c r="B1754" t="s">
        <v>23</v>
      </c>
      <c r="C1754" t="s">
        <v>15</v>
      </c>
      <c r="D1754">
        <v>9</v>
      </c>
      <c r="E1754" t="s">
        <v>57</v>
      </c>
      <c r="F1754" t="s">
        <v>39</v>
      </c>
      <c r="G1754" t="s">
        <v>40</v>
      </c>
      <c r="H1754">
        <f t="shared" si="27"/>
        <v>9</v>
      </c>
    </row>
    <row r="1755" spans="1:8" x14ac:dyDescent="0.3">
      <c r="A1755" t="s">
        <v>26</v>
      </c>
      <c r="B1755" t="s">
        <v>23</v>
      </c>
      <c r="C1755" t="s">
        <v>16</v>
      </c>
      <c r="D1755">
        <v>205</v>
      </c>
      <c r="E1755" t="s">
        <v>57</v>
      </c>
      <c r="F1755" t="s">
        <v>39</v>
      </c>
      <c r="G1755" t="s">
        <v>40</v>
      </c>
      <c r="H1755">
        <f t="shared" si="27"/>
        <v>205</v>
      </c>
    </row>
    <row r="1756" spans="1:8" x14ac:dyDescent="0.3">
      <c r="A1756" t="s">
        <v>26</v>
      </c>
      <c r="B1756" t="s">
        <v>23</v>
      </c>
      <c r="C1756" t="s">
        <v>17</v>
      </c>
      <c r="D1756">
        <v>14</v>
      </c>
      <c r="E1756" t="s">
        <v>57</v>
      </c>
      <c r="F1756" t="s">
        <v>39</v>
      </c>
      <c r="G1756" t="s">
        <v>40</v>
      </c>
      <c r="H1756">
        <f t="shared" si="27"/>
        <v>14</v>
      </c>
    </row>
    <row r="1757" spans="1:8" x14ac:dyDescent="0.3">
      <c r="A1757" t="s">
        <v>26</v>
      </c>
      <c r="B1757" t="s">
        <v>23</v>
      </c>
      <c r="C1757" t="s">
        <v>18</v>
      </c>
      <c r="D1757">
        <v>0</v>
      </c>
      <c r="E1757" t="s">
        <v>57</v>
      </c>
      <c r="F1757" t="s">
        <v>39</v>
      </c>
      <c r="G1757" t="s">
        <v>40</v>
      </c>
      <c r="H1757">
        <f t="shared" si="27"/>
        <v>0</v>
      </c>
    </row>
    <row r="1758" spans="1:8" x14ac:dyDescent="0.3">
      <c r="A1758" t="s">
        <v>26</v>
      </c>
      <c r="B1758" t="s">
        <v>23</v>
      </c>
      <c r="C1758" t="s">
        <v>19</v>
      </c>
      <c r="D1758">
        <v>12</v>
      </c>
      <c r="E1758" t="s">
        <v>57</v>
      </c>
      <c r="F1758" t="s">
        <v>39</v>
      </c>
      <c r="G1758" t="s">
        <v>40</v>
      </c>
      <c r="H1758">
        <f t="shared" si="27"/>
        <v>12</v>
      </c>
    </row>
    <row r="1759" spans="1:8" x14ac:dyDescent="0.3">
      <c r="A1759" t="s">
        <v>26</v>
      </c>
      <c r="B1759" t="s">
        <v>23</v>
      </c>
      <c r="C1759" t="s">
        <v>20</v>
      </c>
      <c r="D1759">
        <v>28</v>
      </c>
      <c r="E1759" t="s">
        <v>57</v>
      </c>
      <c r="F1759" t="s">
        <v>39</v>
      </c>
      <c r="G1759" t="s">
        <v>40</v>
      </c>
      <c r="H1759">
        <f t="shared" si="27"/>
        <v>28</v>
      </c>
    </row>
    <row r="1760" spans="1:8" x14ac:dyDescent="0.3">
      <c r="A1760" t="s">
        <v>26</v>
      </c>
      <c r="B1760" t="s">
        <v>23</v>
      </c>
      <c r="C1760" t="s">
        <v>21</v>
      </c>
      <c r="D1760">
        <v>3</v>
      </c>
      <c r="E1760" t="s">
        <v>57</v>
      </c>
      <c r="F1760" t="s">
        <v>39</v>
      </c>
      <c r="G1760" t="s">
        <v>40</v>
      </c>
      <c r="H1760">
        <f t="shared" si="27"/>
        <v>3</v>
      </c>
    </row>
    <row r="1761" spans="1:8" x14ac:dyDescent="0.3">
      <c r="A1761" t="s">
        <v>26</v>
      </c>
      <c r="B1761" t="s">
        <v>23</v>
      </c>
      <c r="C1761" t="s">
        <v>22</v>
      </c>
      <c r="D1761">
        <v>5531</v>
      </c>
      <c r="E1761" t="s">
        <v>57</v>
      </c>
      <c r="F1761" t="s">
        <v>39</v>
      </c>
      <c r="G1761" t="s">
        <v>40</v>
      </c>
      <c r="H1761">
        <f t="shared" si="27"/>
        <v>5530</v>
      </c>
    </row>
    <row r="1762" spans="1:8" x14ac:dyDescent="0.3">
      <c r="A1762" t="s">
        <v>27</v>
      </c>
      <c r="B1762" t="s">
        <v>8</v>
      </c>
      <c r="C1762" t="s">
        <v>9</v>
      </c>
      <c r="D1762">
        <v>2</v>
      </c>
      <c r="E1762" t="s">
        <v>57</v>
      </c>
      <c r="F1762" t="s">
        <v>39</v>
      </c>
      <c r="G1762" t="s">
        <v>40</v>
      </c>
      <c r="H1762">
        <f t="shared" si="27"/>
        <v>2</v>
      </c>
    </row>
    <row r="1763" spans="1:8" x14ac:dyDescent="0.3">
      <c r="A1763" t="s">
        <v>27</v>
      </c>
      <c r="B1763" t="s">
        <v>8</v>
      </c>
      <c r="C1763" t="s">
        <v>13</v>
      </c>
      <c r="D1763">
        <v>2</v>
      </c>
      <c r="E1763" t="s">
        <v>57</v>
      </c>
      <c r="F1763" t="s">
        <v>39</v>
      </c>
      <c r="G1763" t="s">
        <v>40</v>
      </c>
      <c r="H1763">
        <f t="shared" si="27"/>
        <v>2</v>
      </c>
    </row>
    <row r="1764" spans="1:8" x14ac:dyDescent="0.3">
      <c r="A1764" t="s">
        <v>27</v>
      </c>
      <c r="B1764" t="s">
        <v>8</v>
      </c>
      <c r="C1764" t="s">
        <v>14</v>
      </c>
      <c r="D1764">
        <v>69</v>
      </c>
      <c r="E1764" t="s">
        <v>57</v>
      </c>
      <c r="F1764" t="s">
        <v>39</v>
      </c>
      <c r="G1764" t="s">
        <v>40</v>
      </c>
      <c r="H1764">
        <f t="shared" si="27"/>
        <v>69</v>
      </c>
    </row>
    <row r="1765" spans="1:8" x14ac:dyDescent="0.3">
      <c r="A1765" t="s">
        <v>27</v>
      </c>
      <c r="B1765" t="s">
        <v>8</v>
      </c>
      <c r="C1765" t="s">
        <v>15</v>
      </c>
      <c r="D1765">
        <v>2</v>
      </c>
      <c r="E1765" t="s">
        <v>57</v>
      </c>
      <c r="F1765" t="s">
        <v>39</v>
      </c>
      <c r="G1765" t="s">
        <v>40</v>
      </c>
      <c r="H1765">
        <f t="shared" si="27"/>
        <v>2</v>
      </c>
    </row>
    <row r="1766" spans="1:8" x14ac:dyDescent="0.3">
      <c r="A1766" t="s">
        <v>27</v>
      </c>
      <c r="B1766" t="s">
        <v>8</v>
      </c>
      <c r="C1766" t="s">
        <v>16</v>
      </c>
      <c r="D1766">
        <v>1834</v>
      </c>
      <c r="E1766" t="s">
        <v>57</v>
      </c>
      <c r="F1766" t="s">
        <v>39</v>
      </c>
      <c r="G1766" t="s">
        <v>40</v>
      </c>
      <c r="H1766">
        <f t="shared" si="27"/>
        <v>1830</v>
      </c>
    </row>
    <row r="1767" spans="1:8" x14ac:dyDescent="0.3">
      <c r="A1767" t="s">
        <v>27</v>
      </c>
      <c r="B1767" t="s">
        <v>8</v>
      </c>
      <c r="C1767" t="s">
        <v>17</v>
      </c>
      <c r="D1767">
        <v>70</v>
      </c>
      <c r="E1767" t="s">
        <v>57</v>
      </c>
      <c r="F1767" t="s">
        <v>39</v>
      </c>
      <c r="G1767" t="s">
        <v>40</v>
      </c>
      <c r="H1767">
        <f t="shared" si="27"/>
        <v>70</v>
      </c>
    </row>
    <row r="1768" spans="1:8" x14ac:dyDescent="0.3">
      <c r="A1768" t="s">
        <v>27</v>
      </c>
      <c r="B1768" t="s">
        <v>8</v>
      </c>
      <c r="C1768" t="s">
        <v>18</v>
      </c>
      <c r="D1768">
        <v>0</v>
      </c>
      <c r="E1768" t="s">
        <v>57</v>
      </c>
      <c r="F1768" t="s">
        <v>39</v>
      </c>
      <c r="G1768" t="s">
        <v>40</v>
      </c>
      <c r="H1768">
        <f t="shared" si="27"/>
        <v>0</v>
      </c>
    </row>
    <row r="1769" spans="1:8" x14ac:dyDescent="0.3">
      <c r="A1769" t="s">
        <v>27</v>
      </c>
      <c r="B1769" t="s">
        <v>8</v>
      </c>
      <c r="C1769" t="s">
        <v>19</v>
      </c>
      <c r="D1769">
        <v>0</v>
      </c>
      <c r="E1769" t="s">
        <v>57</v>
      </c>
      <c r="F1769" t="s">
        <v>39</v>
      </c>
      <c r="G1769" t="s">
        <v>40</v>
      </c>
      <c r="H1769">
        <f t="shared" si="27"/>
        <v>0</v>
      </c>
    </row>
    <row r="1770" spans="1:8" x14ac:dyDescent="0.3">
      <c r="A1770" t="s">
        <v>27</v>
      </c>
      <c r="B1770" t="s">
        <v>8</v>
      </c>
      <c r="C1770" t="s">
        <v>20</v>
      </c>
      <c r="D1770">
        <v>0</v>
      </c>
      <c r="E1770" t="s">
        <v>57</v>
      </c>
      <c r="F1770" t="s">
        <v>39</v>
      </c>
      <c r="G1770" t="s">
        <v>40</v>
      </c>
      <c r="H1770">
        <f t="shared" si="27"/>
        <v>0</v>
      </c>
    </row>
    <row r="1771" spans="1:8" x14ac:dyDescent="0.3">
      <c r="A1771" t="s">
        <v>27</v>
      </c>
      <c r="B1771" t="s">
        <v>8</v>
      </c>
      <c r="C1771" t="s">
        <v>21</v>
      </c>
      <c r="D1771">
        <v>0</v>
      </c>
      <c r="E1771" t="s">
        <v>57</v>
      </c>
      <c r="F1771" t="s">
        <v>39</v>
      </c>
      <c r="G1771" t="s">
        <v>40</v>
      </c>
      <c r="H1771">
        <f t="shared" si="27"/>
        <v>0</v>
      </c>
    </row>
    <row r="1772" spans="1:8" x14ac:dyDescent="0.3">
      <c r="A1772" t="s">
        <v>27</v>
      </c>
      <c r="B1772" t="s">
        <v>8</v>
      </c>
      <c r="C1772" t="s">
        <v>22</v>
      </c>
      <c r="D1772">
        <v>897</v>
      </c>
      <c r="E1772" t="s">
        <v>57</v>
      </c>
      <c r="F1772" t="s">
        <v>39</v>
      </c>
      <c r="G1772" t="s">
        <v>40</v>
      </c>
      <c r="H1772">
        <f t="shared" si="27"/>
        <v>897</v>
      </c>
    </row>
    <row r="1773" spans="1:8" x14ac:dyDescent="0.3">
      <c r="A1773" t="s">
        <v>27</v>
      </c>
      <c r="B1773" t="s">
        <v>23</v>
      </c>
      <c r="C1773" t="s">
        <v>9</v>
      </c>
      <c r="D1773">
        <v>614</v>
      </c>
      <c r="E1773" t="s">
        <v>57</v>
      </c>
      <c r="F1773" t="s">
        <v>39</v>
      </c>
      <c r="G1773" t="s">
        <v>40</v>
      </c>
      <c r="H1773">
        <f t="shared" si="27"/>
        <v>614</v>
      </c>
    </row>
    <row r="1774" spans="1:8" x14ac:dyDescent="0.3">
      <c r="A1774" t="s">
        <v>27</v>
      </c>
      <c r="B1774" t="s">
        <v>23</v>
      </c>
      <c r="C1774" t="s">
        <v>13</v>
      </c>
      <c r="D1774">
        <v>2131</v>
      </c>
      <c r="E1774" t="s">
        <v>57</v>
      </c>
      <c r="F1774" t="s">
        <v>39</v>
      </c>
      <c r="G1774" t="s">
        <v>40</v>
      </c>
      <c r="H1774">
        <f t="shared" si="27"/>
        <v>2130</v>
      </c>
    </row>
    <row r="1775" spans="1:8" x14ac:dyDescent="0.3">
      <c r="A1775" t="s">
        <v>27</v>
      </c>
      <c r="B1775" t="s">
        <v>23</v>
      </c>
      <c r="C1775" t="s">
        <v>14</v>
      </c>
      <c r="D1775">
        <v>31756</v>
      </c>
      <c r="E1775" t="s">
        <v>57</v>
      </c>
      <c r="F1775" t="s">
        <v>39</v>
      </c>
      <c r="G1775" t="s">
        <v>40</v>
      </c>
      <c r="H1775">
        <f t="shared" si="27"/>
        <v>31800</v>
      </c>
    </row>
    <row r="1776" spans="1:8" x14ac:dyDescent="0.3">
      <c r="A1776" t="s">
        <v>27</v>
      </c>
      <c r="B1776" t="s">
        <v>23</v>
      </c>
      <c r="C1776" t="s">
        <v>15</v>
      </c>
      <c r="D1776">
        <v>73</v>
      </c>
      <c r="E1776" t="s">
        <v>57</v>
      </c>
      <c r="F1776" t="s">
        <v>39</v>
      </c>
      <c r="G1776" t="s">
        <v>40</v>
      </c>
      <c r="H1776">
        <f t="shared" si="27"/>
        <v>73</v>
      </c>
    </row>
    <row r="1777" spans="1:8" x14ac:dyDescent="0.3">
      <c r="A1777" t="s">
        <v>27</v>
      </c>
      <c r="B1777" t="s">
        <v>23</v>
      </c>
      <c r="C1777" t="s">
        <v>16</v>
      </c>
      <c r="D1777">
        <v>191270</v>
      </c>
      <c r="E1777" t="s">
        <v>57</v>
      </c>
      <c r="F1777" t="s">
        <v>39</v>
      </c>
      <c r="G1777" t="s">
        <v>40</v>
      </c>
      <c r="H1777">
        <f t="shared" si="27"/>
        <v>191000</v>
      </c>
    </row>
    <row r="1778" spans="1:8" x14ac:dyDescent="0.3">
      <c r="A1778" t="s">
        <v>27</v>
      </c>
      <c r="B1778" t="s">
        <v>23</v>
      </c>
      <c r="C1778" t="s">
        <v>17</v>
      </c>
      <c r="D1778">
        <v>19355</v>
      </c>
      <c r="E1778" t="s">
        <v>57</v>
      </c>
      <c r="F1778" t="s">
        <v>39</v>
      </c>
      <c r="G1778" t="s">
        <v>40</v>
      </c>
      <c r="H1778">
        <f t="shared" si="27"/>
        <v>19400</v>
      </c>
    </row>
    <row r="1779" spans="1:8" x14ac:dyDescent="0.3">
      <c r="A1779" t="s">
        <v>27</v>
      </c>
      <c r="B1779" t="s">
        <v>23</v>
      </c>
      <c r="C1779" t="s">
        <v>18</v>
      </c>
      <c r="D1779">
        <v>0</v>
      </c>
      <c r="E1779" t="s">
        <v>57</v>
      </c>
      <c r="F1779" t="s">
        <v>39</v>
      </c>
      <c r="G1779" t="s">
        <v>40</v>
      </c>
      <c r="H1779">
        <f t="shared" si="27"/>
        <v>0</v>
      </c>
    </row>
    <row r="1780" spans="1:8" x14ac:dyDescent="0.3">
      <c r="A1780" t="s">
        <v>27</v>
      </c>
      <c r="B1780" t="s">
        <v>23</v>
      </c>
      <c r="C1780" t="s">
        <v>19</v>
      </c>
      <c r="D1780">
        <v>47</v>
      </c>
      <c r="E1780" t="s">
        <v>57</v>
      </c>
      <c r="F1780" t="s">
        <v>39</v>
      </c>
      <c r="G1780" t="s">
        <v>40</v>
      </c>
      <c r="H1780">
        <f t="shared" si="27"/>
        <v>47</v>
      </c>
    </row>
    <row r="1781" spans="1:8" x14ac:dyDescent="0.3">
      <c r="A1781" t="s">
        <v>27</v>
      </c>
      <c r="B1781" t="s">
        <v>23</v>
      </c>
      <c r="C1781" t="s">
        <v>20</v>
      </c>
      <c r="D1781">
        <v>1827</v>
      </c>
      <c r="E1781" t="s">
        <v>57</v>
      </c>
      <c r="F1781" t="s">
        <v>39</v>
      </c>
      <c r="G1781" t="s">
        <v>40</v>
      </c>
      <c r="H1781">
        <f t="shared" si="27"/>
        <v>1830</v>
      </c>
    </row>
    <row r="1782" spans="1:8" x14ac:dyDescent="0.3">
      <c r="A1782" t="s">
        <v>27</v>
      </c>
      <c r="B1782" t="s">
        <v>23</v>
      </c>
      <c r="C1782" t="s">
        <v>21</v>
      </c>
      <c r="D1782">
        <v>27</v>
      </c>
      <c r="E1782" t="s">
        <v>57</v>
      </c>
      <c r="F1782" t="s">
        <v>39</v>
      </c>
      <c r="G1782" t="s">
        <v>40</v>
      </c>
      <c r="H1782">
        <f t="shared" si="27"/>
        <v>27</v>
      </c>
    </row>
    <row r="1783" spans="1:8" x14ac:dyDescent="0.3">
      <c r="A1783" t="s">
        <v>27</v>
      </c>
      <c r="B1783" t="s">
        <v>23</v>
      </c>
      <c r="C1783" t="s">
        <v>22</v>
      </c>
      <c r="D1783">
        <v>16911</v>
      </c>
      <c r="E1783" t="s">
        <v>57</v>
      </c>
      <c r="F1783" t="s">
        <v>39</v>
      </c>
      <c r="G1783" t="s">
        <v>40</v>
      </c>
      <c r="H1783">
        <f t="shared" si="27"/>
        <v>16900</v>
      </c>
    </row>
    <row r="1784" spans="1:8" x14ac:dyDescent="0.3">
      <c r="A1784" t="s">
        <v>63</v>
      </c>
      <c r="B1784" t="s">
        <v>8</v>
      </c>
      <c r="C1784" t="s">
        <v>9</v>
      </c>
      <c r="D1784">
        <v>262</v>
      </c>
      <c r="E1784" t="s">
        <v>57</v>
      </c>
      <c r="F1784" t="s">
        <v>39</v>
      </c>
      <c r="G1784" t="s">
        <v>40</v>
      </c>
      <c r="H1784">
        <f t="shared" si="27"/>
        <v>262</v>
      </c>
    </row>
    <row r="1785" spans="1:8" x14ac:dyDescent="0.3">
      <c r="A1785" t="s">
        <v>63</v>
      </c>
      <c r="B1785" t="s">
        <v>8</v>
      </c>
      <c r="C1785" t="s">
        <v>13</v>
      </c>
      <c r="D1785">
        <v>12</v>
      </c>
      <c r="E1785" t="s">
        <v>57</v>
      </c>
      <c r="F1785" t="s">
        <v>39</v>
      </c>
      <c r="G1785" t="s">
        <v>40</v>
      </c>
      <c r="H1785">
        <f t="shared" si="27"/>
        <v>12</v>
      </c>
    </row>
    <row r="1786" spans="1:8" x14ac:dyDescent="0.3">
      <c r="A1786" t="s">
        <v>63</v>
      </c>
      <c r="B1786" t="s">
        <v>8</v>
      </c>
      <c r="C1786" t="s">
        <v>14</v>
      </c>
      <c r="D1786">
        <v>0</v>
      </c>
      <c r="E1786" t="s">
        <v>57</v>
      </c>
      <c r="F1786" t="s">
        <v>39</v>
      </c>
      <c r="G1786" t="s">
        <v>40</v>
      </c>
      <c r="H1786">
        <f t="shared" si="27"/>
        <v>0</v>
      </c>
    </row>
    <row r="1787" spans="1:8" x14ac:dyDescent="0.3">
      <c r="A1787" t="s">
        <v>63</v>
      </c>
      <c r="B1787" t="s">
        <v>8</v>
      </c>
      <c r="C1787" t="s">
        <v>15</v>
      </c>
      <c r="D1787">
        <v>4</v>
      </c>
      <c r="E1787" t="s">
        <v>57</v>
      </c>
      <c r="F1787" t="s">
        <v>39</v>
      </c>
      <c r="G1787" t="s">
        <v>40</v>
      </c>
      <c r="H1787">
        <f t="shared" si="27"/>
        <v>4</v>
      </c>
    </row>
    <row r="1788" spans="1:8" x14ac:dyDescent="0.3">
      <c r="A1788" t="s">
        <v>63</v>
      </c>
      <c r="B1788" t="s">
        <v>8</v>
      </c>
      <c r="C1788" t="s">
        <v>16</v>
      </c>
      <c r="D1788">
        <v>6</v>
      </c>
      <c r="E1788" t="s">
        <v>57</v>
      </c>
      <c r="F1788" t="s">
        <v>39</v>
      </c>
      <c r="G1788" t="s">
        <v>40</v>
      </c>
      <c r="H1788">
        <f t="shared" si="27"/>
        <v>6</v>
      </c>
    </row>
    <row r="1789" spans="1:8" x14ac:dyDescent="0.3">
      <c r="A1789" t="s">
        <v>63</v>
      </c>
      <c r="B1789" t="s">
        <v>8</v>
      </c>
      <c r="C1789" t="s">
        <v>17</v>
      </c>
      <c r="D1789">
        <v>20</v>
      </c>
      <c r="E1789" t="s">
        <v>57</v>
      </c>
      <c r="F1789" t="s">
        <v>39</v>
      </c>
      <c r="G1789" t="s">
        <v>40</v>
      </c>
      <c r="H1789">
        <f t="shared" si="27"/>
        <v>20</v>
      </c>
    </row>
    <row r="1790" spans="1:8" x14ac:dyDescent="0.3">
      <c r="A1790" t="s">
        <v>63</v>
      </c>
      <c r="B1790" t="s">
        <v>8</v>
      </c>
      <c r="C1790" t="s">
        <v>18</v>
      </c>
      <c r="D1790">
        <v>0</v>
      </c>
      <c r="E1790" t="s">
        <v>57</v>
      </c>
      <c r="F1790" t="s">
        <v>39</v>
      </c>
      <c r="G1790" t="s">
        <v>40</v>
      </c>
      <c r="H1790">
        <f t="shared" si="27"/>
        <v>0</v>
      </c>
    </row>
    <row r="1791" spans="1:8" x14ac:dyDescent="0.3">
      <c r="A1791" t="s">
        <v>63</v>
      </c>
      <c r="B1791" t="s">
        <v>8</v>
      </c>
      <c r="C1791" t="s">
        <v>19</v>
      </c>
      <c r="D1791">
        <v>0</v>
      </c>
      <c r="E1791" t="s">
        <v>57</v>
      </c>
      <c r="F1791" t="s">
        <v>39</v>
      </c>
      <c r="G1791" t="s">
        <v>40</v>
      </c>
      <c r="H1791">
        <f t="shared" si="27"/>
        <v>0</v>
      </c>
    </row>
    <row r="1792" spans="1:8" x14ac:dyDescent="0.3">
      <c r="A1792" t="s">
        <v>63</v>
      </c>
      <c r="B1792" t="s">
        <v>8</v>
      </c>
      <c r="C1792" t="s">
        <v>20</v>
      </c>
      <c r="D1792">
        <v>0</v>
      </c>
      <c r="E1792" t="s">
        <v>57</v>
      </c>
      <c r="F1792" t="s">
        <v>39</v>
      </c>
      <c r="G1792" t="s">
        <v>40</v>
      </c>
      <c r="H1792">
        <f t="shared" si="27"/>
        <v>0</v>
      </c>
    </row>
    <row r="1793" spans="1:8" x14ac:dyDescent="0.3">
      <c r="A1793" t="s">
        <v>63</v>
      </c>
      <c r="B1793" t="s">
        <v>8</v>
      </c>
      <c r="C1793" t="s">
        <v>21</v>
      </c>
      <c r="D1793">
        <v>0</v>
      </c>
      <c r="E1793" t="s">
        <v>57</v>
      </c>
      <c r="F1793" t="s">
        <v>39</v>
      </c>
      <c r="G1793" t="s">
        <v>40</v>
      </c>
      <c r="H1793">
        <f t="shared" si="27"/>
        <v>0</v>
      </c>
    </row>
    <row r="1794" spans="1:8" x14ac:dyDescent="0.3">
      <c r="A1794" t="s">
        <v>63</v>
      </c>
      <c r="B1794" t="s">
        <v>8</v>
      </c>
      <c r="C1794" t="s">
        <v>22</v>
      </c>
      <c r="D1794">
        <v>198</v>
      </c>
      <c r="E1794" t="s">
        <v>57</v>
      </c>
      <c r="F1794" t="s">
        <v>39</v>
      </c>
      <c r="G1794" t="s">
        <v>40</v>
      </c>
      <c r="H1794">
        <f t="shared" si="27"/>
        <v>198</v>
      </c>
    </row>
    <row r="1795" spans="1:8" x14ac:dyDescent="0.3">
      <c r="A1795" t="s">
        <v>63</v>
      </c>
      <c r="B1795" t="s">
        <v>23</v>
      </c>
      <c r="C1795" t="s">
        <v>9</v>
      </c>
      <c r="D1795">
        <v>130523</v>
      </c>
      <c r="E1795" t="s">
        <v>57</v>
      </c>
      <c r="F1795" t="s">
        <v>39</v>
      </c>
      <c r="G1795" t="s">
        <v>40</v>
      </c>
      <c r="H1795">
        <f t="shared" ref="H1795:H1858" si="28">ROUND(D1795, 3 - LEN(INT(ABS(D1795))))</f>
        <v>131000</v>
      </c>
    </row>
    <row r="1796" spans="1:8" x14ac:dyDescent="0.3">
      <c r="A1796" t="s">
        <v>63</v>
      </c>
      <c r="B1796" t="s">
        <v>23</v>
      </c>
      <c r="C1796" t="s">
        <v>13</v>
      </c>
      <c r="D1796">
        <v>985</v>
      </c>
      <c r="E1796" t="s">
        <v>57</v>
      </c>
      <c r="F1796" t="s">
        <v>39</v>
      </c>
      <c r="G1796" t="s">
        <v>40</v>
      </c>
      <c r="H1796">
        <f t="shared" si="28"/>
        <v>985</v>
      </c>
    </row>
    <row r="1797" spans="1:8" x14ac:dyDescent="0.3">
      <c r="A1797" t="s">
        <v>63</v>
      </c>
      <c r="B1797" t="s">
        <v>23</v>
      </c>
      <c r="C1797" t="s">
        <v>14</v>
      </c>
      <c r="D1797">
        <v>4412</v>
      </c>
      <c r="E1797" t="s">
        <v>57</v>
      </c>
      <c r="F1797" t="s">
        <v>39</v>
      </c>
      <c r="G1797" t="s">
        <v>40</v>
      </c>
      <c r="H1797">
        <f t="shared" si="28"/>
        <v>4410</v>
      </c>
    </row>
    <row r="1798" spans="1:8" x14ac:dyDescent="0.3">
      <c r="A1798" t="s">
        <v>63</v>
      </c>
      <c r="B1798" t="s">
        <v>23</v>
      </c>
      <c r="C1798" t="s">
        <v>15</v>
      </c>
      <c r="D1798">
        <v>135</v>
      </c>
      <c r="E1798" t="s">
        <v>57</v>
      </c>
      <c r="F1798" t="s">
        <v>39</v>
      </c>
      <c r="G1798" t="s">
        <v>40</v>
      </c>
      <c r="H1798">
        <f t="shared" si="28"/>
        <v>135</v>
      </c>
    </row>
    <row r="1799" spans="1:8" x14ac:dyDescent="0.3">
      <c r="A1799" t="s">
        <v>63</v>
      </c>
      <c r="B1799" t="s">
        <v>23</v>
      </c>
      <c r="C1799" t="s">
        <v>16</v>
      </c>
      <c r="D1799">
        <v>12977</v>
      </c>
      <c r="E1799" t="s">
        <v>57</v>
      </c>
      <c r="F1799" t="s">
        <v>39</v>
      </c>
      <c r="G1799" t="s">
        <v>40</v>
      </c>
      <c r="H1799">
        <f t="shared" si="28"/>
        <v>13000</v>
      </c>
    </row>
    <row r="1800" spans="1:8" x14ac:dyDescent="0.3">
      <c r="A1800" t="s">
        <v>63</v>
      </c>
      <c r="B1800" t="s">
        <v>23</v>
      </c>
      <c r="C1800" t="s">
        <v>17</v>
      </c>
      <c r="D1800">
        <v>1230</v>
      </c>
      <c r="E1800" t="s">
        <v>57</v>
      </c>
      <c r="F1800" t="s">
        <v>39</v>
      </c>
      <c r="G1800" t="s">
        <v>40</v>
      </c>
      <c r="H1800">
        <f t="shared" si="28"/>
        <v>1230</v>
      </c>
    </row>
    <row r="1801" spans="1:8" x14ac:dyDescent="0.3">
      <c r="A1801" t="s">
        <v>63</v>
      </c>
      <c r="B1801" t="s">
        <v>23</v>
      </c>
      <c r="C1801" t="s">
        <v>18</v>
      </c>
      <c r="D1801">
        <v>0</v>
      </c>
      <c r="E1801" t="s">
        <v>57</v>
      </c>
      <c r="F1801" t="s">
        <v>39</v>
      </c>
      <c r="G1801" t="s">
        <v>40</v>
      </c>
      <c r="H1801">
        <f t="shared" si="28"/>
        <v>0</v>
      </c>
    </row>
    <row r="1802" spans="1:8" x14ac:dyDescent="0.3">
      <c r="A1802" t="s">
        <v>63</v>
      </c>
      <c r="B1802" t="s">
        <v>23</v>
      </c>
      <c r="C1802" t="s">
        <v>19</v>
      </c>
      <c r="D1802">
        <v>142</v>
      </c>
      <c r="E1802" t="s">
        <v>57</v>
      </c>
      <c r="F1802" t="s">
        <v>39</v>
      </c>
      <c r="G1802" t="s">
        <v>40</v>
      </c>
      <c r="H1802">
        <f t="shared" si="28"/>
        <v>142</v>
      </c>
    </row>
    <row r="1803" spans="1:8" x14ac:dyDescent="0.3">
      <c r="A1803" t="s">
        <v>63</v>
      </c>
      <c r="B1803" t="s">
        <v>23</v>
      </c>
      <c r="C1803" t="s">
        <v>20</v>
      </c>
      <c r="D1803">
        <v>811</v>
      </c>
      <c r="E1803" t="s">
        <v>57</v>
      </c>
      <c r="F1803" t="s">
        <v>39</v>
      </c>
      <c r="G1803" t="s">
        <v>40</v>
      </c>
      <c r="H1803">
        <f t="shared" si="28"/>
        <v>811</v>
      </c>
    </row>
    <row r="1804" spans="1:8" x14ac:dyDescent="0.3">
      <c r="A1804" t="s">
        <v>63</v>
      </c>
      <c r="B1804" t="s">
        <v>23</v>
      </c>
      <c r="C1804" t="s">
        <v>21</v>
      </c>
      <c r="D1804">
        <v>175</v>
      </c>
      <c r="E1804" t="s">
        <v>57</v>
      </c>
      <c r="F1804" t="s">
        <v>39</v>
      </c>
      <c r="G1804" t="s">
        <v>40</v>
      </c>
      <c r="H1804">
        <f t="shared" si="28"/>
        <v>175</v>
      </c>
    </row>
    <row r="1805" spans="1:8" x14ac:dyDescent="0.3">
      <c r="A1805" t="s">
        <v>63</v>
      </c>
      <c r="B1805" t="s">
        <v>23</v>
      </c>
      <c r="C1805" t="s">
        <v>22</v>
      </c>
      <c r="D1805">
        <v>516</v>
      </c>
      <c r="E1805" t="s">
        <v>57</v>
      </c>
      <c r="F1805" t="s">
        <v>39</v>
      </c>
      <c r="G1805" t="s">
        <v>40</v>
      </c>
      <c r="H1805">
        <f t="shared" si="28"/>
        <v>516</v>
      </c>
    </row>
    <row r="1806" spans="1:8" x14ac:dyDescent="0.3">
      <c r="A1806" t="s">
        <v>52</v>
      </c>
      <c r="B1806" t="s">
        <v>8</v>
      </c>
      <c r="C1806" t="s">
        <v>9</v>
      </c>
      <c r="D1806">
        <v>78</v>
      </c>
      <c r="E1806" t="s">
        <v>57</v>
      </c>
      <c r="F1806" t="s">
        <v>39</v>
      </c>
      <c r="G1806" t="s">
        <v>40</v>
      </c>
      <c r="H1806">
        <f t="shared" si="28"/>
        <v>78</v>
      </c>
    </row>
    <row r="1807" spans="1:8" x14ac:dyDescent="0.3">
      <c r="A1807" t="s">
        <v>52</v>
      </c>
      <c r="B1807" t="s">
        <v>8</v>
      </c>
      <c r="C1807" t="s">
        <v>13</v>
      </c>
      <c r="D1807">
        <v>4</v>
      </c>
      <c r="E1807" t="s">
        <v>57</v>
      </c>
      <c r="F1807" t="s">
        <v>39</v>
      </c>
      <c r="G1807" t="s">
        <v>40</v>
      </c>
      <c r="H1807">
        <f t="shared" si="28"/>
        <v>4</v>
      </c>
    </row>
    <row r="1808" spans="1:8" x14ac:dyDescent="0.3">
      <c r="A1808" t="s">
        <v>52</v>
      </c>
      <c r="B1808" t="s">
        <v>8</v>
      </c>
      <c r="C1808" t="s">
        <v>14</v>
      </c>
      <c r="D1808">
        <v>0</v>
      </c>
      <c r="E1808" t="s">
        <v>57</v>
      </c>
      <c r="F1808" t="s">
        <v>39</v>
      </c>
      <c r="G1808" t="s">
        <v>40</v>
      </c>
      <c r="H1808">
        <f t="shared" si="28"/>
        <v>0</v>
      </c>
    </row>
    <row r="1809" spans="1:8" x14ac:dyDescent="0.3">
      <c r="A1809" t="s">
        <v>52</v>
      </c>
      <c r="B1809" t="s">
        <v>8</v>
      </c>
      <c r="C1809" t="s">
        <v>15</v>
      </c>
      <c r="D1809">
        <v>1</v>
      </c>
      <c r="E1809" t="s">
        <v>57</v>
      </c>
      <c r="F1809" t="s">
        <v>39</v>
      </c>
      <c r="G1809" t="s">
        <v>40</v>
      </c>
      <c r="H1809">
        <f t="shared" si="28"/>
        <v>1</v>
      </c>
    </row>
    <row r="1810" spans="1:8" x14ac:dyDescent="0.3">
      <c r="A1810" t="s">
        <v>52</v>
      </c>
      <c r="B1810" t="s">
        <v>8</v>
      </c>
      <c r="C1810" t="s">
        <v>16</v>
      </c>
      <c r="D1810">
        <v>2</v>
      </c>
      <c r="E1810" t="s">
        <v>57</v>
      </c>
      <c r="F1810" t="s">
        <v>39</v>
      </c>
      <c r="G1810" t="s">
        <v>40</v>
      </c>
      <c r="H1810">
        <f t="shared" si="28"/>
        <v>2</v>
      </c>
    </row>
    <row r="1811" spans="1:8" x14ac:dyDescent="0.3">
      <c r="A1811" t="s">
        <v>52</v>
      </c>
      <c r="B1811" t="s">
        <v>8</v>
      </c>
      <c r="C1811" t="s">
        <v>17</v>
      </c>
      <c r="D1811">
        <v>6</v>
      </c>
      <c r="E1811" t="s">
        <v>57</v>
      </c>
      <c r="F1811" t="s">
        <v>39</v>
      </c>
      <c r="G1811" t="s">
        <v>40</v>
      </c>
      <c r="H1811">
        <f t="shared" si="28"/>
        <v>6</v>
      </c>
    </row>
    <row r="1812" spans="1:8" x14ac:dyDescent="0.3">
      <c r="A1812" t="s">
        <v>52</v>
      </c>
      <c r="B1812" t="s">
        <v>8</v>
      </c>
      <c r="C1812" t="s">
        <v>18</v>
      </c>
      <c r="D1812">
        <v>0</v>
      </c>
      <c r="E1812" t="s">
        <v>57</v>
      </c>
      <c r="F1812" t="s">
        <v>39</v>
      </c>
      <c r="G1812" t="s">
        <v>40</v>
      </c>
      <c r="H1812">
        <f t="shared" si="28"/>
        <v>0</v>
      </c>
    </row>
    <row r="1813" spans="1:8" x14ac:dyDescent="0.3">
      <c r="A1813" t="s">
        <v>52</v>
      </c>
      <c r="B1813" t="s">
        <v>8</v>
      </c>
      <c r="C1813" t="s">
        <v>19</v>
      </c>
      <c r="D1813">
        <v>0</v>
      </c>
      <c r="E1813" t="s">
        <v>57</v>
      </c>
      <c r="F1813" t="s">
        <v>39</v>
      </c>
      <c r="G1813" t="s">
        <v>40</v>
      </c>
      <c r="H1813">
        <f t="shared" si="28"/>
        <v>0</v>
      </c>
    </row>
    <row r="1814" spans="1:8" x14ac:dyDescent="0.3">
      <c r="A1814" t="s">
        <v>52</v>
      </c>
      <c r="B1814" t="s">
        <v>8</v>
      </c>
      <c r="C1814" t="s">
        <v>20</v>
      </c>
      <c r="D1814">
        <v>0</v>
      </c>
      <c r="E1814" t="s">
        <v>57</v>
      </c>
      <c r="F1814" t="s">
        <v>39</v>
      </c>
      <c r="G1814" t="s">
        <v>40</v>
      </c>
      <c r="H1814">
        <f t="shared" si="28"/>
        <v>0</v>
      </c>
    </row>
    <row r="1815" spans="1:8" x14ac:dyDescent="0.3">
      <c r="A1815" t="s">
        <v>52</v>
      </c>
      <c r="B1815" t="s">
        <v>8</v>
      </c>
      <c r="C1815" t="s">
        <v>21</v>
      </c>
      <c r="D1815">
        <v>0</v>
      </c>
      <c r="E1815" t="s">
        <v>57</v>
      </c>
      <c r="F1815" t="s">
        <v>39</v>
      </c>
      <c r="G1815" t="s">
        <v>40</v>
      </c>
      <c r="H1815">
        <f t="shared" si="28"/>
        <v>0</v>
      </c>
    </row>
    <row r="1816" spans="1:8" x14ac:dyDescent="0.3">
      <c r="A1816" t="s">
        <v>52</v>
      </c>
      <c r="B1816" t="s">
        <v>8</v>
      </c>
      <c r="C1816" t="s">
        <v>22</v>
      </c>
      <c r="D1816">
        <v>59</v>
      </c>
      <c r="E1816" t="s">
        <v>57</v>
      </c>
      <c r="F1816" t="s">
        <v>39</v>
      </c>
      <c r="G1816" t="s">
        <v>40</v>
      </c>
      <c r="H1816">
        <f t="shared" si="28"/>
        <v>59</v>
      </c>
    </row>
    <row r="1817" spans="1:8" x14ac:dyDescent="0.3">
      <c r="A1817" t="s">
        <v>52</v>
      </c>
      <c r="B1817" t="s">
        <v>23</v>
      </c>
      <c r="C1817" t="s">
        <v>9</v>
      </c>
      <c r="D1817">
        <v>38980</v>
      </c>
      <c r="E1817" t="s">
        <v>57</v>
      </c>
      <c r="F1817" t="s">
        <v>39</v>
      </c>
      <c r="G1817" t="s">
        <v>40</v>
      </c>
      <c r="H1817">
        <f t="shared" si="28"/>
        <v>39000</v>
      </c>
    </row>
    <row r="1818" spans="1:8" x14ac:dyDescent="0.3">
      <c r="A1818" t="s">
        <v>52</v>
      </c>
      <c r="B1818" t="s">
        <v>23</v>
      </c>
      <c r="C1818" t="s">
        <v>13</v>
      </c>
      <c r="D1818">
        <v>294</v>
      </c>
      <c r="E1818" t="s">
        <v>57</v>
      </c>
      <c r="F1818" t="s">
        <v>39</v>
      </c>
      <c r="G1818" t="s">
        <v>40</v>
      </c>
      <c r="H1818">
        <f t="shared" si="28"/>
        <v>294</v>
      </c>
    </row>
    <row r="1819" spans="1:8" x14ac:dyDescent="0.3">
      <c r="A1819" t="s">
        <v>52</v>
      </c>
      <c r="B1819" t="s">
        <v>23</v>
      </c>
      <c r="C1819" t="s">
        <v>14</v>
      </c>
      <c r="D1819">
        <v>1318</v>
      </c>
      <c r="E1819" t="s">
        <v>57</v>
      </c>
      <c r="F1819" t="s">
        <v>39</v>
      </c>
      <c r="G1819" t="s">
        <v>40</v>
      </c>
      <c r="H1819">
        <f t="shared" si="28"/>
        <v>1320</v>
      </c>
    </row>
    <row r="1820" spans="1:8" x14ac:dyDescent="0.3">
      <c r="A1820" t="s">
        <v>52</v>
      </c>
      <c r="B1820" t="s">
        <v>23</v>
      </c>
      <c r="C1820" t="s">
        <v>15</v>
      </c>
      <c r="D1820">
        <v>40</v>
      </c>
      <c r="E1820" t="s">
        <v>57</v>
      </c>
      <c r="F1820" t="s">
        <v>39</v>
      </c>
      <c r="G1820" t="s">
        <v>40</v>
      </c>
      <c r="H1820">
        <f t="shared" si="28"/>
        <v>40</v>
      </c>
    </row>
    <row r="1821" spans="1:8" x14ac:dyDescent="0.3">
      <c r="A1821" t="s">
        <v>52</v>
      </c>
      <c r="B1821" t="s">
        <v>23</v>
      </c>
      <c r="C1821" t="s">
        <v>16</v>
      </c>
      <c r="D1821">
        <v>3875</v>
      </c>
      <c r="E1821" t="s">
        <v>57</v>
      </c>
      <c r="F1821" t="s">
        <v>39</v>
      </c>
      <c r="G1821" t="s">
        <v>40</v>
      </c>
      <c r="H1821">
        <f t="shared" si="28"/>
        <v>3880</v>
      </c>
    </row>
    <row r="1822" spans="1:8" x14ac:dyDescent="0.3">
      <c r="A1822" t="s">
        <v>52</v>
      </c>
      <c r="B1822" t="s">
        <v>23</v>
      </c>
      <c r="C1822" t="s">
        <v>17</v>
      </c>
      <c r="D1822">
        <v>367</v>
      </c>
      <c r="E1822" t="s">
        <v>57</v>
      </c>
      <c r="F1822" t="s">
        <v>39</v>
      </c>
      <c r="G1822" t="s">
        <v>40</v>
      </c>
      <c r="H1822">
        <f t="shared" si="28"/>
        <v>367</v>
      </c>
    </row>
    <row r="1823" spans="1:8" x14ac:dyDescent="0.3">
      <c r="A1823" t="s">
        <v>52</v>
      </c>
      <c r="B1823" t="s">
        <v>23</v>
      </c>
      <c r="C1823" t="s">
        <v>18</v>
      </c>
      <c r="D1823">
        <v>0</v>
      </c>
      <c r="E1823" t="s">
        <v>57</v>
      </c>
      <c r="F1823" t="s">
        <v>39</v>
      </c>
      <c r="G1823" t="s">
        <v>40</v>
      </c>
      <c r="H1823">
        <f t="shared" si="28"/>
        <v>0</v>
      </c>
    </row>
    <row r="1824" spans="1:8" x14ac:dyDescent="0.3">
      <c r="A1824" t="s">
        <v>52</v>
      </c>
      <c r="B1824" t="s">
        <v>23</v>
      </c>
      <c r="C1824" t="s">
        <v>19</v>
      </c>
      <c r="D1824">
        <v>42</v>
      </c>
      <c r="E1824" t="s">
        <v>57</v>
      </c>
      <c r="F1824" t="s">
        <v>39</v>
      </c>
      <c r="G1824" t="s">
        <v>40</v>
      </c>
      <c r="H1824">
        <f t="shared" si="28"/>
        <v>42</v>
      </c>
    </row>
    <row r="1825" spans="1:8" x14ac:dyDescent="0.3">
      <c r="A1825" t="s">
        <v>52</v>
      </c>
      <c r="B1825" t="s">
        <v>23</v>
      </c>
      <c r="C1825" t="s">
        <v>20</v>
      </c>
      <c r="D1825">
        <v>242</v>
      </c>
      <c r="E1825" t="s">
        <v>57</v>
      </c>
      <c r="F1825" t="s">
        <v>39</v>
      </c>
      <c r="G1825" t="s">
        <v>40</v>
      </c>
      <c r="H1825">
        <f t="shared" si="28"/>
        <v>242</v>
      </c>
    </row>
    <row r="1826" spans="1:8" x14ac:dyDescent="0.3">
      <c r="A1826" t="s">
        <v>52</v>
      </c>
      <c r="B1826" t="s">
        <v>23</v>
      </c>
      <c r="C1826" t="s">
        <v>21</v>
      </c>
      <c r="D1826">
        <v>52</v>
      </c>
      <c r="E1826" t="s">
        <v>57</v>
      </c>
      <c r="F1826" t="s">
        <v>39</v>
      </c>
      <c r="G1826" t="s">
        <v>40</v>
      </c>
      <c r="H1826">
        <f t="shared" si="28"/>
        <v>52</v>
      </c>
    </row>
    <row r="1827" spans="1:8" x14ac:dyDescent="0.3">
      <c r="A1827" t="s">
        <v>52</v>
      </c>
      <c r="B1827" t="s">
        <v>23</v>
      </c>
      <c r="C1827" t="s">
        <v>22</v>
      </c>
      <c r="D1827">
        <v>154</v>
      </c>
      <c r="E1827" t="s">
        <v>57</v>
      </c>
      <c r="F1827" t="s">
        <v>39</v>
      </c>
      <c r="G1827" t="s">
        <v>40</v>
      </c>
      <c r="H1827">
        <f t="shared" si="28"/>
        <v>154</v>
      </c>
    </row>
    <row r="1828" spans="1:8" x14ac:dyDescent="0.3">
      <c r="A1828" t="s">
        <v>64</v>
      </c>
      <c r="B1828" t="s">
        <v>8</v>
      </c>
      <c r="C1828" t="s">
        <v>9</v>
      </c>
      <c r="D1828">
        <v>0</v>
      </c>
      <c r="E1828" t="s">
        <v>57</v>
      </c>
      <c r="F1828" t="s">
        <v>39</v>
      </c>
      <c r="G1828" t="s">
        <v>40</v>
      </c>
      <c r="H1828">
        <f t="shared" si="28"/>
        <v>0</v>
      </c>
    </row>
    <row r="1829" spans="1:8" x14ac:dyDescent="0.3">
      <c r="A1829" t="s">
        <v>64</v>
      </c>
      <c r="B1829" t="s">
        <v>8</v>
      </c>
      <c r="C1829" t="s">
        <v>13</v>
      </c>
      <c r="D1829">
        <v>0</v>
      </c>
      <c r="E1829" t="s">
        <v>57</v>
      </c>
      <c r="F1829" t="s">
        <v>39</v>
      </c>
      <c r="G1829" t="s">
        <v>40</v>
      </c>
      <c r="H1829">
        <f t="shared" si="28"/>
        <v>0</v>
      </c>
    </row>
    <row r="1830" spans="1:8" x14ac:dyDescent="0.3">
      <c r="A1830" t="s">
        <v>64</v>
      </c>
      <c r="B1830" t="s">
        <v>8</v>
      </c>
      <c r="C1830" t="s">
        <v>14</v>
      </c>
      <c r="D1830">
        <v>0</v>
      </c>
      <c r="E1830" t="s">
        <v>57</v>
      </c>
      <c r="F1830" t="s">
        <v>39</v>
      </c>
      <c r="G1830" t="s">
        <v>40</v>
      </c>
      <c r="H1830">
        <f t="shared" si="28"/>
        <v>0</v>
      </c>
    </row>
    <row r="1831" spans="1:8" x14ac:dyDescent="0.3">
      <c r="A1831" t="s">
        <v>64</v>
      </c>
      <c r="B1831" t="s">
        <v>8</v>
      </c>
      <c r="C1831" t="s">
        <v>15</v>
      </c>
      <c r="D1831">
        <v>0</v>
      </c>
      <c r="E1831" t="s">
        <v>57</v>
      </c>
      <c r="F1831" t="s">
        <v>39</v>
      </c>
      <c r="G1831" t="s">
        <v>40</v>
      </c>
      <c r="H1831">
        <f t="shared" si="28"/>
        <v>0</v>
      </c>
    </row>
    <row r="1832" spans="1:8" x14ac:dyDescent="0.3">
      <c r="A1832" t="s">
        <v>64</v>
      </c>
      <c r="B1832" t="s">
        <v>8</v>
      </c>
      <c r="C1832" t="s">
        <v>16</v>
      </c>
      <c r="D1832">
        <v>409</v>
      </c>
      <c r="E1832" t="s">
        <v>57</v>
      </c>
      <c r="F1832" t="s">
        <v>39</v>
      </c>
      <c r="G1832" t="s">
        <v>40</v>
      </c>
      <c r="H1832">
        <f t="shared" si="28"/>
        <v>409</v>
      </c>
    </row>
    <row r="1833" spans="1:8" x14ac:dyDescent="0.3">
      <c r="A1833" t="s">
        <v>64</v>
      </c>
      <c r="B1833" t="s">
        <v>8</v>
      </c>
      <c r="C1833" t="s">
        <v>17</v>
      </c>
      <c r="D1833">
        <v>1</v>
      </c>
      <c r="E1833" t="s">
        <v>57</v>
      </c>
      <c r="F1833" t="s">
        <v>39</v>
      </c>
      <c r="G1833" t="s">
        <v>40</v>
      </c>
      <c r="H1833">
        <f t="shared" si="28"/>
        <v>1</v>
      </c>
    </row>
    <row r="1834" spans="1:8" x14ac:dyDescent="0.3">
      <c r="A1834" t="s">
        <v>64</v>
      </c>
      <c r="B1834" t="s">
        <v>8</v>
      </c>
      <c r="C1834" t="s">
        <v>18</v>
      </c>
      <c r="D1834">
        <v>0</v>
      </c>
      <c r="E1834" t="s">
        <v>57</v>
      </c>
      <c r="F1834" t="s">
        <v>39</v>
      </c>
      <c r="G1834" t="s">
        <v>40</v>
      </c>
      <c r="H1834">
        <f t="shared" si="28"/>
        <v>0</v>
      </c>
    </row>
    <row r="1835" spans="1:8" x14ac:dyDescent="0.3">
      <c r="A1835" t="s">
        <v>64</v>
      </c>
      <c r="B1835" t="s">
        <v>8</v>
      </c>
      <c r="C1835" t="s">
        <v>19</v>
      </c>
      <c r="D1835">
        <v>0</v>
      </c>
      <c r="E1835" t="s">
        <v>57</v>
      </c>
      <c r="F1835" t="s">
        <v>39</v>
      </c>
      <c r="G1835" t="s">
        <v>40</v>
      </c>
      <c r="H1835">
        <f t="shared" si="28"/>
        <v>0</v>
      </c>
    </row>
    <row r="1836" spans="1:8" x14ac:dyDescent="0.3">
      <c r="A1836" t="s">
        <v>64</v>
      </c>
      <c r="B1836" t="s">
        <v>8</v>
      </c>
      <c r="C1836" t="s">
        <v>20</v>
      </c>
      <c r="D1836">
        <v>0</v>
      </c>
      <c r="E1836" t="s">
        <v>57</v>
      </c>
      <c r="F1836" t="s">
        <v>39</v>
      </c>
      <c r="G1836" t="s">
        <v>40</v>
      </c>
      <c r="H1836">
        <f t="shared" si="28"/>
        <v>0</v>
      </c>
    </row>
    <row r="1837" spans="1:8" x14ac:dyDescent="0.3">
      <c r="A1837" t="s">
        <v>64</v>
      </c>
      <c r="B1837" t="s">
        <v>8</v>
      </c>
      <c r="C1837" t="s">
        <v>21</v>
      </c>
      <c r="D1837">
        <v>0</v>
      </c>
      <c r="E1837" t="s">
        <v>57</v>
      </c>
      <c r="F1837" t="s">
        <v>39</v>
      </c>
      <c r="G1837" t="s">
        <v>40</v>
      </c>
      <c r="H1837">
        <f t="shared" si="28"/>
        <v>0</v>
      </c>
    </row>
    <row r="1838" spans="1:8" x14ac:dyDescent="0.3">
      <c r="A1838" t="s">
        <v>64</v>
      </c>
      <c r="B1838" t="s">
        <v>8</v>
      </c>
      <c r="C1838" t="s">
        <v>22</v>
      </c>
      <c r="D1838">
        <v>9</v>
      </c>
      <c r="E1838" t="s">
        <v>57</v>
      </c>
      <c r="F1838" t="s">
        <v>39</v>
      </c>
      <c r="G1838" t="s">
        <v>40</v>
      </c>
      <c r="H1838">
        <f t="shared" si="28"/>
        <v>9</v>
      </c>
    </row>
    <row r="1839" spans="1:8" x14ac:dyDescent="0.3">
      <c r="A1839" t="s">
        <v>64</v>
      </c>
      <c r="B1839" t="s">
        <v>23</v>
      </c>
      <c r="C1839" t="s">
        <v>9</v>
      </c>
      <c r="D1839">
        <v>27</v>
      </c>
      <c r="E1839" t="s">
        <v>57</v>
      </c>
      <c r="F1839" t="s">
        <v>39</v>
      </c>
      <c r="G1839" t="s">
        <v>40</v>
      </c>
      <c r="H1839">
        <f t="shared" si="28"/>
        <v>27</v>
      </c>
    </row>
    <row r="1840" spans="1:8" x14ac:dyDescent="0.3">
      <c r="A1840" t="s">
        <v>64</v>
      </c>
      <c r="B1840" t="s">
        <v>23</v>
      </c>
      <c r="C1840" t="s">
        <v>13</v>
      </c>
      <c r="D1840">
        <v>36</v>
      </c>
      <c r="E1840" t="s">
        <v>57</v>
      </c>
      <c r="F1840" t="s">
        <v>39</v>
      </c>
      <c r="G1840" t="s">
        <v>40</v>
      </c>
      <c r="H1840">
        <f t="shared" si="28"/>
        <v>36</v>
      </c>
    </row>
    <row r="1841" spans="1:8" x14ac:dyDescent="0.3">
      <c r="A1841" t="s">
        <v>64</v>
      </c>
      <c r="B1841" t="s">
        <v>23</v>
      </c>
      <c r="C1841" t="s">
        <v>14</v>
      </c>
      <c r="D1841">
        <v>64</v>
      </c>
      <c r="E1841" t="s">
        <v>57</v>
      </c>
      <c r="F1841" t="s">
        <v>39</v>
      </c>
      <c r="G1841" t="s">
        <v>40</v>
      </c>
      <c r="H1841">
        <f t="shared" si="28"/>
        <v>64</v>
      </c>
    </row>
    <row r="1842" spans="1:8" x14ac:dyDescent="0.3">
      <c r="A1842" t="s">
        <v>64</v>
      </c>
      <c r="B1842" t="s">
        <v>23</v>
      </c>
      <c r="C1842" t="s">
        <v>15</v>
      </c>
      <c r="D1842">
        <v>6</v>
      </c>
      <c r="E1842" t="s">
        <v>57</v>
      </c>
      <c r="F1842" t="s">
        <v>39</v>
      </c>
      <c r="G1842" t="s">
        <v>40</v>
      </c>
      <c r="H1842">
        <f t="shared" si="28"/>
        <v>6</v>
      </c>
    </row>
    <row r="1843" spans="1:8" x14ac:dyDescent="0.3">
      <c r="A1843" t="s">
        <v>64</v>
      </c>
      <c r="B1843" t="s">
        <v>23</v>
      </c>
      <c r="C1843" t="s">
        <v>16</v>
      </c>
      <c r="D1843">
        <v>40725</v>
      </c>
      <c r="E1843" t="s">
        <v>57</v>
      </c>
      <c r="F1843" t="s">
        <v>39</v>
      </c>
      <c r="G1843" t="s">
        <v>40</v>
      </c>
      <c r="H1843">
        <f t="shared" si="28"/>
        <v>40700</v>
      </c>
    </row>
    <row r="1844" spans="1:8" x14ac:dyDescent="0.3">
      <c r="A1844" t="s">
        <v>64</v>
      </c>
      <c r="B1844" t="s">
        <v>23</v>
      </c>
      <c r="C1844" t="s">
        <v>17</v>
      </c>
      <c r="D1844">
        <v>6</v>
      </c>
      <c r="E1844" t="s">
        <v>57</v>
      </c>
      <c r="F1844" t="s">
        <v>39</v>
      </c>
      <c r="G1844" t="s">
        <v>40</v>
      </c>
      <c r="H1844">
        <f t="shared" si="28"/>
        <v>6</v>
      </c>
    </row>
    <row r="1845" spans="1:8" x14ac:dyDescent="0.3">
      <c r="A1845" t="s">
        <v>64</v>
      </c>
      <c r="B1845" t="s">
        <v>23</v>
      </c>
      <c r="C1845" t="s">
        <v>18</v>
      </c>
      <c r="D1845">
        <v>0</v>
      </c>
      <c r="E1845" t="s">
        <v>57</v>
      </c>
      <c r="F1845" t="s">
        <v>39</v>
      </c>
      <c r="G1845" t="s">
        <v>40</v>
      </c>
      <c r="H1845">
        <f t="shared" si="28"/>
        <v>0</v>
      </c>
    </row>
    <row r="1846" spans="1:8" x14ac:dyDescent="0.3">
      <c r="A1846" t="s">
        <v>64</v>
      </c>
      <c r="B1846" t="s">
        <v>23</v>
      </c>
      <c r="C1846" t="s">
        <v>19</v>
      </c>
      <c r="D1846">
        <v>2</v>
      </c>
      <c r="E1846" t="s">
        <v>57</v>
      </c>
      <c r="F1846" t="s">
        <v>39</v>
      </c>
      <c r="G1846" t="s">
        <v>40</v>
      </c>
      <c r="H1846">
        <f t="shared" si="28"/>
        <v>2</v>
      </c>
    </row>
    <row r="1847" spans="1:8" x14ac:dyDescent="0.3">
      <c r="A1847" t="s">
        <v>64</v>
      </c>
      <c r="B1847" t="s">
        <v>23</v>
      </c>
      <c r="C1847" t="s">
        <v>20</v>
      </c>
      <c r="D1847">
        <v>351</v>
      </c>
      <c r="E1847" t="s">
        <v>57</v>
      </c>
      <c r="F1847" t="s">
        <v>39</v>
      </c>
      <c r="G1847" t="s">
        <v>40</v>
      </c>
      <c r="H1847">
        <f t="shared" si="28"/>
        <v>351</v>
      </c>
    </row>
    <row r="1848" spans="1:8" x14ac:dyDescent="0.3">
      <c r="A1848" t="s">
        <v>64</v>
      </c>
      <c r="B1848" t="s">
        <v>23</v>
      </c>
      <c r="C1848" t="s">
        <v>21</v>
      </c>
      <c r="D1848">
        <v>2</v>
      </c>
      <c r="E1848" t="s">
        <v>57</v>
      </c>
      <c r="F1848" t="s">
        <v>39</v>
      </c>
      <c r="G1848" t="s">
        <v>40</v>
      </c>
      <c r="H1848">
        <f t="shared" si="28"/>
        <v>2</v>
      </c>
    </row>
    <row r="1849" spans="1:8" x14ac:dyDescent="0.3">
      <c r="A1849" t="s">
        <v>64</v>
      </c>
      <c r="B1849" t="s">
        <v>23</v>
      </c>
      <c r="C1849" t="s">
        <v>22</v>
      </c>
      <c r="D1849">
        <v>162</v>
      </c>
      <c r="E1849" t="s">
        <v>57</v>
      </c>
      <c r="F1849" t="s">
        <v>39</v>
      </c>
      <c r="G1849" t="s">
        <v>40</v>
      </c>
      <c r="H1849">
        <f t="shared" si="28"/>
        <v>162</v>
      </c>
    </row>
    <row r="1850" spans="1:8" x14ac:dyDescent="0.3">
      <c r="A1850" t="s">
        <v>32</v>
      </c>
      <c r="B1850" t="s">
        <v>8</v>
      </c>
      <c r="C1850" t="s">
        <v>9</v>
      </c>
      <c r="D1850">
        <v>0</v>
      </c>
      <c r="E1850" t="s">
        <v>57</v>
      </c>
      <c r="F1850" t="s">
        <v>39</v>
      </c>
      <c r="G1850" t="s">
        <v>40</v>
      </c>
      <c r="H1850">
        <f t="shared" si="28"/>
        <v>0</v>
      </c>
    </row>
    <row r="1851" spans="1:8" x14ac:dyDescent="0.3">
      <c r="A1851" t="s">
        <v>32</v>
      </c>
      <c r="B1851" t="s">
        <v>8</v>
      </c>
      <c r="C1851" t="s">
        <v>13</v>
      </c>
      <c r="D1851">
        <v>9</v>
      </c>
      <c r="E1851" t="s">
        <v>57</v>
      </c>
      <c r="F1851" t="s">
        <v>39</v>
      </c>
      <c r="G1851" t="s">
        <v>40</v>
      </c>
      <c r="H1851">
        <f t="shared" si="28"/>
        <v>9</v>
      </c>
    </row>
    <row r="1852" spans="1:8" x14ac:dyDescent="0.3">
      <c r="A1852" t="s">
        <v>32</v>
      </c>
      <c r="B1852" t="s">
        <v>8</v>
      </c>
      <c r="C1852" t="s">
        <v>14</v>
      </c>
      <c r="D1852">
        <v>0</v>
      </c>
      <c r="E1852" t="s">
        <v>57</v>
      </c>
      <c r="F1852" t="s">
        <v>39</v>
      </c>
      <c r="G1852" t="s">
        <v>40</v>
      </c>
      <c r="H1852">
        <f t="shared" si="28"/>
        <v>0</v>
      </c>
    </row>
    <row r="1853" spans="1:8" x14ac:dyDescent="0.3">
      <c r="A1853" t="s">
        <v>32</v>
      </c>
      <c r="B1853" t="s">
        <v>8</v>
      </c>
      <c r="C1853" t="s">
        <v>15</v>
      </c>
      <c r="D1853">
        <v>3</v>
      </c>
      <c r="E1853" t="s">
        <v>57</v>
      </c>
      <c r="F1853" t="s">
        <v>39</v>
      </c>
      <c r="G1853" t="s">
        <v>40</v>
      </c>
      <c r="H1853">
        <f t="shared" si="28"/>
        <v>3</v>
      </c>
    </row>
    <row r="1854" spans="1:8" x14ac:dyDescent="0.3">
      <c r="A1854" t="s">
        <v>32</v>
      </c>
      <c r="B1854" t="s">
        <v>8</v>
      </c>
      <c r="C1854" t="s">
        <v>16</v>
      </c>
      <c r="D1854">
        <v>12</v>
      </c>
      <c r="E1854" t="s">
        <v>57</v>
      </c>
      <c r="F1854" t="s">
        <v>39</v>
      </c>
      <c r="G1854" t="s">
        <v>40</v>
      </c>
      <c r="H1854">
        <f t="shared" si="28"/>
        <v>12</v>
      </c>
    </row>
    <row r="1855" spans="1:8" x14ac:dyDescent="0.3">
      <c r="A1855" t="s">
        <v>32</v>
      </c>
      <c r="B1855" t="s">
        <v>8</v>
      </c>
      <c r="C1855" t="s">
        <v>17</v>
      </c>
      <c r="D1855">
        <v>2</v>
      </c>
      <c r="E1855" t="s">
        <v>57</v>
      </c>
      <c r="F1855" t="s">
        <v>39</v>
      </c>
      <c r="G1855" t="s">
        <v>40</v>
      </c>
      <c r="H1855">
        <f t="shared" si="28"/>
        <v>2</v>
      </c>
    </row>
    <row r="1856" spans="1:8" x14ac:dyDescent="0.3">
      <c r="A1856" t="s">
        <v>32</v>
      </c>
      <c r="B1856" t="s">
        <v>8</v>
      </c>
      <c r="C1856" t="s">
        <v>18</v>
      </c>
      <c r="D1856">
        <v>0</v>
      </c>
      <c r="E1856" t="s">
        <v>57</v>
      </c>
      <c r="F1856" t="s">
        <v>39</v>
      </c>
      <c r="G1856" t="s">
        <v>40</v>
      </c>
      <c r="H1856">
        <f t="shared" si="28"/>
        <v>0</v>
      </c>
    </row>
    <row r="1857" spans="1:8" x14ac:dyDescent="0.3">
      <c r="A1857" t="s">
        <v>32</v>
      </c>
      <c r="B1857" t="s">
        <v>8</v>
      </c>
      <c r="C1857" t="s">
        <v>19</v>
      </c>
      <c r="D1857">
        <v>0</v>
      </c>
      <c r="E1857" t="s">
        <v>57</v>
      </c>
      <c r="F1857" t="s">
        <v>39</v>
      </c>
      <c r="G1857" t="s">
        <v>40</v>
      </c>
      <c r="H1857">
        <f t="shared" si="28"/>
        <v>0</v>
      </c>
    </row>
    <row r="1858" spans="1:8" x14ac:dyDescent="0.3">
      <c r="A1858" t="s">
        <v>32</v>
      </c>
      <c r="B1858" t="s">
        <v>8</v>
      </c>
      <c r="C1858" t="s">
        <v>20</v>
      </c>
      <c r="D1858">
        <v>0</v>
      </c>
      <c r="E1858" t="s">
        <v>57</v>
      </c>
      <c r="F1858" t="s">
        <v>39</v>
      </c>
      <c r="G1858" t="s">
        <v>40</v>
      </c>
      <c r="H1858">
        <f t="shared" si="28"/>
        <v>0</v>
      </c>
    </row>
    <row r="1859" spans="1:8" x14ac:dyDescent="0.3">
      <c r="A1859" t="s">
        <v>32</v>
      </c>
      <c r="B1859" t="s">
        <v>8</v>
      </c>
      <c r="C1859" t="s">
        <v>21</v>
      </c>
      <c r="D1859">
        <v>0</v>
      </c>
      <c r="E1859" t="s">
        <v>57</v>
      </c>
      <c r="F1859" t="s">
        <v>39</v>
      </c>
      <c r="G1859" t="s">
        <v>40</v>
      </c>
      <c r="H1859">
        <f t="shared" ref="H1859:H1922" si="29">ROUND(D1859, 3 - LEN(INT(ABS(D1859))))</f>
        <v>0</v>
      </c>
    </row>
    <row r="1860" spans="1:8" x14ac:dyDescent="0.3">
      <c r="A1860" t="s">
        <v>32</v>
      </c>
      <c r="B1860" t="s">
        <v>8</v>
      </c>
      <c r="C1860" t="s">
        <v>22</v>
      </c>
      <c r="D1860">
        <v>7243</v>
      </c>
      <c r="E1860" t="s">
        <v>57</v>
      </c>
      <c r="F1860" t="s">
        <v>39</v>
      </c>
      <c r="G1860" t="s">
        <v>40</v>
      </c>
      <c r="H1860">
        <f t="shared" si="29"/>
        <v>7240</v>
      </c>
    </row>
    <row r="1861" spans="1:8" x14ac:dyDescent="0.3">
      <c r="A1861" t="s">
        <v>32</v>
      </c>
      <c r="B1861" t="s">
        <v>23</v>
      </c>
      <c r="C1861" t="s">
        <v>9</v>
      </c>
      <c r="D1861">
        <v>1324</v>
      </c>
      <c r="E1861" t="s">
        <v>57</v>
      </c>
      <c r="F1861" t="s">
        <v>39</v>
      </c>
      <c r="G1861" t="s">
        <v>40</v>
      </c>
      <c r="H1861">
        <f t="shared" si="29"/>
        <v>1320</v>
      </c>
    </row>
    <row r="1862" spans="1:8" x14ac:dyDescent="0.3">
      <c r="A1862" t="s">
        <v>32</v>
      </c>
      <c r="B1862" t="s">
        <v>23</v>
      </c>
      <c r="C1862" t="s">
        <v>13</v>
      </c>
      <c r="D1862">
        <v>16272</v>
      </c>
      <c r="E1862" t="s">
        <v>57</v>
      </c>
      <c r="F1862" t="s">
        <v>39</v>
      </c>
      <c r="G1862" t="s">
        <v>40</v>
      </c>
      <c r="H1862">
        <f t="shared" si="29"/>
        <v>16300</v>
      </c>
    </row>
    <row r="1863" spans="1:8" x14ac:dyDescent="0.3">
      <c r="A1863" t="s">
        <v>32</v>
      </c>
      <c r="B1863" t="s">
        <v>23</v>
      </c>
      <c r="C1863" t="s">
        <v>14</v>
      </c>
      <c r="D1863">
        <v>3615</v>
      </c>
      <c r="E1863" t="s">
        <v>57</v>
      </c>
      <c r="F1863" t="s">
        <v>39</v>
      </c>
      <c r="G1863" t="s">
        <v>40</v>
      </c>
      <c r="H1863">
        <f t="shared" si="29"/>
        <v>3620</v>
      </c>
    </row>
    <row r="1864" spans="1:8" x14ac:dyDescent="0.3">
      <c r="A1864" t="s">
        <v>32</v>
      </c>
      <c r="B1864" t="s">
        <v>23</v>
      </c>
      <c r="C1864" t="s">
        <v>15</v>
      </c>
      <c r="D1864">
        <v>233</v>
      </c>
      <c r="E1864" t="s">
        <v>57</v>
      </c>
      <c r="F1864" t="s">
        <v>39</v>
      </c>
      <c r="G1864" t="s">
        <v>40</v>
      </c>
      <c r="H1864">
        <f t="shared" si="29"/>
        <v>233</v>
      </c>
    </row>
    <row r="1865" spans="1:8" x14ac:dyDescent="0.3">
      <c r="A1865" t="s">
        <v>32</v>
      </c>
      <c r="B1865" t="s">
        <v>23</v>
      </c>
      <c r="C1865" t="s">
        <v>16</v>
      </c>
      <c r="D1865">
        <v>5157</v>
      </c>
      <c r="E1865" t="s">
        <v>57</v>
      </c>
      <c r="F1865" t="s">
        <v>39</v>
      </c>
      <c r="G1865" t="s">
        <v>40</v>
      </c>
      <c r="H1865">
        <f t="shared" si="29"/>
        <v>5160</v>
      </c>
    </row>
    <row r="1866" spans="1:8" x14ac:dyDescent="0.3">
      <c r="A1866" t="s">
        <v>32</v>
      </c>
      <c r="B1866" t="s">
        <v>23</v>
      </c>
      <c r="C1866" t="s">
        <v>17</v>
      </c>
      <c r="D1866">
        <v>358</v>
      </c>
      <c r="E1866" t="s">
        <v>57</v>
      </c>
      <c r="F1866" t="s">
        <v>39</v>
      </c>
      <c r="G1866" t="s">
        <v>40</v>
      </c>
      <c r="H1866">
        <f t="shared" si="29"/>
        <v>358</v>
      </c>
    </row>
    <row r="1867" spans="1:8" x14ac:dyDescent="0.3">
      <c r="A1867" t="s">
        <v>32</v>
      </c>
      <c r="B1867" t="s">
        <v>23</v>
      </c>
      <c r="C1867" t="s">
        <v>18</v>
      </c>
      <c r="D1867">
        <v>0</v>
      </c>
      <c r="E1867" t="s">
        <v>57</v>
      </c>
      <c r="F1867" t="s">
        <v>39</v>
      </c>
      <c r="G1867" t="s">
        <v>40</v>
      </c>
      <c r="H1867">
        <f t="shared" si="29"/>
        <v>0</v>
      </c>
    </row>
    <row r="1868" spans="1:8" x14ac:dyDescent="0.3">
      <c r="A1868" t="s">
        <v>32</v>
      </c>
      <c r="B1868" t="s">
        <v>23</v>
      </c>
      <c r="C1868" t="s">
        <v>19</v>
      </c>
      <c r="D1868">
        <v>295</v>
      </c>
      <c r="E1868" t="s">
        <v>57</v>
      </c>
      <c r="F1868" t="s">
        <v>39</v>
      </c>
      <c r="G1868" t="s">
        <v>40</v>
      </c>
      <c r="H1868">
        <f t="shared" si="29"/>
        <v>295</v>
      </c>
    </row>
    <row r="1869" spans="1:8" x14ac:dyDescent="0.3">
      <c r="A1869" t="s">
        <v>32</v>
      </c>
      <c r="B1869" t="s">
        <v>23</v>
      </c>
      <c r="C1869" t="s">
        <v>20</v>
      </c>
      <c r="D1869">
        <v>712</v>
      </c>
      <c r="E1869" t="s">
        <v>57</v>
      </c>
      <c r="F1869" t="s">
        <v>39</v>
      </c>
      <c r="G1869" t="s">
        <v>40</v>
      </c>
      <c r="H1869">
        <f t="shared" si="29"/>
        <v>712</v>
      </c>
    </row>
    <row r="1870" spans="1:8" x14ac:dyDescent="0.3">
      <c r="A1870" t="s">
        <v>32</v>
      </c>
      <c r="B1870" t="s">
        <v>23</v>
      </c>
      <c r="C1870" t="s">
        <v>21</v>
      </c>
      <c r="D1870">
        <v>74</v>
      </c>
      <c r="E1870" t="s">
        <v>57</v>
      </c>
      <c r="F1870" t="s">
        <v>39</v>
      </c>
      <c r="G1870" t="s">
        <v>40</v>
      </c>
      <c r="H1870">
        <f t="shared" si="29"/>
        <v>74</v>
      </c>
    </row>
    <row r="1871" spans="1:8" x14ac:dyDescent="0.3">
      <c r="A1871" t="s">
        <v>32</v>
      </c>
      <c r="B1871" t="s">
        <v>23</v>
      </c>
      <c r="C1871" t="s">
        <v>22</v>
      </c>
      <c r="D1871">
        <v>139104</v>
      </c>
      <c r="E1871" t="s">
        <v>57</v>
      </c>
      <c r="F1871" t="s">
        <v>39</v>
      </c>
      <c r="G1871" t="s">
        <v>40</v>
      </c>
      <c r="H1871">
        <f t="shared" si="29"/>
        <v>139000</v>
      </c>
    </row>
    <row r="1872" spans="1:8" x14ac:dyDescent="0.3">
      <c r="A1872" t="s">
        <v>65</v>
      </c>
      <c r="B1872" t="s">
        <v>8</v>
      </c>
      <c r="C1872" t="s">
        <v>9</v>
      </c>
      <c r="D1872">
        <v>0</v>
      </c>
      <c r="E1872" t="s">
        <v>57</v>
      </c>
      <c r="F1872" t="s">
        <v>39</v>
      </c>
      <c r="G1872" t="s">
        <v>40</v>
      </c>
      <c r="H1872">
        <f t="shared" si="29"/>
        <v>0</v>
      </c>
    </row>
    <row r="1873" spans="1:8" x14ac:dyDescent="0.3">
      <c r="A1873" t="s">
        <v>65</v>
      </c>
      <c r="B1873" t="s">
        <v>8</v>
      </c>
      <c r="C1873" t="s">
        <v>13</v>
      </c>
      <c r="D1873">
        <v>0</v>
      </c>
      <c r="E1873" t="s">
        <v>57</v>
      </c>
      <c r="F1873" t="s">
        <v>39</v>
      </c>
      <c r="G1873" t="s">
        <v>40</v>
      </c>
      <c r="H1873">
        <f t="shared" si="29"/>
        <v>0</v>
      </c>
    </row>
    <row r="1874" spans="1:8" x14ac:dyDescent="0.3">
      <c r="A1874" t="s">
        <v>65</v>
      </c>
      <c r="B1874" t="s">
        <v>8</v>
      </c>
      <c r="C1874" t="s">
        <v>14</v>
      </c>
      <c r="D1874">
        <v>0</v>
      </c>
      <c r="E1874" t="s">
        <v>57</v>
      </c>
      <c r="F1874" t="s">
        <v>39</v>
      </c>
      <c r="G1874" t="s">
        <v>40</v>
      </c>
      <c r="H1874">
        <f t="shared" si="29"/>
        <v>0</v>
      </c>
    </row>
    <row r="1875" spans="1:8" x14ac:dyDescent="0.3">
      <c r="A1875" t="s">
        <v>65</v>
      </c>
      <c r="B1875" t="s">
        <v>8</v>
      </c>
      <c r="C1875" t="s">
        <v>15</v>
      </c>
      <c r="D1875">
        <v>0</v>
      </c>
      <c r="E1875" t="s">
        <v>57</v>
      </c>
      <c r="F1875" t="s">
        <v>39</v>
      </c>
      <c r="G1875" t="s">
        <v>40</v>
      </c>
      <c r="H1875">
        <f t="shared" si="29"/>
        <v>0</v>
      </c>
    </row>
    <row r="1876" spans="1:8" x14ac:dyDescent="0.3">
      <c r="A1876" t="s">
        <v>65</v>
      </c>
      <c r="B1876" t="s">
        <v>8</v>
      </c>
      <c r="C1876" t="s">
        <v>16</v>
      </c>
      <c r="D1876">
        <v>354</v>
      </c>
      <c r="E1876" t="s">
        <v>57</v>
      </c>
      <c r="F1876" t="s">
        <v>39</v>
      </c>
      <c r="G1876" t="s">
        <v>40</v>
      </c>
      <c r="H1876">
        <f t="shared" si="29"/>
        <v>354</v>
      </c>
    </row>
    <row r="1877" spans="1:8" x14ac:dyDescent="0.3">
      <c r="A1877" t="s">
        <v>65</v>
      </c>
      <c r="B1877" t="s">
        <v>8</v>
      </c>
      <c r="C1877" t="s">
        <v>17</v>
      </c>
      <c r="D1877">
        <v>0</v>
      </c>
      <c r="E1877" t="s">
        <v>57</v>
      </c>
      <c r="F1877" t="s">
        <v>39</v>
      </c>
      <c r="G1877" t="s">
        <v>40</v>
      </c>
      <c r="H1877">
        <f t="shared" si="29"/>
        <v>0</v>
      </c>
    </row>
    <row r="1878" spans="1:8" x14ac:dyDescent="0.3">
      <c r="A1878" t="s">
        <v>65</v>
      </c>
      <c r="B1878" t="s">
        <v>8</v>
      </c>
      <c r="C1878" t="s">
        <v>18</v>
      </c>
      <c r="D1878">
        <v>0</v>
      </c>
      <c r="E1878" t="s">
        <v>57</v>
      </c>
      <c r="F1878" t="s">
        <v>39</v>
      </c>
      <c r="G1878" t="s">
        <v>40</v>
      </c>
      <c r="H1878">
        <f t="shared" si="29"/>
        <v>0</v>
      </c>
    </row>
    <row r="1879" spans="1:8" x14ac:dyDescent="0.3">
      <c r="A1879" t="s">
        <v>65</v>
      </c>
      <c r="B1879" t="s">
        <v>8</v>
      </c>
      <c r="C1879" t="s">
        <v>19</v>
      </c>
      <c r="D1879">
        <v>0</v>
      </c>
      <c r="E1879" t="s">
        <v>57</v>
      </c>
      <c r="F1879" t="s">
        <v>39</v>
      </c>
      <c r="G1879" t="s">
        <v>40</v>
      </c>
      <c r="H1879">
        <f t="shared" si="29"/>
        <v>0</v>
      </c>
    </row>
    <row r="1880" spans="1:8" x14ac:dyDescent="0.3">
      <c r="A1880" t="s">
        <v>65</v>
      </c>
      <c r="B1880" t="s">
        <v>8</v>
      </c>
      <c r="C1880" t="s">
        <v>20</v>
      </c>
      <c r="D1880">
        <v>0</v>
      </c>
      <c r="E1880" t="s">
        <v>57</v>
      </c>
      <c r="F1880" t="s">
        <v>39</v>
      </c>
      <c r="G1880" t="s">
        <v>40</v>
      </c>
      <c r="H1880">
        <f t="shared" si="29"/>
        <v>0</v>
      </c>
    </row>
    <row r="1881" spans="1:8" x14ac:dyDescent="0.3">
      <c r="A1881" t="s">
        <v>65</v>
      </c>
      <c r="B1881" t="s">
        <v>8</v>
      </c>
      <c r="C1881" t="s">
        <v>21</v>
      </c>
      <c r="D1881">
        <v>0</v>
      </c>
      <c r="E1881" t="s">
        <v>57</v>
      </c>
      <c r="F1881" t="s">
        <v>39</v>
      </c>
      <c r="G1881" t="s">
        <v>40</v>
      </c>
      <c r="H1881">
        <f t="shared" si="29"/>
        <v>0</v>
      </c>
    </row>
    <row r="1882" spans="1:8" x14ac:dyDescent="0.3">
      <c r="A1882" t="s">
        <v>65</v>
      </c>
      <c r="B1882" t="s">
        <v>8</v>
      </c>
      <c r="C1882" t="s">
        <v>22</v>
      </c>
      <c r="D1882">
        <v>8</v>
      </c>
      <c r="E1882" t="s">
        <v>57</v>
      </c>
      <c r="F1882" t="s">
        <v>39</v>
      </c>
      <c r="G1882" t="s">
        <v>40</v>
      </c>
      <c r="H1882">
        <f t="shared" si="29"/>
        <v>8</v>
      </c>
    </row>
    <row r="1883" spans="1:8" x14ac:dyDescent="0.3">
      <c r="A1883" t="s">
        <v>65</v>
      </c>
      <c r="B1883" t="s">
        <v>23</v>
      </c>
      <c r="C1883" t="s">
        <v>9</v>
      </c>
      <c r="D1883">
        <v>23</v>
      </c>
      <c r="E1883" t="s">
        <v>57</v>
      </c>
      <c r="F1883" t="s">
        <v>39</v>
      </c>
      <c r="G1883" t="s">
        <v>40</v>
      </c>
      <c r="H1883">
        <f t="shared" si="29"/>
        <v>23</v>
      </c>
    </row>
    <row r="1884" spans="1:8" x14ac:dyDescent="0.3">
      <c r="A1884" t="s">
        <v>65</v>
      </c>
      <c r="B1884" t="s">
        <v>23</v>
      </c>
      <c r="C1884" t="s">
        <v>13</v>
      </c>
      <c r="D1884">
        <v>31</v>
      </c>
      <c r="E1884" t="s">
        <v>57</v>
      </c>
      <c r="F1884" t="s">
        <v>39</v>
      </c>
      <c r="G1884" t="s">
        <v>40</v>
      </c>
      <c r="H1884">
        <f t="shared" si="29"/>
        <v>31</v>
      </c>
    </row>
    <row r="1885" spans="1:8" x14ac:dyDescent="0.3">
      <c r="A1885" t="s">
        <v>65</v>
      </c>
      <c r="B1885" t="s">
        <v>23</v>
      </c>
      <c r="C1885" t="s">
        <v>14</v>
      </c>
      <c r="D1885">
        <v>55</v>
      </c>
      <c r="E1885" t="s">
        <v>57</v>
      </c>
      <c r="F1885" t="s">
        <v>39</v>
      </c>
      <c r="G1885" t="s">
        <v>40</v>
      </c>
      <c r="H1885">
        <f t="shared" si="29"/>
        <v>55</v>
      </c>
    </row>
    <row r="1886" spans="1:8" x14ac:dyDescent="0.3">
      <c r="A1886" t="s">
        <v>65</v>
      </c>
      <c r="B1886" t="s">
        <v>23</v>
      </c>
      <c r="C1886" t="s">
        <v>15</v>
      </c>
      <c r="D1886">
        <v>5</v>
      </c>
      <c r="E1886" t="s">
        <v>57</v>
      </c>
      <c r="F1886" t="s">
        <v>39</v>
      </c>
      <c r="G1886" t="s">
        <v>40</v>
      </c>
      <c r="H1886">
        <f t="shared" si="29"/>
        <v>5</v>
      </c>
    </row>
    <row r="1887" spans="1:8" x14ac:dyDescent="0.3">
      <c r="A1887" t="s">
        <v>65</v>
      </c>
      <c r="B1887" t="s">
        <v>23</v>
      </c>
      <c r="C1887" t="s">
        <v>16</v>
      </c>
      <c r="D1887">
        <v>35295</v>
      </c>
      <c r="E1887" t="s">
        <v>57</v>
      </c>
      <c r="F1887" t="s">
        <v>39</v>
      </c>
      <c r="G1887" t="s">
        <v>40</v>
      </c>
      <c r="H1887">
        <f t="shared" si="29"/>
        <v>35300</v>
      </c>
    </row>
    <row r="1888" spans="1:8" x14ac:dyDescent="0.3">
      <c r="A1888" t="s">
        <v>65</v>
      </c>
      <c r="B1888" t="s">
        <v>23</v>
      </c>
      <c r="C1888" t="s">
        <v>17</v>
      </c>
      <c r="D1888">
        <v>5</v>
      </c>
      <c r="E1888" t="s">
        <v>57</v>
      </c>
      <c r="F1888" t="s">
        <v>39</v>
      </c>
      <c r="G1888" t="s">
        <v>40</v>
      </c>
      <c r="H1888">
        <f t="shared" si="29"/>
        <v>5</v>
      </c>
    </row>
    <row r="1889" spans="1:8" x14ac:dyDescent="0.3">
      <c r="A1889" t="s">
        <v>65</v>
      </c>
      <c r="B1889" t="s">
        <v>23</v>
      </c>
      <c r="C1889" t="s">
        <v>18</v>
      </c>
      <c r="D1889">
        <v>0</v>
      </c>
      <c r="E1889" t="s">
        <v>57</v>
      </c>
      <c r="F1889" t="s">
        <v>39</v>
      </c>
      <c r="G1889" t="s">
        <v>40</v>
      </c>
      <c r="H1889">
        <f t="shared" si="29"/>
        <v>0</v>
      </c>
    </row>
    <row r="1890" spans="1:8" x14ac:dyDescent="0.3">
      <c r="A1890" t="s">
        <v>65</v>
      </c>
      <c r="B1890" t="s">
        <v>23</v>
      </c>
      <c r="C1890" t="s">
        <v>19</v>
      </c>
      <c r="D1890">
        <v>1</v>
      </c>
      <c r="E1890" t="s">
        <v>57</v>
      </c>
      <c r="F1890" t="s">
        <v>39</v>
      </c>
      <c r="G1890" t="s">
        <v>40</v>
      </c>
      <c r="H1890">
        <f t="shared" si="29"/>
        <v>1</v>
      </c>
    </row>
    <row r="1891" spans="1:8" x14ac:dyDescent="0.3">
      <c r="A1891" t="s">
        <v>65</v>
      </c>
      <c r="B1891" t="s">
        <v>23</v>
      </c>
      <c r="C1891" t="s">
        <v>20</v>
      </c>
      <c r="D1891">
        <v>304</v>
      </c>
      <c r="E1891" t="s">
        <v>57</v>
      </c>
      <c r="F1891" t="s">
        <v>39</v>
      </c>
      <c r="G1891" t="s">
        <v>40</v>
      </c>
      <c r="H1891">
        <f t="shared" si="29"/>
        <v>304</v>
      </c>
    </row>
    <row r="1892" spans="1:8" x14ac:dyDescent="0.3">
      <c r="A1892" t="s">
        <v>65</v>
      </c>
      <c r="B1892" t="s">
        <v>23</v>
      </c>
      <c r="C1892" t="s">
        <v>21</v>
      </c>
      <c r="D1892">
        <v>1</v>
      </c>
      <c r="E1892" t="s">
        <v>57</v>
      </c>
      <c r="F1892" t="s">
        <v>39</v>
      </c>
      <c r="G1892" t="s">
        <v>40</v>
      </c>
      <c r="H1892">
        <f t="shared" si="29"/>
        <v>1</v>
      </c>
    </row>
    <row r="1893" spans="1:8" x14ac:dyDescent="0.3">
      <c r="A1893" t="s">
        <v>65</v>
      </c>
      <c r="B1893" t="s">
        <v>23</v>
      </c>
      <c r="C1893" t="s">
        <v>22</v>
      </c>
      <c r="D1893">
        <v>141</v>
      </c>
      <c r="E1893" t="s">
        <v>57</v>
      </c>
      <c r="F1893" t="s">
        <v>39</v>
      </c>
      <c r="G1893" t="s">
        <v>40</v>
      </c>
      <c r="H1893">
        <f t="shared" si="29"/>
        <v>141</v>
      </c>
    </row>
    <row r="1894" spans="1:8" x14ac:dyDescent="0.3">
      <c r="A1894" t="s">
        <v>33</v>
      </c>
      <c r="B1894" t="s">
        <v>8</v>
      </c>
      <c r="C1894" t="s">
        <v>9</v>
      </c>
      <c r="D1894">
        <v>1</v>
      </c>
      <c r="E1894" t="s">
        <v>57</v>
      </c>
      <c r="F1894" t="s">
        <v>39</v>
      </c>
      <c r="G1894" t="s">
        <v>40</v>
      </c>
      <c r="H1894">
        <f t="shared" si="29"/>
        <v>1</v>
      </c>
    </row>
    <row r="1895" spans="1:8" x14ac:dyDescent="0.3">
      <c r="A1895" t="s">
        <v>33</v>
      </c>
      <c r="B1895" t="s">
        <v>8</v>
      </c>
      <c r="C1895" t="s">
        <v>13</v>
      </c>
      <c r="D1895">
        <v>0</v>
      </c>
      <c r="E1895" t="s">
        <v>57</v>
      </c>
      <c r="F1895" t="s">
        <v>39</v>
      </c>
      <c r="G1895" t="s">
        <v>40</v>
      </c>
      <c r="H1895">
        <f t="shared" si="29"/>
        <v>0</v>
      </c>
    </row>
    <row r="1896" spans="1:8" x14ac:dyDescent="0.3">
      <c r="A1896" t="s">
        <v>33</v>
      </c>
      <c r="B1896" t="s">
        <v>8</v>
      </c>
      <c r="C1896" t="s">
        <v>14</v>
      </c>
      <c r="D1896">
        <v>1</v>
      </c>
      <c r="E1896" t="s">
        <v>57</v>
      </c>
      <c r="F1896" t="s">
        <v>39</v>
      </c>
      <c r="G1896" t="s">
        <v>40</v>
      </c>
      <c r="H1896">
        <f t="shared" si="29"/>
        <v>1</v>
      </c>
    </row>
    <row r="1897" spans="1:8" x14ac:dyDescent="0.3">
      <c r="A1897" t="s">
        <v>33</v>
      </c>
      <c r="B1897" t="s">
        <v>8</v>
      </c>
      <c r="C1897" t="s">
        <v>15</v>
      </c>
      <c r="D1897">
        <v>0</v>
      </c>
      <c r="E1897" t="s">
        <v>57</v>
      </c>
      <c r="F1897" t="s">
        <v>39</v>
      </c>
      <c r="G1897" t="s">
        <v>40</v>
      </c>
      <c r="H1897">
        <f t="shared" si="29"/>
        <v>0</v>
      </c>
    </row>
    <row r="1898" spans="1:8" x14ac:dyDescent="0.3">
      <c r="A1898" t="s">
        <v>33</v>
      </c>
      <c r="B1898" t="s">
        <v>8</v>
      </c>
      <c r="C1898" t="s">
        <v>16</v>
      </c>
      <c r="D1898">
        <v>1402</v>
      </c>
      <c r="E1898" t="s">
        <v>57</v>
      </c>
      <c r="F1898" t="s">
        <v>39</v>
      </c>
      <c r="G1898" t="s">
        <v>40</v>
      </c>
      <c r="H1898">
        <f t="shared" si="29"/>
        <v>1400</v>
      </c>
    </row>
    <row r="1899" spans="1:8" x14ac:dyDescent="0.3">
      <c r="A1899" t="s">
        <v>33</v>
      </c>
      <c r="B1899" t="s">
        <v>8</v>
      </c>
      <c r="C1899" t="s">
        <v>17</v>
      </c>
      <c r="D1899">
        <v>4</v>
      </c>
      <c r="E1899" t="s">
        <v>57</v>
      </c>
      <c r="F1899" t="s">
        <v>39</v>
      </c>
      <c r="G1899" t="s">
        <v>40</v>
      </c>
      <c r="H1899">
        <f t="shared" si="29"/>
        <v>4</v>
      </c>
    </row>
    <row r="1900" spans="1:8" x14ac:dyDescent="0.3">
      <c r="A1900" t="s">
        <v>33</v>
      </c>
      <c r="B1900" t="s">
        <v>8</v>
      </c>
      <c r="C1900" t="s">
        <v>18</v>
      </c>
      <c r="D1900">
        <v>0</v>
      </c>
      <c r="E1900" t="s">
        <v>57</v>
      </c>
      <c r="F1900" t="s">
        <v>39</v>
      </c>
      <c r="G1900" t="s">
        <v>40</v>
      </c>
      <c r="H1900">
        <f t="shared" si="29"/>
        <v>0</v>
      </c>
    </row>
    <row r="1901" spans="1:8" x14ac:dyDescent="0.3">
      <c r="A1901" t="s">
        <v>33</v>
      </c>
      <c r="B1901" t="s">
        <v>8</v>
      </c>
      <c r="C1901" t="s">
        <v>19</v>
      </c>
      <c r="D1901">
        <v>0</v>
      </c>
      <c r="E1901" t="s">
        <v>57</v>
      </c>
      <c r="F1901" t="s">
        <v>39</v>
      </c>
      <c r="G1901" t="s">
        <v>40</v>
      </c>
      <c r="H1901">
        <f t="shared" si="29"/>
        <v>0</v>
      </c>
    </row>
    <row r="1902" spans="1:8" x14ac:dyDescent="0.3">
      <c r="A1902" t="s">
        <v>33</v>
      </c>
      <c r="B1902" t="s">
        <v>8</v>
      </c>
      <c r="C1902" t="s">
        <v>20</v>
      </c>
      <c r="D1902">
        <v>0</v>
      </c>
      <c r="E1902" t="s">
        <v>57</v>
      </c>
      <c r="F1902" t="s">
        <v>39</v>
      </c>
      <c r="G1902" t="s">
        <v>40</v>
      </c>
      <c r="H1902">
        <f t="shared" si="29"/>
        <v>0</v>
      </c>
    </row>
    <row r="1903" spans="1:8" x14ac:dyDescent="0.3">
      <c r="A1903" t="s">
        <v>33</v>
      </c>
      <c r="B1903" t="s">
        <v>8</v>
      </c>
      <c r="C1903" t="s">
        <v>21</v>
      </c>
      <c r="D1903">
        <v>0</v>
      </c>
      <c r="E1903" t="s">
        <v>57</v>
      </c>
      <c r="F1903" t="s">
        <v>39</v>
      </c>
      <c r="G1903" t="s">
        <v>40</v>
      </c>
      <c r="H1903">
        <f t="shared" si="29"/>
        <v>0</v>
      </c>
    </row>
    <row r="1904" spans="1:8" x14ac:dyDescent="0.3">
      <c r="A1904" t="s">
        <v>33</v>
      </c>
      <c r="B1904" t="s">
        <v>8</v>
      </c>
      <c r="C1904" t="s">
        <v>22</v>
      </c>
      <c r="D1904">
        <v>31</v>
      </c>
      <c r="E1904" t="s">
        <v>57</v>
      </c>
      <c r="F1904" t="s">
        <v>39</v>
      </c>
      <c r="G1904" t="s">
        <v>40</v>
      </c>
      <c r="H1904">
        <f t="shared" si="29"/>
        <v>31</v>
      </c>
    </row>
    <row r="1905" spans="1:8" x14ac:dyDescent="0.3">
      <c r="A1905" t="s">
        <v>33</v>
      </c>
      <c r="B1905" t="s">
        <v>23</v>
      </c>
      <c r="C1905" t="s">
        <v>9</v>
      </c>
      <c r="D1905">
        <v>91</v>
      </c>
      <c r="E1905" t="s">
        <v>57</v>
      </c>
      <c r="F1905" t="s">
        <v>39</v>
      </c>
      <c r="G1905" t="s">
        <v>40</v>
      </c>
      <c r="H1905">
        <f t="shared" si="29"/>
        <v>91</v>
      </c>
    </row>
    <row r="1906" spans="1:8" x14ac:dyDescent="0.3">
      <c r="A1906" t="s">
        <v>33</v>
      </c>
      <c r="B1906" t="s">
        <v>23</v>
      </c>
      <c r="C1906" t="s">
        <v>13</v>
      </c>
      <c r="D1906">
        <v>124</v>
      </c>
      <c r="E1906" t="s">
        <v>57</v>
      </c>
      <c r="F1906" t="s">
        <v>39</v>
      </c>
      <c r="G1906" t="s">
        <v>40</v>
      </c>
      <c r="H1906">
        <f t="shared" si="29"/>
        <v>124</v>
      </c>
    </row>
    <row r="1907" spans="1:8" x14ac:dyDescent="0.3">
      <c r="A1907" t="s">
        <v>33</v>
      </c>
      <c r="B1907" t="s">
        <v>23</v>
      </c>
      <c r="C1907" t="s">
        <v>14</v>
      </c>
      <c r="D1907">
        <v>219</v>
      </c>
      <c r="E1907" t="s">
        <v>57</v>
      </c>
      <c r="F1907" t="s">
        <v>39</v>
      </c>
      <c r="G1907" t="s">
        <v>40</v>
      </c>
      <c r="H1907">
        <f t="shared" si="29"/>
        <v>219</v>
      </c>
    </row>
    <row r="1908" spans="1:8" x14ac:dyDescent="0.3">
      <c r="A1908" t="s">
        <v>33</v>
      </c>
      <c r="B1908" t="s">
        <v>23</v>
      </c>
      <c r="C1908" t="s">
        <v>15</v>
      </c>
      <c r="D1908">
        <v>20</v>
      </c>
      <c r="E1908" t="s">
        <v>57</v>
      </c>
      <c r="F1908" t="s">
        <v>39</v>
      </c>
      <c r="G1908" t="s">
        <v>40</v>
      </c>
      <c r="H1908">
        <f t="shared" si="29"/>
        <v>20</v>
      </c>
    </row>
    <row r="1909" spans="1:8" x14ac:dyDescent="0.3">
      <c r="A1909" t="s">
        <v>33</v>
      </c>
      <c r="B1909" t="s">
        <v>23</v>
      </c>
      <c r="C1909" t="s">
        <v>16</v>
      </c>
      <c r="D1909">
        <v>139640</v>
      </c>
      <c r="E1909" t="s">
        <v>57</v>
      </c>
      <c r="F1909" t="s">
        <v>39</v>
      </c>
      <c r="G1909" t="s">
        <v>40</v>
      </c>
      <c r="H1909">
        <f t="shared" si="29"/>
        <v>140000</v>
      </c>
    </row>
    <row r="1910" spans="1:8" x14ac:dyDescent="0.3">
      <c r="A1910" t="s">
        <v>33</v>
      </c>
      <c r="B1910" t="s">
        <v>23</v>
      </c>
      <c r="C1910" t="s">
        <v>17</v>
      </c>
      <c r="D1910">
        <v>20</v>
      </c>
      <c r="E1910" t="s">
        <v>57</v>
      </c>
      <c r="F1910" t="s">
        <v>39</v>
      </c>
      <c r="G1910" t="s">
        <v>40</v>
      </c>
      <c r="H1910">
        <f t="shared" si="29"/>
        <v>20</v>
      </c>
    </row>
    <row r="1911" spans="1:8" x14ac:dyDescent="0.3">
      <c r="A1911" t="s">
        <v>33</v>
      </c>
      <c r="B1911" t="s">
        <v>23</v>
      </c>
      <c r="C1911" t="s">
        <v>18</v>
      </c>
      <c r="D1911">
        <v>0</v>
      </c>
      <c r="E1911" t="s">
        <v>57</v>
      </c>
      <c r="F1911" t="s">
        <v>39</v>
      </c>
      <c r="G1911" t="s">
        <v>40</v>
      </c>
      <c r="H1911">
        <f t="shared" si="29"/>
        <v>0</v>
      </c>
    </row>
    <row r="1912" spans="1:8" x14ac:dyDescent="0.3">
      <c r="A1912" t="s">
        <v>33</v>
      </c>
      <c r="B1912" t="s">
        <v>23</v>
      </c>
      <c r="C1912" t="s">
        <v>19</v>
      </c>
      <c r="D1912">
        <v>6</v>
      </c>
      <c r="E1912" t="s">
        <v>57</v>
      </c>
      <c r="F1912" t="s">
        <v>39</v>
      </c>
      <c r="G1912" t="s">
        <v>40</v>
      </c>
      <c r="H1912">
        <f t="shared" si="29"/>
        <v>6</v>
      </c>
    </row>
    <row r="1913" spans="1:8" x14ac:dyDescent="0.3">
      <c r="A1913" t="s">
        <v>33</v>
      </c>
      <c r="B1913" t="s">
        <v>23</v>
      </c>
      <c r="C1913" t="s">
        <v>20</v>
      </c>
      <c r="D1913">
        <v>1204</v>
      </c>
      <c r="E1913" t="s">
        <v>57</v>
      </c>
      <c r="F1913" t="s">
        <v>39</v>
      </c>
      <c r="G1913" t="s">
        <v>40</v>
      </c>
      <c r="H1913">
        <f t="shared" si="29"/>
        <v>1200</v>
      </c>
    </row>
    <row r="1914" spans="1:8" x14ac:dyDescent="0.3">
      <c r="A1914" t="s">
        <v>33</v>
      </c>
      <c r="B1914" t="s">
        <v>23</v>
      </c>
      <c r="C1914" t="s">
        <v>21</v>
      </c>
      <c r="D1914">
        <v>6</v>
      </c>
      <c r="E1914" t="s">
        <v>57</v>
      </c>
      <c r="F1914" t="s">
        <v>39</v>
      </c>
      <c r="G1914" t="s">
        <v>40</v>
      </c>
      <c r="H1914">
        <f t="shared" si="29"/>
        <v>6</v>
      </c>
    </row>
    <row r="1915" spans="1:8" x14ac:dyDescent="0.3">
      <c r="A1915" t="s">
        <v>33</v>
      </c>
      <c r="B1915" t="s">
        <v>23</v>
      </c>
      <c r="C1915" t="s">
        <v>22</v>
      </c>
      <c r="D1915">
        <v>556</v>
      </c>
      <c r="E1915" t="s">
        <v>57</v>
      </c>
      <c r="F1915" t="s">
        <v>39</v>
      </c>
      <c r="G1915" t="s">
        <v>40</v>
      </c>
      <c r="H1915">
        <f t="shared" si="29"/>
        <v>556</v>
      </c>
    </row>
    <row r="1916" spans="1:8" x14ac:dyDescent="0.3">
      <c r="A1916" t="s">
        <v>34</v>
      </c>
      <c r="B1916" t="s">
        <v>8</v>
      </c>
      <c r="C1916" t="s">
        <v>9</v>
      </c>
      <c r="D1916">
        <v>0</v>
      </c>
      <c r="E1916" t="s">
        <v>57</v>
      </c>
      <c r="F1916" t="s">
        <v>39</v>
      </c>
      <c r="G1916" t="s">
        <v>40</v>
      </c>
      <c r="H1916">
        <f t="shared" si="29"/>
        <v>0</v>
      </c>
    </row>
    <row r="1917" spans="1:8" x14ac:dyDescent="0.3">
      <c r="A1917" t="s">
        <v>34</v>
      </c>
      <c r="B1917" t="s">
        <v>8</v>
      </c>
      <c r="C1917" t="s">
        <v>13</v>
      </c>
      <c r="D1917">
        <v>8</v>
      </c>
      <c r="E1917" t="s">
        <v>57</v>
      </c>
      <c r="F1917" t="s">
        <v>39</v>
      </c>
      <c r="G1917" t="s">
        <v>40</v>
      </c>
      <c r="H1917">
        <f t="shared" si="29"/>
        <v>8</v>
      </c>
    </row>
    <row r="1918" spans="1:8" x14ac:dyDescent="0.3">
      <c r="A1918" t="s">
        <v>34</v>
      </c>
      <c r="B1918" t="s">
        <v>8</v>
      </c>
      <c r="C1918" t="s">
        <v>14</v>
      </c>
      <c r="D1918">
        <v>0</v>
      </c>
      <c r="E1918" t="s">
        <v>57</v>
      </c>
      <c r="F1918" t="s">
        <v>39</v>
      </c>
      <c r="G1918" t="s">
        <v>40</v>
      </c>
      <c r="H1918">
        <f t="shared" si="29"/>
        <v>0</v>
      </c>
    </row>
    <row r="1919" spans="1:8" x14ac:dyDescent="0.3">
      <c r="A1919" t="s">
        <v>34</v>
      </c>
      <c r="B1919" t="s">
        <v>8</v>
      </c>
      <c r="C1919" t="s">
        <v>15</v>
      </c>
      <c r="D1919">
        <v>3</v>
      </c>
      <c r="E1919" t="s">
        <v>57</v>
      </c>
      <c r="F1919" t="s">
        <v>39</v>
      </c>
      <c r="G1919" t="s">
        <v>40</v>
      </c>
      <c r="H1919">
        <f t="shared" si="29"/>
        <v>3</v>
      </c>
    </row>
    <row r="1920" spans="1:8" x14ac:dyDescent="0.3">
      <c r="A1920" t="s">
        <v>34</v>
      </c>
      <c r="B1920" t="s">
        <v>8</v>
      </c>
      <c r="C1920" t="s">
        <v>16</v>
      </c>
      <c r="D1920">
        <v>10</v>
      </c>
      <c r="E1920" t="s">
        <v>57</v>
      </c>
      <c r="F1920" t="s">
        <v>39</v>
      </c>
      <c r="G1920" t="s">
        <v>40</v>
      </c>
      <c r="H1920">
        <f t="shared" si="29"/>
        <v>10</v>
      </c>
    </row>
    <row r="1921" spans="1:8" x14ac:dyDescent="0.3">
      <c r="A1921" t="s">
        <v>34</v>
      </c>
      <c r="B1921" t="s">
        <v>8</v>
      </c>
      <c r="C1921" t="s">
        <v>17</v>
      </c>
      <c r="D1921">
        <v>1</v>
      </c>
      <c r="E1921" t="s">
        <v>57</v>
      </c>
      <c r="F1921" t="s">
        <v>39</v>
      </c>
      <c r="G1921" t="s">
        <v>40</v>
      </c>
      <c r="H1921">
        <f t="shared" si="29"/>
        <v>1</v>
      </c>
    </row>
    <row r="1922" spans="1:8" x14ac:dyDescent="0.3">
      <c r="A1922" t="s">
        <v>34</v>
      </c>
      <c r="B1922" t="s">
        <v>8</v>
      </c>
      <c r="C1922" t="s">
        <v>18</v>
      </c>
      <c r="D1922">
        <v>0</v>
      </c>
      <c r="E1922" t="s">
        <v>57</v>
      </c>
      <c r="F1922" t="s">
        <v>39</v>
      </c>
      <c r="G1922" t="s">
        <v>40</v>
      </c>
      <c r="H1922">
        <f t="shared" si="29"/>
        <v>0</v>
      </c>
    </row>
    <row r="1923" spans="1:8" x14ac:dyDescent="0.3">
      <c r="A1923" t="s">
        <v>34</v>
      </c>
      <c r="B1923" t="s">
        <v>8</v>
      </c>
      <c r="C1923" t="s">
        <v>19</v>
      </c>
      <c r="D1923">
        <v>0</v>
      </c>
      <c r="E1923" t="s">
        <v>57</v>
      </c>
      <c r="F1923" t="s">
        <v>39</v>
      </c>
      <c r="G1923" t="s">
        <v>40</v>
      </c>
      <c r="H1923">
        <f t="shared" ref="H1923:H1986" si="30">ROUND(D1923, 3 - LEN(INT(ABS(D1923))))</f>
        <v>0</v>
      </c>
    </row>
    <row r="1924" spans="1:8" x14ac:dyDescent="0.3">
      <c r="A1924" t="s">
        <v>34</v>
      </c>
      <c r="B1924" t="s">
        <v>8</v>
      </c>
      <c r="C1924" t="s">
        <v>20</v>
      </c>
      <c r="D1924">
        <v>0</v>
      </c>
      <c r="E1924" t="s">
        <v>57</v>
      </c>
      <c r="F1924" t="s">
        <v>39</v>
      </c>
      <c r="G1924" t="s">
        <v>40</v>
      </c>
      <c r="H1924">
        <f t="shared" si="30"/>
        <v>0</v>
      </c>
    </row>
    <row r="1925" spans="1:8" x14ac:dyDescent="0.3">
      <c r="A1925" t="s">
        <v>34</v>
      </c>
      <c r="B1925" t="s">
        <v>8</v>
      </c>
      <c r="C1925" t="s">
        <v>21</v>
      </c>
      <c r="D1925">
        <v>0</v>
      </c>
      <c r="E1925" t="s">
        <v>57</v>
      </c>
      <c r="F1925" t="s">
        <v>39</v>
      </c>
      <c r="G1925" t="s">
        <v>40</v>
      </c>
      <c r="H1925">
        <f t="shared" si="30"/>
        <v>0</v>
      </c>
    </row>
    <row r="1926" spans="1:8" x14ac:dyDescent="0.3">
      <c r="A1926" t="s">
        <v>34</v>
      </c>
      <c r="B1926" t="s">
        <v>8</v>
      </c>
      <c r="C1926" t="s">
        <v>22</v>
      </c>
      <c r="D1926">
        <v>6198</v>
      </c>
      <c r="E1926" t="s">
        <v>57</v>
      </c>
      <c r="F1926" t="s">
        <v>39</v>
      </c>
      <c r="G1926" t="s">
        <v>40</v>
      </c>
      <c r="H1926">
        <f t="shared" si="30"/>
        <v>6200</v>
      </c>
    </row>
    <row r="1927" spans="1:8" x14ac:dyDescent="0.3">
      <c r="A1927" t="s">
        <v>34</v>
      </c>
      <c r="B1927" t="s">
        <v>23</v>
      </c>
      <c r="C1927" t="s">
        <v>9</v>
      </c>
      <c r="D1927">
        <v>1133</v>
      </c>
      <c r="E1927" t="s">
        <v>57</v>
      </c>
      <c r="F1927" t="s">
        <v>39</v>
      </c>
      <c r="G1927" t="s">
        <v>40</v>
      </c>
      <c r="H1927">
        <f t="shared" si="30"/>
        <v>1130</v>
      </c>
    </row>
    <row r="1928" spans="1:8" x14ac:dyDescent="0.3">
      <c r="A1928" t="s">
        <v>34</v>
      </c>
      <c r="B1928" t="s">
        <v>23</v>
      </c>
      <c r="C1928" t="s">
        <v>13</v>
      </c>
      <c r="D1928">
        <v>13924</v>
      </c>
      <c r="E1928" t="s">
        <v>57</v>
      </c>
      <c r="F1928" t="s">
        <v>39</v>
      </c>
      <c r="G1928" t="s">
        <v>40</v>
      </c>
      <c r="H1928">
        <f t="shared" si="30"/>
        <v>13900</v>
      </c>
    </row>
    <row r="1929" spans="1:8" x14ac:dyDescent="0.3">
      <c r="A1929" t="s">
        <v>34</v>
      </c>
      <c r="B1929" t="s">
        <v>23</v>
      </c>
      <c r="C1929" t="s">
        <v>14</v>
      </c>
      <c r="D1929">
        <v>3093</v>
      </c>
      <c r="E1929" t="s">
        <v>57</v>
      </c>
      <c r="F1929" t="s">
        <v>39</v>
      </c>
      <c r="G1929" t="s">
        <v>40</v>
      </c>
      <c r="H1929">
        <f t="shared" si="30"/>
        <v>3090</v>
      </c>
    </row>
    <row r="1930" spans="1:8" x14ac:dyDescent="0.3">
      <c r="A1930" t="s">
        <v>34</v>
      </c>
      <c r="B1930" t="s">
        <v>23</v>
      </c>
      <c r="C1930" t="s">
        <v>15</v>
      </c>
      <c r="D1930">
        <v>199</v>
      </c>
      <c r="E1930" t="s">
        <v>57</v>
      </c>
      <c r="F1930" t="s">
        <v>39</v>
      </c>
      <c r="G1930" t="s">
        <v>40</v>
      </c>
      <c r="H1930">
        <f t="shared" si="30"/>
        <v>199</v>
      </c>
    </row>
    <row r="1931" spans="1:8" x14ac:dyDescent="0.3">
      <c r="A1931" t="s">
        <v>34</v>
      </c>
      <c r="B1931" t="s">
        <v>23</v>
      </c>
      <c r="C1931" t="s">
        <v>16</v>
      </c>
      <c r="D1931">
        <v>4413</v>
      </c>
      <c r="E1931" t="s">
        <v>57</v>
      </c>
      <c r="F1931" t="s">
        <v>39</v>
      </c>
      <c r="G1931" t="s">
        <v>40</v>
      </c>
      <c r="H1931">
        <f t="shared" si="30"/>
        <v>4410</v>
      </c>
    </row>
    <row r="1932" spans="1:8" x14ac:dyDescent="0.3">
      <c r="A1932" t="s">
        <v>34</v>
      </c>
      <c r="B1932" t="s">
        <v>23</v>
      </c>
      <c r="C1932" t="s">
        <v>17</v>
      </c>
      <c r="D1932">
        <v>306</v>
      </c>
      <c r="E1932" t="s">
        <v>57</v>
      </c>
      <c r="F1932" t="s">
        <v>39</v>
      </c>
      <c r="G1932" t="s">
        <v>40</v>
      </c>
      <c r="H1932">
        <f t="shared" si="30"/>
        <v>306</v>
      </c>
    </row>
    <row r="1933" spans="1:8" x14ac:dyDescent="0.3">
      <c r="A1933" t="s">
        <v>34</v>
      </c>
      <c r="B1933" t="s">
        <v>23</v>
      </c>
      <c r="C1933" t="s">
        <v>18</v>
      </c>
      <c r="D1933">
        <v>0</v>
      </c>
      <c r="E1933" t="s">
        <v>57</v>
      </c>
      <c r="F1933" t="s">
        <v>39</v>
      </c>
      <c r="G1933" t="s">
        <v>40</v>
      </c>
      <c r="H1933">
        <f t="shared" si="30"/>
        <v>0</v>
      </c>
    </row>
    <row r="1934" spans="1:8" x14ac:dyDescent="0.3">
      <c r="A1934" t="s">
        <v>34</v>
      </c>
      <c r="B1934" t="s">
        <v>23</v>
      </c>
      <c r="C1934" t="s">
        <v>19</v>
      </c>
      <c r="D1934">
        <v>253</v>
      </c>
      <c r="E1934" t="s">
        <v>57</v>
      </c>
      <c r="F1934" t="s">
        <v>39</v>
      </c>
      <c r="G1934" t="s">
        <v>40</v>
      </c>
      <c r="H1934">
        <f t="shared" si="30"/>
        <v>253</v>
      </c>
    </row>
    <row r="1935" spans="1:8" x14ac:dyDescent="0.3">
      <c r="A1935" t="s">
        <v>34</v>
      </c>
      <c r="B1935" t="s">
        <v>23</v>
      </c>
      <c r="C1935" t="s">
        <v>20</v>
      </c>
      <c r="D1935">
        <v>609</v>
      </c>
      <c r="E1935" t="s">
        <v>57</v>
      </c>
      <c r="F1935" t="s">
        <v>39</v>
      </c>
      <c r="G1935" t="s">
        <v>40</v>
      </c>
      <c r="H1935">
        <f t="shared" si="30"/>
        <v>609</v>
      </c>
    </row>
    <row r="1936" spans="1:8" x14ac:dyDescent="0.3">
      <c r="A1936" t="s">
        <v>34</v>
      </c>
      <c r="B1936" t="s">
        <v>23</v>
      </c>
      <c r="C1936" t="s">
        <v>21</v>
      </c>
      <c r="D1936">
        <v>63</v>
      </c>
      <c r="E1936" t="s">
        <v>57</v>
      </c>
      <c r="F1936" t="s">
        <v>39</v>
      </c>
      <c r="G1936" t="s">
        <v>40</v>
      </c>
      <c r="H1936">
        <f t="shared" si="30"/>
        <v>63</v>
      </c>
    </row>
    <row r="1937" spans="1:8" x14ac:dyDescent="0.3">
      <c r="A1937" t="s">
        <v>34</v>
      </c>
      <c r="B1937" t="s">
        <v>23</v>
      </c>
      <c r="C1937" t="s">
        <v>22</v>
      </c>
      <c r="D1937">
        <v>119028</v>
      </c>
      <c r="E1937" t="s">
        <v>57</v>
      </c>
      <c r="F1937" t="s">
        <v>39</v>
      </c>
      <c r="G1937" t="s">
        <v>40</v>
      </c>
      <c r="H1937">
        <f t="shared" si="30"/>
        <v>119000</v>
      </c>
    </row>
    <row r="1938" spans="1:8" x14ac:dyDescent="0.3">
      <c r="A1938" t="s">
        <v>55</v>
      </c>
      <c r="B1938" t="s">
        <v>8</v>
      </c>
      <c r="C1938" t="s">
        <v>9</v>
      </c>
      <c r="D1938">
        <v>76</v>
      </c>
      <c r="E1938" t="s">
        <v>57</v>
      </c>
      <c r="F1938" t="s">
        <v>39</v>
      </c>
      <c r="G1938" t="s">
        <v>40</v>
      </c>
      <c r="H1938">
        <f t="shared" si="30"/>
        <v>76</v>
      </c>
    </row>
    <row r="1939" spans="1:8" x14ac:dyDescent="0.3">
      <c r="A1939" t="s">
        <v>55</v>
      </c>
      <c r="B1939" t="s">
        <v>8</v>
      </c>
      <c r="C1939" t="s">
        <v>13</v>
      </c>
      <c r="D1939">
        <v>4</v>
      </c>
      <c r="E1939" t="s">
        <v>57</v>
      </c>
      <c r="F1939" t="s">
        <v>39</v>
      </c>
      <c r="G1939" t="s">
        <v>40</v>
      </c>
      <c r="H1939">
        <f t="shared" si="30"/>
        <v>4</v>
      </c>
    </row>
    <row r="1940" spans="1:8" x14ac:dyDescent="0.3">
      <c r="A1940" t="s">
        <v>55</v>
      </c>
      <c r="B1940" t="s">
        <v>8</v>
      </c>
      <c r="C1940" t="s">
        <v>14</v>
      </c>
      <c r="D1940">
        <v>0</v>
      </c>
      <c r="E1940" t="s">
        <v>57</v>
      </c>
      <c r="F1940" t="s">
        <v>39</v>
      </c>
      <c r="G1940" t="s">
        <v>40</v>
      </c>
      <c r="H1940">
        <f t="shared" si="30"/>
        <v>0</v>
      </c>
    </row>
    <row r="1941" spans="1:8" x14ac:dyDescent="0.3">
      <c r="A1941" t="s">
        <v>55</v>
      </c>
      <c r="B1941" t="s">
        <v>8</v>
      </c>
      <c r="C1941" t="s">
        <v>15</v>
      </c>
      <c r="D1941">
        <v>1</v>
      </c>
      <c r="E1941" t="s">
        <v>57</v>
      </c>
      <c r="F1941" t="s">
        <v>39</v>
      </c>
      <c r="G1941" t="s">
        <v>40</v>
      </c>
      <c r="H1941">
        <f t="shared" si="30"/>
        <v>1</v>
      </c>
    </row>
    <row r="1942" spans="1:8" x14ac:dyDescent="0.3">
      <c r="A1942" t="s">
        <v>55</v>
      </c>
      <c r="B1942" t="s">
        <v>8</v>
      </c>
      <c r="C1942" t="s">
        <v>16</v>
      </c>
      <c r="D1942">
        <v>2</v>
      </c>
      <c r="E1942" t="s">
        <v>57</v>
      </c>
      <c r="F1942" t="s">
        <v>39</v>
      </c>
      <c r="G1942" t="s">
        <v>40</v>
      </c>
      <c r="H1942">
        <f t="shared" si="30"/>
        <v>2</v>
      </c>
    </row>
    <row r="1943" spans="1:8" x14ac:dyDescent="0.3">
      <c r="A1943" t="s">
        <v>55</v>
      </c>
      <c r="B1943" t="s">
        <v>8</v>
      </c>
      <c r="C1943" t="s">
        <v>17</v>
      </c>
      <c r="D1943">
        <v>6</v>
      </c>
      <c r="E1943" t="s">
        <v>57</v>
      </c>
      <c r="F1943" t="s">
        <v>39</v>
      </c>
      <c r="G1943" t="s">
        <v>40</v>
      </c>
      <c r="H1943">
        <f t="shared" si="30"/>
        <v>6</v>
      </c>
    </row>
    <row r="1944" spans="1:8" x14ac:dyDescent="0.3">
      <c r="A1944" t="s">
        <v>55</v>
      </c>
      <c r="B1944" t="s">
        <v>8</v>
      </c>
      <c r="C1944" t="s">
        <v>18</v>
      </c>
      <c r="D1944">
        <v>0</v>
      </c>
      <c r="E1944" t="s">
        <v>57</v>
      </c>
      <c r="F1944" t="s">
        <v>39</v>
      </c>
      <c r="G1944" t="s">
        <v>40</v>
      </c>
      <c r="H1944">
        <f t="shared" si="30"/>
        <v>0</v>
      </c>
    </row>
    <row r="1945" spans="1:8" x14ac:dyDescent="0.3">
      <c r="A1945" t="s">
        <v>55</v>
      </c>
      <c r="B1945" t="s">
        <v>8</v>
      </c>
      <c r="C1945" t="s">
        <v>19</v>
      </c>
      <c r="D1945">
        <v>0</v>
      </c>
      <c r="E1945" t="s">
        <v>57</v>
      </c>
      <c r="F1945" t="s">
        <v>39</v>
      </c>
      <c r="G1945" t="s">
        <v>40</v>
      </c>
      <c r="H1945">
        <f t="shared" si="30"/>
        <v>0</v>
      </c>
    </row>
    <row r="1946" spans="1:8" x14ac:dyDescent="0.3">
      <c r="A1946" t="s">
        <v>55</v>
      </c>
      <c r="B1946" t="s">
        <v>8</v>
      </c>
      <c r="C1946" t="s">
        <v>20</v>
      </c>
      <c r="D1946">
        <v>0</v>
      </c>
      <c r="E1946" t="s">
        <v>57</v>
      </c>
      <c r="F1946" t="s">
        <v>39</v>
      </c>
      <c r="G1946" t="s">
        <v>40</v>
      </c>
      <c r="H1946">
        <f t="shared" si="30"/>
        <v>0</v>
      </c>
    </row>
    <row r="1947" spans="1:8" x14ac:dyDescent="0.3">
      <c r="A1947" t="s">
        <v>55</v>
      </c>
      <c r="B1947" t="s">
        <v>8</v>
      </c>
      <c r="C1947" t="s">
        <v>21</v>
      </c>
      <c r="D1947">
        <v>0</v>
      </c>
      <c r="E1947" t="s">
        <v>57</v>
      </c>
      <c r="F1947" t="s">
        <v>39</v>
      </c>
      <c r="G1947" t="s">
        <v>40</v>
      </c>
      <c r="H1947">
        <f t="shared" si="30"/>
        <v>0</v>
      </c>
    </row>
    <row r="1948" spans="1:8" x14ac:dyDescent="0.3">
      <c r="A1948" t="s">
        <v>55</v>
      </c>
      <c r="B1948" t="s">
        <v>8</v>
      </c>
      <c r="C1948" t="s">
        <v>22</v>
      </c>
      <c r="D1948">
        <v>57</v>
      </c>
      <c r="E1948" t="s">
        <v>57</v>
      </c>
      <c r="F1948" t="s">
        <v>39</v>
      </c>
      <c r="G1948" t="s">
        <v>40</v>
      </c>
      <c r="H1948">
        <f t="shared" si="30"/>
        <v>57</v>
      </c>
    </row>
    <row r="1949" spans="1:8" x14ac:dyDescent="0.3">
      <c r="A1949" t="s">
        <v>55</v>
      </c>
      <c r="B1949" t="s">
        <v>23</v>
      </c>
      <c r="C1949" t="s">
        <v>9</v>
      </c>
      <c r="D1949">
        <v>37799</v>
      </c>
      <c r="E1949" t="s">
        <v>57</v>
      </c>
      <c r="F1949" t="s">
        <v>39</v>
      </c>
      <c r="G1949" t="s">
        <v>40</v>
      </c>
      <c r="H1949">
        <f t="shared" si="30"/>
        <v>37800</v>
      </c>
    </row>
    <row r="1950" spans="1:8" x14ac:dyDescent="0.3">
      <c r="A1950" t="s">
        <v>55</v>
      </c>
      <c r="B1950" t="s">
        <v>23</v>
      </c>
      <c r="C1950" t="s">
        <v>13</v>
      </c>
      <c r="D1950">
        <v>285</v>
      </c>
      <c r="E1950" t="s">
        <v>57</v>
      </c>
      <c r="F1950" t="s">
        <v>39</v>
      </c>
      <c r="G1950" t="s">
        <v>40</v>
      </c>
      <c r="H1950">
        <f t="shared" si="30"/>
        <v>285</v>
      </c>
    </row>
    <row r="1951" spans="1:8" x14ac:dyDescent="0.3">
      <c r="A1951" t="s">
        <v>55</v>
      </c>
      <c r="B1951" t="s">
        <v>23</v>
      </c>
      <c r="C1951" t="s">
        <v>14</v>
      </c>
      <c r="D1951">
        <v>1278</v>
      </c>
      <c r="E1951" t="s">
        <v>57</v>
      </c>
      <c r="F1951" t="s">
        <v>39</v>
      </c>
      <c r="G1951" t="s">
        <v>40</v>
      </c>
      <c r="H1951">
        <f t="shared" si="30"/>
        <v>1280</v>
      </c>
    </row>
    <row r="1952" spans="1:8" x14ac:dyDescent="0.3">
      <c r="A1952" t="s">
        <v>55</v>
      </c>
      <c r="B1952" t="s">
        <v>23</v>
      </c>
      <c r="C1952" t="s">
        <v>15</v>
      </c>
      <c r="D1952">
        <v>39</v>
      </c>
      <c r="E1952" t="s">
        <v>57</v>
      </c>
      <c r="F1952" t="s">
        <v>39</v>
      </c>
      <c r="G1952" t="s">
        <v>40</v>
      </c>
      <c r="H1952">
        <f t="shared" si="30"/>
        <v>39</v>
      </c>
    </row>
    <row r="1953" spans="1:8" x14ac:dyDescent="0.3">
      <c r="A1953" t="s">
        <v>55</v>
      </c>
      <c r="B1953" t="s">
        <v>23</v>
      </c>
      <c r="C1953" t="s">
        <v>16</v>
      </c>
      <c r="D1953">
        <v>3758</v>
      </c>
      <c r="E1953" t="s">
        <v>57</v>
      </c>
      <c r="F1953" t="s">
        <v>39</v>
      </c>
      <c r="G1953" t="s">
        <v>40</v>
      </c>
      <c r="H1953">
        <f t="shared" si="30"/>
        <v>3760</v>
      </c>
    </row>
    <row r="1954" spans="1:8" x14ac:dyDescent="0.3">
      <c r="A1954" t="s">
        <v>55</v>
      </c>
      <c r="B1954" t="s">
        <v>23</v>
      </c>
      <c r="C1954" t="s">
        <v>17</v>
      </c>
      <c r="D1954">
        <v>356</v>
      </c>
      <c r="E1954" t="s">
        <v>57</v>
      </c>
      <c r="F1954" t="s">
        <v>39</v>
      </c>
      <c r="G1954" t="s">
        <v>40</v>
      </c>
      <c r="H1954">
        <f t="shared" si="30"/>
        <v>356</v>
      </c>
    </row>
    <row r="1955" spans="1:8" x14ac:dyDescent="0.3">
      <c r="A1955" t="s">
        <v>55</v>
      </c>
      <c r="B1955" t="s">
        <v>23</v>
      </c>
      <c r="C1955" t="s">
        <v>18</v>
      </c>
      <c r="D1955">
        <v>0</v>
      </c>
      <c r="E1955" t="s">
        <v>57</v>
      </c>
      <c r="F1955" t="s">
        <v>39</v>
      </c>
      <c r="G1955" t="s">
        <v>40</v>
      </c>
      <c r="H1955">
        <f t="shared" si="30"/>
        <v>0</v>
      </c>
    </row>
    <row r="1956" spans="1:8" x14ac:dyDescent="0.3">
      <c r="A1956" t="s">
        <v>55</v>
      </c>
      <c r="B1956" t="s">
        <v>23</v>
      </c>
      <c r="C1956" t="s">
        <v>19</v>
      </c>
      <c r="D1956">
        <v>41</v>
      </c>
      <c r="E1956" t="s">
        <v>57</v>
      </c>
      <c r="F1956" t="s">
        <v>39</v>
      </c>
      <c r="G1956" t="s">
        <v>40</v>
      </c>
      <c r="H1956">
        <f t="shared" si="30"/>
        <v>41</v>
      </c>
    </row>
    <row r="1957" spans="1:8" x14ac:dyDescent="0.3">
      <c r="A1957" t="s">
        <v>55</v>
      </c>
      <c r="B1957" t="s">
        <v>23</v>
      </c>
      <c r="C1957" t="s">
        <v>20</v>
      </c>
      <c r="D1957">
        <v>235</v>
      </c>
      <c r="E1957" t="s">
        <v>57</v>
      </c>
      <c r="F1957" t="s">
        <v>39</v>
      </c>
      <c r="G1957" t="s">
        <v>40</v>
      </c>
      <c r="H1957">
        <f t="shared" si="30"/>
        <v>235</v>
      </c>
    </row>
    <row r="1958" spans="1:8" x14ac:dyDescent="0.3">
      <c r="A1958" t="s">
        <v>55</v>
      </c>
      <c r="B1958" t="s">
        <v>23</v>
      </c>
      <c r="C1958" t="s">
        <v>21</v>
      </c>
      <c r="D1958">
        <v>51</v>
      </c>
      <c r="E1958" t="s">
        <v>57</v>
      </c>
      <c r="F1958" t="s">
        <v>39</v>
      </c>
      <c r="G1958" t="s">
        <v>40</v>
      </c>
      <c r="H1958">
        <f t="shared" si="30"/>
        <v>51</v>
      </c>
    </row>
    <row r="1959" spans="1:8" x14ac:dyDescent="0.3">
      <c r="A1959" t="s">
        <v>55</v>
      </c>
      <c r="B1959" t="s">
        <v>23</v>
      </c>
      <c r="C1959" t="s">
        <v>22</v>
      </c>
      <c r="D1959">
        <v>149</v>
      </c>
      <c r="E1959" t="s">
        <v>57</v>
      </c>
      <c r="F1959" t="s">
        <v>39</v>
      </c>
      <c r="G1959" t="s">
        <v>40</v>
      </c>
      <c r="H1959">
        <f t="shared" si="30"/>
        <v>149</v>
      </c>
    </row>
    <row r="1960" spans="1:8" x14ac:dyDescent="0.3">
      <c r="A1960" t="s">
        <v>35</v>
      </c>
      <c r="B1960" t="s">
        <v>8</v>
      </c>
      <c r="C1960" t="s">
        <v>9</v>
      </c>
      <c r="D1960">
        <v>0</v>
      </c>
      <c r="E1960" t="s">
        <v>57</v>
      </c>
      <c r="F1960" t="s">
        <v>39</v>
      </c>
      <c r="G1960" t="s">
        <v>40</v>
      </c>
      <c r="H1960">
        <f t="shared" si="30"/>
        <v>0</v>
      </c>
    </row>
    <row r="1961" spans="1:8" x14ac:dyDescent="0.3">
      <c r="A1961" t="s">
        <v>35</v>
      </c>
      <c r="B1961" t="s">
        <v>8</v>
      </c>
      <c r="C1961" t="s">
        <v>13</v>
      </c>
      <c r="D1961">
        <v>4</v>
      </c>
      <c r="E1961" t="s">
        <v>57</v>
      </c>
      <c r="F1961" t="s">
        <v>39</v>
      </c>
      <c r="G1961" t="s">
        <v>40</v>
      </c>
      <c r="H1961">
        <f t="shared" si="30"/>
        <v>4</v>
      </c>
    </row>
    <row r="1962" spans="1:8" x14ac:dyDescent="0.3">
      <c r="A1962" t="s">
        <v>35</v>
      </c>
      <c r="B1962" t="s">
        <v>8</v>
      </c>
      <c r="C1962" t="s">
        <v>14</v>
      </c>
      <c r="D1962">
        <v>0</v>
      </c>
      <c r="E1962" t="s">
        <v>57</v>
      </c>
      <c r="F1962" t="s">
        <v>39</v>
      </c>
      <c r="G1962" t="s">
        <v>40</v>
      </c>
      <c r="H1962">
        <f t="shared" si="30"/>
        <v>0</v>
      </c>
    </row>
    <row r="1963" spans="1:8" x14ac:dyDescent="0.3">
      <c r="A1963" t="s">
        <v>35</v>
      </c>
      <c r="B1963" t="s">
        <v>8</v>
      </c>
      <c r="C1963" t="s">
        <v>15</v>
      </c>
      <c r="D1963">
        <v>1</v>
      </c>
      <c r="E1963" t="s">
        <v>57</v>
      </c>
      <c r="F1963" t="s">
        <v>39</v>
      </c>
      <c r="G1963" t="s">
        <v>40</v>
      </c>
      <c r="H1963">
        <f t="shared" si="30"/>
        <v>1</v>
      </c>
    </row>
    <row r="1964" spans="1:8" x14ac:dyDescent="0.3">
      <c r="A1964" t="s">
        <v>35</v>
      </c>
      <c r="B1964" t="s">
        <v>8</v>
      </c>
      <c r="C1964" t="s">
        <v>16</v>
      </c>
      <c r="D1964">
        <v>4</v>
      </c>
      <c r="E1964" t="s">
        <v>57</v>
      </c>
      <c r="F1964" t="s">
        <v>39</v>
      </c>
      <c r="G1964" t="s">
        <v>40</v>
      </c>
      <c r="H1964">
        <f t="shared" si="30"/>
        <v>4</v>
      </c>
    </row>
    <row r="1965" spans="1:8" x14ac:dyDescent="0.3">
      <c r="A1965" t="s">
        <v>35</v>
      </c>
      <c r="B1965" t="s">
        <v>8</v>
      </c>
      <c r="C1965" t="s">
        <v>17</v>
      </c>
      <c r="D1965">
        <v>0</v>
      </c>
      <c r="E1965" t="s">
        <v>57</v>
      </c>
      <c r="F1965" t="s">
        <v>39</v>
      </c>
      <c r="G1965" t="s">
        <v>40</v>
      </c>
      <c r="H1965">
        <f t="shared" si="30"/>
        <v>0</v>
      </c>
    </row>
    <row r="1966" spans="1:8" x14ac:dyDescent="0.3">
      <c r="A1966" t="s">
        <v>35</v>
      </c>
      <c r="B1966" t="s">
        <v>8</v>
      </c>
      <c r="C1966" t="s">
        <v>18</v>
      </c>
      <c r="D1966">
        <v>0</v>
      </c>
      <c r="E1966" t="s">
        <v>57</v>
      </c>
      <c r="F1966" t="s">
        <v>39</v>
      </c>
      <c r="G1966" t="s">
        <v>40</v>
      </c>
      <c r="H1966">
        <f t="shared" si="30"/>
        <v>0</v>
      </c>
    </row>
    <row r="1967" spans="1:8" x14ac:dyDescent="0.3">
      <c r="A1967" t="s">
        <v>35</v>
      </c>
      <c r="B1967" t="s">
        <v>8</v>
      </c>
      <c r="C1967" t="s">
        <v>19</v>
      </c>
      <c r="D1967">
        <v>0</v>
      </c>
      <c r="E1967" t="s">
        <v>57</v>
      </c>
      <c r="F1967" t="s">
        <v>39</v>
      </c>
      <c r="G1967" t="s">
        <v>40</v>
      </c>
      <c r="H1967">
        <f t="shared" si="30"/>
        <v>0</v>
      </c>
    </row>
    <row r="1968" spans="1:8" x14ac:dyDescent="0.3">
      <c r="A1968" t="s">
        <v>35</v>
      </c>
      <c r="B1968" t="s">
        <v>8</v>
      </c>
      <c r="C1968" t="s">
        <v>20</v>
      </c>
      <c r="D1968">
        <v>0</v>
      </c>
      <c r="E1968" t="s">
        <v>57</v>
      </c>
      <c r="F1968" t="s">
        <v>39</v>
      </c>
      <c r="G1968" t="s">
        <v>40</v>
      </c>
      <c r="H1968">
        <f t="shared" si="30"/>
        <v>0</v>
      </c>
    </row>
    <row r="1969" spans="1:8" x14ac:dyDescent="0.3">
      <c r="A1969" t="s">
        <v>35</v>
      </c>
      <c r="B1969" t="s">
        <v>8</v>
      </c>
      <c r="C1969" t="s">
        <v>21</v>
      </c>
      <c r="D1969">
        <v>0</v>
      </c>
      <c r="E1969" t="s">
        <v>57</v>
      </c>
      <c r="F1969" t="s">
        <v>39</v>
      </c>
      <c r="G1969" t="s">
        <v>40</v>
      </c>
      <c r="H1969">
        <f t="shared" si="30"/>
        <v>0</v>
      </c>
    </row>
    <row r="1970" spans="1:8" x14ac:dyDescent="0.3">
      <c r="A1970" t="s">
        <v>35</v>
      </c>
      <c r="B1970" t="s">
        <v>8</v>
      </c>
      <c r="C1970" t="s">
        <v>22</v>
      </c>
      <c r="D1970">
        <v>2687</v>
      </c>
      <c r="E1970" t="s">
        <v>57</v>
      </c>
      <c r="F1970" t="s">
        <v>39</v>
      </c>
      <c r="G1970" t="s">
        <v>40</v>
      </c>
      <c r="H1970">
        <f t="shared" si="30"/>
        <v>2690</v>
      </c>
    </row>
    <row r="1971" spans="1:8" x14ac:dyDescent="0.3">
      <c r="A1971" t="s">
        <v>35</v>
      </c>
      <c r="B1971" t="s">
        <v>23</v>
      </c>
      <c r="C1971" t="s">
        <v>9</v>
      </c>
      <c r="D1971">
        <v>491</v>
      </c>
      <c r="E1971" t="s">
        <v>57</v>
      </c>
      <c r="F1971" t="s">
        <v>39</v>
      </c>
      <c r="G1971" t="s">
        <v>40</v>
      </c>
      <c r="H1971">
        <f t="shared" si="30"/>
        <v>491</v>
      </c>
    </row>
    <row r="1972" spans="1:8" x14ac:dyDescent="0.3">
      <c r="A1972" t="s">
        <v>35</v>
      </c>
      <c r="B1972" t="s">
        <v>23</v>
      </c>
      <c r="C1972" t="s">
        <v>13</v>
      </c>
      <c r="D1972">
        <v>6037</v>
      </c>
      <c r="E1972" t="s">
        <v>57</v>
      </c>
      <c r="F1972" t="s">
        <v>39</v>
      </c>
      <c r="G1972" t="s">
        <v>40</v>
      </c>
      <c r="H1972">
        <f t="shared" si="30"/>
        <v>6040</v>
      </c>
    </row>
    <row r="1973" spans="1:8" x14ac:dyDescent="0.3">
      <c r="A1973" t="s">
        <v>35</v>
      </c>
      <c r="B1973" t="s">
        <v>23</v>
      </c>
      <c r="C1973" t="s">
        <v>14</v>
      </c>
      <c r="D1973">
        <v>1341</v>
      </c>
      <c r="E1973" t="s">
        <v>57</v>
      </c>
      <c r="F1973" t="s">
        <v>39</v>
      </c>
      <c r="G1973" t="s">
        <v>40</v>
      </c>
      <c r="H1973">
        <f t="shared" si="30"/>
        <v>1340</v>
      </c>
    </row>
    <row r="1974" spans="1:8" x14ac:dyDescent="0.3">
      <c r="A1974" t="s">
        <v>35</v>
      </c>
      <c r="B1974" t="s">
        <v>23</v>
      </c>
      <c r="C1974" t="s">
        <v>15</v>
      </c>
      <c r="D1974">
        <v>86</v>
      </c>
      <c r="E1974" t="s">
        <v>57</v>
      </c>
      <c r="F1974" t="s">
        <v>39</v>
      </c>
      <c r="G1974" t="s">
        <v>40</v>
      </c>
      <c r="H1974">
        <f t="shared" si="30"/>
        <v>86</v>
      </c>
    </row>
    <row r="1975" spans="1:8" x14ac:dyDescent="0.3">
      <c r="A1975" t="s">
        <v>35</v>
      </c>
      <c r="B1975" t="s">
        <v>23</v>
      </c>
      <c r="C1975" t="s">
        <v>16</v>
      </c>
      <c r="D1975">
        <v>1913</v>
      </c>
      <c r="E1975" t="s">
        <v>57</v>
      </c>
      <c r="F1975" t="s">
        <v>39</v>
      </c>
      <c r="G1975" t="s">
        <v>40</v>
      </c>
      <c r="H1975">
        <f t="shared" si="30"/>
        <v>1910</v>
      </c>
    </row>
    <row r="1976" spans="1:8" x14ac:dyDescent="0.3">
      <c r="A1976" t="s">
        <v>35</v>
      </c>
      <c r="B1976" t="s">
        <v>23</v>
      </c>
      <c r="C1976" t="s">
        <v>17</v>
      </c>
      <c r="D1976">
        <v>133</v>
      </c>
      <c r="E1976" t="s">
        <v>57</v>
      </c>
      <c r="F1976" t="s">
        <v>39</v>
      </c>
      <c r="G1976" t="s">
        <v>40</v>
      </c>
      <c r="H1976">
        <f t="shared" si="30"/>
        <v>133</v>
      </c>
    </row>
    <row r="1977" spans="1:8" x14ac:dyDescent="0.3">
      <c r="A1977" t="s">
        <v>35</v>
      </c>
      <c r="B1977" t="s">
        <v>23</v>
      </c>
      <c r="C1977" t="s">
        <v>18</v>
      </c>
      <c r="D1977">
        <v>0</v>
      </c>
      <c r="E1977" t="s">
        <v>57</v>
      </c>
      <c r="F1977" t="s">
        <v>39</v>
      </c>
      <c r="G1977" t="s">
        <v>40</v>
      </c>
      <c r="H1977">
        <f t="shared" si="30"/>
        <v>0</v>
      </c>
    </row>
    <row r="1978" spans="1:8" x14ac:dyDescent="0.3">
      <c r="A1978" t="s">
        <v>35</v>
      </c>
      <c r="B1978" t="s">
        <v>23</v>
      </c>
      <c r="C1978" t="s">
        <v>19</v>
      </c>
      <c r="D1978">
        <v>110</v>
      </c>
      <c r="E1978" t="s">
        <v>57</v>
      </c>
      <c r="F1978" t="s">
        <v>39</v>
      </c>
      <c r="G1978" t="s">
        <v>40</v>
      </c>
      <c r="H1978">
        <f t="shared" si="30"/>
        <v>110</v>
      </c>
    </row>
    <row r="1979" spans="1:8" x14ac:dyDescent="0.3">
      <c r="A1979" t="s">
        <v>35</v>
      </c>
      <c r="B1979" t="s">
        <v>23</v>
      </c>
      <c r="C1979" t="s">
        <v>20</v>
      </c>
      <c r="D1979">
        <v>264</v>
      </c>
      <c r="E1979" t="s">
        <v>57</v>
      </c>
      <c r="F1979" t="s">
        <v>39</v>
      </c>
      <c r="G1979" t="s">
        <v>40</v>
      </c>
      <c r="H1979">
        <f t="shared" si="30"/>
        <v>264</v>
      </c>
    </row>
    <row r="1980" spans="1:8" x14ac:dyDescent="0.3">
      <c r="A1980" t="s">
        <v>35</v>
      </c>
      <c r="B1980" t="s">
        <v>23</v>
      </c>
      <c r="C1980" t="s">
        <v>21</v>
      </c>
      <c r="D1980">
        <v>28</v>
      </c>
      <c r="E1980" t="s">
        <v>57</v>
      </c>
      <c r="F1980" t="s">
        <v>39</v>
      </c>
      <c r="G1980" t="s">
        <v>40</v>
      </c>
      <c r="H1980">
        <f t="shared" si="30"/>
        <v>28</v>
      </c>
    </row>
    <row r="1981" spans="1:8" x14ac:dyDescent="0.3">
      <c r="A1981" t="s">
        <v>35</v>
      </c>
      <c r="B1981" t="s">
        <v>23</v>
      </c>
      <c r="C1981" t="s">
        <v>22</v>
      </c>
      <c r="D1981">
        <v>51607</v>
      </c>
      <c r="E1981" t="s">
        <v>57</v>
      </c>
      <c r="F1981" t="s">
        <v>39</v>
      </c>
      <c r="G1981" t="s">
        <v>40</v>
      </c>
      <c r="H1981">
        <f t="shared" si="30"/>
        <v>51600</v>
      </c>
    </row>
    <row r="1982" spans="1:8" x14ac:dyDescent="0.3">
      <c r="A1982" t="s">
        <v>56</v>
      </c>
      <c r="B1982" t="s">
        <v>8</v>
      </c>
      <c r="C1982" t="s">
        <v>9</v>
      </c>
      <c r="D1982">
        <v>262</v>
      </c>
      <c r="E1982" t="s">
        <v>57</v>
      </c>
      <c r="F1982" t="s">
        <v>39</v>
      </c>
      <c r="G1982" t="s">
        <v>40</v>
      </c>
      <c r="H1982">
        <f t="shared" si="30"/>
        <v>262</v>
      </c>
    </row>
    <row r="1983" spans="1:8" x14ac:dyDescent="0.3">
      <c r="A1983" t="s">
        <v>56</v>
      </c>
      <c r="B1983" t="s">
        <v>8</v>
      </c>
      <c r="C1983" t="s">
        <v>13</v>
      </c>
      <c r="D1983">
        <v>151</v>
      </c>
      <c r="E1983" t="s">
        <v>57</v>
      </c>
      <c r="F1983" t="s">
        <v>39</v>
      </c>
      <c r="G1983" t="s">
        <v>40</v>
      </c>
      <c r="H1983">
        <f t="shared" si="30"/>
        <v>151</v>
      </c>
    </row>
    <row r="1984" spans="1:8" x14ac:dyDescent="0.3">
      <c r="A1984" t="s">
        <v>56</v>
      </c>
      <c r="B1984" t="s">
        <v>8</v>
      </c>
      <c r="C1984" t="s">
        <v>14</v>
      </c>
      <c r="D1984">
        <v>3</v>
      </c>
      <c r="E1984" t="s">
        <v>57</v>
      </c>
      <c r="F1984" t="s">
        <v>39</v>
      </c>
      <c r="G1984" t="s">
        <v>40</v>
      </c>
      <c r="H1984">
        <f t="shared" si="30"/>
        <v>3</v>
      </c>
    </row>
    <row r="1985" spans="1:8" x14ac:dyDescent="0.3">
      <c r="A1985" t="s">
        <v>56</v>
      </c>
      <c r="B1985" t="s">
        <v>8</v>
      </c>
      <c r="C1985" t="s">
        <v>15</v>
      </c>
      <c r="D1985">
        <v>6</v>
      </c>
      <c r="E1985" t="s">
        <v>57</v>
      </c>
      <c r="F1985" t="s">
        <v>39</v>
      </c>
      <c r="G1985" t="s">
        <v>40</v>
      </c>
      <c r="H1985">
        <f t="shared" si="30"/>
        <v>6</v>
      </c>
    </row>
    <row r="1986" spans="1:8" x14ac:dyDescent="0.3">
      <c r="A1986" t="s">
        <v>56</v>
      </c>
      <c r="B1986" t="s">
        <v>8</v>
      </c>
      <c r="C1986" t="s">
        <v>16</v>
      </c>
      <c r="D1986">
        <v>2032</v>
      </c>
      <c r="E1986" t="s">
        <v>57</v>
      </c>
      <c r="F1986" t="s">
        <v>39</v>
      </c>
      <c r="G1986" t="s">
        <v>40</v>
      </c>
      <c r="H1986">
        <f t="shared" si="30"/>
        <v>2030</v>
      </c>
    </row>
    <row r="1987" spans="1:8" x14ac:dyDescent="0.3">
      <c r="A1987" t="s">
        <v>56</v>
      </c>
      <c r="B1987" t="s">
        <v>8</v>
      </c>
      <c r="C1987" t="s">
        <v>17</v>
      </c>
      <c r="D1987">
        <v>26</v>
      </c>
      <c r="E1987" t="s">
        <v>57</v>
      </c>
      <c r="F1987" t="s">
        <v>39</v>
      </c>
      <c r="G1987" t="s">
        <v>40</v>
      </c>
      <c r="H1987">
        <f t="shared" ref="H1987:H2025" si="31">ROUND(D1987, 3 - LEN(INT(ABS(D1987))))</f>
        <v>26</v>
      </c>
    </row>
    <row r="1988" spans="1:8" x14ac:dyDescent="0.3">
      <c r="A1988" t="s">
        <v>56</v>
      </c>
      <c r="B1988" t="s">
        <v>8</v>
      </c>
      <c r="C1988" t="s">
        <v>18</v>
      </c>
      <c r="D1988">
        <v>0</v>
      </c>
      <c r="E1988" t="s">
        <v>57</v>
      </c>
      <c r="F1988" t="s">
        <v>39</v>
      </c>
      <c r="G1988" t="s">
        <v>40</v>
      </c>
      <c r="H1988">
        <f t="shared" si="31"/>
        <v>0</v>
      </c>
    </row>
    <row r="1989" spans="1:8" x14ac:dyDescent="0.3">
      <c r="A1989" t="s">
        <v>56</v>
      </c>
      <c r="B1989" t="s">
        <v>8</v>
      </c>
      <c r="C1989" t="s">
        <v>19</v>
      </c>
      <c r="D1989">
        <v>0</v>
      </c>
      <c r="E1989" t="s">
        <v>57</v>
      </c>
      <c r="F1989" t="s">
        <v>39</v>
      </c>
      <c r="G1989" t="s">
        <v>40</v>
      </c>
      <c r="H1989">
        <f t="shared" si="31"/>
        <v>0</v>
      </c>
    </row>
    <row r="1990" spans="1:8" x14ac:dyDescent="0.3">
      <c r="A1990" t="s">
        <v>56</v>
      </c>
      <c r="B1990" t="s">
        <v>8</v>
      </c>
      <c r="C1990" t="s">
        <v>20</v>
      </c>
      <c r="D1990">
        <v>0</v>
      </c>
      <c r="E1990" t="s">
        <v>57</v>
      </c>
      <c r="F1990" t="s">
        <v>39</v>
      </c>
      <c r="G1990" t="s">
        <v>40</v>
      </c>
      <c r="H1990">
        <f t="shared" si="31"/>
        <v>0</v>
      </c>
    </row>
    <row r="1991" spans="1:8" x14ac:dyDescent="0.3">
      <c r="A1991" t="s">
        <v>56</v>
      </c>
      <c r="B1991" t="s">
        <v>8</v>
      </c>
      <c r="C1991" t="s">
        <v>21</v>
      </c>
      <c r="D1991">
        <v>0</v>
      </c>
      <c r="E1991" t="s">
        <v>57</v>
      </c>
      <c r="F1991" t="s">
        <v>39</v>
      </c>
      <c r="G1991" t="s">
        <v>40</v>
      </c>
      <c r="H1991">
        <f t="shared" si="31"/>
        <v>0</v>
      </c>
    </row>
    <row r="1992" spans="1:8" x14ac:dyDescent="0.3">
      <c r="A1992" t="s">
        <v>56</v>
      </c>
      <c r="B1992" t="s">
        <v>8</v>
      </c>
      <c r="C1992" t="s">
        <v>22</v>
      </c>
      <c r="D1992">
        <v>642</v>
      </c>
      <c r="E1992" t="s">
        <v>57</v>
      </c>
      <c r="F1992" t="s">
        <v>39</v>
      </c>
      <c r="G1992" t="s">
        <v>40</v>
      </c>
      <c r="H1992">
        <f t="shared" si="31"/>
        <v>642</v>
      </c>
    </row>
    <row r="1993" spans="1:8" x14ac:dyDescent="0.3">
      <c r="A1993" t="s">
        <v>56</v>
      </c>
      <c r="B1993" t="s">
        <v>23</v>
      </c>
      <c r="C1993" t="s">
        <v>9</v>
      </c>
      <c r="D1993">
        <v>129974</v>
      </c>
      <c r="E1993" t="s">
        <v>57</v>
      </c>
      <c r="F1993" t="s">
        <v>39</v>
      </c>
      <c r="G1993" t="s">
        <v>40</v>
      </c>
      <c r="H1993">
        <f t="shared" si="31"/>
        <v>130000</v>
      </c>
    </row>
    <row r="1994" spans="1:8" x14ac:dyDescent="0.3">
      <c r="A1994" t="s">
        <v>56</v>
      </c>
      <c r="B1994" t="s">
        <v>23</v>
      </c>
      <c r="C1994" t="s">
        <v>13</v>
      </c>
      <c r="D1994">
        <v>46008</v>
      </c>
      <c r="E1994" t="s">
        <v>57</v>
      </c>
      <c r="F1994" t="s">
        <v>39</v>
      </c>
      <c r="G1994" t="s">
        <v>40</v>
      </c>
      <c r="H1994">
        <f t="shared" si="31"/>
        <v>46000</v>
      </c>
    </row>
    <row r="1995" spans="1:8" x14ac:dyDescent="0.3">
      <c r="A1995" t="s">
        <v>56</v>
      </c>
      <c r="B1995" t="s">
        <v>23</v>
      </c>
      <c r="C1995" t="s">
        <v>14</v>
      </c>
      <c r="D1995">
        <v>5158</v>
      </c>
      <c r="E1995" t="s">
        <v>57</v>
      </c>
      <c r="F1995" t="s">
        <v>39</v>
      </c>
      <c r="G1995" t="s">
        <v>40</v>
      </c>
      <c r="H1995">
        <f t="shared" si="31"/>
        <v>5160</v>
      </c>
    </row>
    <row r="1996" spans="1:8" x14ac:dyDescent="0.3">
      <c r="A1996" t="s">
        <v>56</v>
      </c>
      <c r="B1996" t="s">
        <v>23</v>
      </c>
      <c r="C1996" t="s">
        <v>15</v>
      </c>
      <c r="D1996">
        <v>215</v>
      </c>
      <c r="E1996" t="s">
        <v>57</v>
      </c>
      <c r="F1996" t="s">
        <v>39</v>
      </c>
      <c r="G1996" t="s">
        <v>40</v>
      </c>
      <c r="H1996">
        <f t="shared" si="31"/>
        <v>215</v>
      </c>
    </row>
    <row r="1997" spans="1:8" x14ac:dyDescent="0.3">
      <c r="A1997" t="s">
        <v>56</v>
      </c>
      <c r="B1997" t="s">
        <v>23</v>
      </c>
      <c r="C1997" t="s">
        <v>16</v>
      </c>
      <c r="D1997">
        <v>214935</v>
      </c>
      <c r="E1997" t="s">
        <v>57</v>
      </c>
      <c r="F1997" t="s">
        <v>39</v>
      </c>
      <c r="G1997" t="s">
        <v>40</v>
      </c>
      <c r="H1997">
        <f t="shared" si="31"/>
        <v>215000</v>
      </c>
    </row>
    <row r="1998" spans="1:8" x14ac:dyDescent="0.3">
      <c r="A1998" t="s">
        <v>56</v>
      </c>
      <c r="B1998" t="s">
        <v>23</v>
      </c>
      <c r="C1998" t="s">
        <v>17</v>
      </c>
      <c r="D1998">
        <v>1267</v>
      </c>
      <c r="E1998" t="s">
        <v>57</v>
      </c>
      <c r="F1998" t="s">
        <v>39</v>
      </c>
      <c r="G1998" t="s">
        <v>40</v>
      </c>
      <c r="H1998">
        <f t="shared" si="31"/>
        <v>1270</v>
      </c>
    </row>
    <row r="1999" spans="1:8" x14ac:dyDescent="0.3">
      <c r="A1999" t="s">
        <v>56</v>
      </c>
      <c r="B1999" t="s">
        <v>23</v>
      </c>
      <c r="C1999" t="s">
        <v>18</v>
      </c>
      <c r="D1999">
        <v>0</v>
      </c>
      <c r="E1999" t="s">
        <v>57</v>
      </c>
      <c r="F1999" t="s">
        <v>39</v>
      </c>
      <c r="G1999" t="s">
        <v>40</v>
      </c>
      <c r="H1999">
        <f t="shared" si="31"/>
        <v>0</v>
      </c>
    </row>
    <row r="2000" spans="1:8" x14ac:dyDescent="0.3">
      <c r="A2000" t="s">
        <v>56</v>
      </c>
      <c r="B2000" t="s">
        <v>23</v>
      </c>
      <c r="C2000" t="s">
        <v>19</v>
      </c>
      <c r="D2000">
        <v>316</v>
      </c>
      <c r="E2000" t="s">
        <v>57</v>
      </c>
      <c r="F2000" t="s">
        <v>39</v>
      </c>
      <c r="G2000" t="s">
        <v>40</v>
      </c>
      <c r="H2000">
        <f t="shared" si="31"/>
        <v>316</v>
      </c>
    </row>
    <row r="2001" spans="1:8" x14ac:dyDescent="0.3">
      <c r="A2001" t="s">
        <v>56</v>
      </c>
      <c r="B2001" t="s">
        <v>23</v>
      </c>
      <c r="C2001" t="s">
        <v>20</v>
      </c>
      <c r="D2001">
        <v>2687</v>
      </c>
      <c r="E2001" t="s">
        <v>57</v>
      </c>
      <c r="F2001" t="s">
        <v>39</v>
      </c>
      <c r="G2001" t="s">
        <v>40</v>
      </c>
      <c r="H2001">
        <f t="shared" si="31"/>
        <v>2690</v>
      </c>
    </row>
    <row r="2002" spans="1:8" x14ac:dyDescent="0.3">
      <c r="A2002" t="s">
        <v>56</v>
      </c>
      <c r="B2002" t="s">
        <v>23</v>
      </c>
      <c r="C2002" t="s">
        <v>21</v>
      </c>
      <c r="D2002">
        <v>188</v>
      </c>
      <c r="E2002" t="s">
        <v>57</v>
      </c>
      <c r="F2002" t="s">
        <v>39</v>
      </c>
      <c r="G2002" t="s">
        <v>40</v>
      </c>
      <c r="H2002">
        <f t="shared" si="31"/>
        <v>188</v>
      </c>
    </row>
    <row r="2003" spans="1:8" x14ac:dyDescent="0.3">
      <c r="A2003" t="s">
        <v>56</v>
      </c>
      <c r="B2003" t="s">
        <v>23</v>
      </c>
      <c r="C2003" t="s">
        <v>22</v>
      </c>
      <c r="D2003">
        <v>7724</v>
      </c>
      <c r="E2003" t="s">
        <v>57</v>
      </c>
      <c r="F2003" t="s">
        <v>39</v>
      </c>
      <c r="G2003" t="s">
        <v>40</v>
      </c>
      <c r="H2003">
        <f t="shared" si="31"/>
        <v>7720</v>
      </c>
    </row>
    <row r="2004" spans="1:8" x14ac:dyDescent="0.3">
      <c r="A2004" t="s">
        <v>66</v>
      </c>
      <c r="B2004" t="s">
        <v>8</v>
      </c>
      <c r="C2004" t="s">
        <v>9</v>
      </c>
      <c r="D2004">
        <v>167</v>
      </c>
      <c r="E2004" t="s">
        <v>57</v>
      </c>
      <c r="F2004" t="s">
        <v>39</v>
      </c>
      <c r="G2004" t="s">
        <v>40</v>
      </c>
      <c r="H2004">
        <f t="shared" si="31"/>
        <v>167</v>
      </c>
    </row>
    <row r="2005" spans="1:8" x14ac:dyDescent="0.3">
      <c r="A2005" t="s">
        <v>66</v>
      </c>
      <c r="B2005" t="s">
        <v>8</v>
      </c>
      <c r="C2005" t="s">
        <v>13</v>
      </c>
      <c r="D2005">
        <v>8</v>
      </c>
      <c r="E2005" t="s">
        <v>57</v>
      </c>
      <c r="F2005" t="s">
        <v>39</v>
      </c>
      <c r="G2005" t="s">
        <v>40</v>
      </c>
      <c r="H2005">
        <f t="shared" si="31"/>
        <v>8</v>
      </c>
    </row>
    <row r="2006" spans="1:8" x14ac:dyDescent="0.3">
      <c r="A2006" t="s">
        <v>66</v>
      </c>
      <c r="B2006" t="s">
        <v>8</v>
      </c>
      <c r="C2006" t="s">
        <v>14</v>
      </c>
      <c r="D2006">
        <v>0</v>
      </c>
      <c r="E2006" t="s">
        <v>57</v>
      </c>
      <c r="F2006" t="s">
        <v>39</v>
      </c>
      <c r="G2006" t="s">
        <v>40</v>
      </c>
      <c r="H2006">
        <f t="shared" si="31"/>
        <v>0</v>
      </c>
    </row>
    <row r="2007" spans="1:8" x14ac:dyDescent="0.3">
      <c r="A2007" t="s">
        <v>66</v>
      </c>
      <c r="B2007" t="s">
        <v>8</v>
      </c>
      <c r="C2007" t="s">
        <v>15</v>
      </c>
      <c r="D2007">
        <v>3</v>
      </c>
      <c r="E2007" t="s">
        <v>57</v>
      </c>
      <c r="F2007" t="s">
        <v>39</v>
      </c>
      <c r="G2007" t="s">
        <v>40</v>
      </c>
      <c r="H2007">
        <f t="shared" si="31"/>
        <v>3</v>
      </c>
    </row>
    <row r="2008" spans="1:8" x14ac:dyDescent="0.3">
      <c r="A2008" t="s">
        <v>66</v>
      </c>
      <c r="B2008" t="s">
        <v>8</v>
      </c>
      <c r="C2008" t="s">
        <v>16</v>
      </c>
      <c r="D2008">
        <v>4</v>
      </c>
      <c r="E2008" t="s">
        <v>57</v>
      </c>
      <c r="F2008" t="s">
        <v>39</v>
      </c>
      <c r="G2008" t="s">
        <v>40</v>
      </c>
      <c r="H2008">
        <f t="shared" si="31"/>
        <v>4</v>
      </c>
    </row>
    <row r="2009" spans="1:8" x14ac:dyDescent="0.3">
      <c r="A2009" t="s">
        <v>66</v>
      </c>
      <c r="B2009" t="s">
        <v>8</v>
      </c>
      <c r="C2009" t="s">
        <v>17</v>
      </c>
      <c r="D2009">
        <v>13</v>
      </c>
      <c r="E2009" t="s">
        <v>57</v>
      </c>
      <c r="F2009" t="s">
        <v>39</v>
      </c>
      <c r="G2009" t="s">
        <v>40</v>
      </c>
      <c r="H2009">
        <f t="shared" si="31"/>
        <v>13</v>
      </c>
    </row>
    <row r="2010" spans="1:8" x14ac:dyDescent="0.3">
      <c r="A2010" t="s">
        <v>66</v>
      </c>
      <c r="B2010" t="s">
        <v>8</v>
      </c>
      <c r="C2010" t="s">
        <v>18</v>
      </c>
      <c r="D2010">
        <v>0</v>
      </c>
      <c r="E2010" t="s">
        <v>57</v>
      </c>
      <c r="F2010" t="s">
        <v>39</v>
      </c>
      <c r="G2010" t="s">
        <v>40</v>
      </c>
      <c r="H2010">
        <f t="shared" si="31"/>
        <v>0</v>
      </c>
    </row>
    <row r="2011" spans="1:8" x14ac:dyDescent="0.3">
      <c r="A2011" t="s">
        <v>66</v>
      </c>
      <c r="B2011" t="s">
        <v>8</v>
      </c>
      <c r="C2011" t="s">
        <v>19</v>
      </c>
      <c r="D2011">
        <v>0</v>
      </c>
      <c r="E2011" t="s">
        <v>57</v>
      </c>
      <c r="F2011" t="s">
        <v>39</v>
      </c>
      <c r="G2011" t="s">
        <v>40</v>
      </c>
      <c r="H2011">
        <f t="shared" si="31"/>
        <v>0</v>
      </c>
    </row>
    <row r="2012" spans="1:8" x14ac:dyDescent="0.3">
      <c r="A2012" t="s">
        <v>66</v>
      </c>
      <c r="B2012" t="s">
        <v>8</v>
      </c>
      <c r="C2012" t="s">
        <v>20</v>
      </c>
      <c r="D2012">
        <v>0</v>
      </c>
      <c r="E2012" t="s">
        <v>57</v>
      </c>
      <c r="F2012" t="s">
        <v>39</v>
      </c>
      <c r="G2012" t="s">
        <v>40</v>
      </c>
      <c r="H2012">
        <f t="shared" si="31"/>
        <v>0</v>
      </c>
    </row>
    <row r="2013" spans="1:8" x14ac:dyDescent="0.3">
      <c r="A2013" t="s">
        <v>66</v>
      </c>
      <c r="B2013" t="s">
        <v>8</v>
      </c>
      <c r="C2013" t="s">
        <v>21</v>
      </c>
      <c r="D2013">
        <v>0</v>
      </c>
      <c r="E2013" t="s">
        <v>57</v>
      </c>
      <c r="F2013" t="s">
        <v>39</v>
      </c>
      <c r="G2013" t="s">
        <v>40</v>
      </c>
      <c r="H2013">
        <f t="shared" si="31"/>
        <v>0</v>
      </c>
    </row>
    <row r="2014" spans="1:8" x14ac:dyDescent="0.3">
      <c r="A2014" t="s">
        <v>66</v>
      </c>
      <c r="B2014" t="s">
        <v>8</v>
      </c>
      <c r="C2014" t="s">
        <v>22</v>
      </c>
      <c r="D2014">
        <v>126</v>
      </c>
      <c r="E2014" t="s">
        <v>57</v>
      </c>
      <c r="F2014" t="s">
        <v>39</v>
      </c>
      <c r="G2014" t="s">
        <v>40</v>
      </c>
      <c r="H2014">
        <f t="shared" si="31"/>
        <v>126</v>
      </c>
    </row>
    <row r="2015" spans="1:8" x14ac:dyDescent="0.3">
      <c r="A2015" t="s">
        <v>66</v>
      </c>
      <c r="B2015" t="s">
        <v>23</v>
      </c>
      <c r="C2015" t="s">
        <v>9</v>
      </c>
      <c r="D2015">
        <v>83176</v>
      </c>
      <c r="E2015" t="s">
        <v>57</v>
      </c>
      <c r="F2015" t="s">
        <v>39</v>
      </c>
      <c r="G2015" t="s">
        <v>40</v>
      </c>
      <c r="H2015">
        <f t="shared" si="31"/>
        <v>83200</v>
      </c>
    </row>
    <row r="2016" spans="1:8" x14ac:dyDescent="0.3">
      <c r="A2016" t="s">
        <v>66</v>
      </c>
      <c r="B2016" t="s">
        <v>23</v>
      </c>
      <c r="C2016" t="s">
        <v>13</v>
      </c>
      <c r="D2016">
        <v>627</v>
      </c>
      <c r="E2016" t="s">
        <v>57</v>
      </c>
      <c r="F2016" t="s">
        <v>39</v>
      </c>
      <c r="G2016" t="s">
        <v>40</v>
      </c>
      <c r="H2016">
        <f t="shared" si="31"/>
        <v>627</v>
      </c>
    </row>
    <row r="2017" spans="1:8" x14ac:dyDescent="0.3">
      <c r="A2017" t="s">
        <v>66</v>
      </c>
      <c r="B2017" t="s">
        <v>23</v>
      </c>
      <c r="C2017" t="s">
        <v>14</v>
      </c>
      <c r="D2017">
        <v>2811</v>
      </c>
      <c r="E2017" t="s">
        <v>57</v>
      </c>
      <c r="F2017" t="s">
        <v>39</v>
      </c>
      <c r="G2017" t="s">
        <v>40</v>
      </c>
      <c r="H2017">
        <f t="shared" si="31"/>
        <v>2810</v>
      </c>
    </row>
    <row r="2018" spans="1:8" x14ac:dyDescent="0.3">
      <c r="A2018" t="s">
        <v>66</v>
      </c>
      <c r="B2018" t="s">
        <v>23</v>
      </c>
      <c r="C2018" t="s">
        <v>15</v>
      </c>
      <c r="D2018">
        <v>86</v>
      </c>
      <c r="E2018" t="s">
        <v>57</v>
      </c>
      <c r="F2018" t="s">
        <v>39</v>
      </c>
      <c r="G2018" t="s">
        <v>40</v>
      </c>
      <c r="H2018">
        <f t="shared" si="31"/>
        <v>86</v>
      </c>
    </row>
    <row r="2019" spans="1:8" x14ac:dyDescent="0.3">
      <c r="A2019" t="s">
        <v>66</v>
      </c>
      <c r="B2019" t="s">
        <v>23</v>
      </c>
      <c r="C2019" t="s">
        <v>16</v>
      </c>
      <c r="D2019">
        <v>8269</v>
      </c>
      <c r="E2019" t="s">
        <v>57</v>
      </c>
      <c r="F2019" t="s">
        <v>39</v>
      </c>
      <c r="G2019" t="s">
        <v>40</v>
      </c>
      <c r="H2019">
        <f t="shared" si="31"/>
        <v>8270</v>
      </c>
    </row>
    <row r="2020" spans="1:8" x14ac:dyDescent="0.3">
      <c r="A2020" t="s">
        <v>66</v>
      </c>
      <c r="B2020" t="s">
        <v>23</v>
      </c>
      <c r="C2020" t="s">
        <v>17</v>
      </c>
      <c r="D2020">
        <v>784</v>
      </c>
      <c r="E2020" t="s">
        <v>57</v>
      </c>
      <c r="F2020" t="s">
        <v>39</v>
      </c>
      <c r="G2020" t="s">
        <v>40</v>
      </c>
      <c r="H2020">
        <f t="shared" si="31"/>
        <v>784</v>
      </c>
    </row>
    <row r="2021" spans="1:8" x14ac:dyDescent="0.3">
      <c r="A2021" t="s">
        <v>66</v>
      </c>
      <c r="B2021" t="s">
        <v>23</v>
      </c>
      <c r="C2021" t="s">
        <v>18</v>
      </c>
      <c r="D2021">
        <v>0</v>
      </c>
      <c r="E2021" t="s">
        <v>57</v>
      </c>
      <c r="F2021" t="s">
        <v>39</v>
      </c>
      <c r="G2021" t="s">
        <v>40</v>
      </c>
      <c r="H2021">
        <f t="shared" si="31"/>
        <v>0</v>
      </c>
    </row>
    <row r="2022" spans="1:8" x14ac:dyDescent="0.3">
      <c r="A2022" t="s">
        <v>66</v>
      </c>
      <c r="B2022" t="s">
        <v>23</v>
      </c>
      <c r="C2022" t="s">
        <v>19</v>
      </c>
      <c r="D2022">
        <v>91</v>
      </c>
      <c r="E2022" t="s">
        <v>57</v>
      </c>
      <c r="F2022" t="s">
        <v>39</v>
      </c>
      <c r="G2022" t="s">
        <v>40</v>
      </c>
      <c r="H2022">
        <f t="shared" si="31"/>
        <v>91</v>
      </c>
    </row>
    <row r="2023" spans="1:8" x14ac:dyDescent="0.3">
      <c r="A2023" t="s">
        <v>66</v>
      </c>
      <c r="B2023" t="s">
        <v>23</v>
      </c>
      <c r="C2023" t="s">
        <v>20</v>
      </c>
      <c r="D2023">
        <v>517</v>
      </c>
      <c r="E2023" t="s">
        <v>57</v>
      </c>
      <c r="F2023" t="s">
        <v>39</v>
      </c>
      <c r="G2023" t="s">
        <v>40</v>
      </c>
      <c r="H2023">
        <f t="shared" si="31"/>
        <v>517</v>
      </c>
    </row>
    <row r="2024" spans="1:8" x14ac:dyDescent="0.3">
      <c r="A2024" t="s">
        <v>66</v>
      </c>
      <c r="B2024" t="s">
        <v>23</v>
      </c>
      <c r="C2024" t="s">
        <v>21</v>
      </c>
      <c r="D2024">
        <v>112</v>
      </c>
      <c r="E2024" t="s">
        <v>57</v>
      </c>
      <c r="F2024" t="s">
        <v>39</v>
      </c>
      <c r="G2024" t="s">
        <v>40</v>
      </c>
      <c r="H2024">
        <f t="shared" si="31"/>
        <v>112</v>
      </c>
    </row>
    <row r="2025" spans="1:8" x14ac:dyDescent="0.3">
      <c r="A2025" t="s">
        <v>66</v>
      </c>
      <c r="B2025" t="s">
        <v>23</v>
      </c>
      <c r="C2025" t="s">
        <v>22</v>
      </c>
      <c r="D2025">
        <v>329</v>
      </c>
      <c r="E2025" t="s">
        <v>57</v>
      </c>
      <c r="F2025" t="s">
        <v>39</v>
      </c>
      <c r="G2025" t="s">
        <v>40</v>
      </c>
      <c r="H2025">
        <f t="shared" si="31"/>
        <v>329</v>
      </c>
    </row>
  </sheetData>
  <pageMargins left="0.75" right="0.75" top="1" bottom="1" header="0.5" footer="0.5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409"/>
  <sheetViews>
    <sheetView workbookViewId="0">
      <selection activeCell="O50" sqref="O50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118</v>
      </c>
    </row>
    <row r="2" spans="1:8" x14ac:dyDescent="0.3">
      <c r="A2" t="s">
        <v>67</v>
      </c>
      <c r="B2" t="s">
        <v>8</v>
      </c>
      <c r="C2" t="s">
        <v>9</v>
      </c>
      <c r="D2">
        <v>2</v>
      </c>
      <c r="E2" t="s">
        <v>68</v>
      </c>
      <c r="F2" t="s">
        <v>11</v>
      </c>
      <c r="G2" t="s">
        <v>12</v>
      </c>
      <c r="H2">
        <f>ROUND(D2, 3 - LEN(INT(ABS(D2))))</f>
        <v>2</v>
      </c>
    </row>
    <row r="3" spans="1:8" x14ac:dyDescent="0.3">
      <c r="A3" t="s">
        <v>67</v>
      </c>
      <c r="B3" t="s">
        <v>8</v>
      </c>
      <c r="C3" t="s">
        <v>13</v>
      </c>
      <c r="D3">
        <v>0</v>
      </c>
      <c r="E3" t="s">
        <v>68</v>
      </c>
      <c r="F3" t="s">
        <v>11</v>
      </c>
      <c r="G3" t="s">
        <v>12</v>
      </c>
      <c r="H3">
        <f t="shared" ref="H3:H66" si="0">ROUND(D3, 3 - LEN(INT(ABS(D3))))</f>
        <v>0</v>
      </c>
    </row>
    <row r="4" spans="1:8" x14ac:dyDescent="0.3">
      <c r="A4" t="s">
        <v>67</v>
      </c>
      <c r="B4" t="s">
        <v>8</v>
      </c>
      <c r="C4" t="s">
        <v>14</v>
      </c>
      <c r="D4">
        <v>21</v>
      </c>
      <c r="E4" t="s">
        <v>68</v>
      </c>
      <c r="F4" t="s">
        <v>11</v>
      </c>
      <c r="G4" t="s">
        <v>12</v>
      </c>
      <c r="H4">
        <f t="shared" si="0"/>
        <v>21</v>
      </c>
    </row>
    <row r="5" spans="1:8" x14ac:dyDescent="0.3">
      <c r="A5" t="s">
        <v>67</v>
      </c>
      <c r="B5" t="s">
        <v>8</v>
      </c>
      <c r="C5" t="s">
        <v>15</v>
      </c>
      <c r="D5">
        <v>0</v>
      </c>
      <c r="E5" t="s">
        <v>68</v>
      </c>
      <c r="F5" t="s">
        <v>11</v>
      </c>
      <c r="G5" t="s">
        <v>12</v>
      </c>
      <c r="H5">
        <f t="shared" si="0"/>
        <v>0</v>
      </c>
    </row>
    <row r="6" spans="1:8" x14ac:dyDescent="0.3">
      <c r="A6" t="s">
        <v>67</v>
      </c>
      <c r="B6" t="s">
        <v>8</v>
      </c>
      <c r="C6" t="s">
        <v>16</v>
      </c>
      <c r="D6">
        <v>11506</v>
      </c>
      <c r="E6" t="s">
        <v>68</v>
      </c>
      <c r="F6" t="s">
        <v>11</v>
      </c>
      <c r="G6" t="s">
        <v>12</v>
      </c>
      <c r="H6">
        <f t="shared" si="0"/>
        <v>11500</v>
      </c>
    </row>
    <row r="7" spans="1:8" x14ac:dyDescent="0.3">
      <c r="A7" t="s">
        <v>67</v>
      </c>
      <c r="B7" t="s">
        <v>8</v>
      </c>
      <c r="C7" t="s">
        <v>17</v>
      </c>
      <c r="D7">
        <v>15</v>
      </c>
      <c r="E7" t="s">
        <v>68</v>
      </c>
      <c r="F7" t="s">
        <v>11</v>
      </c>
      <c r="G7" t="s">
        <v>12</v>
      </c>
      <c r="H7">
        <f t="shared" si="0"/>
        <v>15</v>
      </c>
    </row>
    <row r="8" spans="1:8" x14ac:dyDescent="0.3">
      <c r="A8" t="s">
        <v>67</v>
      </c>
      <c r="B8" t="s">
        <v>8</v>
      </c>
      <c r="C8" t="s">
        <v>18</v>
      </c>
      <c r="D8">
        <v>0</v>
      </c>
      <c r="E8" t="s">
        <v>68</v>
      </c>
      <c r="F8" t="s">
        <v>11</v>
      </c>
      <c r="G8" t="s">
        <v>12</v>
      </c>
      <c r="H8">
        <f t="shared" si="0"/>
        <v>0</v>
      </c>
    </row>
    <row r="9" spans="1:8" x14ac:dyDescent="0.3">
      <c r="A9" t="s">
        <v>67</v>
      </c>
      <c r="B9" t="s">
        <v>8</v>
      </c>
      <c r="C9" t="s">
        <v>19</v>
      </c>
      <c r="D9">
        <v>0</v>
      </c>
      <c r="E9" t="s">
        <v>68</v>
      </c>
      <c r="F9" t="s">
        <v>11</v>
      </c>
      <c r="G9" t="s">
        <v>12</v>
      </c>
      <c r="H9">
        <f t="shared" si="0"/>
        <v>0</v>
      </c>
    </row>
    <row r="10" spans="1:8" x14ac:dyDescent="0.3">
      <c r="A10" t="s">
        <v>67</v>
      </c>
      <c r="B10" t="s">
        <v>8</v>
      </c>
      <c r="C10" t="s">
        <v>20</v>
      </c>
      <c r="D10">
        <v>0</v>
      </c>
      <c r="E10" t="s">
        <v>68</v>
      </c>
      <c r="F10" t="s">
        <v>11</v>
      </c>
      <c r="G10" t="s">
        <v>12</v>
      </c>
      <c r="H10">
        <f t="shared" si="0"/>
        <v>0</v>
      </c>
    </row>
    <row r="11" spans="1:8" x14ac:dyDescent="0.3">
      <c r="A11" t="s">
        <v>67</v>
      </c>
      <c r="B11" t="s">
        <v>8</v>
      </c>
      <c r="C11" t="s">
        <v>21</v>
      </c>
      <c r="D11">
        <v>0</v>
      </c>
      <c r="E11" t="s">
        <v>68</v>
      </c>
      <c r="F11" t="s">
        <v>11</v>
      </c>
      <c r="G11" t="s">
        <v>12</v>
      </c>
      <c r="H11">
        <f t="shared" si="0"/>
        <v>0</v>
      </c>
    </row>
    <row r="12" spans="1:8" x14ac:dyDescent="0.3">
      <c r="A12" t="s">
        <v>67</v>
      </c>
      <c r="B12" t="s">
        <v>8</v>
      </c>
      <c r="C12" t="s">
        <v>22</v>
      </c>
      <c r="D12">
        <v>0</v>
      </c>
      <c r="E12" t="s">
        <v>68</v>
      </c>
      <c r="F12" t="s">
        <v>11</v>
      </c>
      <c r="G12" t="s">
        <v>12</v>
      </c>
      <c r="H12">
        <f t="shared" si="0"/>
        <v>0</v>
      </c>
    </row>
    <row r="13" spans="1:8" x14ac:dyDescent="0.3">
      <c r="A13" t="s">
        <v>67</v>
      </c>
      <c r="B13" t="s">
        <v>23</v>
      </c>
      <c r="C13" t="s">
        <v>9</v>
      </c>
      <c r="D13">
        <v>1</v>
      </c>
      <c r="E13" t="s">
        <v>68</v>
      </c>
      <c r="F13" t="s">
        <v>11</v>
      </c>
      <c r="G13" t="s">
        <v>12</v>
      </c>
      <c r="H13">
        <f t="shared" si="0"/>
        <v>1</v>
      </c>
    </row>
    <row r="14" spans="1:8" x14ac:dyDescent="0.3">
      <c r="A14" t="s">
        <v>67</v>
      </c>
      <c r="B14" t="s">
        <v>23</v>
      </c>
      <c r="C14" t="s">
        <v>13</v>
      </c>
      <c r="D14">
        <v>2</v>
      </c>
      <c r="E14" t="s">
        <v>68</v>
      </c>
      <c r="F14" t="s">
        <v>11</v>
      </c>
      <c r="G14" t="s">
        <v>12</v>
      </c>
      <c r="H14">
        <f t="shared" si="0"/>
        <v>2</v>
      </c>
    </row>
    <row r="15" spans="1:8" x14ac:dyDescent="0.3">
      <c r="A15" t="s">
        <v>67</v>
      </c>
      <c r="B15" t="s">
        <v>23</v>
      </c>
      <c r="C15" t="s">
        <v>14</v>
      </c>
      <c r="D15">
        <v>7</v>
      </c>
      <c r="E15" t="s">
        <v>68</v>
      </c>
      <c r="F15" t="s">
        <v>11</v>
      </c>
      <c r="G15" t="s">
        <v>12</v>
      </c>
      <c r="H15">
        <f t="shared" si="0"/>
        <v>7</v>
      </c>
    </row>
    <row r="16" spans="1:8" x14ac:dyDescent="0.3">
      <c r="A16" t="s">
        <v>67</v>
      </c>
      <c r="B16" t="s">
        <v>23</v>
      </c>
      <c r="C16" t="s">
        <v>15</v>
      </c>
      <c r="D16">
        <v>0</v>
      </c>
      <c r="E16" t="s">
        <v>68</v>
      </c>
      <c r="F16" t="s">
        <v>11</v>
      </c>
      <c r="G16" t="s">
        <v>12</v>
      </c>
      <c r="H16">
        <f t="shared" si="0"/>
        <v>0</v>
      </c>
    </row>
    <row r="17" spans="1:8" x14ac:dyDescent="0.3">
      <c r="A17" t="s">
        <v>67</v>
      </c>
      <c r="B17" t="s">
        <v>23</v>
      </c>
      <c r="C17" t="s">
        <v>16</v>
      </c>
      <c r="D17">
        <v>2812</v>
      </c>
      <c r="E17" t="s">
        <v>68</v>
      </c>
      <c r="F17" t="s">
        <v>11</v>
      </c>
      <c r="G17" t="s">
        <v>12</v>
      </c>
      <c r="H17">
        <f t="shared" si="0"/>
        <v>2810</v>
      </c>
    </row>
    <row r="18" spans="1:8" x14ac:dyDescent="0.3">
      <c r="A18" t="s">
        <v>67</v>
      </c>
      <c r="B18" t="s">
        <v>23</v>
      </c>
      <c r="C18" t="s">
        <v>17</v>
      </c>
      <c r="D18">
        <v>0</v>
      </c>
      <c r="E18" t="s">
        <v>68</v>
      </c>
      <c r="F18" t="s">
        <v>11</v>
      </c>
      <c r="G18" t="s">
        <v>12</v>
      </c>
      <c r="H18">
        <f t="shared" si="0"/>
        <v>0</v>
      </c>
    </row>
    <row r="19" spans="1:8" x14ac:dyDescent="0.3">
      <c r="A19" t="s">
        <v>67</v>
      </c>
      <c r="B19" t="s">
        <v>23</v>
      </c>
      <c r="C19" t="s">
        <v>18</v>
      </c>
      <c r="D19">
        <v>0</v>
      </c>
      <c r="E19" t="s">
        <v>68</v>
      </c>
      <c r="F19" t="s">
        <v>11</v>
      </c>
      <c r="G19" t="s">
        <v>12</v>
      </c>
      <c r="H19">
        <f t="shared" si="0"/>
        <v>0</v>
      </c>
    </row>
    <row r="20" spans="1:8" x14ac:dyDescent="0.3">
      <c r="A20" t="s">
        <v>67</v>
      </c>
      <c r="B20" t="s">
        <v>23</v>
      </c>
      <c r="C20" t="s">
        <v>19</v>
      </c>
      <c r="D20">
        <v>0</v>
      </c>
      <c r="E20" t="s">
        <v>68</v>
      </c>
      <c r="F20" t="s">
        <v>11</v>
      </c>
      <c r="G20" t="s">
        <v>12</v>
      </c>
      <c r="H20">
        <f t="shared" si="0"/>
        <v>0</v>
      </c>
    </row>
    <row r="21" spans="1:8" x14ac:dyDescent="0.3">
      <c r="A21" t="s">
        <v>67</v>
      </c>
      <c r="B21" t="s">
        <v>23</v>
      </c>
      <c r="C21" t="s">
        <v>20</v>
      </c>
      <c r="D21">
        <v>19</v>
      </c>
      <c r="E21" t="s">
        <v>68</v>
      </c>
      <c r="F21" t="s">
        <v>11</v>
      </c>
      <c r="G21" t="s">
        <v>12</v>
      </c>
      <c r="H21">
        <f t="shared" si="0"/>
        <v>19</v>
      </c>
    </row>
    <row r="22" spans="1:8" x14ac:dyDescent="0.3">
      <c r="A22" t="s">
        <v>67</v>
      </c>
      <c r="B22" t="s">
        <v>23</v>
      </c>
      <c r="C22" t="s">
        <v>21</v>
      </c>
      <c r="D22">
        <v>0</v>
      </c>
      <c r="E22" t="s">
        <v>68</v>
      </c>
      <c r="F22" t="s">
        <v>11</v>
      </c>
      <c r="G22" t="s">
        <v>12</v>
      </c>
      <c r="H22">
        <f t="shared" si="0"/>
        <v>0</v>
      </c>
    </row>
    <row r="23" spans="1:8" x14ac:dyDescent="0.3">
      <c r="A23" t="s">
        <v>67</v>
      </c>
      <c r="B23" t="s">
        <v>23</v>
      </c>
      <c r="C23" t="s">
        <v>22</v>
      </c>
      <c r="D23">
        <v>2</v>
      </c>
      <c r="E23" t="s">
        <v>68</v>
      </c>
      <c r="F23" t="s">
        <v>11</v>
      </c>
      <c r="G23" t="s">
        <v>12</v>
      </c>
      <c r="H23">
        <f t="shared" si="0"/>
        <v>2</v>
      </c>
    </row>
    <row r="24" spans="1:8" x14ac:dyDescent="0.3">
      <c r="A24" t="s">
        <v>69</v>
      </c>
      <c r="B24" t="s">
        <v>8</v>
      </c>
      <c r="C24" t="s">
        <v>9</v>
      </c>
      <c r="D24">
        <v>0</v>
      </c>
      <c r="E24" t="s">
        <v>68</v>
      </c>
      <c r="F24" t="s">
        <v>11</v>
      </c>
      <c r="G24" t="s">
        <v>12</v>
      </c>
      <c r="H24">
        <f t="shared" si="0"/>
        <v>0</v>
      </c>
    </row>
    <row r="25" spans="1:8" x14ac:dyDescent="0.3">
      <c r="A25" t="s">
        <v>69</v>
      </c>
      <c r="B25" t="s">
        <v>8</v>
      </c>
      <c r="C25" t="s">
        <v>13</v>
      </c>
      <c r="D25">
        <v>0</v>
      </c>
      <c r="E25" t="s">
        <v>68</v>
      </c>
      <c r="F25" t="s">
        <v>11</v>
      </c>
      <c r="G25" t="s">
        <v>12</v>
      </c>
      <c r="H25">
        <f t="shared" si="0"/>
        <v>0</v>
      </c>
    </row>
    <row r="26" spans="1:8" x14ac:dyDescent="0.3">
      <c r="A26" t="s">
        <v>69</v>
      </c>
      <c r="B26" t="s">
        <v>8</v>
      </c>
      <c r="C26" t="s">
        <v>14</v>
      </c>
      <c r="D26">
        <v>0</v>
      </c>
      <c r="E26" t="s">
        <v>68</v>
      </c>
      <c r="F26" t="s">
        <v>11</v>
      </c>
      <c r="G26" t="s">
        <v>12</v>
      </c>
      <c r="H26">
        <f t="shared" si="0"/>
        <v>0</v>
      </c>
    </row>
    <row r="27" spans="1:8" x14ac:dyDescent="0.3">
      <c r="A27" t="s">
        <v>69</v>
      </c>
      <c r="B27" t="s">
        <v>8</v>
      </c>
      <c r="C27" t="s">
        <v>15</v>
      </c>
      <c r="D27">
        <v>0</v>
      </c>
      <c r="E27" t="s">
        <v>68</v>
      </c>
      <c r="F27" t="s">
        <v>11</v>
      </c>
      <c r="G27" t="s">
        <v>12</v>
      </c>
      <c r="H27">
        <f t="shared" si="0"/>
        <v>0</v>
      </c>
    </row>
    <row r="28" spans="1:8" x14ac:dyDescent="0.3">
      <c r="A28" t="s">
        <v>69</v>
      </c>
      <c r="B28" t="s">
        <v>8</v>
      </c>
      <c r="C28" t="s">
        <v>16</v>
      </c>
      <c r="D28">
        <v>1</v>
      </c>
      <c r="E28" t="s">
        <v>68</v>
      </c>
      <c r="F28" t="s">
        <v>11</v>
      </c>
      <c r="G28" t="s">
        <v>12</v>
      </c>
      <c r="H28">
        <f t="shared" si="0"/>
        <v>1</v>
      </c>
    </row>
    <row r="29" spans="1:8" x14ac:dyDescent="0.3">
      <c r="A29" t="s">
        <v>69</v>
      </c>
      <c r="B29" t="s">
        <v>8</v>
      </c>
      <c r="C29" t="s">
        <v>17</v>
      </c>
      <c r="D29">
        <v>0</v>
      </c>
      <c r="E29" t="s">
        <v>68</v>
      </c>
      <c r="F29" t="s">
        <v>11</v>
      </c>
      <c r="G29" t="s">
        <v>12</v>
      </c>
      <c r="H29">
        <f t="shared" si="0"/>
        <v>0</v>
      </c>
    </row>
    <row r="30" spans="1:8" x14ac:dyDescent="0.3">
      <c r="A30" t="s">
        <v>69</v>
      </c>
      <c r="B30" t="s">
        <v>8</v>
      </c>
      <c r="C30" t="s">
        <v>18</v>
      </c>
      <c r="D30">
        <v>0</v>
      </c>
      <c r="E30" t="s">
        <v>68</v>
      </c>
      <c r="F30" t="s">
        <v>11</v>
      </c>
      <c r="G30" t="s">
        <v>12</v>
      </c>
      <c r="H30">
        <f t="shared" si="0"/>
        <v>0</v>
      </c>
    </row>
    <row r="31" spans="1:8" x14ac:dyDescent="0.3">
      <c r="A31" t="s">
        <v>69</v>
      </c>
      <c r="B31" t="s">
        <v>8</v>
      </c>
      <c r="C31" t="s">
        <v>19</v>
      </c>
      <c r="D31">
        <v>0</v>
      </c>
      <c r="E31" t="s">
        <v>68</v>
      </c>
      <c r="F31" t="s">
        <v>11</v>
      </c>
      <c r="G31" t="s">
        <v>12</v>
      </c>
      <c r="H31">
        <f t="shared" si="0"/>
        <v>0</v>
      </c>
    </row>
    <row r="32" spans="1:8" x14ac:dyDescent="0.3">
      <c r="A32" t="s">
        <v>69</v>
      </c>
      <c r="B32" t="s">
        <v>8</v>
      </c>
      <c r="C32" t="s">
        <v>20</v>
      </c>
      <c r="D32">
        <v>0</v>
      </c>
      <c r="E32" t="s">
        <v>68</v>
      </c>
      <c r="F32" t="s">
        <v>11</v>
      </c>
      <c r="G32" t="s">
        <v>12</v>
      </c>
      <c r="H32">
        <f t="shared" si="0"/>
        <v>0</v>
      </c>
    </row>
    <row r="33" spans="1:8" x14ac:dyDescent="0.3">
      <c r="A33" t="s">
        <v>69</v>
      </c>
      <c r="B33" t="s">
        <v>8</v>
      </c>
      <c r="C33" t="s">
        <v>21</v>
      </c>
      <c r="D33">
        <v>0</v>
      </c>
      <c r="E33" t="s">
        <v>68</v>
      </c>
      <c r="F33" t="s">
        <v>11</v>
      </c>
      <c r="G33" t="s">
        <v>12</v>
      </c>
      <c r="H33">
        <f t="shared" si="0"/>
        <v>0</v>
      </c>
    </row>
    <row r="34" spans="1:8" x14ac:dyDescent="0.3">
      <c r="A34" t="s">
        <v>69</v>
      </c>
      <c r="B34" t="s">
        <v>8</v>
      </c>
      <c r="C34" t="s">
        <v>22</v>
      </c>
      <c r="D34">
        <v>2489</v>
      </c>
      <c r="E34" t="s">
        <v>68</v>
      </c>
      <c r="F34" t="s">
        <v>11</v>
      </c>
      <c r="G34" t="s">
        <v>12</v>
      </c>
      <c r="H34">
        <f t="shared" si="0"/>
        <v>2490</v>
      </c>
    </row>
    <row r="35" spans="1:8" x14ac:dyDescent="0.3">
      <c r="A35" t="s">
        <v>69</v>
      </c>
      <c r="B35" t="s">
        <v>23</v>
      </c>
      <c r="C35" t="s">
        <v>9</v>
      </c>
      <c r="D35">
        <v>28</v>
      </c>
      <c r="E35" t="s">
        <v>68</v>
      </c>
      <c r="F35" t="s">
        <v>11</v>
      </c>
      <c r="G35" t="s">
        <v>12</v>
      </c>
      <c r="H35">
        <f t="shared" si="0"/>
        <v>28</v>
      </c>
    </row>
    <row r="36" spans="1:8" x14ac:dyDescent="0.3">
      <c r="A36" t="s">
        <v>69</v>
      </c>
      <c r="B36" t="s">
        <v>23</v>
      </c>
      <c r="C36" t="s">
        <v>13</v>
      </c>
      <c r="D36">
        <v>253</v>
      </c>
      <c r="E36" t="s">
        <v>68</v>
      </c>
      <c r="F36" t="s">
        <v>11</v>
      </c>
      <c r="G36" t="s">
        <v>12</v>
      </c>
      <c r="H36">
        <f t="shared" si="0"/>
        <v>253</v>
      </c>
    </row>
    <row r="37" spans="1:8" x14ac:dyDescent="0.3">
      <c r="A37" t="s">
        <v>69</v>
      </c>
      <c r="B37" t="s">
        <v>23</v>
      </c>
      <c r="C37" t="s">
        <v>14</v>
      </c>
      <c r="D37">
        <v>315</v>
      </c>
      <c r="E37" t="s">
        <v>68</v>
      </c>
      <c r="F37" t="s">
        <v>11</v>
      </c>
      <c r="G37" t="s">
        <v>12</v>
      </c>
      <c r="H37">
        <f t="shared" si="0"/>
        <v>315</v>
      </c>
    </row>
    <row r="38" spans="1:8" x14ac:dyDescent="0.3">
      <c r="A38" t="s">
        <v>69</v>
      </c>
      <c r="B38" t="s">
        <v>23</v>
      </c>
      <c r="C38" t="s">
        <v>15</v>
      </c>
      <c r="D38">
        <v>11</v>
      </c>
      <c r="E38" t="s">
        <v>68</v>
      </c>
      <c r="F38" t="s">
        <v>11</v>
      </c>
      <c r="G38" t="s">
        <v>12</v>
      </c>
      <c r="H38">
        <f t="shared" si="0"/>
        <v>11</v>
      </c>
    </row>
    <row r="39" spans="1:8" x14ac:dyDescent="0.3">
      <c r="A39" t="s">
        <v>69</v>
      </c>
      <c r="B39" t="s">
        <v>23</v>
      </c>
      <c r="C39" t="s">
        <v>16</v>
      </c>
      <c r="D39">
        <v>144</v>
      </c>
      <c r="E39" t="s">
        <v>68</v>
      </c>
      <c r="F39" t="s">
        <v>11</v>
      </c>
      <c r="G39" t="s">
        <v>12</v>
      </c>
      <c r="H39">
        <f t="shared" si="0"/>
        <v>144</v>
      </c>
    </row>
    <row r="40" spans="1:8" x14ac:dyDescent="0.3">
      <c r="A40" t="s">
        <v>69</v>
      </c>
      <c r="B40" t="s">
        <v>23</v>
      </c>
      <c r="C40" t="s">
        <v>17</v>
      </c>
      <c r="D40">
        <v>39</v>
      </c>
      <c r="E40" t="s">
        <v>68</v>
      </c>
      <c r="F40" t="s">
        <v>11</v>
      </c>
      <c r="G40" t="s">
        <v>12</v>
      </c>
      <c r="H40">
        <f t="shared" si="0"/>
        <v>39</v>
      </c>
    </row>
    <row r="41" spans="1:8" x14ac:dyDescent="0.3">
      <c r="A41" t="s">
        <v>69</v>
      </c>
      <c r="B41" t="s">
        <v>23</v>
      </c>
      <c r="C41" t="s">
        <v>18</v>
      </c>
      <c r="D41">
        <v>0</v>
      </c>
      <c r="E41" t="s">
        <v>68</v>
      </c>
      <c r="F41" t="s">
        <v>11</v>
      </c>
      <c r="G41" t="s">
        <v>12</v>
      </c>
      <c r="H41">
        <f t="shared" si="0"/>
        <v>0</v>
      </c>
    </row>
    <row r="42" spans="1:8" x14ac:dyDescent="0.3">
      <c r="A42" t="s">
        <v>69</v>
      </c>
      <c r="B42" t="s">
        <v>23</v>
      </c>
      <c r="C42" t="s">
        <v>19</v>
      </c>
      <c r="D42">
        <v>63</v>
      </c>
      <c r="E42" t="s">
        <v>68</v>
      </c>
      <c r="F42" t="s">
        <v>11</v>
      </c>
      <c r="G42" t="s">
        <v>12</v>
      </c>
      <c r="H42">
        <f t="shared" si="0"/>
        <v>63</v>
      </c>
    </row>
    <row r="43" spans="1:8" x14ac:dyDescent="0.3">
      <c r="A43" t="s">
        <v>69</v>
      </c>
      <c r="B43" t="s">
        <v>23</v>
      </c>
      <c r="C43" t="s">
        <v>20</v>
      </c>
      <c r="D43">
        <v>21</v>
      </c>
      <c r="E43" t="s">
        <v>68</v>
      </c>
      <c r="F43" t="s">
        <v>11</v>
      </c>
      <c r="G43" t="s">
        <v>12</v>
      </c>
      <c r="H43">
        <f t="shared" si="0"/>
        <v>21</v>
      </c>
    </row>
    <row r="44" spans="1:8" x14ac:dyDescent="0.3">
      <c r="A44" t="s">
        <v>69</v>
      </c>
      <c r="B44" t="s">
        <v>23</v>
      </c>
      <c r="C44" t="s">
        <v>21</v>
      </c>
      <c r="D44">
        <v>7</v>
      </c>
      <c r="E44" t="s">
        <v>68</v>
      </c>
      <c r="F44" t="s">
        <v>11</v>
      </c>
      <c r="G44" t="s">
        <v>12</v>
      </c>
      <c r="H44">
        <f t="shared" si="0"/>
        <v>7</v>
      </c>
    </row>
    <row r="45" spans="1:8" x14ac:dyDescent="0.3">
      <c r="A45" t="s">
        <v>69</v>
      </c>
      <c r="B45" t="s">
        <v>23</v>
      </c>
      <c r="C45" t="s">
        <v>22</v>
      </c>
      <c r="D45">
        <v>998</v>
      </c>
      <c r="E45" t="s">
        <v>68</v>
      </c>
      <c r="F45" t="s">
        <v>11</v>
      </c>
      <c r="G45" t="s">
        <v>12</v>
      </c>
      <c r="H45">
        <f t="shared" si="0"/>
        <v>998</v>
      </c>
    </row>
    <row r="46" spans="1:8" x14ac:dyDescent="0.3">
      <c r="A46" t="s">
        <v>70</v>
      </c>
      <c r="B46" t="s">
        <v>8</v>
      </c>
      <c r="C46" t="s">
        <v>9</v>
      </c>
      <c r="D46">
        <v>0</v>
      </c>
      <c r="E46" t="s">
        <v>68</v>
      </c>
      <c r="F46" t="s">
        <v>11</v>
      </c>
      <c r="G46" t="s">
        <v>12</v>
      </c>
      <c r="H46">
        <f t="shared" si="0"/>
        <v>0</v>
      </c>
    </row>
    <row r="47" spans="1:8" x14ac:dyDescent="0.3">
      <c r="A47" t="s">
        <v>70</v>
      </c>
      <c r="B47" t="s">
        <v>8</v>
      </c>
      <c r="C47" t="s">
        <v>13</v>
      </c>
      <c r="D47">
        <v>0</v>
      </c>
      <c r="E47" t="s">
        <v>68</v>
      </c>
      <c r="F47" t="s">
        <v>11</v>
      </c>
      <c r="G47" t="s">
        <v>12</v>
      </c>
      <c r="H47">
        <f t="shared" si="0"/>
        <v>0</v>
      </c>
    </row>
    <row r="48" spans="1:8" x14ac:dyDescent="0.3">
      <c r="A48" t="s">
        <v>70</v>
      </c>
      <c r="B48" t="s">
        <v>8</v>
      </c>
      <c r="C48" t="s">
        <v>14</v>
      </c>
      <c r="D48">
        <v>0</v>
      </c>
      <c r="E48" t="s">
        <v>68</v>
      </c>
      <c r="F48" t="s">
        <v>11</v>
      </c>
      <c r="G48" t="s">
        <v>12</v>
      </c>
      <c r="H48">
        <f t="shared" si="0"/>
        <v>0</v>
      </c>
    </row>
    <row r="49" spans="1:8" x14ac:dyDescent="0.3">
      <c r="A49" t="s">
        <v>70</v>
      </c>
      <c r="B49" t="s">
        <v>8</v>
      </c>
      <c r="C49" t="s">
        <v>15</v>
      </c>
      <c r="D49">
        <v>0</v>
      </c>
      <c r="E49" t="s">
        <v>68</v>
      </c>
      <c r="F49" t="s">
        <v>11</v>
      </c>
      <c r="G49" t="s">
        <v>12</v>
      </c>
      <c r="H49">
        <f t="shared" si="0"/>
        <v>0</v>
      </c>
    </row>
    <row r="50" spans="1:8" x14ac:dyDescent="0.3">
      <c r="A50" t="s">
        <v>70</v>
      </c>
      <c r="B50" t="s">
        <v>8</v>
      </c>
      <c r="C50" t="s">
        <v>16</v>
      </c>
      <c r="D50">
        <v>0</v>
      </c>
      <c r="E50" t="s">
        <v>68</v>
      </c>
      <c r="F50" t="s">
        <v>11</v>
      </c>
      <c r="G50" t="s">
        <v>12</v>
      </c>
      <c r="H50">
        <f t="shared" si="0"/>
        <v>0</v>
      </c>
    </row>
    <row r="51" spans="1:8" x14ac:dyDescent="0.3">
      <c r="A51" t="s">
        <v>70</v>
      </c>
      <c r="B51" t="s">
        <v>8</v>
      </c>
      <c r="C51" t="s">
        <v>17</v>
      </c>
      <c r="D51">
        <v>9493</v>
      </c>
      <c r="E51" t="s">
        <v>68</v>
      </c>
      <c r="F51" t="s">
        <v>11</v>
      </c>
      <c r="G51" t="s">
        <v>12</v>
      </c>
      <c r="H51">
        <f t="shared" si="0"/>
        <v>9490</v>
      </c>
    </row>
    <row r="52" spans="1:8" x14ac:dyDescent="0.3">
      <c r="A52" t="s">
        <v>70</v>
      </c>
      <c r="B52" t="s">
        <v>8</v>
      </c>
      <c r="C52" t="s">
        <v>18</v>
      </c>
      <c r="D52">
        <v>0</v>
      </c>
      <c r="E52" t="s">
        <v>68</v>
      </c>
      <c r="F52" t="s">
        <v>11</v>
      </c>
      <c r="G52" t="s">
        <v>12</v>
      </c>
      <c r="H52">
        <f t="shared" si="0"/>
        <v>0</v>
      </c>
    </row>
    <row r="53" spans="1:8" x14ac:dyDescent="0.3">
      <c r="A53" t="s">
        <v>70</v>
      </c>
      <c r="B53" t="s">
        <v>8</v>
      </c>
      <c r="C53" t="s">
        <v>19</v>
      </c>
      <c r="D53">
        <v>0</v>
      </c>
      <c r="E53" t="s">
        <v>68</v>
      </c>
      <c r="F53" t="s">
        <v>11</v>
      </c>
      <c r="G53" t="s">
        <v>12</v>
      </c>
      <c r="H53">
        <f t="shared" si="0"/>
        <v>0</v>
      </c>
    </row>
    <row r="54" spans="1:8" x14ac:dyDescent="0.3">
      <c r="A54" t="s">
        <v>70</v>
      </c>
      <c r="B54" t="s">
        <v>8</v>
      </c>
      <c r="C54" t="s">
        <v>20</v>
      </c>
      <c r="D54">
        <v>0</v>
      </c>
      <c r="E54" t="s">
        <v>68</v>
      </c>
      <c r="F54" t="s">
        <v>11</v>
      </c>
      <c r="G54" t="s">
        <v>12</v>
      </c>
      <c r="H54">
        <f t="shared" si="0"/>
        <v>0</v>
      </c>
    </row>
    <row r="55" spans="1:8" x14ac:dyDescent="0.3">
      <c r="A55" t="s">
        <v>70</v>
      </c>
      <c r="B55" t="s">
        <v>8</v>
      </c>
      <c r="C55" t="s">
        <v>21</v>
      </c>
      <c r="D55">
        <v>0</v>
      </c>
      <c r="E55" t="s">
        <v>68</v>
      </c>
      <c r="F55" t="s">
        <v>11</v>
      </c>
      <c r="G55" t="s">
        <v>12</v>
      </c>
      <c r="H55">
        <f t="shared" si="0"/>
        <v>0</v>
      </c>
    </row>
    <row r="56" spans="1:8" x14ac:dyDescent="0.3">
      <c r="A56" t="s">
        <v>70</v>
      </c>
      <c r="B56" t="s">
        <v>8</v>
      </c>
      <c r="C56" t="s">
        <v>22</v>
      </c>
      <c r="D56">
        <v>0</v>
      </c>
      <c r="E56" t="s">
        <v>68</v>
      </c>
      <c r="F56" t="s">
        <v>11</v>
      </c>
      <c r="G56" t="s">
        <v>12</v>
      </c>
      <c r="H56">
        <f t="shared" si="0"/>
        <v>0</v>
      </c>
    </row>
    <row r="57" spans="1:8" x14ac:dyDescent="0.3">
      <c r="A57" t="s">
        <v>70</v>
      </c>
      <c r="B57" t="s">
        <v>23</v>
      </c>
      <c r="C57" t="s">
        <v>9</v>
      </c>
      <c r="D57">
        <v>138</v>
      </c>
      <c r="E57" t="s">
        <v>68</v>
      </c>
      <c r="F57" t="s">
        <v>11</v>
      </c>
      <c r="G57" t="s">
        <v>12</v>
      </c>
      <c r="H57">
        <f t="shared" si="0"/>
        <v>138</v>
      </c>
    </row>
    <row r="58" spans="1:8" x14ac:dyDescent="0.3">
      <c r="A58" t="s">
        <v>70</v>
      </c>
      <c r="B58" t="s">
        <v>23</v>
      </c>
      <c r="C58" t="s">
        <v>13</v>
      </c>
      <c r="D58">
        <v>2</v>
      </c>
      <c r="E58" t="s">
        <v>68</v>
      </c>
      <c r="F58" t="s">
        <v>11</v>
      </c>
      <c r="G58" t="s">
        <v>12</v>
      </c>
      <c r="H58">
        <f t="shared" si="0"/>
        <v>2</v>
      </c>
    </row>
    <row r="59" spans="1:8" x14ac:dyDescent="0.3">
      <c r="A59" t="s">
        <v>70</v>
      </c>
      <c r="B59" t="s">
        <v>23</v>
      </c>
      <c r="C59" t="s">
        <v>14</v>
      </c>
      <c r="D59">
        <v>102</v>
      </c>
      <c r="E59" t="s">
        <v>68</v>
      </c>
      <c r="F59" t="s">
        <v>11</v>
      </c>
      <c r="G59" t="s">
        <v>12</v>
      </c>
      <c r="H59">
        <f t="shared" si="0"/>
        <v>102</v>
      </c>
    </row>
    <row r="60" spans="1:8" x14ac:dyDescent="0.3">
      <c r="A60" t="s">
        <v>70</v>
      </c>
      <c r="B60" t="s">
        <v>23</v>
      </c>
      <c r="C60" t="s">
        <v>15</v>
      </c>
      <c r="D60">
        <v>0</v>
      </c>
      <c r="E60" t="s">
        <v>68</v>
      </c>
      <c r="F60" t="s">
        <v>11</v>
      </c>
      <c r="G60" t="s">
        <v>12</v>
      </c>
      <c r="H60">
        <f t="shared" si="0"/>
        <v>0</v>
      </c>
    </row>
    <row r="61" spans="1:8" x14ac:dyDescent="0.3">
      <c r="A61" t="s">
        <v>70</v>
      </c>
      <c r="B61" t="s">
        <v>23</v>
      </c>
      <c r="C61" t="s">
        <v>16</v>
      </c>
      <c r="D61">
        <v>7</v>
      </c>
      <c r="E61" t="s">
        <v>68</v>
      </c>
      <c r="F61" t="s">
        <v>11</v>
      </c>
      <c r="G61" t="s">
        <v>12</v>
      </c>
      <c r="H61">
        <f t="shared" si="0"/>
        <v>7</v>
      </c>
    </row>
    <row r="62" spans="1:8" x14ac:dyDescent="0.3">
      <c r="A62" t="s">
        <v>70</v>
      </c>
      <c r="B62" t="s">
        <v>23</v>
      </c>
      <c r="C62" t="s">
        <v>17</v>
      </c>
      <c r="D62">
        <v>284</v>
      </c>
      <c r="E62" t="s">
        <v>68</v>
      </c>
      <c r="F62" t="s">
        <v>11</v>
      </c>
      <c r="G62" t="s">
        <v>12</v>
      </c>
      <c r="H62">
        <f t="shared" si="0"/>
        <v>284</v>
      </c>
    </row>
    <row r="63" spans="1:8" x14ac:dyDescent="0.3">
      <c r="A63" t="s">
        <v>70</v>
      </c>
      <c r="B63" t="s">
        <v>23</v>
      </c>
      <c r="C63" t="s">
        <v>18</v>
      </c>
      <c r="D63">
        <v>0</v>
      </c>
      <c r="E63" t="s">
        <v>68</v>
      </c>
      <c r="F63" t="s">
        <v>11</v>
      </c>
      <c r="G63" t="s">
        <v>12</v>
      </c>
      <c r="H63">
        <f t="shared" si="0"/>
        <v>0</v>
      </c>
    </row>
    <row r="64" spans="1:8" x14ac:dyDescent="0.3">
      <c r="A64" t="s">
        <v>70</v>
      </c>
      <c r="B64" t="s">
        <v>23</v>
      </c>
      <c r="C64" t="s">
        <v>19</v>
      </c>
      <c r="D64">
        <v>0</v>
      </c>
      <c r="E64" t="s">
        <v>68</v>
      </c>
      <c r="F64" t="s">
        <v>11</v>
      </c>
      <c r="G64" t="s">
        <v>12</v>
      </c>
      <c r="H64">
        <f t="shared" si="0"/>
        <v>0</v>
      </c>
    </row>
    <row r="65" spans="1:8" x14ac:dyDescent="0.3">
      <c r="A65" t="s">
        <v>70</v>
      </c>
      <c r="B65" t="s">
        <v>23</v>
      </c>
      <c r="C65" t="s">
        <v>20</v>
      </c>
      <c r="D65">
        <v>2</v>
      </c>
      <c r="E65" t="s">
        <v>68</v>
      </c>
      <c r="F65" t="s">
        <v>11</v>
      </c>
      <c r="G65" t="s">
        <v>12</v>
      </c>
      <c r="H65">
        <f t="shared" si="0"/>
        <v>2</v>
      </c>
    </row>
    <row r="66" spans="1:8" x14ac:dyDescent="0.3">
      <c r="A66" t="s">
        <v>70</v>
      </c>
      <c r="B66" t="s">
        <v>23</v>
      </c>
      <c r="C66" t="s">
        <v>21</v>
      </c>
      <c r="D66">
        <v>0</v>
      </c>
      <c r="E66" t="s">
        <v>68</v>
      </c>
      <c r="F66" t="s">
        <v>11</v>
      </c>
      <c r="G66" t="s">
        <v>12</v>
      </c>
      <c r="H66">
        <f t="shared" si="0"/>
        <v>0</v>
      </c>
    </row>
    <row r="67" spans="1:8" x14ac:dyDescent="0.3">
      <c r="A67" t="s">
        <v>70</v>
      </c>
      <c r="B67" t="s">
        <v>23</v>
      </c>
      <c r="C67" t="s">
        <v>22</v>
      </c>
      <c r="D67">
        <v>0</v>
      </c>
      <c r="E67" t="s">
        <v>68</v>
      </c>
      <c r="F67" t="s">
        <v>11</v>
      </c>
      <c r="G67" t="s">
        <v>12</v>
      </c>
      <c r="H67">
        <f t="shared" ref="H67:H130" si="1">ROUND(D67, 3 - LEN(INT(ABS(D67))))</f>
        <v>0</v>
      </c>
    </row>
    <row r="68" spans="1:8" x14ac:dyDescent="0.3">
      <c r="A68" t="s">
        <v>71</v>
      </c>
      <c r="B68" t="s">
        <v>8</v>
      </c>
      <c r="C68" t="s">
        <v>9</v>
      </c>
      <c r="D68">
        <v>0</v>
      </c>
      <c r="E68" t="s">
        <v>68</v>
      </c>
      <c r="F68" t="s">
        <v>11</v>
      </c>
      <c r="G68" t="s">
        <v>12</v>
      </c>
      <c r="H68">
        <f t="shared" si="1"/>
        <v>0</v>
      </c>
    </row>
    <row r="69" spans="1:8" x14ac:dyDescent="0.3">
      <c r="A69" t="s">
        <v>71</v>
      </c>
      <c r="B69" t="s">
        <v>8</v>
      </c>
      <c r="C69" t="s">
        <v>13</v>
      </c>
      <c r="D69">
        <v>0</v>
      </c>
      <c r="E69" t="s">
        <v>68</v>
      </c>
      <c r="F69" t="s">
        <v>11</v>
      </c>
      <c r="G69" t="s">
        <v>12</v>
      </c>
      <c r="H69">
        <f t="shared" si="1"/>
        <v>0</v>
      </c>
    </row>
    <row r="70" spans="1:8" x14ac:dyDescent="0.3">
      <c r="A70" t="s">
        <v>71</v>
      </c>
      <c r="B70" t="s">
        <v>8</v>
      </c>
      <c r="C70" t="s">
        <v>14</v>
      </c>
      <c r="D70">
        <v>0</v>
      </c>
      <c r="E70" t="s">
        <v>68</v>
      </c>
      <c r="F70" t="s">
        <v>11</v>
      </c>
      <c r="G70" t="s">
        <v>12</v>
      </c>
      <c r="H70">
        <f t="shared" si="1"/>
        <v>0</v>
      </c>
    </row>
    <row r="71" spans="1:8" x14ac:dyDescent="0.3">
      <c r="A71" t="s">
        <v>71</v>
      </c>
      <c r="B71" t="s">
        <v>8</v>
      </c>
      <c r="C71" t="s">
        <v>15</v>
      </c>
      <c r="D71">
        <v>0</v>
      </c>
      <c r="E71" t="s">
        <v>68</v>
      </c>
      <c r="F71" t="s">
        <v>11</v>
      </c>
      <c r="G71" t="s">
        <v>12</v>
      </c>
      <c r="H71">
        <f t="shared" si="1"/>
        <v>0</v>
      </c>
    </row>
    <row r="72" spans="1:8" x14ac:dyDescent="0.3">
      <c r="A72" t="s">
        <v>71</v>
      </c>
      <c r="B72" t="s">
        <v>8</v>
      </c>
      <c r="C72" t="s">
        <v>16</v>
      </c>
      <c r="D72">
        <v>0</v>
      </c>
      <c r="E72" t="s">
        <v>68</v>
      </c>
      <c r="F72" t="s">
        <v>11</v>
      </c>
      <c r="G72" t="s">
        <v>12</v>
      </c>
      <c r="H72">
        <f t="shared" si="1"/>
        <v>0</v>
      </c>
    </row>
    <row r="73" spans="1:8" x14ac:dyDescent="0.3">
      <c r="A73" t="s">
        <v>71</v>
      </c>
      <c r="B73" t="s">
        <v>8</v>
      </c>
      <c r="C73" t="s">
        <v>17</v>
      </c>
      <c r="D73">
        <v>0</v>
      </c>
      <c r="E73" t="s">
        <v>68</v>
      </c>
      <c r="F73" t="s">
        <v>11</v>
      </c>
      <c r="G73" t="s">
        <v>12</v>
      </c>
      <c r="H73">
        <f t="shared" si="1"/>
        <v>0</v>
      </c>
    </row>
    <row r="74" spans="1:8" x14ac:dyDescent="0.3">
      <c r="A74" t="s">
        <v>71</v>
      </c>
      <c r="B74" t="s">
        <v>8</v>
      </c>
      <c r="C74" t="s">
        <v>18</v>
      </c>
      <c r="D74">
        <v>0</v>
      </c>
      <c r="E74" t="s">
        <v>68</v>
      </c>
      <c r="F74" t="s">
        <v>11</v>
      </c>
      <c r="G74" t="s">
        <v>12</v>
      </c>
      <c r="H74">
        <f t="shared" si="1"/>
        <v>0</v>
      </c>
    </row>
    <row r="75" spans="1:8" x14ac:dyDescent="0.3">
      <c r="A75" t="s">
        <v>71</v>
      </c>
      <c r="B75" t="s">
        <v>8</v>
      </c>
      <c r="C75" t="s">
        <v>19</v>
      </c>
      <c r="D75">
        <v>0</v>
      </c>
      <c r="E75" t="s">
        <v>68</v>
      </c>
      <c r="F75" t="s">
        <v>11</v>
      </c>
      <c r="G75" t="s">
        <v>12</v>
      </c>
      <c r="H75">
        <f t="shared" si="1"/>
        <v>0</v>
      </c>
    </row>
    <row r="76" spans="1:8" x14ac:dyDescent="0.3">
      <c r="A76" t="s">
        <v>71</v>
      </c>
      <c r="B76" t="s">
        <v>8</v>
      </c>
      <c r="C76" t="s">
        <v>20</v>
      </c>
      <c r="D76">
        <v>0</v>
      </c>
      <c r="E76" t="s">
        <v>68</v>
      </c>
      <c r="F76" t="s">
        <v>11</v>
      </c>
      <c r="G76" t="s">
        <v>12</v>
      </c>
      <c r="H76">
        <f t="shared" si="1"/>
        <v>0</v>
      </c>
    </row>
    <row r="77" spans="1:8" x14ac:dyDescent="0.3">
      <c r="A77" t="s">
        <v>71</v>
      </c>
      <c r="B77" t="s">
        <v>8</v>
      </c>
      <c r="C77" t="s">
        <v>21</v>
      </c>
      <c r="D77">
        <v>0</v>
      </c>
      <c r="E77" t="s">
        <v>68</v>
      </c>
      <c r="F77" t="s">
        <v>11</v>
      </c>
      <c r="G77" t="s">
        <v>12</v>
      </c>
      <c r="H77">
        <f t="shared" si="1"/>
        <v>0</v>
      </c>
    </row>
    <row r="78" spans="1:8" x14ac:dyDescent="0.3">
      <c r="A78" t="s">
        <v>71</v>
      </c>
      <c r="B78" t="s">
        <v>8</v>
      </c>
      <c r="C78" t="s">
        <v>22</v>
      </c>
      <c r="D78">
        <v>1487</v>
      </c>
      <c r="E78" t="s">
        <v>68</v>
      </c>
      <c r="F78" t="s">
        <v>11</v>
      </c>
      <c r="G78" t="s">
        <v>12</v>
      </c>
      <c r="H78">
        <f t="shared" si="1"/>
        <v>1490</v>
      </c>
    </row>
    <row r="79" spans="1:8" x14ac:dyDescent="0.3">
      <c r="A79" t="s">
        <v>71</v>
      </c>
      <c r="B79" t="s">
        <v>23</v>
      </c>
      <c r="C79" t="s">
        <v>9</v>
      </c>
      <c r="D79">
        <v>16</v>
      </c>
      <c r="E79" t="s">
        <v>68</v>
      </c>
      <c r="F79" t="s">
        <v>11</v>
      </c>
      <c r="G79" t="s">
        <v>12</v>
      </c>
      <c r="H79">
        <f t="shared" si="1"/>
        <v>16</v>
      </c>
    </row>
    <row r="80" spans="1:8" x14ac:dyDescent="0.3">
      <c r="A80" t="s">
        <v>71</v>
      </c>
      <c r="B80" t="s">
        <v>23</v>
      </c>
      <c r="C80" t="s">
        <v>13</v>
      </c>
      <c r="D80">
        <v>151</v>
      </c>
      <c r="E80" t="s">
        <v>68</v>
      </c>
      <c r="F80" t="s">
        <v>11</v>
      </c>
      <c r="G80" t="s">
        <v>12</v>
      </c>
      <c r="H80">
        <f t="shared" si="1"/>
        <v>151</v>
      </c>
    </row>
    <row r="81" spans="1:8" x14ac:dyDescent="0.3">
      <c r="A81" t="s">
        <v>71</v>
      </c>
      <c r="B81" t="s">
        <v>23</v>
      </c>
      <c r="C81" t="s">
        <v>14</v>
      </c>
      <c r="D81">
        <v>188</v>
      </c>
      <c r="E81" t="s">
        <v>68</v>
      </c>
      <c r="F81" t="s">
        <v>11</v>
      </c>
      <c r="G81" t="s">
        <v>12</v>
      </c>
      <c r="H81">
        <f t="shared" si="1"/>
        <v>188</v>
      </c>
    </row>
    <row r="82" spans="1:8" x14ac:dyDescent="0.3">
      <c r="A82" t="s">
        <v>71</v>
      </c>
      <c r="B82" t="s">
        <v>23</v>
      </c>
      <c r="C82" t="s">
        <v>15</v>
      </c>
      <c r="D82">
        <v>6</v>
      </c>
      <c r="E82" t="s">
        <v>68</v>
      </c>
      <c r="F82" t="s">
        <v>11</v>
      </c>
      <c r="G82" t="s">
        <v>12</v>
      </c>
      <c r="H82">
        <f t="shared" si="1"/>
        <v>6</v>
      </c>
    </row>
    <row r="83" spans="1:8" x14ac:dyDescent="0.3">
      <c r="A83" t="s">
        <v>71</v>
      </c>
      <c r="B83" t="s">
        <v>23</v>
      </c>
      <c r="C83" t="s">
        <v>16</v>
      </c>
      <c r="D83">
        <v>86</v>
      </c>
      <c r="E83" t="s">
        <v>68</v>
      </c>
      <c r="F83" t="s">
        <v>11</v>
      </c>
      <c r="G83" t="s">
        <v>12</v>
      </c>
      <c r="H83">
        <f t="shared" si="1"/>
        <v>86</v>
      </c>
    </row>
    <row r="84" spans="1:8" x14ac:dyDescent="0.3">
      <c r="A84" t="s">
        <v>71</v>
      </c>
      <c r="B84" t="s">
        <v>23</v>
      </c>
      <c r="C84" t="s">
        <v>17</v>
      </c>
      <c r="D84">
        <v>23</v>
      </c>
      <c r="E84" t="s">
        <v>68</v>
      </c>
      <c r="F84" t="s">
        <v>11</v>
      </c>
      <c r="G84" t="s">
        <v>12</v>
      </c>
      <c r="H84">
        <f t="shared" si="1"/>
        <v>23</v>
      </c>
    </row>
    <row r="85" spans="1:8" x14ac:dyDescent="0.3">
      <c r="A85" t="s">
        <v>71</v>
      </c>
      <c r="B85" t="s">
        <v>23</v>
      </c>
      <c r="C85" t="s">
        <v>18</v>
      </c>
      <c r="D85">
        <v>0</v>
      </c>
      <c r="E85" t="s">
        <v>68</v>
      </c>
      <c r="F85" t="s">
        <v>11</v>
      </c>
      <c r="G85" t="s">
        <v>12</v>
      </c>
      <c r="H85">
        <f t="shared" si="1"/>
        <v>0</v>
      </c>
    </row>
    <row r="86" spans="1:8" x14ac:dyDescent="0.3">
      <c r="A86" t="s">
        <v>71</v>
      </c>
      <c r="B86" t="s">
        <v>23</v>
      </c>
      <c r="C86" t="s">
        <v>19</v>
      </c>
      <c r="D86">
        <v>38</v>
      </c>
      <c r="E86" t="s">
        <v>68</v>
      </c>
      <c r="F86" t="s">
        <v>11</v>
      </c>
      <c r="G86" t="s">
        <v>12</v>
      </c>
      <c r="H86">
        <f t="shared" si="1"/>
        <v>38</v>
      </c>
    </row>
    <row r="87" spans="1:8" x14ac:dyDescent="0.3">
      <c r="A87" t="s">
        <v>71</v>
      </c>
      <c r="B87" t="s">
        <v>23</v>
      </c>
      <c r="C87" t="s">
        <v>20</v>
      </c>
      <c r="D87">
        <v>13</v>
      </c>
      <c r="E87" t="s">
        <v>68</v>
      </c>
      <c r="F87" t="s">
        <v>11</v>
      </c>
      <c r="G87" t="s">
        <v>12</v>
      </c>
      <c r="H87">
        <f t="shared" si="1"/>
        <v>13</v>
      </c>
    </row>
    <row r="88" spans="1:8" x14ac:dyDescent="0.3">
      <c r="A88" t="s">
        <v>71</v>
      </c>
      <c r="B88" t="s">
        <v>23</v>
      </c>
      <c r="C88" t="s">
        <v>21</v>
      </c>
      <c r="D88">
        <v>4</v>
      </c>
      <c r="E88" t="s">
        <v>68</v>
      </c>
      <c r="F88" t="s">
        <v>11</v>
      </c>
      <c r="G88" t="s">
        <v>12</v>
      </c>
      <c r="H88">
        <f t="shared" si="1"/>
        <v>4</v>
      </c>
    </row>
    <row r="89" spans="1:8" x14ac:dyDescent="0.3">
      <c r="A89" t="s">
        <v>71</v>
      </c>
      <c r="B89" t="s">
        <v>23</v>
      </c>
      <c r="C89" t="s">
        <v>22</v>
      </c>
      <c r="D89">
        <v>596</v>
      </c>
      <c r="E89" t="s">
        <v>68</v>
      </c>
      <c r="F89" t="s">
        <v>11</v>
      </c>
      <c r="G89" t="s">
        <v>12</v>
      </c>
      <c r="H89">
        <f t="shared" si="1"/>
        <v>596</v>
      </c>
    </row>
    <row r="90" spans="1:8" x14ac:dyDescent="0.3">
      <c r="A90" t="s">
        <v>72</v>
      </c>
      <c r="B90" t="s">
        <v>8</v>
      </c>
      <c r="C90" t="s">
        <v>9</v>
      </c>
      <c r="D90">
        <v>0</v>
      </c>
      <c r="E90" t="s">
        <v>68</v>
      </c>
      <c r="F90" t="s">
        <v>11</v>
      </c>
      <c r="G90" t="s">
        <v>12</v>
      </c>
      <c r="H90">
        <f t="shared" si="1"/>
        <v>0</v>
      </c>
    </row>
    <row r="91" spans="1:8" x14ac:dyDescent="0.3">
      <c r="A91" t="s">
        <v>72</v>
      </c>
      <c r="B91" t="s">
        <v>8</v>
      </c>
      <c r="C91" t="s">
        <v>13</v>
      </c>
      <c r="D91">
        <v>0</v>
      </c>
      <c r="E91" t="s">
        <v>68</v>
      </c>
      <c r="F91" t="s">
        <v>11</v>
      </c>
      <c r="G91" t="s">
        <v>12</v>
      </c>
      <c r="H91">
        <f t="shared" si="1"/>
        <v>0</v>
      </c>
    </row>
    <row r="92" spans="1:8" x14ac:dyDescent="0.3">
      <c r="A92" t="s">
        <v>72</v>
      </c>
      <c r="B92" t="s">
        <v>8</v>
      </c>
      <c r="C92" t="s">
        <v>14</v>
      </c>
      <c r="D92">
        <v>0</v>
      </c>
      <c r="E92" t="s">
        <v>68</v>
      </c>
      <c r="F92" t="s">
        <v>11</v>
      </c>
      <c r="G92" t="s">
        <v>12</v>
      </c>
      <c r="H92">
        <f t="shared" si="1"/>
        <v>0</v>
      </c>
    </row>
    <row r="93" spans="1:8" x14ac:dyDescent="0.3">
      <c r="A93" t="s">
        <v>72</v>
      </c>
      <c r="B93" t="s">
        <v>8</v>
      </c>
      <c r="C93" t="s">
        <v>15</v>
      </c>
      <c r="D93">
        <v>0</v>
      </c>
      <c r="E93" t="s">
        <v>68</v>
      </c>
      <c r="F93" t="s">
        <v>11</v>
      </c>
      <c r="G93" t="s">
        <v>12</v>
      </c>
      <c r="H93">
        <f t="shared" si="1"/>
        <v>0</v>
      </c>
    </row>
    <row r="94" spans="1:8" x14ac:dyDescent="0.3">
      <c r="A94" t="s">
        <v>72</v>
      </c>
      <c r="B94" t="s">
        <v>8</v>
      </c>
      <c r="C94" t="s">
        <v>16</v>
      </c>
      <c r="D94">
        <v>0</v>
      </c>
      <c r="E94" t="s">
        <v>68</v>
      </c>
      <c r="F94" t="s">
        <v>11</v>
      </c>
      <c r="G94" t="s">
        <v>12</v>
      </c>
      <c r="H94">
        <f t="shared" si="1"/>
        <v>0</v>
      </c>
    </row>
    <row r="95" spans="1:8" x14ac:dyDescent="0.3">
      <c r="A95" t="s">
        <v>72</v>
      </c>
      <c r="B95" t="s">
        <v>8</v>
      </c>
      <c r="C95" t="s">
        <v>17</v>
      </c>
      <c r="D95">
        <v>0</v>
      </c>
      <c r="E95" t="s">
        <v>68</v>
      </c>
      <c r="F95" t="s">
        <v>11</v>
      </c>
      <c r="G95" t="s">
        <v>12</v>
      </c>
      <c r="H95">
        <f t="shared" si="1"/>
        <v>0</v>
      </c>
    </row>
    <row r="96" spans="1:8" x14ac:dyDescent="0.3">
      <c r="A96" t="s">
        <v>72</v>
      </c>
      <c r="B96" t="s">
        <v>8</v>
      </c>
      <c r="C96" t="s">
        <v>18</v>
      </c>
      <c r="D96">
        <v>0</v>
      </c>
      <c r="E96" t="s">
        <v>68</v>
      </c>
      <c r="F96" t="s">
        <v>11</v>
      </c>
      <c r="G96" t="s">
        <v>12</v>
      </c>
      <c r="H96">
        <f t="shared" si="1"/>
        <v>0</v>
      </c>
    </row>
    <row r="97" spans="1:8" x14ac:dyDescent="0.3">
      <c r="A97" t="s">
        <v>72</v>
      </c>
      <c r="B97" t="s">
        <v>8</v>
      </c>
      <c r="C97" t="s">
        <v>19</v>
      </c>
      <c r="D97">
        <v>0</v>
      </c>
      <c r="E97" t="s">
        <v>68</v>
      </c>
      <c r="F97" t="s">
        <v>11</v>
      </c>
      <c r="G97" t="s">
        <v>12</v>
      </c>
      <c r="H97">
        <f t="shared" si="1"/>
        <v>0</v>
      </c>
    </row>
    <row r="98" spans="1:8" x14ac:dyDescent="0.3">
      <c r="A98" t="s">
        <v>72</v>
      </c>
      <c r="B98" t="s">
        <v>8</v>
      </c>
      <c r="C98" t="s">
        <v>20</v>
      </c>
      <c r="D98">
        <v>0</v>
      </c>
      <c r="E98" t="s">
        <v>68</v>
      </c>
      <c r="F98" t="s">
        <v>11</v>
      </c>
      <c r="G98" t="s">
        <v>12</v>
      </c>
      <c r="H98">
        <f t="shared" si="1"/>
        <v>0</v>
      </c>
    </row>
    <row r="99" spans="1:8" x14ac:dyDescent="0.3">
      <c r="A99" t="s">
        <v>72</v>
      </c>
      <c r="B99" t="s">
        <v>8</v>
      </c>
      <c r="C99" t="s">
        <v>21</v>
      </c>
      <c r="D99">
        <v>0</v>
      </c>
      <c r="E99" t="s">
        <v>68</v>
      </c>
      <c r="F99" t="s">
        <v>11</v>
      </c>
      <c r="G99" t="s">
        <v>12</v>
      </c>
      <c r="H99">
        <f t="shared" si="1"/>
        <v>0</v>
      </c>
    </row>
    <row r="100" spans="1:8" x14ac:dyDescent="0.3">
      <c r="A100" t="s">
        <v>72</v>
      </c>
      <c r="B100" t="s">
        <v>8</v>
      </c>
      <c r="C100" t="s">
        <v>22</v>
      </c>
      <c r="D100">
        <v>1487</v>
      </c>
      <c r="E100" t="s">
        <v>68</v>
      </c>
      <c r="F100" t="s">
        <v>11</v>
      </c>
      <c r="G100" t="s">
        <v>12</v>
      </c>
      <c r="H100">
        <f t="shared" si="1"/>
        <v>1490</v>
      </c>
    </row>
    <row r="101" spans="1:8" x14ac:dyDescent="0.3">
      <c r="A101" t="s">
        <v>72</v>
      </c>
      <c r="B101" t="s">
        <v>23</v>
      </c>
      <c r="C101" t="s">
        <v>9</v>
      </c>
      <c r="D101">
        <v>16</v>
      </c>
      <c r="E101" t="s">
        <v>68</v>
      </c>
      <c r="F101" t="s">
        <v>11</v>
      </c>
      <c r="G101" t="s">
        <v>12</v>
      </c>
      <c r="H101">
        <f t="shared" si="1"/>
        <v>16</v>
      </c>
    </row>
    <row r="102" spans="1:8" x14ac:dyDescent="0.3">
      <c r="A102" t="s">
        <v>72</v>
      </c>
      <c r="B102" t="s">
        <v>23</v>
      </c>
      <c r="C102" t="s">
        <v>13</v>
      </c>
      <c r="D102">
        <v>151</v>
      </c>
      <c r="E102" t="s">
        <v>68</v>
      </c>
      <c r="F102" t="s">
        <v>11</v>
      </c>
      <c r="G102" t="s">
        <v>12</v>
      </c>
      <c r="H102">
        <f t="shared" si="1"/>
        <v>151</v>
      </c>
    </row>
    <row r="103" spans="1:8" x14ac:dyDescent="0.3">
      <c r="A103" t="s">
        <v>72</v>
      </c>
      <c r="B103" t="s">
        <v>23</v>
      </c>
      <c r="C103" t="s">
        <v>14</v>
      </c>
      <c r="D103">
        <v>188</v>
      </c>
      <c r="E103" t="s">
        <v>68</v>
      </c>
      <c r="F103" t="s">
        <v>11</v>
      </c>
      <c r="G103" t="s">
        <v>12</v>
      </c>
      <c r="H103">
        <f t="shared" si="1"/>
        <v>188</v>
      </c>
    </row>
    <row r="104" spans="1:8" x14ac:dyDescent="0.3">
      <c r="A104" t="s">
        <v>72</v>
      </c>
      <c r="B104" t="s">
        <v>23</v>
      </c>
      <c r="C104" t="s">
        <v>15</v>
      </c>
      <c r="D104">
        <v>6</v>
      </c>
      <c r="E104" t="s">
        <v>68</v>
      </c>
      <c r="F104" t="s">
        <v>11</v>
      </c>
      <c r="G104" t="s">
        <v>12</v>
      </c>
      <c r="H104">
        <f t="shared" si="1"/>
        <v>6</v>
      </c>
    </row>
    <row r="105" spans="1:8" x14ac:dyDescent="0.3">
      <c r="A105" t="s">
        <v>72</v>
      </c>
      <c r="B105" t="s">
        <v>23</v>
      </c>
      <c r="C105" t="s">
        <v>16</v>
      </c>
      <c r="D105">
        <v>86</v>
      </c>
      <c r="E105" t="s">
        <v>68</v>
      </c>
      <c r="F105" t="s">
        <v>11</v>
      </c>
      <c r="G105" t="s">
        <v>12</v>
      </c>
      <c r="H105">
        <f t="shared" si="1"/>
        <v>86</v>
      </c>
    </row>
    <row r="106" spans="1:8" x14ac:dyDescent="0.3">
      <c r="A106" t="s">
        <v>72</v>
      </c>
      <c r="B106" t="s">
        <v>23</v>
      </c>
      <c r="C106" t="s">
        <v>17</v>
      </c>
      <c r="D106">
        <v>23</v>
      </c>
      <c r="E106" t="s">
        <v>68</v>
      </c>
      <c r="F106" t="s">
        <v>11</v>
      </c>
      <c r="G106" t="s">
        <v>12</v>
      </c>
      <c r="H106">
        <f t="shared" si="1"/>
        <v>23</v>
      </c>
    </row>
    <row r="107" spans="1:8" x14ac:dyDescent="0.3">
      <c r="A107" t="s">
        <v>72</v>
      </c>
      <c r="B107" t="s">
        <v>23</v>
      </c>
      <c r="C107" t="s">
        <v>18</v>
      </c>
      <c r="D107">
        <v>0</v>
      </c>
      <c r="E107" t="s">
        <v>68</v>
      </c>
      <c r="F107" t="s">
        <v>11</v>
      </c>
      <c r="G107" t="s">
        <v>12</v>
      </c>
      <c r="H107">
        <f t="shared" si="1"/>
        <v>0</v>
      </c>
    </row>
    <row r="108" spans="1:8" x14ac:dyDescent="0.3">
      <c r="A108" t="s">
        <v>72</v>
      </c>
      <c r="B108" t="s">
        <v>23</v>
      </c>
      <c r="C108" t="s">
        <v>19</v>
      </c>
      <c r="D108">
        <v>38</v>
      </c>
      <c r="E108" t="s">
        <v>68</v>
      </c>
      <c r="F108" t="s">
        <v>11</v>
      </c>
      <c r="G108" t="s">
        <v>12</v>
      </c>
      <c r="H108">
        <f t="shared" si="1"/>
        <v>38</v>
      </c>
    </row>
    <row r="109" spans="1:8" x14ac:dyDescent="0.3">
      <c r="A109" t="s">
        <v>72</v>
      </c>
      <c r="B109" t="s">
        <v>23</v>
      </c>
      <c r="C109" t="s">
        <v>20</v>
      </c>
      <c r="D109">
        <v>13</v>
      </c>
      <c r="E109" t="s">
        <v>68</v>
      </c>
      <c r="F109" t="s">
        <v>11</v>
      </c>
      <c r="G109" t="s">
        <v>12</v>
      </c>
      <c r="H109">
        <f t="shared" si="1"/>
        <v>13</v>
      </c>
    </row>
    <row r="110" spans="1:8" x14ac:dyDescent="0.3">
      <c r="A110" t="s">
        <v>72</v>
      </c>
      <c r="B110" t="s">
        <v>23</v>
      </c>
      <c r="C110" t="s">
        <v>21</v>
      </c>
      <c r="D110">
        <v>4</v>
      </c>
      <c r="E110" t="s">
        <v>68</v>
      </c>
      <c r="F110" t="s">
        <v>11</v>
      </c>
      <c r="G110" t="s">
        <v>12</v>
      </c>
      <c r="H110">
        <f t="shared" si="1"/>
        <v>4</v>
      </c>
    </row>
    <row r="111" spans="1:8" x14ac:dyDescent="0.3">
      <c r="A111" t="s">
        <v>72</v>
      </c>
      <c r="B111" t="s">
        <v>23</v>
      </c>
      <c r="C111" t="s">
        <v>22</v>
      </c>
      <c r="D111">
        <v>596</v>
      </c>
      <c r="E111" t="s">
        <v>68</v>
      </c>
      <c r="F111" t="s">
        <v>11</v>
      </c>
      <c r="G111" t="s">
        <v>12</v>
      </c>
      <c r="H111">
        <f t="shared" si="1"/>
        <v>596</v>
      </c>
    </row>
    <row r="112" spans="1:8" x14ac:dyDescent="0.3">
      <c r="A112" t="s">
        <v>73</v>
      </c>
      <c r="B112" t="s">
        <v>8</v>
      </c>
      <c r="C112" t="s">
        <v>9</v>
      </c>
      <c r="D112">
        <v>0</v>
      </c>
      <c r="E112" t="s">
        <v>68</v>
      </c>
      <c r="F112" t="s">
        <v>11</v>
      </c>
      <c r="G112" t="s">
        <v>12</v>
      </c>
      <c r="H112">
        <f t="shared" si="1"/>
        <v>0</v>
      </c>
    </row>
    <row r="113" spans="1:8" x14ac:dyDescent="0.3">
      <c r="A113" t="s">
        <v>73</v>
      </c>
      <c r="B113" t="s">
        <v>8</v>
      </c>
      <c r="C113" t="s">
        <v>13</v>
      </c>
      <c r="D113">
        <v>0</v>
      </c>
      <c r="E113" t="s">
        <v>68</v>
      </c>
      <c r="F113" t="s">
        <v>11</v>
      </c>
      <c r="G113" t="s">
        <v>12</v>
      </c>
      <c r="H113">
        <f t="shared" si="1"/>
        <v>0</v>
      </c>
    </row>
    <row r="114" spans="1:8" x14ac:dyDescent="0.3">
      <c r="A114" t="s">
        <v>73</v>
      </c>
      <c r="B114" t="s">
        <v>8</v>
      </c>
      <c r="C114" t="s">
        <v>14</v>
      </c>
      <c r="D114">
        <v>8</v>
      </c>
      <c r="E114" t="s">
        <v>68</v>
      </c>
      <c r="F114" t="s">
        <v>11</v>
      </c>
      <c r="G114" t="s">
        <v>12</v>
      </c>
      <c r="H114">
        <f t="shared" si="1"/>
        <v>8</v>
      </c>
    </row>
    <row r="115" spans="1:8" x14ac:dyDescent="0.3">
      <c r="A115" t="s">
        <v>73</v>
      </c>
      <c r="B115" t="s">
        <v>8</v>
      </c>
      <c r="C115" t="s">
        <v>15</v>
      </c>
      <c r="D115">
        <v>0</v>
      </c>
      <c r="E115" t="s">
        <v>68</v>
      </c>
      <c r="F115" t="s">
        <v>11</v>
      </c>
      <c r="G115" t="s">
        <v>12</v>
      </c>
      <c r="H115">
        <f t="shared" si="1"/>
        <v>0</v>
      </c>
    </row>
    <row r="116" spans="1:8" x14ac:dyDescent="0.3">
      <c r="A116" t="s">
        <v>73</v>
      </c>
      <c r="B116" t="s">
        <v>8</v>
      </c>
      <c r="C116" t="s">
        <v>16</v>
      </c>
      <c r="D116">
        <v>4262</v>
      </c>
      <c r="E116" t="s">
        <v>68</v>
      </c>
      <c r="F116" t="s">
        <v>11</v>
      </c>
      <c r="G116" t="s">
        <v>12</v>
      </c>
      <c r="H116">
        <f t="shared" si="1"/>
        <v>4260</v>
      </c>
    </row>
    <row r="117" spans="1:8" x14ac:dyDescent="0.3">
      <c r="A117" t="s">
        <v>73</v>
      </c>
      <c r="B117" t="s">
        <v>8</v>
      </c>
      <c r="C117" t="s">
        <v>17</v>
      </c>
      <c r="D117">
        <v>6</v>
      </c>
      <c r="E117" t="s">
        <v>68</v>
      </c>
      <c r="F117" t="s">
        <v>11</v>
      </c>
      <c r="G117" t="s">
        <v>12</v>
      </c>
      <c r="H117">
        <f t="shared" si="1"/>
        <v>6</v>
      </c>
    </row>
    <row r="118" spans="1:8" x14ac:dyDescent="0.3">
      <c r="A118" t="s">
        <v>73</v>
      </c>
      <c r="B118" t="s">
        <v>8</v>
      </c>
      <c r="C118" t="s">
        <v>18</v>
      </c>
      <c r="D118">
        <v>0</v>
      </c>
      <c r="E118" t="s">
        <v>68</v>
      </c>
      <c r="F118" t="s">
        <v>11</v>
      </c>
      <c r="G118" t="s">
        <v>12</v>
      </c>
      <c r="H118">
        <f t="shared" si="1"/>
        <v>0</v>
      </c>
    </row>
    <row r="119" spans="1:8" x14ac:dyDescent="0.3">
      <c r="A119" t="s">
        <v>73</v>
      </c>
      <c r="B119" t="s">
        <v>8</v>
      </c>
      <c r="C119" t="s">
        <v>19</v>
      </c>
      <c r="D119">
        <v>0</v>
      </c>
      <c r="E119" t="s">
        <v>68</v>
      </c>
      <c r="F119" t="s">
        <v>11</v>
      </c>
      <c r="G119" t="s">
        <v>12</v>
      </c>
      <c r="H119">
        <f t="shared" si="1"/>
        <v>0</v>
      </c>
    </row>
    <row r="120" spans="1:8" x14ac:dyDescent="0.3">
      <c r="A120" t="s">
        <v>73</v>
      </c>
      <c r="B120" t="s">
        <v>8</v>
      </c>
      <c r="C120" t="s">
        <v>20</v>
      </c>
      <c r="D120">
        <v>0</v>
      </c>
      <c r="E120" t="s">
        <v>68</v>
      </c>
      <c r="F120" t="s">
        <v>11</v>
      </c>
      <c r="G120" t="s">
        <v>12</v>
      </c>
      <c r="H120">
        <f t="shared" si="1"/>
        <v>0</v>
      </c>
    </row>
    <row r="121" spans="1:8" x14ac:dyDescent="0.3">
      <c r="A121" t="s">
        <v>73</v>
      </c>
      <c r="B121" t="s">
        <v>8</v>
      </c>
      <c r="C121" t="s">
        <v>21</v>
      </c>
      <c r="D121">
        <v>0</v>
      </c>
      <c r="E121" t="s">
        <v>68</v>
      </c>
      <c r="F121" t="s">
        <v>11</v>
      </c>
      <c r="G121" t="s">
        <v>12</v>
      </c>
      <c r="H121">
        <f t="shared" si="1"/>
        <v>0</v>
      </c>
    </row>
    <row r="122" spans="1:8" x14ac:dyDescent="0.3">
      <c r="A122" t="s">
        <v>73</v>
      </c>
      <c r="B122" t="s">
        <v>8</v>
      </c>
      <c r="C122" t="s">
        <v>22</v>
      </c>
      <c r="D122">
        <v>0</v>
      </c>
      <c r="E122" t="s">
        <v>68</v>
      </c>
      <c r="F122" t="s">
        <v>11</v>
      </c>
      <c r="G122" t="s">
        <v>12</v>
      </c>
      <c r="H122">
        <f t="shared" si="1"/>
        <v>0</v>
      </c>
    </row>
    <row r="123" spans="1:8" x14ac:dyDescent="0.3">
      <c r="A123" t="s">
        <v>73</v>
      </c>
      <c r="B123" t="s">
        <v>23</v>
      </c>
      <c r="C123" t="s">
        <v>9</v>
      </c>
      <c r="D123">
        <v>0</v>
      </c>
      <c r="E123" t="s">
        <v>68</v>
      </c>
      <c r="F123" t="s">
        <v>11</v>
      </c>
      <c r="G123" t="s">
        <v>12</v>
      </c>
      <c r="H123">
        <f t="shared" si="1"/>
        <v>0</v>
      </c>
    </row>
    <row r="124" spans="1:8" x14ac:dyDescent="0.3">
      <c r="A124" t="s">
        <v>73</v>
      </c>
      <c r="B124" t="s">
        <v>23</v>
      </c>
      <c r="C124" t="s">
        <v>13</v>
      </c>
      <c r="D124">
        <v>0</v>
      </c>
      <c r="E124" t="s">
        <v>68</v>
      </c>
      <c r="F124" t="s">
        <v>11</v>
      </c>
      <c r="G124" t="s">
        <v>12</v>
      </c>
      <c r="H124">
        <f t="shared" si="1"/>
        <v>0</v>
      </c>
    </row>
    <row r="125" spans="1:8" x14ac:dyDescent="0.3">
      <c r="A125" t="s">
        <v>73</v>
      </c>
      <c r="B125" t="s">
        <v>23</v>
      </c>
      <c r="C125" t="s">
        <v>14</v>
      </c>
      <c r="D125">
        <v>2</v>
      </c>
      <c r="E125" t="s">
        <v>68</v>
      </c>
      <c r="F125" t="s">
        <v>11</v>
      </c>
      <c r="G125" t="s">
        <v>12</v>
      </c>
      <c r="H125">
        <f t="shared" si="1"/>
        <v>2</v>
      </c>
    </row>
    <row r="126" spans="1:8" x14ac:dyDescent="0.3">
      <c r="A126" t="s">
        <v>73</v>
      </c>
      <c r="B126" t="s">
        <v>23</v>
      </c>
      <c r="C126" t="s">
        <v>15</v>
      </c>
      <c r="D126">
        <v>0</v>
      </c>
      <c r="E126" t="s">
        <v>68</v>
      </c>
      <c r="F126" t="s">
        <v>11</v>
      </c>
      <c r="G126" t="s">
        <v>12</v>
      </c>
      <c r="H126">
        <f t="shared" si="1"/>
        <v>0</v>
      </c>
    </row>
    <row r="127" spans="1:8" x14ac:dyDescent="0.3">
      <c r="A127" t="s">
        <v>73</v>
      </c>
      <c r="B127" t="s">
        <v>23</v>
      </c>
      <c r="C127" t="s">
        <v>16</v>
      </c>
      <c r="D127">
        <v>1041</v>
      </c>
      <c r="E127" t="s">
        <v>68</v>
      </c>
      <c r="F127" t="s">
        <v>11</v>
      </c>
      <c r="G127" t="s">
        <v>12</v>
      </c>
      <c r="H127">
        <f t="shared" si="1"/>
        <v>1040</v>
      </c>
    </row>
    <row r="128" spans="1:8" x14ac:dyDescent="0.3">
      <c r="A128" t="s">
        <v>73</v>
      </c>
      <c r="B128" t="s">
        <v>23</v>
      </c>
      <c r="C128" t="s">
        <v>17</v>
      </c>
      <c r="D128">
        <v>0</v>
      </c>
      <c r="E128" t="s">
        <v>68</v>
      </c>
      <c r="F128" t="s">
        <v>11</v>
      </c>
      <c r="G128" t="s">
        <v>12</v>
      </c>
      <c r="H128">
        <f t="shared" si="1"/>
        <v>0</v>
      </c>
    </row>
    <row r="129" spans="1:8" x14ac:dyDescent="0.3">
      <c r="A129" t="s">
        <v>73</v>
      </c>
      <c r="B129" t="s">
        <v>23</v>
      </c>
      <c r="C129" t="s">
        <v>18</v>
      </c>
      <c r="D129">
        <v>0</v>
      </c>
      <c r="E129" t="s">
        <v>68</v>
      </c>
      <c r="F129" t="s">
        <v>11</v>
      </c>
      <c r="G129" t="s">
        <v>12</v>
      </c>
      <c r="H129">
        <f t="shared" si="1"/>
        <v>0</v>
      </c>
    </row>
    <row r="130" spans="1:8" x14ac:dyDescent="0.3">
      <c r="A130" t="s">
        <v>73</v>
      </c>
      <c r="B130" t="s">
        <v>23</v>
      </c>
      <c r="C130" t="s">
        <v>19</v>
      </c>
      <c r="D130">
        <v>0</v>
      </c>
      <c r="E130" t="s">
        <v>68</v>
      </c>
      <c r="F130" t="s">
        <v>11</v>
      </c>
      <c r="G130" t="s">
        <v>12</v>
      </c>
      <c r="H130">
        <f t="shared" si="1"/>
        <v>0</v>
      </c>
    </row>
    <row r="131" spans="1:8" x14ac:dyDescent="0.3">
      <c r="A131" t="s">
        <v>73</v>
      </c>
      <c r="B131" t="s">
        <v>23</v>
      </c>
      <c r="C131" t="s">
        <v>20</v>
      </c>
      <c r="D131">
        <v>7</v>
      </c>
      <c r="E131" t="s">
        <v>68</v>
      </c>
      <c r="F131" t="s">
        <v>11</v>
      </c>
      <c r="G131" t="s">
        <v>12</v>
      </c>
      <c r="H131">
        <f t="shared" ref="H131:H194" si="2">ROUND(D131, 3 - LEN(INT(ABS(D131))))</f>
        <v>7</v>
      </c>
    </row>
    <row r="132" spans="1:8" x14ac:dyDescent="0.3">
      <c r="A132" t="s">
        <v>73</v>
      </c>
      <c r="B132" t="s">
        <v>23</v>
      </c>
      <c r="C132" t="s">
        <v>21</v>
      </c>
      <c r="D132">
        <v>0</v>
      </c>
      <c r="E132" t="s">
        <v>68</v>
      </c>
      <c r="F132" t="s">
        <v>11</v>
      </c>
      <c r="G132" t="s">
        <v>12</v>
      </c>
      <c r="H132">
        <f t="shared" si="2"/>
        <v>0</v>
      </c>
    </row>
    <row r="133" spans="1:8" x14ac:dyDescent="0.3">
      <c r="A133" t="s">
        <v>73</v>
      </c>
      <c r="B133" t="s">
        <v>23</v>
      </c>
      <c r="C133" t="s">
        <v>22</v>
      </c>
      <c r="D133">
        <v>0</v>
      </c>
      <c r="E133" t="s">
        <v>68</v>
      </c>
      <c r="F133" t="s">
        <v>11</v>
      </c>
      <c r="G133" t="s">
        <v>12</v>
      </c>
      <c r="H133">
        <f t="shared" si="2"/>
        <v>0</v>
      </c>
    </row>
    <row r="134" spans="1:8" x14ac:dyDescent="0.3">
      <c r="A134" t="s">
        <v>74</v>
      </c>
      <c r="B134" t="s">
        <v>8</v>
      </c>
      <c r="C134" t="s">
        <v>9</v>
      </c>
      <c r="D134">
        <v>0</v>
      </c>
      <c r="E134" t="s">
        <v>68</v>
      </c>
      <c r="F134" t="s">
        <v>11</v>
      </c>
      <c r="G134" t="s">
        <v>12</v>
      </c>
      <c r="H134">
        <f t="shared" si="2"/>
        <v>0</v>
      </c>
    </row>
    <row r="135" spans="1:8" x14ac:dyDescent="0.3">
      <c r="A135" t="s">
        <v>74</v>
      </c>
      <c r="B135" t="s">
        <v>8</v>
      </c>
      <c r="C135" t="s">
        <v>13</v>
      </c>
      <c r="D135">
        <v>0</v>
      </c>
      <c r="E135" t="s">
        <v>68</v>
      </c>
      <c r="F135" t="s">
        <v>11</v>
      </c>
      <c r="G135" t="s">
        <v>12</v>
      </c>
      <c r="H135">
        <f t="shared" si="2"/>
        <v>0</v>
      </c>
    </row>
    <row r="136" spans="1:8" x14ac:dyDescent="0.3">
      <c r="A136" t="s">
        <v>74</v>
      </c>
      <c r="B136" t="s">
        <v>8</v>
      </c>
      <c r="C136" t="s">
        <v>14</v>
      </c>
      <c r="D136">
        <v>0</v>
      </c>
      <c r="E136" t="s">
        <v>68</v>
      </c>
      <c r="F136" t="s">
        <v>11</v>
      </c>
      <c r="G136" t="s">
        <v>12</v>
      </c>
      <c r="H136">
        <f t="shared" si="2"/>
        <v>0</v>
      </c>
    </row>
    <row r="137" spans="1:8" x14ac:dyDescent="0.3">
      <c r="A137" t="s">
        <v>74</v>
      </c>
      <c r="B137" t="s">
        <v>8</v>
      </c>
      <c r="C137" t="s">
        <v>15</v>
      </c>
      <c r="D137">
        <v>0</v>
      </c>
      <c r="E137" t="s">
        <v>68</v>
      </c>
      <c r="F137" t="s">
        <v>11</v>
      </c>
      <c r="G137" t="s">
        <v>12</v>
      </c>
      <c r="H137">
        <f t="shared" si="2"/>
        <v>0</v>
      </c>
    </row>
    <row r="138" spans="1:8" x14ac:dyDescent="0.3">
      <c r="A138" t="s">
        <v>74</v>
      </c>
      <c r="B138" t="s">
        <v>8</v>
      </c>
      <c r="C138" t="s">
        <v>16</v>
      </c>
      <c r="D138">
        <v>0</v>
      </c>
      <c r="E138" t="s">
        <v>68</v>
      </c>
      <c r="F138" t="s">
        <v>11</v>
      </c>
      <c r="G138" t="s">
        <v>12</v>
      </c>
      <c r="H138">
        <f t="shared" si="2"/>
        <v>0</v>
      </c>
    </row>
    <row r="139" spans="1:8" x14ac:dyDescent="0.3">
      <c r="A139" t="s">
        <v>74</v>
      </c>
      <c r="B139" t="s">
        <v>8</v>
      </c>
      <c r="C139" t="s">
        <v>17</v>
      </c>
      <c r="D139">
        <v>0</v>
      </c>
      <c r="E139" t="s">
        <v>68</v>
      </c>
      <c r="F139" t="s">
        <v>11</v>
      </c>
      <c r="G139" t="s">
        <v>12</v>
      </c>
      <c r="H139">
        <f t="shared" si="2"/>
        <v>0</v>
      </c>
    </row>
    <row r="140" spans="1:8" x14ac:dyDescent="0.3">
      <c r="A140" t="s">
        <v>74</v>
      </c>
      <c r="B140" t="s">
        <v>8</v>
      </c>
      <c r="C140" t="s">
        <v>18</v>
      </c>
      <c r="D140">
        <v>0</v>
      </c>
      <c r="E140" t="s">
        <v>68</v>
      </c>
      <c r="F140" t="s">
        <v>11</v>
      </c>
      <c r="G140" t="s">
        <v>12</v>
      </c>
      <c r="H140">
        <f t="shared" si="2"/>
        <v>0</v>
      </c>
    </row>
    <row r="141" spans="1:8" x14ac:dyDescent="0.3">
      <c r="A141" t="s">
        <v>74</v>
      </c>
      <c r="B141" t="s">
        <v>8</v>
      </c>
      <c r="C141" t="s">
        <v>19</v>
      </c>
      <c r="D141">
        <v>0</v>
      </c>
      <c r="E141" t="s">
        <v>68</v>
      </c>
      <c r="F141" t="s">
        <v>11</v>
      </c>
      <c r="G141" t="s">
        <v>12</v>
      </c>
      <c r="H141">
        <f t="shared" si="2"/>
        <v>0</v>
      </c>
    </row>
    <row r="142" spans="1:8" x14ac:dyDescent="0.3">
      <c r="A142" t="s">
        <v>74</v>
      </c>
      <c r="B142" t="s">
        <v>8</v>
      </c>
      <c r="C142" t="s">
        <v>20</v>
      </c>
      <c r="D142">
        <v>0</v>
      </c>
      <c r="E142" t="s">
        <v>68</v>
      </c>
      <c r="F142" t="s">
        <v>11</v>
      </c>
      <c r="G142" t="s">
        <v>12</v>
      </c>
      <c r="H142">
        <f t="shared" si="2"/>
        <v>0</v>
      </c>
    </row>
    <row r="143" spans="1:8" x14ac:dyDescent="0.3">
      <c r="A143" t="s">
        <v>74</v>
      </c>
      <c r="B143" t="s">
        <v>8</v>
      </c>
      <c r="C143" t="s">
        <v>21</v>
      </c>
      <c r="D143">
        <v>0</v>
      </c>
      <c r="E143" t="s">
        <v>68</v>
      </c>
      <c r="F143" t="s">
        <v>11</v>
      </c>
      <c r="G143" t="s">
        <v>12</v>
      </c>
      <c r="H143">
        <f t="shared" si="2"/>
        <v>0</v>
      </c>
    </row>
    <row r="144" spans="1:8" x14ac:dyDescent="0.3">
      <c r="A144" t="s">
        <v>74</v>
      </c>
      <c r="B144" t="s">
        <v>8</v>
      </c>
      <c r="C144" t="s">
        <v>22</v>
      </c>
      <c r="D144">
        <v>1178</v>
      </c>
      <c r="E144" t="s">
        <v>68</v>
      </c>
      <c r="F144" t="s">
        <v>11</v>
      </c>
      <c r="G144" t="s">
        <v>12</v>
      </c>
      <c r="H144">
        <f t="shared" si="2"/>
        <v>1180</v>
      </c>
    </row>
    <row r="145" spans="1:8" x14ac:dyDescent="0.3">
      <c r="A145" t="s">
        <v>74</v>
      </c>
      <c r="B145" t="s">
        <v>23</v>
      </c>
      <c r="C145" t="s">
        <v>9</v>
      </c>
      <c r="D145">
        <v>13</v>
      </c>
      <c r="E145" t="s">
        <v>68</v>
      </c>
      <c r="F145" t="s">
        <v>11</v>
      </c>
      <c r="G145" t="s">
        <v>12</v>
      </c>
      <c r="H145">
        <f t="shared" si="2"/>
        <v>13</v>
      </c>
    </row>
    <row r="146" spans="1:8" x14ac:dyDescent="0.3">
      <c r="A146" t="s">
        <v>74</v>
      </c>
      <c r="B146" t="s">
        <v>23</v>
      </c>
      <c r="C146" t="s">
        <v>13</v>
      </c>
      <c r="D146">
        <v>120</v>
      </c>
      <c r="E146" t="s">
        <v>68</v>
      </c>
      <c r="F146" t="s">
        <v>11</v>
      </c>
      <c r="G146" t="s">
        <v>12</v>
      </c>
      <c r="H146">
        <f t="shared" si="2"/>
        <v>120</v>
      </c>
    </row>
    <row r="147" spans="1:8" x14ac:dyDescent="0.3">
      <c r="A147" t="s">
        <v>74</v>
      </c>
      <c r="B147" t="s">
        <v>23</v>
      </c>
      <c r="C147" t="s">
        <v>14</v>
      </c>
      <c r="D147">
        <v>149</v>
      </c>
      <c r="E147" t="s">
        <v>68</v>
      </c>
      <c r="F147" t="s">
        <v>11</v>
      </c>
      <c r="G147" t="s">
        <v>12</v>
      </c>
      <c r="H147">
        <f t="shared" si="2"/>
        <v>149</v>
      </c>
    </row>
    <row r="148" spans="1:8" x14ac:dyDescent="0.3">
      <c r="A148" t="s">
        <v>74</v>
      </c>
      <c r="B148" t="s">
        <v>23</v>
      </c>
      <c r="C148" t="s">
        <v>15</v>
      </c>
      <c r="D148">
        <v>5</v>
      </c>
      <c r="E148" t="s">
        <v>68</v>
      </c>
      <c r="F148" t="s">
        <v>11</v>
      </c>
      <c r="G148" t="s">
        <v>12</v>
      </c>
      <c r="H148">
        <f t="shared" si="2"/>
        <v>5</v>
      </c>
    </row>
    <row r="149" spans="1:8" x14ac:dyDescent="0.3">
      <c r="A149" t="s">
        <v>74</v>
      </c>
      <c r="B149" t="s">
        <v>23</v>
      </c>
      <c r="C149" t="s">
        <v>16</v>
      </c>
      <c r="D149">
        <v>68</v>
      </c>
      <c r="E149" t="s">
        <v>68</v>
      </c>
      <c r="F149" t="s">
        <v>11</v>
      </c>
      <c r="G149" t="s">
        <v>12</v>
      </c>
      <c r="H149">
        <f t="shared" si="2"/>
        <v>68</v>
      </c>
    </row>
    <row r="150" spans="1:8" x14ac:dyDescent="0.3">
      <c r="A150" t="s">
        <v>74</v>
      </c>
      <c r="B150" t="s">
        <v>23</v>
      </c>
      <c r="C150" t="s">
        <v>17</v>
      </c>
      <c r="D150">
        <v>18</v>
      </c>
      <c r="E150" t="s">
        <v>68</v>
      </c>
      <c r="F150" t="s">
        <v>11</v>
      </c>
      <c r="G150" t="s">
        <v>12</v>
      </c>
      <c r="H150">
        <f t="shared" si="2"/>
        <v>18</v>
      </c>
    </row>
    <row r="151" spans="1:8" x14ac:dyDescent="0.3">
      <c r="A151" t="s">
        <v>74</v>
      </c>
      <c r="B151" t="s">
        <v>23</v>
      </c>
      <c r="C151" t="s">
        <v>18</v>
      </c>
      <c r="D151">
        <v>0</v>
      </c>
      <c r="E151" t="s">
        <v>68</v>
      </c>
      <c r="F151" t="s">
        <v>11</v>
      </c>
      <c r="G151" t="s">
        <v>12</v>
      </c>
      <c r="H151">
        <f t="shared" si="2"/>
        <v>0</v>
      </c>
    </row>
    <row r="152" spans="1:8" x14ac:dyDescent="0.3">
      <c r="A152" t="s">
        <v>74</v>
      </c>
      <c r="B152" t="s">
        <v>23</v>
      </c>
      <c r="C152" t="s">
        <v>19</v>
      </c>
      <c r="D152">
        <v>30</v>
      </c>
      <c r="E152" t="s">
        <v>68</v>
      </c>
      <c r="F152" t="s">
        <v>11</v>
      </c>
      <c r="G152" t="s">
        <v>12</v>
      </c>
      <c r="H152">
        <f t="shared" si="2"/>
        <v>30</v>
      </c>
    </row>
    <row r="153" spans="1:8" x14ac:dyDescent="0.3">
      <c r="A153" t="s">
        <v>74</v>
      </c>
      <c r="B153" t="s">
        <v>23</v>
      </c>
      <c r="C153" t="s">
        <v>20</v>
      </c>
      <c r="D153">
        <v>10</v>
      </c>
      <c r="E153" t="s">
        <v>68</v>
      </c>
      <c r="F153" t="s">
        <v>11</v>
      </c>
      <c r="G153" t="s">
        <v>12</v>
      </c>
      <c r="H153">
        <f t="shared" si="2"/>
        <v>10</v>
      </c>
    </row>
    <row r="154" spans="1:8" x14ac:dyDescent="0.3">
      <c r="A154" t="s">
        <v>74</v>
      </c>
      <c r="B154" t="s">
        <v>23</v>
      </c>
      <c r="C154" t="s">
        <v>21</v>
      </c>
      <c r="D154">
        <v>3</v>
      </c>
      <c r="E154" t="s">
        <v>68</v>
      </c>
      <c r="F154" t="s">
        <v>11</v>
      </c>
      <c r="G154" t="s">
        <v>12</v>
      </c>
      <c r="H154">
        <f t="shared" si="2"/>
        <v>3</v>
      </c>
    </row>
    <row r="155" spans="1:8" x14ac:dyDescent="0.3">
      <c r="A155" t="s">
        <v>74</v>
      </c>
      <c r="B155" t="s">
        <v>23</v>
      </c>
      <c r="C155" t="s">
        <v>22</v>
      </c>
      <c r="D155">
        <v>473</v>
      </c>
      <c r="E155" t="s">
        <v>68</v>
      </c>
      <c r="F155" t="s">
        <v>11</v>
      </c>
      <c r="G155" t="s">
        <v>12</v>
      </c>
      <c r="H155">
        <f t="shared" si="2"/>
        <v>473</v>
      </c>
    </row>
    <row r="156" spans="1:8" x14ac:dyDescent="0.3">
      <c r="A156" t="s">
        <v>75</v>
      </c>
      <c r="B156" t="s">
        <v>8</v>
      </c>
      <c r="C156" t="s">
        <v>9</v>
      </c>
      <c r="D156">
        <v>6134</v>
      </c>
      <c r="E156" t="s">
        <v>68</v>
      </c>
      <c r="F156" t="s">
        <v>11</v>
      </c>
      <c r="G156" t="s">
        <v>12</v>
      </c>
      <c r="H156">
        <f t="shared" si="2"/>
        <v>6130</v>
      </c>
    </row>
    <row r="157" spans="1:8" x14ac:dyDescent="0.3">
      <c r="A157" t="s">
        <v>75</v>
      </c>
      <c r="B157" t="s">
        <v>8</v>
      </c>
      <c r="C157" t="s">
        <v>13</v>
      </c>
      <c r="D157">
        <v>0</v>
      </c>
      <c r="E157" t="s">
        <v>68</v>
      </c>
      <c r="F157" t="s">
        <v>11</v>
      </c>
      <c r="G157" t="s">
        <v>12</v>
      </c>
      <c r="H157">
        <f t="shared" si="2"/>
        <v>0</v>
      </c>
    </row>
    <row r="158" spans="1:8" x14ac:dyDescent="0.3">
      <c r="A158" t="s">
        <v>75</v>
      </c>
      <c r="B158" t="s">
        <v>8</v>
      </c>
      <c r="C158" t="s">
        <v>14</v>
      </c>
      <c r="D158">
        <v>4</v>
      </c>
      <c r="E158" t="s">
        <v>68</v>
      </c>
      <c r="F158" t="s">
        <v>11</v>
      </c>
      <c r="G158" t="s">
        <v>12</v>
      </c>
      <c r="H158">
        <f t="shared" si="2"/>
        <v>4</v>
      </c>
    </row>
    <row r="159" spans="1:8" x14ac:dyDescent="0.3">
      <c r="A159" t="s">
        <v>75</v>
      </c>
      <c r="B159" t="s">
        <v>8</v>
      </c>
      <c r="C159" t="s">
        <v>15</v>
      </c>
      <c r="D159">
        <v>0</v>
      </c>
      <c r="E159" t="s">
        <v>68</v>
      </c>
      <c r="F159" t="s">
        <v>11</v>
      </c>
      <c r="G159" t="s">
        <v>12</v>
      </c>
      <c r="H159">
        <f t="shared" si="2"/>
        <v>0</v>
      </c>
    </row>
    <row r="160" spans="1:8" x14ac:dyDescent="0.3">
      <c r="A160" t="s">
        <v>75</v>
      </c>
      <c r="B160" t="s">
        <v>8</v>
      </c>
      <c r="C160" t="s">
        <v>16</v>
      </c>
      <c r="D160">
        <v>0</v>
      </c>
      <c r="E160" t="s">
        <v>68</v>
      </c>
      <c r="F160" t="s">
        <v>11</v>
      </c>
      <c r="G160" t="s">
        <v>12</v>
      </c>
      <c r="H160">
        <f t="shared" si="2"/>
        <v>0</v>
      </c>
    </row>
    <row r="161" spans="1:8" x14ac:dyDescent="0.3">
      <c r="A161" t="s">
        <v>75</v>
      </c>
      <c r="B161" t="s">
        <v>8</v>
      </c>
      <c r="C161" t="s">
        <v>17</v>
      </c>
      <c r="D161">
        <v>7</v>
      </c>
      <c r="E161" t="s">
        <v>68</v>
      </c>
      <c r="F161" t="s">
        <v>11</v>
      </c>
      <c r="G161" t="s">
        <v>12</v>
      </c>
      <c r="H161">
        <f t="shared" si="2"/>
        <v>7</v>
      </c>
    </row>
    <row r="162" spans="1:8" x14ac:dyDescent="0.3">
      <c r="A162" t="s">
        <v>75</v>
      </c>
      <c r="B162" t="s">
        <v>8</v>
      </c>
      <c r="C162" t="s">
        <v>18</v>
      </c>
      <c r="D162">
        <v>0</v>
      </c>
      <c r="E162" t="s">
        <v>68</v>
      </c>
      <c r="F162" t="s">
        <v>11</v>
      </c>
      <c r="G162" t="s">
        <v>12</v>
      </c>
      <c r="H162">
        <f t="shared" si="2"/>
        <v>0</v>
      </c>
    </row>
    <row r="163" spans="1:8" x14ac:dyDescent="0.3">
      <c r="A163" t="s">
        <v>75</v>
      </c>
      <c r="B163" t="s">
        <v>8</v>
      </c>
      <c r="C163" t="s">
        <v>19</v>
      </c>
      <c r="D163">
        <v>0</v>
      </c>
      <c r="E163" t="s">
        <v>68</v>
      </c>
      <c r="F163" t="s">
        <v>11</v>
      </c>
      <c r="G163" t="s">
        <v>12</v>
      </c>
      <c r="H163">
        <f t="shared" si="2"/>
        <v>0</v>
      </c>
    </row>
    <row r="164" spans="1:8" x14ac:dyDescent="0.3">
      <c r="A164" t="s">
        <v>75</v>
      </c>
      <c r="B164" t="s">
        <v>8</v>
      </c>
      <c r="C164" t="s">
        <v>20</v>
      </c>
      <c r="D164">
        <v>0</v>
      </c>
      <c r="E164" t="s">
        <v>68</v>
      </c>
      <c r="F164" t="s">
        <v>11</v>
      </c>
      <c r="G164" t="s">
        <v>12</v>
      </c>
      <c r="H164">
        <f t="shared" si="2"/>
        <v>0</v>
      </c>
    </row>
    <row r="165" spans="1:8" x14ac:dyDescent="0.3">
      <c r="A165" t="s">
        <v>75</v>
      </c>
      <c r="B165" t="s">
        <v>8</v>
      </c>
      <c r="C165" t="s">
        <v>21</v>
      </c>
      <c r="D165">
        <v>0</v>
      </c>
      <c r="E165" t="s">
        <v>68</v>
      </c>
      <c r="F165" t="s">
        <v>11</v>
      </c>
      <c r="G165" t="s">
        <v>12</v>
      </c>
      <c r="H165">
        <f t="shared" si="2"/>
        <v>0</v>
      </c>
    </row>
    <row r="166" spans="1:8" x14ac:dyDescent="0.3">
      <c r="A166" t="s">
        <v>75</v>
      </c>
      <c r="B166" t="s">
        <v>8</v>
      </c>
      <c r="C166" t="s">
        <v>22</v>
      </c>
      <c r="D166">
        <v>0</v>
      </c>
      <c r="E166" t="s">
        <v>68</v>
      </c>
      <c r="F166" t="s">
        <v>11</v>
      </c>
      <c r="G166" t="s">
        <v>12</v>
      </c>
      <c r="H166">
        <f t="shared" si="2"/>
        <v>0</v>
      </c>
    </row>
    <row r="167" spans="1:8" x14ac:dyDescent="0.3">
      <c r="A167" t="s">
        <v>75</v>
      </c>
      <c r="B167" t="s">
        <v>23</v>
      </c>
      <c r="C167" t="s">
        <v>9</v>
      </c>
      <c r="D167">
        <v>1220</v>
      </c>
      <c r="E167" t="s">
        <v>68</v>
      </c>
      <c r="F167" t="s">
        <v>11</v>
      </c>
      <c r="G167" t="s">
        <v>12</v>
      </c>
      <c r="H167">
        <f t="shared" si="2"/>
        <v>1220</v>
      </c>
    </row>
    <row r="168" spans="1:8" x14ac:dyDescent="0.3">
      <c r="A168" t="s">
        <v>75</v>
      </c>
      <c r="B168" t="s">
        <v>23</v>
      </c>
      <c r="C168" t="s">
        <v>13</v>
      </c>
      <c r="D168">
        <v>25</v>
      </c>
      <c r="E168" t="s">
        <v>68</v>
      </c>
      <c r="F168" t="s">
        <v>11</v>
      </c>
      <c r="G168" t="s">
        <v>12</v>
      </c>
      <c r="H168">
        <f t="shared" si="2"/>
        <v>25</v>
      </c>
    </row>
    <row r="169" spans="1:8" x14ac:dyDescent="0.3">
      <c r="A169" t="s">
        <v>75</v>
      </c>
      <c r="B169" t="s">
        <v>23</v>
      </c>
      <c r="C169" t="s">
        <v>14</v>
      </c>
      <c r="D169">
        <v>322</v>
      </c>
      <c r="E169" t="s">
        <v>68</v>
      </c>
      <c r="F169" t="s">
        <v>11</v>
      </c>
      <c r="G169" t="s">
        <v>12</v>
      </c>
      <c r="H169">
        <f t="shared" si="2"/>
        <v>322</v>
      </c>
    </row>
    <row r="170" spans="1:8" x14ac:dyDescent="0.3">
      <c r="A170" t="s">
        <v>75</v>
      </c>
      <c r="B170" t="s">
        <v>23</v>
      </c>
      <c r="C170" t="s">
        <v>15</v>
      </c>
      <c r="D170">
        <v>11</v>
      </c>
      <c r="E170" t="s">
        <v>68</v>
      </c>
      <c r="F170" t="s">
        <v>11</v>
      </c>
      <c r="G170" t="s">
        <v>12</v>
      </c>
      <c r="H170">
        <f t="shared" si="2"/>
        <v>11</v>
      </c>
    </row>
    <row r="171" spans="1:8" x14ac:dyDescent="0.3">
      <c r="A171" t="s">
        <v>75</v>
      </c>
      <c r="B171" t="s">
        <v>23</v>
      </c>
      <c r="C171" t="s">
        <v>16</v>
      </c>
      <c r="D171">
        <v>269</v>
      </c>
      <c r="E171" t="s">
        <v>68</v>
      </c>
      <c r="F171" t="s">
        <v>11</v>
      </c>
      <c r="G171" t="s">
        <v>12</v>
      </c>
      <c r="H171">
        <f t="shared" si="2"/>
        <v>269</v>
      </c>
    </row>
    <row r="172" spans="1:8" x14ac:dyDescent="0.3">
      <c r="A172" t="s">
        <v>75</v>
      </c>
      <c r="B172" t="s">
        <v>23</v>
      </c>
      <c r="C172" t="s">
        <v>17</v>
      </c>
      <c r="D172">
        <v>29</v>
      </c>
      <c r="E172" t="s">
        <v>68</v>
      </c>
      <c r="F172" t="s">
        <v>11</v>
      </c>
      <c r="G172" t="s">
        <v>12</v>
      </c>
      <c r="H172">
        <f t="shared" si="2"/>
        <v>29</v>
      </c>
    </row>
    <row r="173" spans="1:8" x14ac:dyDescent="0.3">
      <c r="A173" t="s">
        <v>75</v>
      </c>
      <c r="B173" t="s">
        <v>23</v>
      </c>
      <c r="C173" t="s">
        <v>18</v>
      </c>
      <c r="D173">
        <v>0</v>
      </c>
      <c r="E173" t="s">
        <v>68</v>
      </c>
      <c r="F173" t="s">
        <v>11</v>
      </c>
      <c r="G173" t="s">
        <v>12</v>
      </c>
      <c r="H173">
        <f t="shared" si="2"/>
        <v>0</v>
      </c>
    </row>
    <row r="174" spans="1:8" x14ac:dyDescent="0.3">
      <c r="A174" t="s">
        <v>75</v>
      </c>
      <c r="B174" t="s">
        <v>23</v>
      </c>
      <c r="C174" t="s">
        <v>19</v>
      </c>
      <c r="D174">
        <v>10</v>
      </c>
      <c r="E174" t="s">
        <v>68</v>
      </c>
      <c r="F174" t="s">
        <v>11</v>
      </c>
      <c r="G174" t="s">
        <v>12</v>
      </c>
      <c r="H174">
        <f t="shared" si="2"/>
        <v>10</v>
      </c>
    </row>
    <row r="175" spans="1:8" x14ac:dyDescent="0.3">
      <c r="A175" t="s">
        <v>75</v>
      </c>
      <c r="B175" t="s">
        <v>23</v>
      </c>
      <c r="C175" t="s">
        <v>20</v>
      </c>
      <c r="D175">
        <v>18</v>
      </c>
      <c r="E175" t="s">
        <v>68</v>
      </c>
      <c r="F175" t="s">
        <v>11</v>
      </c>
      <c r="G175" t="s">
        <v>12</v>
      </c>
      <c r="H175">
        <f t="shared" si="2"/>
        <v>18</v>
      </c>
    </row>
    <row r="176" spans="1:8" x14ac:dyDescent="0.3">
      <c r="A176" t="s">
        <v>75</v>
      </c>
      <c r="B176" t="s">
        <v>23</v>
      </c>
      <c r="C176" t="s">
        <v>21</v>
      </c>
      <c r="D176">
        <v>7</v>
      </c>
      <c r="E176" t="s">
        <v>68</v>
      </c>
      <c r="F176" t="s">
        <v>11</v>
      </c>
      <c r="G176" t="s">
        <v>12</v>
      </c>
      <c r="H176">
        <f t="shared" si="2"/>
        <v>7</v>
      </c>
    </row>
    <row r="177" spans="1:8" x14ac:dyDescent="0.3">
      <c r="A177" t="s">
        <v>75</v>
      </c>
      <c r="B177" t="s">
        <v>23</v>
      </c>
      <c r="C177" t="s">
        <v>22</v>
      </c>
      <c r="D177">
        <v>4</v>
      </c>
      <c r="E177" t="s">
        <v>68</v>
      </c>
      <c r="F177" t="s">
        <v>11</v>
      </c>
      <c r="G177" t="s">
        <v>12</v>
      </c>
      <c r="H177">
        <f t="shared" si="2"/>
        <v>4</v>
      </c>
    </row>
    <row r="178" spans="1:8" x14ac:dyDescent="0.3">
      <c r="A178" t="s">
        <v>76</v>
      </c>
      <c r="B178" t="s">
        <v>8</v>
      </c>
      <c r="C178" t="s">
        <v>9</v>
      </c>
      <c r="D178">
        <v>5950</v>
      </c>
      <c r="E178" t="s">
        <v>68</v>
      </c>
      <c r="F178" t="s">
        <v>11</v>
      </c>
      <c r="G178" t="s">
        <v>12</v>
      </c>
      <c r="H178">
        <f t="shared" si="2"/>
        <v>5950</v>
      </c>
    </row>
    <row r="179" spans="1:8" x14ac:dyDescent="0.3">
      <c r="A179" t="s">
        <v>76</v>
      </c>
      <c r="B179" t="s">
        <v>8</v>
      </c>
      <c r="C179" t="s">
        <v>13</v>
      </c>
      <c r="D179">
        <v>0</v>
      </c>
      <c r="E179" t="s">
        <v>68</v>
      </c>
      <c r="F179" t="s">
        <v>11</v>
      </c>
      <c r="G179" t="s">
        <v>12</v>
      </c>
      <c r="H179">
        <f t="shared" si="2"/>
        <v>0</v>
      </c>
    </row>
    <row r="180" spans="1:8" x14ac:dyDescent="0.3">
      <c r="A180" t="s">
        <v>76</v>
      </c>
      <c r="B180" t="s">
        <v>8</v>
      </c>
      <c r="C180" t="s">
        <v>14</v>
      </c>
      <c r="D180">
        <v>4</v>
      </c>
      <c r="E180" t="s">
        <v>68</v>
      </c>
      <c r="F180" t="s">
        <v>11</v>
      </c>
      <c r="G180" t="s">
        <v>12</v>
      </c>
      <c r="H180">
        <f t="shared" si="2"/>
        <v>4</v>
      </c>
    </row>
    <row r="181" spans="1:8" x14ac:dyDescent="0.3">
      <c r="A181" t="s">
        <v>76</v>
      </c>
      <c r="B181" t="s">
        <v>8</v>
      </c>
      <c r="C181" t="s">
        <v>15</v>
      </c>
      <c r="D181">
        <v>0</v>
      </c>
      <c r="E181" t="s">
        <v>68</v>
      </c>
      <c r="F181" t="s">
        <v>11</v>
      </c>
      <c r="G181" t="s">
        <v>12</v>
      </c>
      <c r="H181">
        <f t="shared" si="2"/>
        <v>0</v>
      </c>
    </row>
    <row r="182" spans="1:8" x14ac:dyDescent="0.3">
      <c r="A182" t="s">
        <v>76</v>
      </c>
      <c r="B182" t="s">
        <v>8</v>
      </c>
      <c r="C182" t="s">
        <v>16</v>
      </c>
      <c r="D182">
        <v>0</v>
      </c>
      <c r="E182" t="s">
        <v>68</v>
      </c>
      <c r="F182" t="s">
        <v>11</v>
      </c>
      <c r="G182" t="s">
        <v>12</v>
      </c>
      <c r="H182">
        <f t="shared" si="2"/>
        <v>0</v>
      </c>
    </row>
    <row r="183" spans="1:8" x14ac:dyDescent="0.3">
      <c r="A183" t="s">
        <v>76</v>
      </c>
      <c r="B183" t="s">
        <v>8</v>
      </c>
      <c r="C183" t="s">
        <v>17</v>
      </c>
      <c r="D183">
        <v>7</v>
      </c>
      <c r="E183" t="s">
        <v>68</v>
      </c>
      <c r="F183" t="s">
        <v>11</v>
      </c>
      <c r="G183" t="s">
        <v>12</v>
      </c>
      <c r="H183">
        <f t="shared" si="2"/>
        <v>7</v>
      </c>
    </row>
    <row r="184" spans="1:8" x14ac:dyDescent="0.3">
      <c r="A184" t="s">
        <v>76</v>
      </c>
      <c r="B184" t="s">
        <v>8</v>
      </c>
      <c r="C184" t="s">
        <v>18</v>
      </c>
      <c r="D184">
        <v>0</v>
      </c>
      <c r="E184" t="s">
        <v>68</v>
      </c>
      <c r="F184" t="s">
        <v>11</v>
      </c>
      <c r="G184" t="s">
        <v>12</v>
      </c>
      <c r="H184">
        <f t="shared" si="2"/>
        <v>0</v>
      </c>
    </row>
    <row r="185" spans="1:8" x14ac:dyDescent="0.3">
      <c r="A185" t="s">
        <v>76</v>
      </c>
      <c r="B185" t="s">
        <v>8</v>
      </c>
      <c r="C185" t="s">
        <v>19</v>
      </c>
      <c r="D185">
        <v>0</v>
      </c>
      <c r="E185" t="s">
        <v>68</v>
      </c>
      <c r="F185" t="s">
        <v>11</v>
      </c>
      <c r="G185" t="s">
        <v>12</v>
      </c>
      <c r="H185">
        <f t="shared" si="2"/>
        <v>0</v>
      </c>
    </row>
    <row r="186" spans="1:8" x14ac:dyDescent="0.3">
      <c r="A186" t="s">
        <v>76</v>
      </c>
      <c r="B186" t="s">
        <v>8</v>
      </c>
      <c r="C186" t="s">
        <v>20</v>
      </c>
      <c r="D186">
        <v>0</v>
      </c>
      <c r="E186" t="s">
        <v>68</v>
      </c>
      <c r="F186" t="s">
        <v>11</v>
      </c>
      <c r="G186" t="s">
        <v>12</v>
      </c>
      <c r="H186">
        <f t="shared" si="2"/>
        <v>0</v>
      </c>
    </row>
    <row r="187" spans="1:8" x14ac:dyDescent="0.3">
      <c r="A187" t="s">
        <v>76</v>
      </c>
      <c r="B187" t="s">
        <v>8</v>
      </c>
      <c r="C187" t="s">
        <v>21</v>
      </c>
      <c r="D187">
        <v>0</v>
      </c>
      <c r="E187" t="s">
        <v>68</v>
      </c>
      <c r="F187" t="s">
        <v>11</v>
      </c>
      <c r="G187" t="s">
        <v>12</v>
      </c>
      <c r="H187">
        <f t="shared" si="2"/>
        <v>0</v>
      </c>
    </row>
    <row r="188" spans="1:8" x14ac:dyDescent="0.3">
      <c r="A188" t="s">
        <v>76</v>
      </c>
      <c r="B188" t="s">
        <v>8</v>
      </c>
      <c r="C188" t="s">
        <v>22</v>
      </c>
      <c r="D188">
        <v>0</v>
      </c>
      <c r="E188" t="s">
        <v>68</v>
      </c>
      <c r="F188" t="s">
        <v>11</v>
      </c>
      <c r="G188" t="s">
        <v>12</v>
      </c>
      <c r="H188">
        <f t="shared" si="2"/>
        <v>0</v>
      </c>
    </row>
    <row r="189" spans="1:8" x14ac:dyDescent="0.3">
      <c r="A189" t="s">
        <v>76</v>
      </c>
      <c r="B189" t="s">
        <v>23</v>
      </c>
      <c r="C189" t="s">
        <v>9</v>
      </c>
      <c r="D189">
        <v>1183</v>
      </c>
      <c r="E189" t="s">
        <v>68</v>
      </c>
      <c r="F189" t="s">
        <v>11</v>
      </c>
      <c r="G189" t="s">
        <v>12</v>
      </c>
      <c r="H189">
        <f t="shared" si="2"/>
        <v>1180</v>
      </c>
    </row>
    <row r="190" spans="1:8" x14ac:dyDescent="0.3">
      <c r="A190" t="s">
        <v>76</v>
      </c>
      <c r="B190" t="s">
        <v>23</v>
      </c>
      <c r="C190" t="s">
        <v>13</v>
      </c>
      <c r="D190">
        <v>24</v>
      </c>
      <c r="E190" t="s">
        <v>68</v>
      </c>
      <c r="F190" t="s">
        <v>11</v>
      </c>
      <c r="G190" t="s">
        <v>12</v>
      </c>
      <c r="H190">
        <f t="shared" si="2"/>
        <v>24</v>
      </c>
    </row>
    <row r="191" spans="1:8" x14ac:dyDescent="0.3">
      <c r="A191" t="s">
        <v>76</v>
      </c>
      <c r="B191" t="s">
        <v>23</v>
      </c>
      <c r="C191" t="s">
        <v>14</v>
      </c>
      <c r="D191">
        <v>312</v>
      </c>
      <c r="E191" t="s">
        <v>68</v>
      </c>
      <c r="F191" t="s">
        <v>11</v>
      </c>
      <c r="G191" t="s">
        <v>12</v>
      </c>
      <c r="H191">
        <f t="shared" si="2"/>
        <v>312</v>
      </c>
    </row>
    <row r="192" spans="1:8" x14ac:dyDescent="0.3">
      <c r="A192" t="s">
        <v>76</v>
      </c>
      <c r="B192" t="s">
        <v>23</v>
      </c>
      <c r="C192" t="s">
        <v>15</v>
      </c>
      <c r="D192">
        <v>10</v>
      </c>
      <c r="E192" t="s">
        <v>68</v>
      </c>
      <c r="F192" t="s">
        <v>11</v>
      </c>
      <c r="G192" t="s">
        <v>12</v>
      </c>
      <c r="H192">
        <f t="shared" si="2"/>
        <v>10</v>
      </c>
    </row>
    <row r="193" spans="1:8" x14ac:dyDescent="0.3">
      <c r="A193" t="s">
        <v>76</v>
      </c>
      <c r="B193" t="s">
        <v>23</v>
      </c>
      <c r="C193" t="s">
        <v>16</v>
      </c>
      <c r="D193">
        <v>261</v>
      </c>
      <c r="E193" t="s">
        <v>68</v>
      </c>
      <c r="F193" t="s">
        <v>11</v>
      </c>
      <c r="G193" t="s">
        <v>12</v>
      </c>
      <c r="H193">
        <f t="shared" si="2"/>
        <v>261</v>
      </c>
    </row>
    <row r="194" spans="1:8" x14ac:dyDescent="0.3">
      <c r="A194" t="s">
        <v>76</v>
      </c>
      <c r="B194" t="s">
        <v>23</v>
      </c>
      <c r="C194" t="s">
        <v>17</v>
      </c>
      <c r="D194">
        <v>28</v>
      </c>
      <c r="E194" t="s">
        <v>68</v>
      </c>
      <c r="F194" t="s">
        <v>11</v>
      </c>
      <c r="G194" t="s">
        <v>12</v>
      </c>
      <c r="H194">
        <f t="shared" si="2"/>
        <v>28</v>
      </c>
    </row>
    <row r="195" spans="1:8" x14ac:dyDescent="0.3">
      <c r="A195" t="s">
        <v>76</v>
      </c>
      <c r="B195" t="s">
        <v>23</v>
      </c>
      <c r="C195" t="s">
        <v>18</v>
      </c>
      <c r="D195">
        <v>0</v>
      </c>
      <c r="E195" t="s">
        <v>68</v>
      </c>
      <c r="F195" t="s">
        <v>11</v>
      </c>
      <c r="G195" t="s">
        <v>12</v>
      </c>
      <c r="H195">
        <f t="shared" ref="H195:H258" si="3">ROUND(D195, 3 - LEN(INT(ABS(D195))))</f>
        <v>0</v>
      </c>
    </row>
    <row r="196" spans="1:8" x14ac:dyDescent="0.3">
      <c r="A196" t="s">
        <v>76</v>
      </c>
      <c r="B196" t="s">
        <v>23</v>
      </c>
      <c r="C196" t="s">
        <v>19</v>
      </c>
      <c r="D196">
        <v>9</v>
      </c>
      <c r="E196" t="s">
        <v>68</v>
      </c>
      <c r="F196" t="s">
        <v>11</v>
      </c>
      <c r="G196" t="s">
        <v>12</v>
      </c>
      <c r="H196">
        <f t="shared" si="3"/>
        <v>9</v>
      </c>
    </row>
    <row r="197" spans="1:8" x14ac:dyDescent="0.3">
      <c r="A197" t="s">
        <v>76</v>
      </c>
      <c r="B197" t="s">
        <v>23</v>
      </c>
      <c r="C197" t="s">
        <v>20</v>
      </c>
      <c r="D197">
        <v>18</v>
      </c>
      <c r="E197" t="s">
        <v>68</v>
      </c>
      <c r="F197" t="s">
        <v>11</v>
      </c>
      <c r="G197" t="s">
        <v>12</v>
      </c>
      <c r="H197">
        <f t="shared" si="3"/>
        <v>18</v>
      </c>
    </row>
    <row r="198" spans="1:8" x14ac:dyDescent="0.3">
      <c r="A198" t="s">
        <v>76</v>
      </c>
      <c r="B198" t="s">
        <v>23</v>
      </c>
      <c r="C198" t="s">
        <v>21</v>
      </c>
      <c r="D198">
        <v>7</v>
      </c>
      <c r="E198" t="s">
        <v>68</v>
      </c>
      <c r="F198" t="s">
        <v>11</v>
      </c>
      <c r="G198" t="s">
        <v>12</v>
      </c>
      <c r="H198">
        <f t="shared" si="3"/>
        <v>7</v>
      </c>
    </row>
    <row r="199" spans="1:8" x14ac:dyDescent="0.3">
      <c r="A199" t="s">
        <v>76</v>
      </c>
      <c r="B199" t="s">
        <v>23</v>
      </c>
      <c r="C199" t="s">
        <v>22</v>
      </c>
      <c r="D199">
        <v>4</v>
      </c>
      <c r="E199" t="s">
        <v>68</v>
      </c>
      <c r="F199" t="s">
        <v>11</v>
      </c>
      <c r="G199" t="s">
        <v>12</v>
      </c>
      <c r="H199">
        <f t="shared" si="3"/>
        <v>4</v>
      </c>
    </row>
    <row r="200" spans="1:8" x14ac:dyDescent="0.3">
      <c r="A200" t="s">
        <v>77</v>
      </c>
      <c r="B200" t="s">
        <v>8</v>
      </c>
      <c r="C200" t="s">
        <v>9</v>
      </c>
      <c r="D200">
        <v>0</v>
      </c>
      <c r="E200" t="s">
        <v>68</v>
      </c>
      <c r="F200" t="s">
        <v>11</v>
      </c>
      <c r="G200" t="s">
        <v>12</v>
      </c>
      <c r="H200">
        <f t="shared" si="3"/>
        <v>0</v>
      </c>
    </row>
    <row r="201" spans="1:8" x14ac:dyDescent="0.3">
      <c r="A201" t="s">
        <v>77</v>
      </c>
      <c r="B201" t="s">
        <v>8</v>
      </c>
      <c r="C201" t="s">
        <v>13</v>
      </c>
      <c r="D201">
        <v>0</v>
      </c>
      <c r="E201" t="s">
        <v>68</v>
      </c>
      <c r="F201" t="s">
        <v>11</v>
      </c>
      <c r="G201" t="s">
        <v>12</v>
      </c>
      <c r="H201">
        <f t="shared" si="3"/>
        <v>0</v>
      </c>
    </row>
    <row r="202" spans="1:8" x14ac:dyDescent="0.3">
      <c r="A202" t="s">
        <v>77</v>
      </c>
      <c r="B202" t="s">
        <v>8</v>
      </c>
      <c r="C202" t="s">
        <v>14</v>
      </c>
      <c r="D202">
        <v>0</v>
      </c>
      <c r="E202" t="s">
        <v>68</v>
      </c>
      <c r="F202" t="s">
        <v>11</v>
      </c>
      <c r="G202" t="s">
        <v>12</v>
      </c>
      <c r="H202">
        <f t="shared" si="3"/>
        <v>0</v>
      </c>
    </row>
    <row r="203" spans="1:8" x14ac:dyDescent="0.3">
      <c r="A203" t="s">
        <v>77</v>
      </c>
      <c r="B203" t="s">
        <v>8</v>
      </c>
      <c r="C203" t="s">
        <v>15</v>
      </c>
      <c r="D203">
        <v>0</v>
      </c>
      <c r="E203" t="s">
        <v>68</v>
      </c>
      <c r="F203" t="s">
        <v>11</v>
      </c>
      <c r="G203" t="s">
        <v>12</v>
      </c>
      <c r="H203">
        <f t="shared" si="3"/>
        <v>0</v>
      </c>
    </row>
    <row r="204" spans="1:8" x14ac:dyDescent="0.3">
      <c r="A204" t="s">
        <v>77</v>
      </c>
      <c r="B204" t="s">
        <v>8</v>
      </c>
      <c r="C204" t="s">
        <v>16</v>
      </c>
      <c r="D204">
        <v>0</v>
      </c>
      <c r="E204" t="s">
        <v>68</v>
      </c>
      <c r="F204" t="s">
        <v>11</v>
      </c>
      <c r="G204" t="s">
        <v>12</v>
      </c>
      <c r="H204">
        <f t="shared" si="3"/>
        <v>0</v>
      </c>
    </row>
    <row r="205" spans="1:8" x14ac:dyDescent="0.3">
      <c r="A205" t="s">
        <v>77</v>
      </c>
      <c r="B205" t="s">
        <v>8</v>
      </c>
      <c r="C205" t="s">
        <v>17</v>
      </c>
      <c r="D205">
        <v>0</v>
      </c>
      <c r="E205" t="s">
        <v>68</v>
      </c>
      <c r="F205" t="s">
        <v>11</v>
      </c>
      <c r="G205" t="s">
        <v>12</v>
      </c>
      <c r="H205">
        <f t="shared" si="3"/>
        <v>0</v>
      </c>
    </row>
    <row r="206" spans="1:8" x14ac:dyDescent="0.3">
      <c r="A206" t="s">
        <v>77</v>
      </c>
      <c r="B206" t="s">
        <v>8</v>
      </c>
      <c r="C206" t="s">
        <v>18</v>
      </c>
      <c r="D206">
        <v>0</v>
      </c>
      <c r="E206" t="s">
        <v>68</v>
      </c>
      <c r="F206" t="s">
        <v>11</v>
      </c>
      <c r="G206" t="s">
        <v>12</v>
      </c>
      <c r="H206">
        <f t="shared" si="3"/>
        <v>0</v>
      </c>
    </row>
    <row r="207" spans="1:8" x14ac:dyDescent="0.3">
      <c r="A207" t="s">
        <v>77</v>
      </c>
      <c r="B207" t="s">
        <v>8</v>
      </c>
      <c r="C207" t="s">
        <v>19</v>
      </c>
      <c r="D207">
        <v>0</v>
      </c>
      <c r="E207" t="s">
        <v>68</v>
      </c>
      <c r="F207" t="s">
        <v>11</v>
      </c>
      <c r="G207" t="s">
        <v>12</v>
      </c>
      <c r="H207">
        <f t="shared" si="3"/>
        <v>0</v>
      </c>
    </row>
    <row r="208" spans="1:8" x14ac:dyDescent="0.3">
      <c r="A208" t="s">
        <v>77</v>
      </c>
      <c r="B208" t="s">
        <v>8</v>
      </c>
      <c r="C208" t="s">
        <v>20</v>
      </c>
      <c r="D208">
        <v>674</v>
      </c>
      <c r="E208" t="s">
        <v>68</v>
      </c>
      <c r="F208" t="s">
        <v>11</v>
      </c>
      <c r="G208" t="s">
        <v>12</v>
      </c>
      <c r="H208">
        <f t="shared" si="3"/>
        <v>674</v>
      </c>
    </row>
    <row r="209" spans="1:8" x14ac:dyDescent="0.3">
      <c r="A209" t="s">
        <v>77</v>
      </c>
      <c r="B209" t="s">
        <v>8</v>
      </c>
      <c r="C209" t="s">
        <v>21</v>
      </c>
      <c r="D209">
        <v>0</v>
      </c>
      <c r="E209" t="s">
        <v>68</v>
      </c>
      <c r="F209" t="s">
        <v>11</v>
      </c>
      <c r="G209" t="s">
        <v>12</v>
      </c>
      <c r="H209">
        <f t="shared" si="3"/>
        <v>0</v>
      </c>
    </row>
    <row r="210" spans="1:8" x14ac:dyDescent="0.3">
      <c r="A210" t="s">
        <v>77</v>
      </c>
      <c r="B210" t="s">
        <v>8</v>
      </c>
      <c r="C210" t="s">
        <v>22</v>
      </c>
      <c r="D210">
        <v>0</v>
      </c>
      <c r="E210" t="s">
        <v>68</v>
      </c>
      <c r="F210" t="s">
        <v>11</v>
      </c>
      <c r="G210" t="s">
        <v>12</v>
      </c>
      <c r="H210">
        <f t="shared" si="3"/>
        <v>0</v>
      </c>
    </row>
    <row r="211" spans="1:8" x14ac:dyDescent="0.3">
      <c r="A211" t="s">
        <v>77</v>
      </c>
      <c r="B211" t="s">
        <v>23</v>
      </c>
      <c r="C211" t="s">
        <v>9</v>
      </c>
      <c r="D211">
        <v>10</v>
      </c>
      <c r="E211" t="s">
        <v>68</v>
      </c>
      <c r="F211" t="s">
        <v>11</v>
      </c>
      <c r="G211" t="s">
        <v>12</v>
      </c>
      <c r="H211">
        <f t="shared" si="3"/>
        <v>10</v>
      </c>
    </row>
    <row r="212" spans="1:8" x14ac:dyDescent="0.3">
      <c r="A212" t="s">
        <v>77</v>
      </c>
      <c r="B212" t="s">
        <v>23</v>
      </c>
      <c r="C212" t="s">
        <v>13</v>
      </c>
      <c r="D212">
        <v>8</v>
      </c>
      <c r="E212" t="s">
        <v>68</v>
      </c>
      <c r="F212" t="s">
        <v>11</v>
      </c>
      <c r="G212" t="s">
        <v>12</v>
      </c>
      <c r="H212">
        <f t="shared" si="3"/>
        <v>8</v>
      </c>
    </row>
    <row r="213" spans="1:8" x14ac:dyDescent="0.3">
      <c r="A213" t="s">
        <v>77</v>
      </c>
      <c r="B213" t="s">
        <v>23</v>
      </c>
      <c r="C213" t="s">
        <v>14</v>
      </c>
      <c r="D213">
        <v>35</v>
      </c>
      <c r="E213" t="s">
        <v>68</v>
      </c>
      <c r="F213" t="s">
        <v>11</v>
      </c>
      <c r="G213" t="s">
        <v>12</v>
      </c>
      <c r="H213">
        <f t="shared" si="3"/>
        <v>35</v>
      </c>
    </row>
    <row r="214" spans="1:8" x14ac:dyDescent="0.3">
      <c r="A214" t="s">
        <v>77</v>
      </c>
      <c r="B214" t="s">
        <v>23</v>
      </c>
      <c r="C214" t="s">
        <v>15</v>
      </c>
      <c r="D214">
        <v>8</v>
      </c>
      <c r="E214" t="s">
        <v>68</v>
      </c>
      <c r="F214" t="s">
        <v>11</v>
      </c>
      <c r="G214" t="s">
        <v>12</v>
      </c>
      <c r="H214">
        <f t="shared" si="3"/>
        <v>8</v>
      </c>
    </row>
    <row r="215" spans="1:8" x14ac:dyDescent="0.3">
      <c r="A215" t="s">
        <v>77</v>
      </c>
      <c r="B215" t="s">
        <v>23</v>
      </c>
      <c r="C215" t="s">
        <v>16</v>
      </c>
      <c r="D215">
        <v>29</v>
      </c>
      <c r="E215" t="s">
        <v>68</v>
      </c>
      <c r="F215" t="s">
        <v>11</v>
      </c>
      <c r="G215" t="s">
        <v>12</v>
      </c>
      <c r="H215">
        <f t="shared" si="3"/>
        <v>29</v>
      </c>
    </row>
    <row r="216" spans="1:8" x14ac:dyDescent="0.3">
      <c r="A216" t="s">
        <v>77</v>
      </c>
      <c r="B216" t="s">
        <v>23</v>
      </c>
      <c r="C216" t="s">
        <v>17</v>
      </c>
      <c r="D216">
        <v>2</v>
      </c>
      <c r="E216" t="s">
        <v>68</v>
      </c>
      <c r="F216" t="s">
        <v>11</v>
      </c>
      <c r="G216" t="s">
        <v>12</v>
      </c>
      <c r="H216">
        <f t="shared" si="3"/>
        <v>2</v>
      </c>
    </row>
    <row r="217" spans="1:8" x14ac:dyDescent="0.3">
      <c r="A217" t="s">
        <v>77</v>
      </c>
      <c r="B217" t="s">
        <v>23</v>
      </c>
      <c r="C217" t="s">
        <v>18</v>
      </c>
      <c r="D217">
        <v>0</v>
      </c>
      <c r="E217" t="s">
        <v>68</v>
      </c>
      <c r="F217" t="s">
        <v>11</v>
      </c>
      <c r="G217" t="s">
        <v>12</v>
      </c>
      <c r="H217">
        <f t="shared" si="3"/>
        <v>0</v>
      </c>
    </row>
    <row r="218" spans="1:8" x14ac:dyDescent="0.3">
      <c r="A218" t="s">
        <v>77</v>
      </c>
      <c r="B218" t="s">
        <v>23</v>
      </c>
      <c r="C218" t="s">
        <v>19</v>
      </c>
      <c r="D218">
        <v>3</v>
      </c>
      <c r="E218" t="s">
        <v>68</v>
      </c>
      <c r="F218" t="s">
        <v>11</v>
      </c>
      <c r="G218" t="s">
        <v>12</v>
      </c>
      <c r="H218">
        <f t="shared" si="3"/>
        <v>3</v>
      </c>
    </row>
    <row r="219" spans="1:8" x14ac:dyDescent="0.3">
      <c r="A219" t="s">
        <v>77</v>
      </c>
      <c r="B219" t="s">
        <v>23</v>
      </c>
      <c r="C219" t="s">
        <v>20</v>
      </c>
      <c r="D219">
        <v>897</v>
      </c>
      <c r="E219" t="s">
        <v>68</v>
      </c>
      <c r="F219" t="s">
        <v>11</v>
      </c>
      <c r="G219" t="s">
        <v>12</v>
      </c>
      <c r="H219">
        <f t="shared" si="3"/>
        <v>897</v>
      </c>
    </row>
    <row r="220" spans="1:8" x14ac:dyDescent="0.3">
      <c r="A220" t="s">
        <v>77</v>
      </c>
      <c r="B220" t="s">
        <v>23</v>
      </c>
      <c r="C220" t="s">
        <v>21</v>
      </c>
      <c r="D220">
        <v>4</v>
      </c>
      <c r="E220" t="s">
        <v>68</v>
      </c>
      <c r="F220" t="s">
        <v>11</v>
      </c>
      <c r="G220" t="s">
        <v>12</v>
      </c>
      <c r="H220">
        <f t="shared" si="3"/>
        <v>4</v>
      </c>
    </row>
    <row r="221" spans="1:8" x14ac:dyDescent="0.3">
      <c r="A221" t="s">
        <v>77</v>
      </c>
      <c r="B221" t="s">
        <v>23</v>
      </c>
      <c r="C221" t="s">
        <v>22</v>
      </c>
      <c r="D221">
        <v>2</v>
      </c>
      <c r="E221" t="s">
        <v>68</v>
      </c>
      <c r="F221" t="s">
        <v>11</v>
      </c>
      <c r="G221" t="s">
        <v>12</v>
      </c>
      <c r="H221">
        <f t="shared" si="3"/>
        <v>2</v>
      </c>
    </row>
    <row r="222" spans="1:8" x14ac:dyDescent="0.3">
      <c r="A222" t="s">
        <v>78</v>
      </c>
      <c r="B222" t="s">
        <v>8</v>
      </c>
      <c r="C222" t="s">
        <v>9</v>
      </c>
      <c r="D222">
        <v>0</v>
      </c>
      <c r="E222" t="s">
        <v>68</v>
      </c>
      <c r="F222" t="s">
        <v>11</v>
      </c>
      <c r="G222" t="s">
        <v>12</v>
      </c>
      <c r="H222">
        <f t="shared" si="3"/>
        <v>0</v>
      </c>
    </row>
    <row r="223" spans="1:8" x14ac:dyDescent="0.3">
      <c r="A223" t="s">
        <v>78</v>
      </c>
      <c r="B223" t="s">
        <v>8</v>
      </c>
      <c r="C223" t="s">
        <v>13</v>
      </c>
      <c r="D223">
        <v>0</v>
      </c>
      <c r="E223" t="s">
        <v>68</v>
      </c>
      <c r="F223" t="s">
        <v>11</v>
      </c>
      <c r="G223" t="s">
        <v>12</v>
      </c>
      <c r="H223">
        <f t="shared" si="3"/>
        <v>0</v>
      </c>
    </row>
    <row r="224" spans="1:8" x14ac:dyDescent="0.3">
      <c r="A224" t="s">
        <v>78</v>
      </c>
      <c r="B224" t="s">
        <v>8</v>
      </c>
      <c r="C224" t="s">
        <v>14</v>
      </c>
      <c r="D224">
        <v>6</v>
      </c>
      <c r="E224" t="s">
        <v>68</v>
      </c>
      <c r="F224" t="s">
        <v>11</v>
      </c>
      <c r="G224" t="s">
        <v>12</v>
      </c>
      <c r="H224">
        <f t="shared" si="3"/>
        <v>6</v>
      </c>
    </row>
    <row r="225" spans="1:8" x14ac:dyDescent="0.3">
      <c r="A225" t="s">
        <v>78</v>
      </c>
      <c r="B225" t="s">
        <v>8</v>
      </c>
      <c r="C225" t="s">
        <v>15</v>
      </c>
      <c r="D225">
        <v>0</v>
      </c>
      <c r="E225" t="s">
        <v>68</v>
      </c>
      <c r="F225" t="s">
        <v>11</v>
      </c>
      <c r="G225" t="s">
        <v>12</v>
      </c>
      <c r="H225">
        <f t="shared" si="3"/>
        <v>0</v>
      </c>
    </row>
    <row r="226" spans="1:8" x14ac:dyDescent="0.3">
      <c r="A226" t="s">
        <v>78</v>
      </c>
      <c r="B226" t="s">
        <v>8</v>
      </c>
      <c r="C226" t="s">
        <v>16</v>
      </c>
      <c r="D226">
        <v>3487</v>
      </c>
      <c r="E226" t="s">
        <v>68</v>
      </c>
      <c r="F226" t="s">
        <v>11</v>
      </c>
      <c r="G226" t="s">
        <v>12</v>
      </c>
      <c r="H226">
        <f t="shared" si="3"/>
        <v>3490</v>
      </c>
    </row>
    <row r="227" spans="1:8" x14ac:dyDescent="0.3">
      <c r="A227" t="s">
        <v>78</v>
      </c>
      <c r="B227" t="s">
        <v>8</v>
      </c>
      <c r="C227" t="s">
        <v>17</v>
      </c>
      <c r="D227">
        <v>5</v>
      </c>
      <c r="E227" t="s">
        <v>68</v>
      </c>
      <c r="F227" t="s">
        <v>11</v>
      </c>
      <c r="G227" t="s">
        <v>12</v>
      </c>
      <c r="H227">
        <f t="shared" si="3"/>
        <v>5</v>
      </c>
    </row>
    <row r="228" spans="1:8" x14ac:dyDescent="0.3">
      <c r="A228" t="s">
        <v>78</v>
      </c>
      <c r="B228" t="s">
        <v>8</v>
      </c>
      <c r="C228" t="s">
        <v>18</v>
      </c>
      <c r="D228">
        <v>0</v>
      </c>
      <c r="E228" t="s">
        <v>68</v>
      </c>
      <c r="F228" t="s">
        <v>11</v>
      </c>
      <c r="G228" t="s">
        <v>12</v>
      </c>
      <c r="H228">
        <f t="shared" si="3"/>
        <v>0</v>
      </c>
    </row>
    <row r="229" spans="1:8" x14ac:dyDescent="0.3">
      <c r="A229" t="s">
        <v>78</v>
      </c>
      <c r="B229" t="s">
        <v>8</v>
      </c>
      <c r="C229" t="s">
        <v>19</v>
      </c>
      <c r="D229">
        <v>0</v>
      </c>
      <c r="E229" t="s">
        <v>68</v>
      </c>
      <c r="F229" t="s">
        <v>11</v>
      </c>
      <c r="G229" t="s">
        <v>12</v>
      </c>
      <c r="H229">
        <f t="shared" si="3"/>
        <v>0</v>
      </c>
    </row>
    <row r="230" spans="1:8" x14ac:dyDescent="0.3">
      <c r="A230" t="s">
        <v>78</v>
      </c>
      <c r="B230" t="s">
        <v>8</v>
      </c>
      <c r="C230" t="s">
        <v>20</v>
      </c>
      <c r="D230">
        <v>0</v>
      </c>
      <c r="E230" t="s">
        <v>68</v>
      </c>
      <c r="F230" t="s">
        <v>11</v>
      </c>
      <c r="G230" t="s">
        <v>12</v>
      </c>
      <c r="H230">
        <f t="shared" si="3"/>
        <v>0</v>
      </c>
    </row>
    <row r="231" spans="1:8" x14ac:dyDescent="0.3">
      <c r="A231" t="s">
        <v>78</v>
      </c>
      <c r="B231" t="s">
        <v>8</v>
      </c>
      <c r="C231" t="s">
        <v>21</v>
      </c>
      <c r="D231">
        <v>0</v>
      </c>
      <c r="E231" t="s">
        <v>68</v>
      </c>
      <c r="F231" t="s">
        <v>11</v>
      </c>
      <c r="G231" t="s">
        <v>12</v>
      </c>
      <c r="H231">
        <f t="shared" si="3"/>
        <v>0</v>
      </c>
    </row>
    <row r="232" spans="1:8" x14ac:dyDescent="0.3">
      <c r="A232" t="s">
        <v>78</v>
      </c>
      <c r="B232" t="s">
        <v>8</v>
      </c>
      <c r="C232" t="s">
        <v>22</v>
      </c>
      <c r="D232">
        <v>0</v>
      </c>
      <c r="E232" t="s">
        <v>68</v>
      </c>
      <c r="F232" t="s">
        <v>11</v>
      </c>
      <c r="G232" t="s">
        <v>12</v>
      </c>
      <c r="H232">
        <f t="shared" si="3"/>
        <v>0</v>
      </c>
    </row>
    <row r="233" spans="1:8" x14ac:dyDescent="0.3">
      <c r="A233" t="s">
        <v>78</v>
      </c>
      <c r="B233" t="s">
        <v>23</v>
      </c>
      <c r="C233" t="s">
        <v>9</v>
      </c>
      <c r="D233">
        <v>0</v>
      </c>
      <c r="E233" t="s">
        <v>68</v>
      </c>
      <c r="F233" t="s">
        <v>11</v>
      </c>
      <c r="G233" t="s">
        <v>12</v>
      </c>
      <c r="H233">
        <f t="shared" si="3"/>
        <v>0</v>
      </c>
    </row>
    <row r="234" spans="1:8" x14ac:dyDescent="0.3">
      <c r="A234" t="s">
        <v>78</v>
      </c>
      <c r="B234" t="s">
        <v>23</v>
      </c>
      <c r="C234" t="s">
        <v>13</v>
      </c>
      <c r="D234">
        <v>0</v>
      </c>
      <c r="E234" t="s">
        <v>68</v>
      </c>
      <c r="F234" t="s">
        <v>11</v>
      </c>
      <c r="G234" t="s">
        <v>12</v>
      </c>
      <c r="H234">
        <f t="shared" si="3"/>
        <v>0</v>
      </c>
    </row>
    <row r="235" spans="1:8" x14ac:dyDescent="0.3">
      <c r="A235" t="s">
        <v>78</v>
      </c>
      <c r="B235" t="s">
        <v>23</v>
      </c>
      <c r="C235" t="s">
        <v>14</v>
      </c>
      <c r="D235">
        <v>2</v>
      </c>
      <c r="E235" t="s">
        <v>68</v>
      </c>
      <c r="F235" t="s">
        <v>11</v>
      </c>
      <c r="G235" t="s">
        <v>12</v>
      </c>
      <c r="H235">
        <f t="shared" si="3"/>
        <v>2</v>
      </c>
    </row>
    <row r="236" spans="1:8" x14ac:dyDescent="0.3">
      <c r="A236" t="s">
        <v>78</v>
      </c>
      <c r="B236" t="s">
        <v>23</v>
      </c>
      <c r="C236" t="s">
        <v>15</v>
      </c>
      <c r="D236">
        <v>0</v>
      </c>
      <c r="E236" t="s">
        <v>68</v>
      </c>
      <c r="F236" t="s">
        <v>11</v>
      </c>
      <c r="G236" t="s">
        <v>12</v>
      </c>
      <c r="H236">
        <f t="shared" si="3"/>
        <v>0</v>
      </c>
    </row>
    <row r="237" spans="1:8" x14ac:dyDescent="0.3">
      <c r="A237" t="s">
        <v>78</v>
      </c>
      <c r="B237" t="s">
        <v>23</v>
      </c>
      <c r="C237" t="s">
        <v>16</v>
      </c>
      <c r="D237">
        <v>852</v>
      </c>
      <c r="E237" t="s">
        <v>68</v>
      </c>
      <c r="F237" t="s">
        <v>11</v>
      </c>
      <c r="G237" t="s">
        <v>12</v>
      </c>
      <c r="H237">
        <f t="shared" si="3"/>
        <v>852</v>
      </c>
    </row>
    <row r="238" spans="1:8" x14ac:dyDescent="0.3">
      <c r="A238" t="s">
        <v>78</v>
      </c>
      <c r="B238" t="s">
        <v>23</v>
      </c>
      <c r="C238" t="s">
        <v>17</v>
      </c>
      <c r="D238">
        <v>0</v>
      </c>
      <c r="E238" t="s">
        <v>68</v>
      </c>
      <c r="F238" t="s">
        <v>11</v>
      </c>
      <c r="G238" t="s">
        <v>12</v>
      </c>
      <c r="H238">
        <f t="shared" si="3"/>
        <v>0</v>
      </c>
    </row>
    <row r="239" spans="1:8" x14ac:dyDescent="0.3">
      <c r="A239" t="s">
        <v>78</v>
      </c>
      <c r="B239" t="s">
        <v>23</v>
      </c>
      <c r="C239" t="s">
        <v>18</v>
      </c>
      <c r="D239">
        <v>0</v>
      </c>
      <c r="E239" t="s">
        <v>68</v>
      </c>
      <c r="F239" t="s">
        <v>11</v>
      </c>
      <c r="G239" t="s">
        <v>12</v>
      </c>
      <c r="H239">
        <f t="shared" si="3"/>
        <v>0</v>
      </c>
    </row>
    <row r="240" spans="1:8" x14ac:dyDescent="0.3">
      <c r="A240" t="s">
        <v>78</v>
      </c>
      <c r="B240" t="s">
        <v>23</v>
      </c>
      <c r="C240" t="s">
        <v>19</v>
      </c>
      <c r="D240">
        <v>0</v>
      </c>
      <c r="E240" t="s">
        <v>68</v>
      </c>
      <c r="F240" t="s">
        <v>11</v>
      </c>
      <c r="G240" t="s">
        <v>12</v>
      </c>
      <c r="H240">
        <f t="shared" si="3"/>
        <v>0</v>
      </c>
    </row>
    <row r="241" spans="1:8" x14ac:dyDescent="0.3">
      <c r="A241" t="s">
        <v>78</v>
      </c>
      <c r="B241" t="s">
        <v>23</v>
      </c>
      <c r="C241" t="s">
        <v>20</v>
      </c>
      <c r="D241">
        <v>6</v>
      </c>
      <c r="E241" t="s">
        <v>68</v>
      </c>
      <c r="F241" t="s">
        <v>11</v>
      </c>
      <c r="G241" t="s">
        <v>12</v>
      </c>
      <c r="H241">
        <f t="shared" si="3"/>
        <v>6</v>
      </c>
    </row>
    <row r="242" spans="1:8" x14ac:dyDescent="0.3">
      <c r="A242" t="s">
        <v>78</v>
      </c>
      <c r="B242" t="s">
        <v>23</v>
      </c>
      <c r="C242" t="s">
        <v>21</v>
      </c>
      <c r="D242">
        <v>0</v>
      </c>
      <c r="E242" t="s">
        <v>68</v>
      </c>
      <c r="F242" t="s">
        <v>11</v>
      </c>
      <c r="G242" t="s">
        <v>12</v>
      </c>
      <c r="H242">
        <f t="shared" si="3"/>
        <v>0</v>
      </c>
    </row>
    <row r="243" spans="1:8" x14ac:dyDescent="0.3">
      <c r="A243" t="s">
        <v>78</v>
      </c>
      <c r="B243" t="s">
        <v>23</v>
      </c>
      <c r="C243" t="s">
        <v>22</v>
      </c>
      <c r="D243">
        <v>0</v>
      </c>
      <c r="E243" t="s">
        <v>68</v>
      </c>
      <c r="F243" t="s">
        <v>11</v>
      </c>
      <c r="G243" t="s">
        <v>12</v>
      </c>
      <c r="H243">
        <f t="shared" si="3"/>
        <v>0</v>
      </c>
    </row>
    <row r="244" spans="1:8" x14ac:dyDescent="0.3">
      <c r="A244" t="s">
        <v>79</v>
      </c>
      <c r="B244" t="s">
        <v>8</v>
      </c>
      <c r="C244" t="s">
        <v>9</v>
      </c>
      <c r="D244">
        <v>0</v>
      </c>
      <c r="E244" t="s">
        <v>68</v>
      </c>
      <c r="F244" t="s">
        <v>11</v>
      </c>
      <c r="G244" t="s">
        <v>12</v>
      </c>
      <c r="H244">
        <f t="shared" si="3"/>
        <v>0</v>
      </c>
    </row>
    <row r="245" spans="1:8" x14ac:dyDescent="0.3">
      <c r="A245" t="s">
        <v>79</v>
      </c>
      <c r="B245" t="s">
        <v>8</v>
      </c>
      <c r="C245" t="s">
        <v>13</v>
      </c>
      <c r="D245">
        <v>0</v>
      </c>
      <c r="E245" t="s">
        <v>68</v>
      </c>
      <c r="F245" t="s">
        <v>11</v>
      </c>
      <c r="G245" t="s">
        <v>12</v>
      </c>
      <c r="H245">
        <f t="shared" si="3"/>
        <v>0</v>
      </c>
    </row>
    <row r="246" spans="1:8" x14ac:dyDescent="0.3">
      <c r="A246" t="s">
        <v>79</v>
      </c>
      <c r="B246" t="s">
        <v>8</v>
      </c>
      <c r="C246" t="s">
        <v>14</v>
      </c>
      <c r="D246">
        <v>5</v>
      </c>
      <c r="E246" t="s">
        <v>68</v>
      </c>
      <c r="F246" t="s">
        <v>11</v>
      </c>
      <c r="G246" t="s">
        <v>12</v>
      </c>
      <c r="H246">
        <f t="shared" si="3"/>
        <v>5</v>
      </c>
    </row>
    <row r="247" spans="1:8" x14ac:dyDescent="0.3">
      <c r="A247" t="s">
        <v>79</v>
      </c>
      <c r="B247" t="s">
        <v>8</v>
      </c>
      <c r="C247" t="s">
        <v>15</v>
      </c>
      <c r="D247">
        <v>0</v>
      </c>
      <c r="E247" t="s">
        <v>68</v>
      </c>
      <c r="F247" t="s">
        <v>11</v>
      </c>
      <c r="G247" t="s">
        <v>12</v>
      </c>
      <c r="H247">
        <f t="shared" si="3"/>
        <v>0</v>
      </c>
    </row>
    <row r="248" spans="1:8" x14ac:dyDescent="0.3">
      <c r="A248" t="s">
        <v>79</v>
      </c>
      <c r="B248" t="s">
        <v>8</v>
      </c>
      <c r="C248" t="s">
        <v>16</v>
      </c>
      <c r="D248">
        <v>2983</v>
      </c>
      <c r="E248" t="s">
        <v>68</v>
      </c>
      <c r="F248" t="s">
        <v>11</v>
      </c>
      <c r="G248" t="s">
        <v>12</v>
      </c>
      <c r="H248">
        <f t="shared" si="3"/>
        <v>2980</v>
      </c>
    </row>
    <row r="249" spans="1:8" x14ac:dyDescent="0.3">
      <c r="A249" t="s">
        <v>79</v>
      </c>
      <c r="B249" t="s">
        <v>8</v>
      </c>
      <c r="C249" t="s">
        <v>17</v>
      </c>
      <c r="D249">
        <v>4</v>
      </c>
      <c r="E249" t="s">
        <v>68</v>
      </c>
      <c r="F249" t="s">
        <v>11</v>
      </c>
      <c r="G249" t="s">
        <v>12</v>
      </c>
      <c r="H249">
        <f t="shared" si="3"/>
        <v>4</v>
      </c>
    </row>
    <row r="250" spans="1:8" x14ac:dyDescent="0.3">
      <c r="A250" t="s">
        <v>79</v>
      </c>
      <c r="B250" t="s">
        <v>8</v>
      </c>
      <c r="C250" t="s">
        <v>18</v>
      </c>
      <c r="D250">
        <v>0</v>
      </c>
      <c r="E250" t="s">
        <v>68</v>
      </c>
      <c r="F250" t="s">
        <v>11</v>
      </c>
      <c r="G250" t="s">
        <v>12</v>
      </c>
      <c r="H250">
        <f t="shared" si="3"/>
        <v>0</v>
      </c>
    </row>
    <row r="251" spans="1:8" x14ac:dyDescent="0.3">
      <c r="A251" t="s">
        <v>79</v>
      </c>
      <c r="B251" t="s">
        <v>8</v>
      </c>
      <c r="C251" t="s">
        <v>19</v>
      </c>
      <c r="D251">
        <v>0</v>
      </c>
      <c r="E251" t="s">
        <v>68</v>
      </c>
      <c r="F251" t="s">
        <v>11</v>
      </c>
      <c r="G251" t="s">
        <v>12</v>
      </c>
      <c r="H251">
        <f t="shared" si="3"/>
        <v>0</v>
      </c>
    </row>
    <row r="252" spans="1:8" x14ac:dyDescent="0.3">
      <c r="A252" t="s">
        <v>79</v>
      </c>
      <c r="B252" t="s">
        <v>8</v>
      </c>
      <c r="C252" t="s">
        <v>20</v>
      </c>
      <c r="D252">
        <v>0</v>
      </c>
      <c r="E252" t="s">
        <v>68</v>
      </c>
      <c r="F252" t="s">
        <v>11</v>
      </c>
      <c r="G252" t="s">
        <v>12</v>
      </c>
      <c r="H252">
        <f t="shared" si="3"/>
        <v>0</v>
      </c>
    </row>
    <row r="253" spans="1:8" x14ac:dyDescent="0.3">
      <c r="A253" t="s">
        <v>79</v>
      </c>
      <c r="B253" t="s">
        <v>8</v>
      </c>
      <c r="C253" t="s">
        <v>21</v>
      </c>
      <c r="D253">
        <v>0</v>
      </c>
      <c r="E253" t="s">
        <v>68</v>
      </c>
      <c r="F253" t="s">
        <v>11</v>
      </c>
      <c r="G253" t="s">
        <v>12</v>
      </c>
      <c r="H253">
        <f t="shared" si="3"/>
        <v>0</v>
      </c>
    </row>
    <row r="254" spans="1:8" x14ac:dyDescent="0.3">
      <c r="A254" t="s">
        <v>79</v>
      </c>
      <c r="B254" t="s">
        <v>8</v>
      </c>
      <c r="C254" t="s">
        <v>22</v>
      </c>
      <c r="D254">
        <v>0</v>
      </c>
      <c r="E254" t="s">
        <v>68</v>
      </c>
      <c r="F254" t="s">
        <v>11</v>
      </c>
      <c r="G254" t="s">
        <v>12</v>
      </c>
      <c r="H254">
        <f t="shared" si="3"/>
        <v>0</v>
      </c>
    </row>
    <row r="255" spans="1:8" x14ac:dyDescent="0.3">
      <c r="A255" t="s">
        <v>79</v>
      </c>
      <c r="B255" t="s">
        <v>23</v>
      </c>
      <c r="C255" t="s">
        <v>9</v>
      </c>
      <c r="D255">
        <v>0</v>
      </c>
      <c r="E255" t="s">
        <v>68</v>
      </c>
      <c r="F255" t="s">
        <v>11</v>
      </c>
      <c r="G255" t="s">
        <v>12</v>
      </c>
      <c r="H255">
        <f t="shared" si="3"/>
        <v>0</v>
      </c>
    </row>
    <row r="256" spans="1:8" x14ac:dyDescent="0.3">
      <c r="A256" t="s">
        <v>79</v>
      </c>
      <c r="B256" t="s">
        <v>23</v>
      </c>
      <c r="C256" t="s">
        <v>13</v>
      </c>
      <c r="D256">
        <v>0</v>
      </c>
      <c r="E256" t="s">
        <v>68</v>
      </c>
      <c r="F256" t="s">
        <v>11</v>
      </c>
      <c r="G256" t="s">
        <v>12</v>
      </c>
      <c r="H256">
        <f t="shared" si="3"/>
        <v>0</v>
      </c>
    </row>
    <row r="257" spans="1:8" x14ac:dyDescent="0.3">
      <c r="A257" t="s">
        <v>79</v>
      </c>
      <c r="B257" t="s">
        <v>23</v>
      </c>
      <c r="C257" t="s">
        <v>14</v>
      </c>
      <c r="D257">
        <v>2</v>
      </c>
      <c r="E257" t="s">
        <v>68</v>
      </c>
      <c r="F257" t="s">
        <v>11</v>
      </c>
      <c r="G257" t="s">
        <v>12</v>
      </c>
      <c r="H257">
        <f t="shared" si="3"/>
        <v>2</v>
      </c>
    </row>
    <row r="258" spans="1:8" x14ac:dyDescent="0.3">
      <c r="A258" t="s">
        <v>79</v>
      </c>
      <c r="B258" t="s">
        <v>23</v>
      </c>
      <c r="C258" t="s">
        <v>15</v>
      </c>
      <c r="D258">
        <v>0</v>
      </c>
      <c r="E258" t="s">
        <v>68</v>
      </c>
      <c r="F258" t="s">
        <v>11</v>
      </c>
      <c r="G258" t="s">
        <v>12</v>
      </c>
      <c r="H258">
        <f t="shared" si="3"/>
        <v>0</v>
      </c>
    </row>
    <row r="259" spans="1:8" x14ac:dyDescent="0.3">
      <c r="A259" t="s">
        <v>79</v>
      </c>
      <c r="B259" t="s">
        <v>23</v>
      </c>
      <c r="C259" t="s">
        <v>16</v>
      </c>
      <c r="D259">
        <v>729</v>
      </c>
      <c r="E259" t="s">
        <v>68</v>
      </c>
      <c r="F259" t="s">
        <v>11</v>
      </c>
      <c r="G259" t="s">
        <v>12</v>
      </c>
      <c r="H259">
        <f t="shared" ref="H259:H322" si="4">ROUND(D259, 3 - LEN(INT(ABS(D259))))</f>
        <v>729</v>
      </c>
    </row>
    <row r="260" spans="1:8" x14ac:dyDescent="0.3">
      <c r="A260" t="s">
        <v>79</v>
      </c>
      <c r="B260" t="s">
        <v>23</v>
      </c>
      <c r="C260" t="s">
        <v>17</v>
      </c>
      <c r="D260">
        <v>0</v>
      </c>
      <c r="E260" t="s">
        <v>68</v>
      </c>
      <c r="F260" t="s">
        <v>11</v>
      </c>
      <c r="G260" t="s">
        <v>12</v>
      </c>
      <c r="H260">
        <f t="shared" si="4"/>
        <v>0</v>
      </c>
    </row>
    <row r="261" spans="1:8" x14ac:dyDescent="0.3">
      <c r="A261" t="s">
        <v>79</v>
      </c>
      <c r="B261" t="s">
        <v>23</v>
      </c>
      <c r="C261" t="s">
        <v>18</v>
      </c>
      <c r="D261">
        <v>0</v>
      </c>
      <c r="E261" t="s">
        <v>68</v>
      </c>
      <c r="F261" t="s">
        <v>11</v>
      </c>
      <c r="G261" t="s">
        <v>12</v>
      </c>
      <c r="H261">
        <f t="shared" si="4"/>
        <v>0</v>
      </c>
    </row>
    <row r="262" spans="1:8" x14ac:dyDescent="0.3">
      <c r="A262" t="s">
        <v>79</v>
      </c>
      <c r="B262" t="s">
        <v>23</v>
      </c>
      <c r="C262" t="s">
        <v>19</v>
      </c>
      <c r="D262">
        <v>0</v>
      </c>
      <c r="E262" t="s">
        <v>68</v>
      </c>
      <c r="F262" t="s">
        <v>11</v>
      </c>
      <c r="G262" t="s">
        <v>12</v>
      </c>
      <c r="H262">
        <f t="shared" si="4"/>
        <v>0</v>
      </c>
    </row>
    <row r="263" spans="1:8" x14ac:dyDescent="0.3">
      <c r="A263" t="s">
        <v>79</v>
      </c>
      <c r="B263" t="s">
        <v>23</v>
      </c>
      <c r="C263" t="s">
        <v>20</v>
      </c>
      <c r="D263">
        <v>5</v>
      </c>
      <c r="E263" t="s">
        <v>68</v>
      </c>
      <c r="F263" t="s">
        <v>11</v>
      </c>
      <c r="G263" t="s">
        <v>12</v>
      </c>
      <c r="H263">
        <f t="shared" si="4"/>
        <v>5</v>
      </c>
    </row>
    <row r="264" spans="1:8" x14ac:dyDescent="0.3">
      <c r="A264" t="s">
        <v>79</v>
      </c>
      <c r="B264" t="s">
        <v>23</v>
      </c>
      <c r="C264" t="s">
        <v>21</v>
      </c>
      <c r="D264">
        <v>0</v>
      </c>
      <c r="E264" t="s">
        <v>68</v>
      </c>
      <c r="F264" t="s">
        <v>11</v>
      </c>
      <c r="G264" t="s">
        <v>12</v>
      </c>
      <c r="H264">
        <f t="shared" si="4"/>
        <v>0</v>
      </c>
    </row>
    <row r="265" spans="1:8" x14ac:dyDescent="0.3">
      <c r="A265" t="s">
        <v>79</v>
      </c>
      <c r="B265" t="s">
        <v>23</v>
      </c>
      <c r="C265" t="s">
        <v>22</v>
      </c>
      <c r="D265">
        <v>0</v>
      </c>
      <c r="E265" t="s">
        <v>68</v>
      </c>
      <c r="F265" t="s">
        <v>11</v>
      </c>
      <c r="G265" t="s">
        <v>12</v>
      </c>
      <c r="H265">
        <f t="shared" si="4"/>
        <v>0</v>
      </c>
    </row>
    <row r="266" spans="1:8" x14ac:dyDescent="0.3">
      <c r="A266" t="s">
        <v>80</v>
      </c>
      <c r="B266" t="s">
        <v>8</v>
      </c>
      <c r="C266" t="s">
        <v>9</v>
      </c>
      <c r="D266">
        <v>0</v>
      </c>
      <c r="E266" t="s">
        <v>68</v>
      </c>
      <c r="F266" t="s">
        <v>11</v>
      </c>
      <c r="G266" t="s">
        <v>12</v>
      </c>
      <c r="H266">
        <f t="shared" si="4"/>
        <v>0</v>
      </c>
    </row>
    <row r="267" spans="1:8" x14ac:dyDescent="0.3">
      <c r="A267" t="s">
        <v>80</v>
      </c>
      <c r="B267" t="s">
        <v>8</v>
      </c>
      <c r="C267" t="s">
        <v>13</v>
      </c>
      <c r="D267">
        <v>0</v>
      </c>
      <c r="E267" t="s">
        <v>68</v>
      </c>
      <c r="F267" t="s">
        <v>11</v>
      </c>
      <c r="G267" t="s">
        <v>12</v>
      </c>
      <c r="H267">
        <f t="shared" si="4"/>
        <v>0</v>
      </c>
    </row>
    <row r="268" spans="1:8" x14ac:dyDescent="0.3">
      <c r="A268" t="s">
        <v>80</v>
      </c>
      <c r="B268" t="s">
        <v>8</v>
      </c>
      <c r="C268" t="s">
        <v>14</v>
      </c>
      <c r="D268">
        <v>0</v>
      </c>
      <c r="E268" t="s">
        <v>68</v>
      </c>
      <c r="F268" t="s">
        <v>11</v>
      </c>
      <c r="G268" t="s">
        <v>12</v>
      </c>
      <c r="H268">
        <f t="shared" si="4"/>
        <v>0</v>
      </c>
    </row>
    <row r="269" spans="1:8" x14ac:dyDescent="0.3">
      <c r="A269" t="s">
        <v>80</v>
      </c>
      <c r="B269" t="s">
        <v>8</v>
      </c>
      <c r="C269" t="s">
        <v>15</v>
      </c>
      <c r="D269">
        <v>0</v>
      </c>
      <c r="E269" t="s">
        <v>68</v>
      </c>
      <c r="F269" t="s">
        <v>11</v>
      </c>
      <c r="G269" t="s">
        <v>12</v>
      </c>
      <c r="H269">
        <f t="shared" si="4"/>
        <v>0</v>
      </c>
    </row>
    <row r="270" spans="1:8" x14ac:dyDescent="0.3">
      <c r="A270" t="s">
        <v>80</v>
      </c>
      <c r="B270" t="s">
        <v>8</v>
      </c>
      <c r="C270" t="s">
        <v>16</v>
      </c>
      <c r="D270">
        <v>0</v>
      </c>
      <c r="E270" t="s">
        <v>68</v>
      </c>
      <c r="F270" t="s">
        <v>11</v>
      </c>
      <c r="G270" t="s">
        <v>12</v>
      </c>
      <c r="H270">
        <f t="shared" si="4"/>
        <v>0</v>
      </c>
    </row>
    <row r="271" spans="1:8" x14ac:dyDescent="0.3">
      <c r="A271" t="s">
        <v>80</v>
      </c>
      <c r="B271" t="s">
        <v>8</v>
      </c>
      <c r="C271" t="s">
        <v>17</v>
      </c>
      <c r="D271">
        <v>0</v>
      </c>
      <c r="E271" t="s">
        <v>68</v>
      </c>
      <c r="F271" t="s">
        <v>11</v>
      </c>
      <c r="G271" t="s">
        <v>12</v>
      </c>
      <c r="H271">
        <f t="shared" si="4"/>
        <v>0</v>
      </c>
    </row>
    <row r="272" spans="1:8" x14ac:dyDescent="0.3">
      <c r="A272" t="s">
        <v>80</v>
      </c>
      <c r="B272" t="s">
        <v>8</v>
      </c>
      <c r="C272" t="s">
        <v>18</v>
      </c>
      <c r="D272">
        <v>0</v>
      </c>
      <c r="E272" t="s">
        <v>68</v>
      </c>
      <c r="F272" t="s">
        <v>11</v>
      </c>
      <c r="G272" t="s">
        <v>12</v>
      </c>
      <c r="H272">
        <f t="shared" si="4"/>
        <v>0</v>
      </c>
    </row>
    <row r="273" spans="1:8" x14ac:dyDescent="0.3">
      <c r="A273" t="s">
        <v>80</v>
      </c>
      <c r="B273" t="s">
        <v>8</v>
      </c>
      <c r="C273" t="s">
        <v>19</v>
      </c>
      <c r="D273">
        <v>0</v>
      </c>
      <c r="E273" t="s">
        <v>68</v>
      </c>
      <c r="F273" t="s">
        <v>11</v>
      </c>
      <c r="G273" t="s">
        <v>12</v>
      </c>
      <c r="H273">
        <f t="shared" si="4"/>
        <v>0</v>
      </c>
    </row>
    <row r="274" spans="1:8" x14ac:dyDescent="0.3">
      <c r="A274" t="s">
        <v>80</v>
      </c>
      <c r="B274" t="s">
        <v>8</v>
      </c>
      <c r="C274" t="s">
        <v>20</v>
      </c>
      <c r="D274">
        <v>0</v>
      </c>
      <c r="E274" t="s">
        <v>68</v>
      </c>
      <c r="F274" t="s">
        <v>11</v>
      </c>
      <c r="G274" t="s">
        <v>12</v>
      </c>
      <c r="H274">
        <f t="shared" si="4"/>
        <v>0</v>
      </c>
    </row>
    <row r="275" spans="1:8" x14ac:dyDescent="0.3">
      <c r="A275" t="s">
        <v>80</v>
      </c>
      <c r="B275" t="s">
        <v>8</v>
      </c>
      <c r="C275" t="s">
        <v>21</v>
      </c>
      <c r="D275">
        <v>0</v>
      </c>
      <c r="E275" t="s">
        <v>68</v>
      </c>
      <c r="F275" t="s">
        <v>11</v>
      </c>
      <c r="G275" t="s">
        <v>12</v>
      </c>
      <c r="H275">
        <f t="shared" si="4"/>
        <v>0</v>
      </c>
    </row>
    <row r="276" spans="1:8" x14ac:dyDescent="0.3">
      <c r="A276" t="s">
        <v>80</v>
      </c>
      <c r="B276" t="s">
        <v>8</v>
      </c>
      <c r="C276" t="s">
        <v>22</v>
      </c>
      <c r="D276">
        <v>738</v>
      </c>
      <c r="E276" t="s">
        <v>68</v>
      </c>
      <c r="F276" t="s">
        <v>11</v>
      </c>
      <c r="G276" t="s">
        <v>12</v>
      </c>
      <c r="H276">
        <f t="shared" si="4"/>
        <v>738</v>
      </c>
    </row>
    <row r="277" spans="1:8" x14ac:dyDescent="0.3">
      <c r="A277" t="s">
        <v>80</v>
      </c>
      <c r="B277" t="s">
        <v>23</v>
      </c>
      <c r="C277" t="s">
        <v>9</v>
      </c>
      <c r="D277">
        <v>8</v>
      </c>
      <c r="E277" t="s">
        <v>68</v>
      </c>
      <c r="F277" t="s">
        <v>11</v>
      </c>
      <c r="G277" t="s">
        <v>12</v>
      </c>
      <c r="H277">
        <f t="shared" si="4"/>
        <v>8</v>
      </c>
    </row>
    <row r="278" spans="1:8" x14ac:dyDescent="0.3">
      <c r="A278" t="s">
        <v>80</v>
      </c>
      <c r="B278" t="s">
        <v>23</v>
      </c>
      <c r="C278" t="s">
        <v>13</v>
      </c>
      <c r="D278">
        <v>75</v>
      </c>
      <c r="E278" t="s">
        <v>68</v>
      </c>
      <c r="F278" t="s">
        <v>11</v>
      </c>
      <c r="G278" t="s">
        <v>12</v>
      </c>
      <c r="H278">
        <f t="shared" si="4"/>
        <v>75</v>
      </c>
    </row>
    <row r="279" spans="1:8" x14ac:dyDescent="0.3">
      <c r="A279" t="s">
        <v>80</v>
      </c>
      <c r="B279" t="s">
        <v>23</v>
      </c>
      <c r="C279" t="s">
        <v>14</v>
      </c>
      <c r="D279">
        <v>94</v>
      </c>
      <c r="E279" t="s">
        <v>68</v>
      </c>
      <c r="F279" t="s">
        <v>11</v>
      </c>
      <c r="G279" t="s">
        <v>12</v>
      </c>
      <c r="H279">
        <f t="shared" si="4"/>
        <v>94</v>
      </c>
    </row>
    <row r="280" spans="1:8" x14ac:dyDescent="0.3">
      <c r="A280" t="s">
        <v>80</v>
      </c>
      <c r="B280" t="s">
        <v>23</v>
      </c>
      <c r="C280" t="s">
        <v>15</v>
      </c>
      <c r="D280">
        <v>3</v>
      </c>
      <c r="E280" t="s">
        <v>68</v>
      </c>
      <c r="F280" t="s">
        <v>11</v>
      </c>
      <c r="G280" t="s">
        <v>12</v>
      </c>
      <c r="H280">
        <f t="shared" si="4"/>
        <v>3</v>
      </c>
    </row>
    <row r="281" spans="1:8" x14ac:dyDescent="0.3">
      <c r="A281" t="s">
        <v>80</v>
      </c>
      <c r="B281" t="s">
        <v>23</v>
      </c>
      <c r="C281" t="s">
        <v>16</v>
      </c>
      <c r="D281">
        <v>43</v>
      </c>
      <c r="E281" t="s">
        <v>68</v>
      </c>
      <c r="F281" t="s">
        <v>11</v>
      </c>
      <c r="G281" t="s">
        <v>12</v>
      </c>
      <c r="H281">
        <f t="shared" si="4"/>
        <v>43</v>
      </c>
    </row>
    <row r="282" spans="1:8" x14ac:dyDescent="0.3">
      <c r="A282" t="s">
        <v>80</v>
      </c>
      <c r="B282" t="s">
        <v>23</v>
      </c>
      <c r="C282" t="s">
        <v>17</v>
      </c>
      <c r="D282">
        <v>12</v>
      </c>
      <c r="E282" t="s">
        <v>68</v>
      </c>
      <c r="F282" t="s">
        <v>11</v>
      </c>
      <c r="G282" t="s">
        <v>12</v>
      </c>
      <c r="H282">
        <f t="shared" si="4"/>
        <v>12</v>
      </c>
    </row>
    <row r="283" spans="1:8" x14ac:dyDescent="0.3">
      <c r="A283" t="s">
        <v>80</v>
      </c>
      <c r="B283" t="s">
        <v>23</v>
      </c>
      <c r="C283" t="s">
        <v>18</v>
      </c>
      <c r="D283">
        <v>0</v>
      </c>
      <c r="E283" t="s">
        <v>68</v>
      </c>
      <c r="F283" t="s">
        <v>11</v>
      </c>
      <c r="G283" t="s">
        <v>12</v>
      </c>
      <c r="H283">
        <f t="shared" si="4"/>
        <v>0</v>
      </c>
    </row>
    <row r="284" spans="1:8" x14ac:dyDescent="0.3">
      <c r="A284" t="s">
        <v>80</v>
      </c>
      <c r="B284" t="s">
        <v>23</v>
      </c>
      <c r="C284" t="s">
        <v>19</v>
      </c>
      <c r="D284">
        <v>19</v>
      </c>
      <c r="E284" t="s">
        <v>68</v>
      </c>
      <c r="F284" t="s">
        <v>11</v>
      </c>
      <c r="G284" t="s">
        <v>12</v>
      </c>
      <c r="H284">
        <f t="shared" si="4"/>
        <v>19</v>
      </c>
    </row>
    <row r="285" spans="1:8" x14ac:dyDescent="0.3">
      <c r="A285" t="s">
        <v>80</v>
      </c>
      <c r="B285" t="s">
        <v>23</v>
      </c>
      <c r="C285" t="s">
        <v>20</v>
      </c>
      <c r="D285">
        <v>6</v>
      </c>
      <c r="E285" t="s">
        <v>68</v>
      </c>
      <c r="F285" t="s">
        <v>11</v>
      </c>
      <c r="G285" t="s">
        <v>12</v>
      </c>
      <c r="H285">
        <f t="shared" si="4"/>
        <v>6</v>
      </c>
    </row>
    <row r="286" spans="1:8" x14ac:dyDescent="0.3">
      <c r="A286" t="s">
        <v>80</v>
      </c>
      <c r="B286" t="s">
        <v>23</v>
      </c>
      <c r="C286" t="s">
        <v>21</v>
      </c>
      <c r="D286">
        <v>2</v>
      </c>
      <c r="E286" t="s">
        <v>68</v>
      </c>
      <c r="F286" t="s">
        <v>11</v>
      </c>
      <c r="G286" t="s">
        <v>12</v>
      </c>
      <c r="H286">
        <f t="shared" si="4"/>
        <v>2</v>
      </c>
    </row>
    <row r="287" spans="1:8" x14ac:dyDescent="0.3">
      <c r="A287" t="s">
        <v>80</v>
      </c>
      <c r="B287" t="s">
        <v>23</v>
      </c>
      <c r="C287" t="s">
        <v>22</v>
      </c>
      <c r="D287">
        <v>296</v>
      </c>
      <c r="E287" t="s">
        <v>68</v>
      </c>
      <c r="F287" t="s">
        <v>11</v>
      </c>
      <c r="G287" t="s">
        <v>12</v>
      </c>
      <c r="H287">
        <f t="shared" si="4"/>
        <v>296</v>
      </c>
    </row>
    <row r="288" spans="1:8" x14ac:dyDescent="0.3">
      <c r="A288" t="s">
        <v>81</v>
      </c>
      <c r="B288" t="s">
        <v>8</v>
      </c>
      <c r="C288" t="s">
        <v>9</v>
      </c>
      <c r="D288">
        <v>0</v>
      </c>
      <c r="E288" t="s">
        <v>68</v>
      </c>
      <c r="F288" t="s">
        <v>11</v>
      </c>
      <c r="G288" t="s">
        <v>12</v>
      </c>
      <c r="H288">
        <f t="shared" si="4"/>
        <v>0</v>
      </c>
    </row>
    <row r="289" spans="1:8" x14ac:dyDescent="0.3">
      <c r="A289" t="s">
        <v>81</v>
      </c>
      <c r="B289" t="s">
        <v>8</v>
      </c>
      <c r="C289" t="s">
        <v>13</v>
      </c>
      <c r="D289">
        <v>138</v>
      </c>
      <c r="E289" t="s">
        <v>68</v>
      </c>
      <c r="F289" t="s">
        <v>11</v>
      </c>
      <c r="G289" t="s">
        <v>12</v>
      </c>
      <c r="H289">
        <f t="shared" si="4"/>
        <v>138</v>
      </c>
    </row>
    <row r="290" spans="1:8" x14ac:dyDescent="0.3">
      <c r="A290" t="s">
        <v>81</v>
      </c>
      <c r="B290" t="s">
        <v>8</v>
      </c>
      <c r="C290" t="s">
        <v>14</v>
      </c>
      <c r="D290">
        <v>560</v>
      </c>
      <c r="E290" t="s">
        <v>68</v>
      </c>
      <c r="F290" t="s">
        <v>11</v>
      </c>
      <c r="G290" t="s">
        <v>12</v>
      </c>
      <c r="H290">
        <f t="shared" si="4"/>
        <v>560</v>
      </c>
    </row>
    <row r="291" spans="1:8" x14ac:dyDescent="0.3">
      <c r="A291" t="s">
        <v>81</v>
      </c>
      <c r="B291" t="s">
        <v>8</v>
      </c>
      <c r="C291" t="s">
        <v>15</v>
      </c>
      <c r="D291">
        <v>473</v>
      </c>
      <c r="E291" t="s">
        <v>68</v>
      </c>
      <c r="F291" t="s">
        <v>11</v>
      </c>
      <c r="G291" t="s">
        <v>12</v>
      </c>
      <c r="H291">
        <f t="shared" si="4"/>
        <v>473</v>
      </c>
    </row>
    <row r="292" spans="1:8" x14ac:dyDescent="0.3">
      <c r="A292" t="s">
        <v>81</v>
      </c>
      <c r="B292" t="s">
        <v>8</v>
      </c>
      <c r="C292" t="s">
        <v>16</v>
      </c>
      <c r="D292">
        <v>751</v>
      </c>
      <c r="E292" t="s">
        <v>68</v>
      </c>
      <c r="F292" t="s">
        <v>11</v>
      </c>
      <c r="G292" t="s">
        <v>12</v>
      </c>
      <c r="H292">
        <f t="shared" si="4"/>
        <v>751</v>
      </c>
    </row>
    <row r="293" spans="1:8" x14ac:dyDescent="0.3">
      <c r="A293" t="s">
        <v>81</v>
      </c>
      <c r="B293" t="s">
        <v>8</v>
      </c>
      <c r="C293" t="s">
        <v>17</v>
      </c>
      <c r="D293">
        <v>1</v>
      </c>
      <c r="E293" t="s">
        <v>68</v>
      </c>
      <c r="F293" t="s">
        <v>11</v>
      </c>
      <c r="G293" t="s">
        <v>12</v>
      </c>
      <c r="H293">
        <f t="shared" si="4"/>
        <v>1</v>
      </c>
    </row>
    <row r="294" spans="1:8" x14ac:dyDescent="0.3">
      <c r="A294" t="s">
        <v>81</v>
      </c>
      <c r="B294" t="s">
        <v>8</v>
      </c>
      <c r="C294" t="s">
        <v>18</v>
      </c>
      <c r="D294">
        <v>0</v>
      </c>
      <c r="E294" t="s">
        <v>68</v>
      </c>
      <c r="F294" t="s">
        <v>11</v>
      </c>
      <c r="G294" t="s">
        <v>12</v>
      </c>
      <c r="H294">
        <f t="shared" si="4"/>
        <v>0</v>
      </c>
    </row>
    <row r="295" spans="1:8" x14ac:dyDescent="0.3">
      <c r="A295" t="s">
        <v>81</v>
      </c>
      <c r="B295" t="s">
        <v>8</v>
      </c>
      <c r="C295" t="s">
        <v>19</v>
      </c>
      <c r="D295">
        <v>1860</v>
      </c>
      <c r="E295" t="s">
        <v>68</v>
      </c>
      <c r="F295" t="s">
        <v>11</v>
      </c>
      <c r="G295" t="s">
        <v>12</v>
      </c>
      <c r="H295">
        <f t="shared" si="4"/>
        <v>1860</v>
      </c>
    </row>
    <row r="296" spans="1:8" x14ac:dyDescent="0.3">
      <c r="A296" t="s">
        <v>81</v>
      </c>
      <c r="B296" t="s">
        <v>8</v>
      </c>
      <c r="C296" t="s">
        <v>20</v>
      </c>
      <c r="D296">
        <v>0</v>
      </c>
      <c r="E296" t="s">
        <v>68</v>
      </c>
      <c r="F296" t="s">
        <v>11</v>
      </c>
      <c r="G296" t="s">
        <v>12</v>
      </c>
      <c r="H296">
        <f t="shared" si="4"/>
        <v>0</v>
      </c>
    </row>
    <row r="297" spans="1:8" x14ac:dyDescent="0.3">
      <c r="A297" t="s">
        <v>81</v>
      </c>
      <c r="B297" t="s">
        <v>8</v>
      </c>
      <c r="C297" t="s">
        <v>21</v>
      </c>
      <c r="D297">
        <v>1255</v>
      </c>
      <c r="E297" t="s">
        <v>68</v>
      </c>
      <c r="F297" t="s">
        <v>11</v>
      </c>
      <c r="G297" t="s">
        <v>12</v>
      </c>
      <c r="H297">
        <f t="shared" si="4"/>
        <v>1260</v>
      </c>
    </row>
    <row r="298" spans="1:8" x14ac:dyDescent="0.3">
      <c r="A298" t="s">
        <v>81</v>
      </c>
      <c r="B298" t="s">
        <v>8</v>
      </c>
      <c r="C298" t="s">
        <v>22</v>
      </c>
      <c r="D298">
        <v>118</v>
      </c>
      <c r="E298" t="s">
        <v>68</v>
      </c>
      <c r="F298" t="s">
        <v>11</v>
      </c>
      <c r="G298" t="s">
        <v>12</v>
      </c>
      <c r="H298">
        <f t="shared" si="4"/>
        <v>118</v>
      </c>
    </row>
    <row r="299" spans="1:8" x14ac:dyDescent="0.3">
      <c r="A299" t="s">
        <v>81</v>
      </c>
      <c r="B299" t="s">
        <v>23</v>
      </c>
      <c r="C299" t="s">
        <v>9</v>
      </c>
      <c r="D299">
        <v>2</v>
      </c>
      <c r="E299" t="s">
        <v>68</v>
      </c>
      <c r="F299" t="s">
        <v>11</v>
      </c>
      <c r="G299" t="s">
        <v>12</v>
      </c>
      <c r="H299">
        <f t="shared" si="4"/>
        <v>2</v>
      </c>
    </row>
    <row r="300" spans="1:8" x14ac:dyDescent="0.3">
      <c r="A300" t="s">
        <v>81</v>
      </c>
      <c r="B300" t="s">
        <v>23</v>
      </c>
      <c r="C300" t="s">
        <v>13</v>
      </c>
      <c r="D300">
        <v>110</v>
      </c>
      <c r="E300" t="s">
        <v>68</v>
      </c>
      <c r="F300" t="s">
        <v>11</v>
      </c>
      <c r="G300" t="s">
        <v>12</v>
      </c>
      <c r="H300">
        <f t="shared" si="4"/>
        <v>110</v>
      </c>
    </row>
    <row r="301" spans="1:8" x14ac:dyDescent="0.3">
      <c r="A301" t="s">
        <v>81</v>
      </c>
      <c r="B301" t="s">
        <v>23</v>
      </c>
      <c r="C301" t="s">
        <v>14</v>
      </c>
      <c r="D301">
        <v>115</v>
      </c>
      <c r="E301" t="s">
        <v>68</v>
      </c>
      <c r="F301" t="s">
        <v>11</v>
      </c>
      <c r="G301" t="s">
        <v>12</v>
      </c>
      <c r="H301">
        <f t="shared" si="4"/>
        <v>115</v>
      </c>
    </row>
    <row r="302" spans="1:8" x14ac:dyDescent="0.3">
      <c r="A302" t="s">
        <v>81</v>
      </c>
      <c r="B302" t="s">
        <v>23</v>
      </c>
      <c r="C302" t="s">
        <v>15</v>
      </c>
      <c r="D302">
        <v>50</v>
      </c>
      <c r="E302" t="s">
        <v>68</v>
      </c>
      <c r="F302" t="s">
        <v>11</v>
      </c>
      <c r="G302" t="s">
        <v>12</v>
      </c>
      <c r="H302">
        <f t="shared" si="4"/>
        <v>50</v>
      </c>
    </row>
    <row r="303" spans="1:8" x14ac:dyDescent="0.3">
      <c r="A303" t="s">
        <v>81</v>
      </c>
      <c r="B303" t="s">
        <v>23</v>
      </c>
      <c r="C303" t="s">
        <v>16</v>
      </c>
      <c r="D303">
        <v>211</v>
      </c>
      <c r="E303" t="s">
        <v>68</v>
      </c>
      <c r="F303" t="s">
        <v>11</v>
      </c>
      <c r="G303" t="s">
        <v>12</v>
      </c>
      <c r="H303">
        <f t="shared" si="4"/>
        <v>211</v>
      </c>
    </row>
    <row r="304" spans="1:8" x14ac:dyDescent="0.3">
      <c r="A304" t="s">
        <v>81</v>
      </c>
      <c r="B304" t="s">
        <v>23</v>
      </c>
      <c r="C304" t="s">
        <v>17</v>
      </c>
      <c r="D304">
        <v>2</v>
      </c>
      <c r="E304" t="s">
        <v>68</v>
      </c>
      <c r="F304" t="s">
        <v>11</v>
      </c>
      <c r="G304" t="s">
        <v>12</v>
      </c>
      <c r="H304">
        <f t="shared" si="4"/>
        <v>2</v>
      </c>
    </row>
    <row r="305" spans="1:8" x14ac:dyDescent="0.3">
      <c r="A305" t="s">
        <v>81</v>
      </c>
      <c r="B305" t="s">
        <v>23</v>
      </c>
      <c r="C305" t="s">
        <v>18</v>
      </c>
      <c r="D305">
        <v>0</v>
      </c>
      <c r="E305" t="s">
        <v>68</v>
      </c>
      <c r="F305" t="s">
        <v>11</v>
      </c>
      <c r="G305" t="s">
        <v>12</v>
      </c>
      <c r="H305">
        <f t="shared" si="4"/>
        <v>0</v>
      </c>
    </row>
    <row r="306" spans="1:8" x14ac:dyDescent="0.3">
      <c r="A306" t="s">
        <v>81</v>
      </c>
      <c r="B306" t="s">
        <v>23</v>
      </c>
      <c r="C306" t="s">
        <v>19</v>
      </c>
      <c r="D306">
        <v>381</v>
      </c>
      <c r="E306" t="s">
        <v>68</v>
      </c>
      <c r="F306" t="s">
        <v>11</v>
      </c>
      <c r="G306" t="s">
        <v>12</v>
      </c>
      <c r="H306">
        <f t="shared" si="4"/>
        <v>381</v>
      </c>
    </row>
    <row r="307" spans="1:8" x14ac:dyDescent="0.3">
      <c r="A307" t="s">
        <v>81</v>
      </c>
      <c r="B307" t="s">
        <v>23</v>
      </c>
      <c r="C307" t="s">
        <v>20</v>
      </c>
      <c r="D307">
        <v>3</v>
      </c>
      <c r="E307" t="s">
        <v>68</v>
      </c>
      <c r="F307" t="s">
        <v>11</v>
      </c>
      <c r="G307" t="s">
        <v>12</v>
      </c>
      <c r="H307">
        <f t="shared" si="4"/>
        <v>3</v>
      </c>
    </row>
    <row r="308" spans="1:8" x14ac:dyDescent="0.3">
      <c r="A308" t="s">
        <v>81</v>
      </c>
      <c r="B308" t="s">
        <v>23</v>
      </c>
      <c r="C308" t="s">
        <v>21</v>
      </c>
      <c r="D308">
        <v>46</v>
      </c>
      <c r="E308" t="s">
        <v>68</v>
      </c>
      <c r="F308" t="s">
        <v>11</v>
      </c>
      <c r="G308" t="s">
        <v>12</v>
      </c>
      <c r="H308">
        <f t="shared" si="4"/>
        <v>46</v>
      </c>
    </row>
    <row r="309" spans="1:8" x14ac:dyDescent="0.3">
      <c r="A309" t="s">
        <v>81</v>
      </c>
      <c r="B309" t="s">
        <v>23</v>
      </c>
      <c r="C309" t="s">
        <v>22</v>
      </c>
      <c r="D309">
        <v>50</v>
      </c>
      <c r="E309" t="s">
        <v>68</v>
      </c>
      <c r="F309" t="s">
        <v>11</v>
      </c>
      <c r="G309" t="s">
        <v>12</v>
      </c>
      <c r="H309">
        <f t="shared" si="4"/>
        <v>50</v>
      </c>
    </row>
    <row r="310" spans="1:8" x14ac:dyDescent="0.3">
      <c r="A310" t="s">
        <v>82</v>
      </c>
      <c r="B310" t="s">
        <v>8</v>
      </c>
      <c r="C310" t="s">
        <v>9</v>
      </c>
      <c r="D310">
        <v>0</v>
      </c>
      <c r="E310" t="s">
        <v>68</v>
      </c>
      <c r="F310" t="s">
        <v>11</v>
      </c>
      <c r="G310" t="s">
        <v>12</v>
      </c>
      <c r="H310">
        <f t="shared" si="4"/>
        <v>0</v>
      </c>
    </row>
    <row r="311" spans="1:8" x14ac:dyDescent="0.3">
      <c r="A311" t="s">
        <v>82</v>
      </c>
      <c r="B311" t="s">
        <v>8</v>
      </c>
      <c r="C311" t="s">
        <v>13</v>
      </c>
      <c r="D311">
        <v>0</v>
      </c>
      <c r="E311" t="s">
        <v>68</v>
      </c>
      <c r="F311" t="s">
        <v>11</v>
      </c>
      <c r="G311" t="s">
        <v>12</v>
      </c>
      <c r="H311">
        <f t="shared" si="4"/>
        <v>0</v>
      </c>
    </row>
    <row r="312" spans="1:8" x14ac:dyDescent="0.3">
      <c r="A312" t="s">
        <v>82</v>
      </c>
      <c r="B312" t="s">
        <v>8</v>
      </c>
      <c r="C312" t="s">
        <v>14</v>
      </c>
      <c r="D312">
        <v>5</v>
      </c>
      <c r="E312" t="s">
        <v>68</v>
      </c>
      <c r="F312" t="s">
        <v>11</v>
      </c>
      <c r="G312" t="s">
        <v>12</v>
      </c>
      <c r="H312">
        <f t="shared" si="4"/>
        <v>5</v>
      </c>
    </row>
    <row r="313" spans="1:8" x14ac:dyDescent="0.3">
      <c r="A313" t="s">
        <v>82</v>
      </c>
      <c r="B313" t="s">
        <v>8</v>
      </c>
      <c r="C313" t="s">
        <v>15</v>
      </c>
      <c r="D313">
        <v>0</v>
      </c>
      <c r="E313" t="s">
        <v>68</v>
      </c>
      <c r="F313" t="s">
        <v>11</v>
      </c>
      <c r="G313" t="s">
        <v>12</v>
      </c>
      <c r="H313">
        <f t="shared" si="4"/>
        <v>0</v>
      </c>
    </row>
    <row r="314" spans="1:8" x14ac:dyDescent="0.3">
      <c r="A314" t="s">
        <v>82</v>
      </c>
      <c r="B314" t="s">
        <v>8</v>
      </c>
      <c r="C314" t="s">
        <v>16</v>
      </c>
      <c r="D314">
        <v>2596</v>
      </c>
      <c r="E314" t="s">
        <v>68</v>
      </c>
      <c r="F314" t="s">
        <v>11</v>
      </c>
      <c r="G314" t="s">
        <v>12</v>
      </c>
      <c r="H314">
        <f t="shared" si="4"/>
        <v>2600</v>
      </c>
    </row>
    <row r="315" spans="1:8" x14ac:dyDescent="0.3">
      <c r="A315" t="s">
        <v>82</v>
      </c>
      <c r="B315" t="s">
        <v>8</v>
      </c>
      <c r="C315" t="s">
        <v>17</v>
      </c>
      <c r="D315">
        <v>3</v>
      </c>
      <c r="E315" t="s">
        <v>68</v>
      </c>
      <c r="F315" t="s">
        <v>11</v>
      </c>
      <c r="G315" t="s">
        <v>12</v>
      </c>
      <c r="H315">
        <f t="shared" si="4"/>
        <v>3</v>
      </c>
    </row>
    <row r="316" spans="1:8" x14ac:dyDescent="0.3">
      <c r="A316" t="s">
        <v>82</v>
      </c>
      <c r="B316" t="s">
        <v>8</v>
      </c>
      <c r="C316" t="s">
        <v>18</v>
      </c>
      <c r="D316">
        <v>0</v>
      </c>
      <c r="E316" t="s">
        <v>68</v>
      </c>
      <c r="F316" t="s">
        <v>11</v>
      </c>
      <c r="G316" t="s">
        <v>12</v>
      </c>
      <c r="H316">
        <f t="shared" si="4"/>
        <v>0</v>
      </c>
    </row>
    <row r="317" spans="1:8" x14ac:dyDescent="0.3">
      <c r="A317" t="s">
        <v>82</v>
      </c>
      <c r="B317" t="s">
        <v>8</v>
      </c>
      <c r="C317" t="s">
        <v>19</v>
      </c>
      <c r="D317">
        <v>0</v>
      </c>
      <c r="E317" t="s">
        <v>68</v>
      </c>
      <c r="F317" t="s">
        <v>11</v>
      </c>
      <c r="G317" t="s">
        <v>12</v>
      </c>
      <c r="H317">
        <f t="shared" si="4"/>
        <v>0</v>
      </c>
    </row>
    <row r="318" spans="1:8" x14ac:dyDescent="0.3">
      <c r="A318" t="s">
        <v>82</v>
      </c>
      <c r="B318" t="s">
        <v>8</v>
      </c>
      <c r="C318" t="s">
        <v>20</v>
      </c>
      <c r="D318">
        <v>0</v>
      </c>
      <c r="E318" t="s">
        <v>68</v>
      </c>
      <c r="F318" t="s">
        <v>11</v>
      </c>
      <c r="G318" t="s">
        <v>12</v>
      </c>
      <c r="H318">
        <f t="shared" si="4"/>
        <v>0</v>
      </c>
    </row>
    <row r="319" spans="1:8" x14ac:dyDescent="0.3">
      <c r="A319" t="s">
        <v>82</v>
      </c>
      <c r="B319" t="s">
        <v>8</v>
      </c>
      <c r="C319" t="s">
        <v>21</v>
      </c>
      <c r="D319">
        <v>0</v>
      </c>
      <c r="E319" t="s">
        <v>68</v>
      </c>
      <c r="F319" t="s">
        <v>11</v>
      </c>
      <c r="G319" t="s">
        <v>12</v>
      </c>
      <c r="H319">
        <f t="shared" si="4"/>
        <v>0</v>
      </c>
    </row>
    <row r="320" spans="1:8" x14ac:dyDescent="0.3">
      <c r="A320" t="s">
        <v>82</v>
      </c>
      <c r="B320" t="s">
        <v>8</v>
      </c>
      <c r="C320" t="s">
        <v>22</v>
      </c>
      <c r="D320">
        <v>0</v>
      </c>
      <c r="E320" t="s">
        <v>68</v>
      </c>
      <c r="F320" t="s">
        <v>11</v>
      </c>
      <c r="G320" t="s">
        <v>12</v>
      </c>
      <c r="H320">
        <f t="shared" si="4"/>
        <v>0</v>
      </c>
    </row>
    <row r="321" spans="1:8" x14ac:dyDescent="0.3">
      <c r="A321" t="s">
        <v>82</v>
      </c>
      <c r="B321" t="s">
        <v>23</v>
      </c>
      <c r="C321" t="s">
        <v>9</v>
      </c>
      <c r="D321">
        <v>0</v>
      </c>
      <c r="E321" t="s">
        <v>68</v>
      </c>
      <c r="F321" t="s">
        <v>11</v>
      </c>
      <c r="G321" t="s">
        <v>12</v>
      </c>
      <c r="H321">
        <f t="shared" si="4"/>
        <v>0</v>
      </c>
    </row>
    <row r="322" spans="1:8" x14ac:dyDescent="0.3">
      <c r="A322" t="s">
        <v>82</v>
      </c>
      <c r="B322" t="s">
        <v>23</v>
      </c>
      <c r="C322" t="s">
        <v>13</v>
      </c>
      <c r="D322">
        <v>0</v>
      </c>
      <c r="E322" t="s">
        <v>68</v>
      </c>
      <c r="F322" t="s">
        <v>11</v>
      </c>
      <c r="G322" t="s">
        <v>12</v>
      </c>
      <c r="H322">
        <f t="shared" si="4"/>
        <v>0</v>
      </c>
    </row>
    <row r="323" spans="1:8" x14ac:dyDescent="0.3">
      <c r="A323" t="s">
        <v>82</v>
      </c>
      <c r="B323" t="s">
        <v>23</v>
      </c>
      <c r="C323" t="s">
        <v>14</v>
      </c>
      <c r="D323">
        <v>2</v>
      </c>
      <c r="E323" t="s">
        <v>68</v>
      </c>
      <c r="F323" t="s">
        <v>11</v>
      </c>
      <c r="G323" t="s">
        <v>12</v>
      </c>
      <c r="H323">
        <f t="shared" ref="H323:H386" si="5">ROUND(D323, 3 - LEN(INT(ABS(D323))))</f>
        <v>2</v>
      </c>
    </row>
    <row r="324" spans="1:8" x14ac:dyDescent="0.3">
      <c r="A324" t="s">
        <v>82</v>
      </c>
      <c r="B324" t="s">
        <v>23</v>
      </c>
      <c r="C324" t="s">
        <v>15</v>
      </c>
      <c r="D324">
        <v>0</v>
      </c>
      <c r="E324" t="s">
        <v>68</v>
      </c>
      <c r="F324" t="s">
        <v>11</v>
      </c>
      <c r="G324" t="s">
        <v>12</v>
      </c>
      <c r="H324">
        <f t="shared" si="5"/>
        <v>0</v>
      </c>
    </row>
    <row r="325" spans="1:8" x14ac:dyDescent="0.3">
      <c r="A325" t="s">
        <v>82</v>
      </c>
      <c r="B325" t="s">
        <v>23</v>
      </c>
      <c r="C325" t="s">
        <v>16</v>
      </c>
      <c r="D325">
        <v>634</v>
      </c>
      <c r="E325" t="s">
        <v>68</v>
      </c>
      <c r="F325" t="s">
        <v>11</v>
      </c>
      <c r="G325" t="s">
        <v>12</v>
      </c>
      <c r="H325">
        <f t="shared" si="5"/>
        <v>634</v>
      </c>
    </row>
    <row r="326" spans="1:8" x14ac:dyDescent="0.3">
      <c r="A326" t="s">
        <v>82</v>
      </c>
      <c r="B326" t="s">
        <v>23</v>
      </c>
      <c r="C326" t="s">
        <v>17</v>
      </c>
      <c r="D326">
        <v>0</v>
      </c>
      <c r="E326" t="s">
        <v>68</v>
      </c>
      <c r="F326" t="s">
        <v>11</v>
      </c>
      <c r="G326" t="s">
        <v>12</v>
      </c>
      <c r="H326">
        <f t="shared" si="5"/>
        <v>0</v>
      </c>
    </row>
    <row r="327" spans="1:8" x14ac:dyDescent="0.3">
      <c r="A327" t="s">
        <v>82</v>
      </c>
      <c r="B327" t="s">
        <v>23</v>
      </c>
      <c r="C327" t="s">
        <v>18</v>
      </c>
      <c r="D327">
        <v>0</v>
      </c>
      <c r="E327" t="s">
        <v>68</v>
      </c>
      <c r="F327" t="s">
        <v>11</v>
      </c>
      <c r="G327" t="s">
        <v>12</v>
      </c>
      <c r="H327">
        <f t="shared" si="5"/>
        <v>0</v>
      </c>
    </row>
    <row r="328" spans="1:8" x14ac:dyDescent="0.3">
      <c r="A328" t="s">
        <v>82</v>
      </c>
      <c r="B328" t="s">
        <v>23</v>
      </c>
      <c r="C328" t="s">
        <v>19</v>
      </c>
      <c r="D328">
        <v>0</v>
      </c>
      <c r="E328" t="s">
        <v>68</v>
      </c>
      <c r="F328" t="s">
        <v>11</v>
      </c>
      <c r="G328" t="s">
        <v>12</v>
      </c>
      <c r="H328">
        <f t="shared" si="5"/>
        <v>0</v>
      </c>
    </row>
    <row r="329" spans="1:8" x14ac:dyDescent="0.3">
      <c r="A329" t="s">
        <v>82</v>
      </c>
      <c r="B329" t="s">
        <v>23</v>
      </c>
      <c r="C329" t="s">
        <v>20</v>
      </c>
      <c r="D329">
        <v>4</v>
      </c>
      <c r="E329" t="s">
        <v>68</v>
      </c>
      <c r="F329" t="s">
        <v>11</v>
      </c>
      <c r="G329" t="s">
        <v>12</v>
      </c>
      <c r="H329">
        <f t="shared" si="5"/>
        <v>4</v>
      </c>
    </row>
    <row r="330" spans="1:8" x14ac:dyDescent="0.3">
      <c r="A330" t="s">
        <v>82</v>
      </c>
      <c r="B330" t="s">
        <v>23</v>
      </c>
      <c r="C330" t="s">
        <v>21</v>
      </c>
      <c r="D330">
        <v>0</v>
      </c>
      <c r="E330" t="s">
        <v>68</v>
      </c>
      <c r="F330" t="s">
        <v>11</v>
      </c>
      <c r="G330" t="s">
        <v>12</v>
      </c>
      <c r="H330">
        <f t="shared" si="5"/>
        <v>0</v>
      </c>
    </row>
    <row r="331" spans="1:8" x14ac:dyDescent="0.3">
      <c r="A331" t="s">
        <v>82</v>
      </c>
      <c r="B331" t="s">
        <v>23</v>
      </c>
      <c r="C331" t="s">
        <v>22</v>
      </c>
      <c r="D331">
        <v>0</v>
      </c>
      <c r="E331" t="s">
        <v>68</v>
      </c>
      <c r="F331" t="s">
        <v>11</v>
      </c>
      <c r="G331" t="s">
        <v>12</v>
      </c>
      <c r="H331">
        <f t="shared" si="5"/>
        <v>0</v>
      </c>
    </row>
    <row r="332" spans="1:8" x14ac:dyDescent="0.3">
      <c r="A332" t="s">
        <v>83</v>
      </c>
      <c r="B332" t="s">
        <v>8</v>
      </c>
      <c r="C332" t="s">
        <v>9</v>
      </c>
      <c r="D332">
        <v>0</v>
      </c>
      <c r="E332" t="s">
        <v>68</v>
      </c>
      <c r="F332" t="s">
        <v>11</v>
      </c>
      <c r="G332" t="s">
        <v>12</v>
      </c>
      <c r="H332">
        <f t="shared" si="5"/>
        <v>0</v>
      </c>
    </row>
    <row r="333" spans="1:8" x14ac:dyDescent="0.3">
      <c r="A333" t="s">
        <v>83</v>
      </c>
      <c r="B333" t="s">
        <v>8</v>
      </c>
      <c r="C333" t="s">
        <v>13</v>
      </c>
      <c r="D333">
        <v>0</v>
      </c>
      <c r="E333" t="s">
        <v>68</v>
      </c>
      <c r="F333" t="s">
        <v>11</v>
      </c>
      <c r="G333" t="s">
        <v>12</v>
      </c>
      <c r="H333">
        <f t="shared" si="5"/>
        <v>0</v>
      </c>
    </row>
    <row r="334" spans="1:8" x14ac:dyDescent="0.3">
      <c r="A334" t="s">
        <v>83</v>
      </c>
      <c r="B334" t="s">
        <v>8</v>
      </c>
      <c r="C334" t="s">
        <v>14</v>
      </c>
      <c r="D334">
        <v>0</v>
      </c>
      <c r="E334" t="s">
        <v>68</v>
      </c>
      <c r="F334" t="s">
        <v>11</v>
      </c>
      <c r="G334" t="s">
        <v>12</v>
      </c>
      <c r="H334">
        <f t="shared" si="5"/>
        <v>0</v>
      </c>
    </row>
    <row r="335" spans="1:8" x14ac:dyDescent="0.3">
      <c r="A335" t="s">
        <v>83</v>
      </c>
      <c r="B335" t="s">
        <v>8</v>
      </c>
      <c r="C335" t="s">
        <v>15</v>
      </c>
      <c r="D335">
        <v>0</v>
      </c>
      <c r="E335" t="s">
        <v>68</v>
      </c>
      <c r="F335" t="s">
        <v>11</v>
      </c>
      <c r="G335" t="s">
        <v>12</v>
      </c>
      <c r="H335">
        <f t="shared" si="5"/>
        <v>0</v>
      </c>
    </row>
    <row r="336" spans="1:8" x14ac:dyDescent="0.3">
      <c r="A336" t="s">
        <v>83</v>
      </c>
      <c r="B336" t="s">
        <v>8</v>
      </c>
      <c r="C336" t="s">
        <v>16</v>
      </c>
      <c r="D336">
        <v>0</v>
      </c>
      <c r="E336" t="s">
        <v>68</v>
      </c>
      <c r="F336" t="s">
        <v>11</v>
      </c>
      <c r="G336" t="s">
        <v>12</v>
      </c>
      <c r="H336">
        <f t="shared" si="5"/>
        <v>0</v>
      </c>
    </row>
    <row r="337" spans="1:8" x14ac:dyDescent="0.3">
      <c r="A337" t="s">
        <v>83</v>
      </c>
      <c r="B337" t="s">
        <v>8</v>
      </c>
      <c r="C337" t="s">
        <v>17</v>
      </c>
      <c r="D337">
        <v>0</v>
      </c>
      <c r="E337" t="s">
        <v>68</v>
      </c>
      <c r="F337" t="s">
        <v>11</v>
      </c>
      <c r="G337" t="s">
        <v>12</v>
      </c>
      <c r="H337">
        <f t="shared" si="5"/>
        <v>0</v>
      </c>
    </row>
    <row r="338" spans="1:8" x14ac:dyDescent="0.3">
      <c r="A338" t="s">
        <v>83</v>
      </c>
      <c r="B338" t="s">
        <v>8</v>
      </c>
      <c r="C338" t="s">
        <v>18</v>
      </c>
      <c r="D338">
        <v>0</v>
      </c>
      <c r="E338" t="s">
        <v>68</v>
      </c>
      <c r="F338" t="s">
        <v>11</v>
      </c>
      <c r="G338" t="s">
        <v>12</v>
      </c>
      <c r="H338">
        <f t="shared" si="5"/>
        <v>0</v>
      </c>
    </row>
    <row r="339" spans="1:8" x14ac:dyDescent="0.3">
      <c r="A339" t="s">
        <v>83</v>
      </c>
      <c r="B339" t="s">
        <v>8</v>
      </c>
      <c r="C339" t="s">
        <v>19</v>
      </c>
      <c r="D339">
        <v>0</v>
      </c>
      <c r="E339" t="s">
        <v>68</v>
      </c>
      <c r="F339" t="s">
        <v>11</v>
      </c>
      <c r="G339" t="s">
        <v>12</v>
      </c>
      <c r="H339">
        <f t="shared" si="5"/>
        <v>0</v>
      </c>
    </row>
    <row r="340" spans="1:8" x14ac:dyDescent="0.3">
      <c r="A340" t="s">
        <v>83</v>
      </c>
      <c r="B340" t="s">
        <v>8</v>
      </c>
      <c r="C340" t="s">
        <v>20</v>
      </c>
      <c r="D340">
        <v>0</v>
      </c>
      <c r="E340" t="s">
        <v>68</v>
      </c>
      <c r="F340" t="s">
        <v>11</v>
      </c>
      <c r="G340" t="s">
        <v>12</v>
      </c>
      <c r="H340">
        <f t="shared" si="5"/>
        <v>0</v>
      </c>
    </row>
    <row r="341" spans="1:8" x14ac:dyDescent="0.3">
      <c r="A341" t="s">
        <v>83</v>
      </c>
      <c r="B341" t="s">
        <v>8</v>
      </c>
      <c r="C341" t="s">
        <v>21</v>
      </c>
      <c r="D341">
        <v>0</v>
      </c>
      <c r="E341" t="s">
        <v>68</v>
      </c>
      <c r="F341" t="s">
        <v>11</v>
      </c>
      <c r="G341" t="s">
        <v>12</v>
      </c>
      <c r="H341">
        <f t="shared" si="5"/>
        <v>0</v>
      </c>
    </row>
    <row r="342" spans="1:8" x14ac:dyDescent="0.3">
      <c r="A342" t="s">
        <v>83</v>
      </c>
      <c r="B342" t="s">
        <v>8</v>
      </c>
      <c r="C342" t="s">
        <v>22</v>
      </c>
      <c r="D342">
        <v>606</v>
      </c>
      <c r="E342" t="s">
        <v>68</v>
      </c>
      <c r="F342" t="s">
        <v>11</v>
      </c>
      <c r="G342" t="s">
        <v>12</v>
      </c>
      <c r="H342">
        <f t="shared" si="5"/>
        <v>606</v>
      </c>
    </row>
    <row r="343" spans="1:8" x14ac:dyDescent="0.3">
      <c r="A343" t="s">
        <v>83</v>
      </c>
      <c r="B343" t="s">
        <v>23</v>
      </c>
      <c r="C343" t="s">
        <v>9</v>
      </c>
      <c r="D343">
        <v>7</v>
      </c>
      <c r="E343" t="s">
        <v>68</v>
      </c>
      <c r="F343" t="s">
        <v>11</v>
      </c>
      <c r="G343" t="s">
        <v>12</v>
      </c>
      <c r="H343">
        <f t="shared" si="5"/>
        <v>7</v>
      </c>
    </row>
    <row r="344" spans="1:8" x14ac:dyDescent="0.3">
      <c r="A344" t="s">
        <v>83</v>
      </c>
      <c r="B344" t="s">
        <v>23</v>
      </c>
      <c r="C344" t="s">
        <v>13</v>
      </c>
      <c r="D344">
        <v>62</v>
      </c>
      <c r="E344" t="s">
        <v>68</v>
      </c>
      <c r="F344" t="s">
        <v>11</v>
      </c>
      <c r="G344" t="s">
        <v>12</v>
      </c>
      <c r="H344">
        <f t="shared" si="5"/>
        <v>62</v>
      </c>
    </row>
    <row r="345" spans="1:8" x14ac:dyDescent="0.3">
      <c r="A345" t="s">
        <v>83</v>
      </c>
      <c r="B345" t="s">
        <v>23</v>
      </c>
      <c r="C345" t="s">
        <v>14</v>
      </c>
      <c r="D345">
        <v>77</v>
      </c>
      <c r="E345" t="s">
        <v>68</v>
      </c>
      <c r="F345" t="s">
        <v>11</v>
      </c>
      <c r="G345" t="s">
        <v>12</v>
      </c>
      <c r="H345">
        <f t="shared" si="5"/>
        <v>77</v>
      </c>
    </row>
    <row r="346" spans="1:8" x14ac:dyDescent="0.3">
      <c r="A346" t="s">
        <v>83</v>
      </c>
      <c r="B346" t="s">
        <v>23</v>
      </c>
      <c r="C346" t="s">
        <v>15</v>
      </c>
      <c r="D346">
        <v>3</v>
      </c>
      <c r="E346" t="s">
        <v>68</v>
      </c>
      <c r="F346" t="s">
        <v>11</v>
      </c>
      <c r="G346" t="s">
        <v>12</v>
      </c>
      <c r="H346">
        <f t="shared" si="5"/>
        <v>3</v>
      </c>
    </row>
    <row r="347" spans="1:8" x14ac:dyDescent="0.3">
      <c r="A347" t="s">
        <v>83</v>
      </c>
      <c r="B347" t="s">
        <v>23</v>
      </c>
      <c r="C347" t="s">
        <v>16</v>
      </c>
      <c r="D347">
        <v>35</v>
      </c>
      <c r="E347" t="s">
        <v>68</v>
      </c>
      <c r="F347" t="s">
        <v>11</v>
      </c>
      <c r="G347" t="s">
        <v>12</v>
      </c>
      <c r="H347">
        <f t="shared" si="5"/>
        <v>35</v>
      </c>
    </row>
    <row r="348" spans="1:8" x14ac:dyDescent="0.3">
      <c r="A348" t="s">
        <v>83</v>
      </c>
      <c r="B348" t="s">
        <v>23</v>
      </c>
      <c r="C348" t="s">
        <v>17</v>
      </c>
      <c r="D348">
        <v>9</v>
      </c>
      <c r="E348" t="s">
        <v>68</v>
      </c>
      <c r="F348" t="s">
        <v>11</v>
      </c>
      <c r="G348" t="s">
        <v>12</v>
      </c>
      <c r="H348">
        <f t="shared" si="5"/>
        <v>9</v>
      </c>
    </row>
    <row r="349" spans="1:8" x14ac:dyDescent="0.3">
      <c r="A349" t="s">
        <v>83</v>
      </c>
      <c r="B349" t="s">
        <v>23</v>
      </c>
      <c r="C349" t="s">
        <v>18</v>
      </c>
      <c r="D349">
        <v>0</v>
      </c>
      <c r="E349" t="s">
        <v>68</v>
      </c>
      <c r="F349" t="s">
        <v>11</v>
      </c>
      <c r="G349" t="s">
        <v>12</v>
      </c>
      <c r="H349">
        <f t="shared" si="5"/>
        <v>0</v>
      </c>
    </row>
    <row r="350" spans="1:8" x14ac:dyDescent="0.3">
      <c r="A350" t="s">
        <v>83</v>
      </c>
      <c r="B350" t="s">
        <v>23</v>
      </c>
      <c r="C350" t="s">
        <v>19</v>
      </c>
      <c r="D350">
        <v>15</v>
      </c>
      <c r="E350" t="s">
        <v>68</v>
      </c>
      <c r="F350" t="s">
        <v>11</v>
      </c>
      <c r="G350" t="s">
        <v>12</v>
      </c>
      <c r="H350">
        <f t="shared" si="5"/>
        <v>15</v>
      </c>
    </row>
    <row r="351" spans="1:8" x14ac:dyDescent="0.3">
      <c r="A351" t="s">
        <v>83</v>
      </c>
      <c r="B351" t="s">
        <v>23</v>
      </c>
      <c r="C351" t="s">
        <v>20</v>
      </c>
      <c r="D351">
        <v>5</v>
      </c>
      <c r="E351" t="s">
        <v>68</v>
      </c>
      <c r="F351" t="s">
        <v>11</v>
      </c>
      <c r="G351" t="s">
        <v>12</v>
      </c>
      <c r="H351">
        <f t="shared" si="5"/>
        <v>5</v>
      </c>
    </row>
    <row r="352" spans="1:8" x14ac:dyDescent="0.3">
      <c r="A352" t="s">
        <v>83</v>
      </c>
      <c r="B352" t="s">
        <v>23</v>
      </c>
      <c r="C352" t="s">
        <v>21</v>
      </c>
      <c r="D352">
        <v>2</v>
      </c>
      <c r="E352" t="s">
        <v>68</v>
      </c>
      <c r="F352" t="s">
        <v>11</v>
      </c>
      <c r="G352" t="s">
        <v>12</v>
      </c>
      <c r="H352">
        <f t="shared" si="5"/>
        <v>2</v>
      </c>
    </row>
    <row r="353" spans="1:8" x14ac:dyDescent="0.3">
      <c r="A353" t="s">
        <v>83</v>
      </c>
      <c r="B353" t="s">
        <v>23</v>
      </c>
      <c r="C353" t="s">
        <v>22</v>
      </c>
      <c r="D353">
        <v>243</v>
      </c>
      <c r="E353" t="s">
        <v>68</v>
      </c>
      <c r="F353" t="s">
        <v>11</v>
      </c>
      <c r="G353" t="s">
        <v>12</v>
      </c>
      <c r="H353">
        <f t="shared" si="5"/>
        <v>243</v>
      </c>
    </row>
    <row r="354" spans="1:8" x14ac:dyDescent="0.3">
      <c r="A354" t="s">
        <v>67</v>
      </c>
      <c r="B354" t="s">
        <v>8</v>
      </c>
      <c r="C354" t="s">
        <v>9</v>
      </c>
      <c r="D354">
        <v>0</v>
      </c>
      <c r="E354" t="s">
        <v>68</v>
      </c>
      <c r="F354" t="s">
        <v>36</v>
      </c>
      <c r="G354" t="s">
        <v>37</v>
      </c>
      <c r="H354">
        <f t="shared" si="5"/>
        <v>0</v>
      </c>
    </row>
    <row r="355" spans="1:8" x14ac:dyDescent="0.3">
      <c r="A355" t="s">
        <v>67</v>
      </c>
      <c r="B355" t="s">
        <v>8</v>
      </c>
      <c r="C355" t="s">
        <v>13</v>
      </c>
      <c r="D355">
        <v>0</v>
      </c>
      <c r="E355" t="s">
        <v>68</v>
      </c>
      <c r="F355" t="s">
        <v>36</v>
      </c>
      <c r="G355" t="s">
        <v>37</v>
      </c>
      <c r="H355">
        <f t="shared" si="5"/>
        <v>0</v>
      </c>
    </row>
    <row r="356" spans="1:8" x14ac:dyDescent="0.3">
      <c r="A356" t="s">
        <v>67</v>
      </c>
      <c r="B356" t="s">
        <v>8</v>
      </c>
      <c r="C356" t="s">
        <v>14</v>
      </c>
      <c r="D356">
        <v>0</v>
      </c>
      <c r="E356" t="s">
        <v>68</v>
      </c>
      <c r="F356" t="s">
        <v>36</v>
      </c>
      <c r="G356" t="s">
        <v>37</v>
      </c>
      <c r="H356">
        <f t="shared" si="5"/>
        <v>0</v>
      </c>
    </row>
    <row r="357" spans="1:8" x14ac:dyDescent="0.3">
      <c r="A357" t="s">
        <v>67</v>
      </c>
      <c r="B357" t="s">
        <v>8</v>
      </c>
      <c r="C357" t="s">
        <v>15</v>
      </c>
      <c r="D357">
        <v>0</v>
      </c>
      <c r="E357" t="s">
        <v>68</v>
      </c>
      <c r="F357" t="s">
        <v>36</v>
      </c>
      <c r="G357" t="s">
        <v>37</v>
      </c>
      <c r="H357">
        <f t="shared" si="5"/>
        <v>0</v>
      </c>
    </row>
    <row r="358" spans="1:8" x14ac:dyDescent="0.3">
      <c r="A358" t="s">
        <v>67</v>
      </c>
      <c r="B358" t="s">
        <v>8</v>
      </c>
      <c r="C358" t="s">
        <v>16</v>
      </c>
      <c r="D358">
        <v>0</v>
      </c>
      <c r="E358" t="s">
        <v>68</v>
      </c>
      <c r="F358" t="s">
        <v>36</v>
      </c>
      <c r="G358" t="s">
        <v>37</v>
      </c>
      <c r="H358">
        <f t="shared" si="5"/>
        <v>0</v>
      </c>
    </row>
    <row r="359" spans="1:8" x14ac:dyDescent="0.3">
      <c r="A359" t="s">
        <v>67</v>
      </c>
      <c r="B359" t="s">
        <v>8</v>
      </c>
      <c r="C359" t="s">
        <v>17</v>
      </c>
      <c r="D359">
        <v>0</v>
      </c>
      <c r="E359" t="s">
        <v>68</v>
      </c>
      <c r="F359" t="s">
        <v>36</v>
      </c>
      <c r="G359" t="s">
        <v>37</v>
      </c>
      <c r="H359">
        <f t="shared" si="5"/>
        <v>0</v>
      </c>
    </row>
    <row r="360" spans="1:8" x14ac:dyDescent="0.3">
      <c r="A360" t="s">
        <v>67</v>
      </c>
      <c r="B360" t="s">
        <v>8</v>
      </c>
      <c r="C360" t="s">
        <v>18</v>
      </c>
      <c r="D360">
        <v>0</v>
      </c>
      <c r="E360" t="s">
        <v>68</v>
      </c>
      <c r="F360" t="s">
        <v>36</v>
      </c>
      <c r="G360" t="s">
        <v>37</v>
      </c>
      <c r="H360">
        <f t="shared" si="5"/>
        <v>0</v>
      </c>
    </row>
    <row r="361" spans="1:8" x14ac:dyDescent="0.3">
      <c r="A361" t="s">
        <v>67</v>
      </c>
      <c r="B361" t="s">
        <v>8</v>
      </c>
      <c r="C361" t="s">
        <v>19</v>
      </c>
      <c r="D361">
        <v>0</v>
      </c>
      <c r="E361" t="s">
        <v>68</v>
      </c>
      <c r="F361" t="s">
        <v>36</v>
      </c>
      <c r="G361" t="s">
        <v>37</v>
      </c>
      <c r="H361">
        <f t="shared" si="5"/>
        <v>0</v>
      </c>
    </row>
    <row r="362" spans="1:8" x14ac:dyDescent="0.3">
      <c r="A362" t="s">
        <v>67</v>
      </c>
      <c r="B362" t="s">
        <v>8</v>
      </c>
      <c r="C362" t="s">
        <v>20</v>
      </c>
      <c r="D362">
        <v>0</v>
      </c>
      <c r="E362" t="s">
        <v>68</v>
      </c>
      <c r="F362" t="s">
        <v>36</v>
      </c>
      <c r="G362" t="s">
        <v>37</v>
      </c>
      <c r="H362">
        <f t="shared" si="5"/>
        <v>0</v>
      </c>
    </row>
    <row r="363" spans="1:8" x14ac:dyDescent="0.3">
      <c r="A363" t="s">
        <v>67</v>
      </c>
      <c r="B363" t="s">
        <v>8</v>
      </c>
      <c r="C363" t="s">
        <v>21</v>
      </c>
      <c r="D363">
        <v>0</v>
      </c>
      <c r="E363" t="s">
        <v>68</v>
      </c>
      <c r="F363" t="s">
        <v>36</v>
      </c>
      <c r="G363" t="s">
        <v>37</v>
      </c>
      <c r="H363">
        <f t="shared" si="5"/>
        <v>0</v>
      </c>
    </row>
    <row r="364" spans="1:8" x14ac:dyDescent="0.3">
      <c r="A364" t="s">
        <v>67</v>
      </c>
      <c r="B364" t="s">
        <v>8</v>
      </c>
      <c r="C364" t="s">
        <v>22</v>
      </c>
      <c r="D364">
        <v>0</v>
      </c>
      <c r="E364" t="s">
        <v>68</v>
      </c>
      <c r="F364" t="s">
        <v>36</v>
      </c>
      <c r="G364" t="s">
        <v>37</v>
      </c>
      <c r="H364">
        <f t="shared" si="5"/>
        <v>0</v>
      </c>
    </row>
    <row r="365" spans="1:8" x14ac:dyDescent="0.3">
      <c r="A365" t="s">
        <v>67</v>
      </c>
      <c r="B365" t="s">
        <v>23</v>
      </c>
      <c r="C365" t="s">
        <v>9</v>
      </c>
      <c r="D365">
        <v>710</v>
      </c>
      <c r="E365" t="s">
        <v>68</v>
      </c>
      <c r="F365" t="s">
        <v>36</v>
      </c>
      <c r="G365" t="s">
        <v>37</v>
      </c>
      <c r="H365">
        <f t="shared" si="5"/>
        <v>710</v>
      </c>
    </row>
    <row r="366" spans="1:8" x14ac:dyDescent="0.3">
      <c r="A366" t="s">
        <v>67</v>
      </c>
      <c r="B366" t="s">
        <v>23</v>
      </c>
      <c r="C366" t="s">
        <v>13</v>
      </c>
      <c r="D366">
        <v>113</v>
      </c>
      <c r="E366" t="s">
        <v>68</v>
      </c>
      <c r="F366" t="s">
        <v>36</v>
      </c>
      <c r="G366" t="s">
        <v>37</v>
      </c>
      <c r="H366">
        <f t="shared" si="5"/>
        <v>113</v>
      </c>
    </row>
    <row r="367" spans="1:8" x14ac:dyDescent="0.3">
      <c r="A367" t="s">
        <v>67</v>
      </c>
      <c r="B367" t="s">
        <v>23</v>
      </c>
      <c r="C367" t="s">
        <v>14</v>
      </c>
      <c r="D367">
        <v>2292</v>
      </c>
      <c r="E367" t="s">
        <v>68</v>
      </c>
      <c r="F367" t="s">
        <v>36</v>
      </c>
      <c r="G367" t="s">
        <v>37</v>
      </c>
      <c r="H367">
        <f t="shared" si="5"/>
        <v>2290</v>
      </c>
    </row>
    <row r="368" spans="1:8" x14ac:dyDescent="0.3">
      <c r="A368" t="s">
        <v>67</v>
      </c>
      <c r="B368" t="s">
        <v>23</v>
      </c>
      <c r="C368" t="s">
        <v>15</v>
      </c>
      <c r="D368">
        <v>326</v>
      </c>
      <c r="E368" t="s">
        <v>68</v>
      </c>
      <c r="F368" t="s">
        <v>36</v>
      </c>
      <c r="G368" t="s">
        <v>37</v>
      </c>
      <c r="H368">
        <f t="shared" si="5"/>
        <v>326</v>
      </c>
    </row>
    <row r="369" spans="1:8" x14ac:dyDescent="0.3">
      <c r="A369" t="s">
        <v>67</v>
      </c>
      <c r="B369" t="s">
        <v>23</v>
      </c>
      <c r="C369" t="s">
        <v>16</v>
      </c>
      <c r="D369">
        <v>1810603</v>
      </c>
      <c r="E369" t="s">
        <v>68</v>
      </c>
      <c r="F369" t="s">
        <v>36</v>
      </c>
      <c r="G369" t="s">
        <v>37</v>
      </c>
      <c r="H369">
        <f t="shared" si="5"/>
        <v>1810000</v>
      </c>
    </row>
    <row r="370" spans="1:8" x14ac:dyDescent="0.3">
      <c r="A370" t="s">
        <v>67</v>
      </c>
      <c r="B370" t="s">
        <v>23</v>
      </c>
      <c r="C370" t="s">
        <v>17</v>
      </c>
      <c r="D370">
        <v>179</v>
      </c>
      <c r="E370" t="s">
        <v>68</v>
      </c>
      <c r="F370" t="s">
        <v>36</v>
      </c>
      <c r="G370" t="s">
        <v>37</v>
      </c>
      <c r="H370">
        <f t="shared" si="5"/>
        <v>179</v>
      </c>
    </row>
    <row r="371" spans="1:8" x14ac:dyDescent="0.3">
      <c r="A371" t="s">
        <v>67</v>
      </c>
      <c r="B371" t="s">
        <v>23</v>
      </c>
      <c r="C371" t="s">
        <v>18</v>
      </c>
      <c r="D371">
        <v>0</v>
      </c>
      <c r="E371" t="s">
        <v>68</v>
      </c>
      <c r="F371" t="s">
        <v>36</v>
      </c>
      <c r="G371" t="s">
        <v>37</v>
      </c>
      <c r="H371">
        <f t="shared" si="5"/>
        <v>0</v>
      </c>
    </row>
    <row r="372" spans="1:8" x14ac:dyDescent="0.3">
      <c r="A372" t="s">
        <v>67</v>
      </c>
      <c r="B372" t="s">
        <v>23</v>
      </c>
      <c r="C372" t="s">
        <v>19</v>
      </c>
      <c r="D372">
        <v>40</v>
      </c>
      <c r="E372" t="s">
        <v>68</v>
      </c>
      <c r="F372" t="s">
        <v>36</v>
      </c>
      <c r="G372" t="s">
        <v>37</v>
      </c>
      <c r="H372">
        <f t="shared" si="5"/>
        <v>40</v>
      </c>
    </row>
    <row r="373" spans="1:8" x14ac:dyDescent="0.3">
      <c r="A373" t="s">
        <v>67</v>
      </c>
      <c r="B373" t="s">
        <v>23</v>
      </c>
      <c r="C373" t="s">
        <v>20</v>
      </c>
      <c r="D373">
        <v>2488</v>
      </c>
      <c r="E373" t="s">
        <v>68</v>
      </c>
      <c r="F373" t="s">
        <v>36</v>
      </c>
      <c r="G373" t="s">
        <v>37</v>
      </c>
      <c r="H373">
        <f t="shared" si="5"/>
        <v>2490</v>
      </c>
    </row>
    <row r="374" spans="1:8" x14ac:dyDescent="0.3">
      <c r="A374" t="s">
        <v>67</v>
      </c>
      <c r="B374" t="s">
        <v>23</v>
      </c>
      <c r="C374" t="s">
        <v>21</v>
      </c>
      <c r="D374">
        <v>829</v>
      </c>
      <c r="E374" t="s">
        <v>68</v>
      </c>
      <c r="F374" t="s">
        <v>36</v>
      </c>
      <c r="G374" t="s">
        <v>37</v>
      </c>
      <c r="H374">
        <f t="shared" si="5"/>
        <v>829</v>
      </c>
    </row>
    <row r="375" spans="1:8" x14ac:dyDescent="0.3">
      <c r="A375" t="s">
        <v>67</v>
      </c>
      <c r="B375" t="s">
        <v>23</v>
      </c>
      <c r="C375" t="s">
        <v>22</v>
      </c>
      <c r="D375">
        <v>402</v>
      </c>
      <c r="E375" t="s">
        <v>68</v>
      </c>
      <c r="F375" t="s">
        <v>36</v>
      </c>
      <c r="G375" t="s">
        <v>37</v>
      </c>
      <c r="H375">
        <f t="shared" si="5"/>
        <v>402</v>
      </c>
    </row>
    <row r="376" spans="1:8" x14ac:dyDescent="0.3">
      <c r="A376" t="s">
        <v>69</v>
      </c>
      <c r="B376" t="s">
        <v>8</v>
      </c>
      <c r="C376" t="s">
        <v>9</v>
      </c>
      <c r="D376">
        <v>0</v>
      </c>
      <c r="E376" t="s">
        <v>68</v>
      </c>
      <c r="F376" t="s">
        <v>36</v>
      </c>
      <c r="G376" t="s">
        <v>37</v>
      </c>
      <c r="H376">
        <f t="shared" si="5"/>
        <v>0</v>
      </c>
    </row>
    <row r="377" spans="1:8" x14ac:dyDescent="0.3">
      <c r="A377" t="s">
        <v>69</v>
      </c>
      <c r="B377" t="s">
        <v>8</v>
      </c>
      <c r="C377" t="s">
        <v>13</v>
      </c>
      <c r="D377">
        <v>0</v>
      </c>
      <c r="E377" t="s">
        <v>68</v>
      </c>
      <c r="F377" t="s">
        <v>36</v>
      </c>
      <c r="G377" t="s">
        <v>37</v>
      </c>
      <c r="H377">
        <f t="shared" si="5"/>
        <v>0</v>
      </c>
    </row>
    <row r="378" spans="1:8" x14ac:dyDescent="0.3">
      <c r="A378" t="s">
        <v>69</v>
      </c>
      <c r="B378" t="s">
        <v>8</v>
      </c>
      <c r="C378" t="s">
        <v>14</v>
      </c>
      <c r="D378">
        <v>0</v>
      </c>
      <c r="E378" t="s">
        <v>68</v>
      </c>
      <c r="F378" t="s">
        <v>36</v>
      </c>
      <c r="G378" t="s">
        <v>37</v>
      </c>
      <c r="H378">
        <f t="shared" si="5"/>
        <v>0</v>
      </c>
    </row>
    <row r="379" spans="1:8" x14ac:dyDescent="0.3">
      <c r="A379" t="s">
        <v>69</v>
      </c>
      <c r="B379" t="s">
        <v>8</v>
      </c>
      <c r="C379" t="s">
        <v>15</v>
      </c>
      <c r="D379">
        <v>0</v>
      </c>
      <c r="E379" t="s">
        <v>68</v>
      </c>
      <c r="F379" t="s">
        <v>36</v>
      </c>
      <c r="G379" t="s">
        <v>37</v>
      </c>
      <c r="H379">
        <f t="shared" si="5"/>
        <v>0</v>
      </c>
    </row>
    <row r="380" spans="1:8" x14ac:dyDescent="0.3">
      <c r="A380" t="s">
        <v>69</v>
      </c>
      <c r="B380" t="s">
        <v>8</v>
      </c>
      <c r="C380" t="s">
        <v>16</v>
      </c>
      <c r="D380">
        <v>0</v>
      </c>
      <c r="E380" t="s">
        <v>68</v>
      </c>
      <c r="F380" t="s">
        <v>36</v>
      </c>
      <c r="G380" t="s">
        <v>37</v>
      </c>
      <c r="H380">
        <f t="shared" si="5"/>
        <v>0</v>
      </c>
    </row>
    <row r="381" spans="1:8" x14ac:dyDescent="0.3">
      <c r="A381" t="s">
        <v>69</v>
      </c>
      <c r="B381" t="s">
        <v>8</v>
      </c>
      <c r="C381" t="s">
        <v>17</v>
      </c>
      <c r="D381">
        <v>0</v>
      </c>
      <c r="E381" t="s">
        <v>68</v>
      </c>
      <c r="F381" t="s">
        <v>36</v>
      </c>
      <c r="G381" t="s">
        <v>37</v>
      </c>
      <c r="H381">
        <f t="shared" si="5"/>
        <v>0</v>
      </c>
    </row>
    <row r="382" spans="1:8" x14ac:dyDescent="0.3">
      <c r="A382" t="s">
        <v>69</v>
      </c>
      <c r="B382" t="s">
        <v>8</v>
      </c>
      <c r="C382" t="s">
        <v>18</v>
      </c>
      <c r="D382">
        <v>0</v>
      </c>
      <c r="E382" t="s">
        <v>68</v>
      </c>
      <c r="F382" t="s">
        <v>36</v>
      </c>
      <c r="G382" t="s">
        <v>37</v>
      </c>
      <c r="H382">
        <f t="shared" si="5"/>
        <v>0</v>
      </c>
    </row>
    <row r="383" spans="1:8" x14ac:dyDescent="0.3">
      <c r="A383" t="s">
        <v>69</v>
      </c>
      <c r="B383" t="s">
        <v>8</v>
      </c>
      <c r="C383" t="s">
        <v>19</v>
      </c>
      <c r="D383">
        <v>0</v>
      </c>
      <c r="E383" t="s">
        <v>68</v>
      </c>
      <c r="F383" t="s">
        <v>36</v>
      </c>
      <c r="G383" t="s">
        <v>37</v>
      </c>
      <c r="H383">
        <f t="shared" si="5"/>
        <v>0</v>
      </c>
    </row>
    <row r="384" spans="1:8" x14ac:dyDescent="0.3">
      <c r="A384" t="s">
        <v>69</v>
      </c>
      <c r="B384" t="s">
        <v>8</v>
      </c>
      <c r="C384" t="s">
        <v>20</v>
      </c>
      <c r="D384">
        <v>0</v>
      </c>
      <c r="E384" t="s">
        <v>68</v>
      </c>
      <c r="F384" t="s">
        <v>36</v>
      </c>
      <c r="G384" t="s">
        <v>37</v>
      </c>
      <c r="H384">
        <f t="shared" si="5"/>
        <v>0</v>
      </c>
    </row>
    <row r="385" spans="1:8" x14ac:dyDescent="0.3">
      <c r="A385" t="s">
        <v>69</v>
      </c>
      <c r="B385" t="s">
        <v>8</v>
      </c>
      <c r="C385" t="s">
        <v>21</v>
      </c>
      <c r="D385">
        <v>0</v>
      </c>
      <c r="E385" t="s">
        <v>68</v>
      </c>
      <c r="F385" t="s">
        <v>36</v>
      </c>
      <c r="G385" t="s">
        <v>37</v>
      </c>
      <c r="H385">
        <f t="shared" si="5"/>
        <v>0</v>
      </c>
    </row>
    <row r="386" spans="1:8" x14ac:dyDescent="0.3">
      <c r="A386" t="s">
        <v>69</v>
      </c>
      <c r="B386" t="s">
        <v>8</v>
      </c>
      <c r="C386" t="s">
        <v>22</v>
      </c>
      <c r="D386">
        <v>0</v>
      </c>
      <c r="E386" t="s">
        <v>68</v>
      </c>
      <c r="F386" t="s">
        <v>36</v>
      </c>
      <c r="G386" t="s">
        <v>37</v>
      </c>
      <c r="H386">
        <f t="shared" si="5"/>
        <v>0</v>
      </c>
    </row>
    <row r="387" spans="1:8" x14ac:dyDescent="0.3">
      <c r="A387" t="s">
        <v>69</v>
      </c>
      <c r="B387" t="s">
        <v>23</v>
      </c>
      <c r="C387" t="s">
        <v>9</v>
      </c>
      <c r="D387">
        <v>2366</v>
      </c>
      <c r="E387" t="s">
        <v>68</v>
      </c>
      <c r="F387" t="s">
        <v>36</v>
      </c>
      <c r="G387" t="s">
        <v>37</v>
      </c>
      <c r="H387">
        <f t="shared" ref="H387:H450" si="6">ROUND(D387, 3 - LEN(INT(ABS(D387))))</f>
        <v>2370</v>
      </c>
    </row>
    <row r="388" spans="1:8" x14ac:dyDescent="0.3">
      <c r="A388" t="s">
        <v>69</v>
      </c>
      <c r="B388" t="s">
        <v>23</v>
      </c>
      <c r="C388" t="s">
        <v>13</v>
      </c>
      <c r="D388">
        <v>23023</v>
      </c>
      <c r="E388" t="s">
        <v>68</v>
      </c>
      <c r="F388" t="s">
        <v>36</v>
      </c>
      <c r="G388" t="s">
        <v>37</v>
      </c>
      <c r="H388">
        <f t="shared" si="6"/>
        <v>23000</v>
      </c>
    </row>
    <row r="389" spans="1:8" x14ac:dyDescent="0.3">
      <c r="A389" t="s">
        <v>69</v>
      </c>
      <c r="B389" t="s">
        <v>23</v>
      </c>
      <c r="C389" t="s">
        <v>14</v>
      </c>
      <c r="D389">
        <v>3068</v>
      </c>
      <c r="E389" t="s">
        <v>68</v>
      </c>
      <c r="F389" t="s">
        <v>36</v>
      </c>
      <c r="G389" t="s">
        <v>37</v>
      </c>
      <c r="H389">
        <f t="shared" si="6"/>
        <v>3070</v>
      </c>
    </row>
    <row r="390" spans="1:8" x14ac:dyDescent="0.3">
      <c r="A390" t="s">
        <v>69</v>
      </c>
      <c r="B390" t="s">
        <v>23</v>
      </c>
      <c r="C390" t="s">
        <v>15</v>
      </c>
      <c r="D390">
        <v>20928</v>
      </c>
      <c r="E390" t="s">
        <v>68</v>
      </c>
      <c r="F390" t="s">
        <v>36</v>
      </c>
      <c r="G390" t="s">
        <v>37</v>
      </c>
      <c r="H390">
        <f t="shared" si="6"/>
        <v>20900</v>
      </c>
    </row>
    <row r="391" spans="1:8" x14ac:dyDescent="0.3">
      <c r="A391" t="s">
        <v>69</v>
      </c>
      <c r="B391" t="s">
        <v>23</v>
      </c>
      <c r="C391" t="s">
        <v>16</v>
      </c>
      <c r="D391">
        <v>21321</v>
      </c>
      <c r="E391" t="s">
        <v>68</v>
      </c>
      <c r="F391" t="s">
        <v>36</v>
      </c>
      <c r="G391" t="s">
        <v>37</v>
      </c>
      <c r="H391">
        <f t="shared" si="6"/>
        <v>21300</v>
      </c>
    </row>
    <row r="392" spans="1:8" x14ac:dyDescent="0.3">
      <c r="A392" t="s">
        <v>69</v>
      </c>
      <c r="B392" t="s">
        <v>23</v>
      </c>
      <c r="C392" t="s">
        <v>17</v>
      </c>
      <c r="D392">
        <v>60</v>
      </c>
      <c r="E392" t="s">
        <v>68</v>
      </c>
      <c r="F392" t="s">
        <v>36</v>
      </c>
      <c r="G392" t="s">
        <v>37</v>
      </c>
      <c r="H392">
        <f t="shared" si="6"/>
        <v>60</v>
      </c>
    </row>
    <row r="393" spans="1:8" x14ac:dyDescent="0.3">
      <c r="A393" t="s">
        <v>69</v>
      </c>
      <c r="B393" t="s">
        <v>23</v>
      </c>
      <c r="C393" t="s">
        <v>18</v>
      </c>
      <c r="D393">
        <v>0</v>
      </c>
      <c r="E393" t="s">
        <v>68</v>
      </c>
      <c r="F393" t="s">
        <v>36</v>
      </c>
      <c r="G393" t="s">
        <v>37</v>
      </c>
      <c r="H393">
        <f t="shared" si="6"/>
        <v>0</v>
      </c>
    </row>
    <row r="394" spans="1:8" x14ac:dyDescent="0.3">
      <c r="A394" t="s">
        <v>69</v>
      </c>
      <c r="B394" t="s">
        <v>23</v>
      </c>
      <c r="C394" t="s">
        <v>19</v>
      </c>
      <c r="D394">
        <v>6875</v>
      </c>
      <c r="E394" t="s">
        <v>68</v>
      </c>
      <c r="F394" t="s">
        <v>36</v>
      </c>
      <c r="G394" t="s">
        <v>37</v>
      </c>
      <c r="H394">
        <f t="shared" si="6"/>
        <v>6880</v>
      </c>
    </row>
    <row r="395" spans="1:8" x14ac:dyDescent="0.3">
      <c r="A395" t="s">
        <v>69</v>
      </c>
      <c r="B395" t="s">
        <v>23</v>
      </c>
      <c r="C395" t="s">
        <v>20</v>
      </c>
      <c r="D395">
        <v>6981</v>
      </c>
      <c r="E395" t="s">
        <v>68</v>
      </c>
      <c r="F395" t="s">
        <v>36</v>
      </c>
      <c r="G395" t="s">
        <v>37</v>
      </c>
      <c r="H395">
        <f t="shared" si="6"/>
        <v>6980</v>
      </c>
    </row>
    <row r="396" spans="1:8" x14ac:dyDescent="0.3">
      <c r="A396" t="s">
        <v>69</v>
      </c>
      <c r="B396" t="s">
        <v>23</v>
      </c>
      <c r="C396" t="s">
        <v>21</v>
      </c>
      <c r="D396">
        <v>755</v>
      </c>
      <c r="E396" t="s">
        <v>68</v>
      </c>
      <c r="F396" t="s">
        <v>36</v>
      </c>
      <c r="G396" t="s">
        <v>37</v>
      </c>
      <c r="H396">
        <f t="shared" si="6"/>
        <v>755</v>
      </c>
    </row>
    <row r="397" spans="1:8" x14ac:dyDescent="0.3">
      <c r="A397" t="s">
        <v>69</v>
      </c>
      <c r="B397" t="s">
        <v>23</v>
      </c>
      <c r="C397" t="s">
        <v>22</v>
      </c>
      <c r="D397">
        <v>237173</v>
      </c>
      <c r="E397" t="s">
        <v>68</v>
      </c>
      <c r="F397" t="s">
        <v>36</v>
      </c>
      <c r="G397" t="s">
        <v>37</v>
      </c>
      <c r="H397">
        <f t="shared" si="6"/>
        <v>237000</v>
      </c>
    </row>
    <row r="398" spans="1:8" x14ac:dyDescent="0.3">
      <c r="A398" t="s">
        <v>70</v>
      </c>
      <c r="B398" t="s">
        <v>8</v>
      </c>
      <c r="C398" t="s">
        <v>9</v>
      </c>
      <c r="D398">
        <v>0</v>
      </c>
      <c r="E398" t="s">
        <v>68</v>
      </c>
      <c r="F398" t="s">
        <v>36</v>
      </c>
      <c r="G398" t="s">
        <v>37</v>
      </c>
      <c r="H398">
        <f t="shared" si="6"/>
        <v>0</v>
      </c>
    </row>
    <row r="399" spans="1:8" x14ac:dyDescent="0.3">
      <c r="A399" t="s">
        <v>70</v>
      </c>
      <c r="B399" t="s">
        <v>8</v>
      </c>
      <c r="C399" t="s">
        <v>13</v>
      </c>
      <c r="D399">
        <v>0</v>
      </c>
      <c r="E399" t="s">
        <v>68</v>
      </c>
      <c r="F399" t="s">
        <v>36</v>
      </c>
      <c r="G399" t="s">
        <v>37</v>
      </c>
      <c r="H399">
        <f t="shared" si="6"/>
        <v>0</v>
      </c>
    </row>
    <row r="400" spans="1:8" x14ac:dyDescent="0.3">
      <c r="A400" t="s">
        <v>70</v>
      </c>
      <c r="B400" t="s">
        <v>8</v>
      </c>
      <c r="C400" t="s">
        <v>14</v>
      </c>
      <c r="D400">
        <v>0</v>
      </c>
      <c r="E400" t="s">
        <v>68</v>
      </c>
      <c r="F400" t="s">
        <v>36</v>
      </c>
      <c r="G400" t="s">
        <v>37</v>
      </c>
      <c r="H400">
        <f t="shared" si="6"/>
        <v>0</v>
      </c>
    </row>
    <row r="401" spans="1:8" x14ac:dyDescent="0.3">
      <c r="A401" t="s">
        <v>70</v>
      </c>
      <c r="B401" t="s">
        <v>8</v>
      </c>
      <c r="C401" t="s">
        <v>15</v>
      </c>
      <c r="D401">
        <v>0</v>
      </c>
      <c r="E401" t="s">
        <v>68</v>
      </c>
      <c r="F401" t="s">
        <v>36</v>
      </c>
      <c r="G401" t="s">
        <v>37</v>
      </c>
      <c r="H401">
        <f t="shared" si="6"/>
        <v>0</v>
      </c>
    </row>
    <row r="402" spans="1:8" x14ac:dyDescent="0.3">
      <c r="A402" t="s">
        <v>70</v>
      </c>
      <c r="B402" t="s">
        <v>8</v>
      </c>
      <c r="C402" t="s">
        <v>16</v>
      </c>
      <c r="D402">
        <v>0</v>
      </c>
      <c r="E402" t="s">
        <v>68</v>
      </c>
      <c r="F402" t="s">
        <v>36</v>
      </c>
      <c r="G402" t="s">
        <v>37</v>
      </c>
      <c r="H402">
        <f t="shared" si="6"/>
        <v>0</v>
      </c>
    </row>
    <row r="403" spans="1:8" x14ac:dyDescent="0.3">
      <c r="A403" t="s">
        <v>70</v>
      </c>
      <c r="B403" t="s">
        <v>8</v>
      </c>
      <c r="C403" t="s">
        <v>17</v>
      </c>
      <c r="D403">
        <v>0</v>
      </c>
      <c r="E403" t="s">
        <v>68</v>
      </c>
      <c r="F403" t="s">
        <v>36</v>
      </c>
      <c r="G403" t="s">
        <v>37</v>
      </c>
      <c r="H403">
        <f t="shared" si="6"/>
        <v>0</v>
      </c>
    </row>
    <row r="404" spans="1:8" x14ac:dyDescent="0.3">
      <c r="A404" t="s">
        <v>70</v>
      </c>
      <c r="B404" t="s">
        <v>8</v>
      </c>
      <c r="C404" t="s">
        <v>18</v>
      </c>
      <c r="D404">
        <v>0</v>
      </c>
      <c r="E404" t="s">
        <v>68</v>
      </c>
      <c r="F404" t="s">
        <v>36</v>
      </c>
      <c r="G404" t="s">
        <v>37</v>
      </c>
      <c r="H404">
        <f t="shared" si="6"/>
        <v>0</v>
      </c>
    </row>
    <row r="405" spans="1:8" x14ac:dyDescent="0.3">
      <c r="A405" t="s">
        <v>70</v>
      </c>
      <c r="B405" t="s">
        <v>8</v>
      </c>
      <c r="C405" t="s">
        <v>19</v>
      </c>
      <c r="D405">
        <v>0</v>
      </c>
      <c r="E405" t="s">
        <v>68</v>
      </c>
      <c r="F405" t="s">
        <v>36</v>
      </c>
      <c r="G405" t="s">
        <v>37</v>
      </c>
      <c r="H405">
        <f t="shared" si="6"/>
        <v>0</v>
      </c>
    </row>
    <row r="406" spans="1:8" x14ac:dyDescent="0.3">
      <c r="A406" t="s">
        <v>70</v>
      </c>
      <c r="B406" t="s">
        <v>8</v>
      </c>
      <c r="C406" t="s">
        <v>20</v>
      </c>
      <c r="D406">
        <v>0</v>
      </c>
      <c r="E406" t="s">
        <v>68</v>
      </c>
      <c r="F406" t="s">
        <v>36</v>
      </c>
      <c r="G406" t="s">
        <v>37</v>
      </c>
      <c r="H406">
        <f t="shared" si="6"/>
        <v>0</v>
      </c>
    </row>
    <row r="407" spans="1:8" x14ac:dyDescent="0.3">
      <c r="A407" t="s">
        <v>70</v>
      </c>
      <c r="B407" t="s">
        <v>8</v>
      </c>
      <c r="C407" t="s">
        <v>21</v>
      </c>
      <c r="D407">
        <v>0</v>
      </c>
      <c r="E407" t="s">
        <v>68</v>
      </c>
      <c r="F407" t="s">
        <v>36</v>
      </c>
      <c r="G407" t="s">
        <v>37</v>
      </c>
      <c r="H407">
        <f t="shared" si="6"/>
        <v>0</v>
      </c>
    </row>
    <row r="408" spans="1:8" x14ac:dyDescent="0.3">
      <c r="A408" t="s">
        <v>70</v>
      </c>
      <c r="B408" t="s">
        <v>8</v>
      </c>
      <c r="C408" t="s">
        <v>22</v>
      </c>
      <c r="D408">
        <v>0</v>
      </c>
      <c r="E408" t="s">
        <v>68</v>
      </c>
      <c r="F408" t="s">
        <v>36</v>
      </c>
      <c r="G408" t="s">
        <v>37</v>
      </c>
      <c r="H408">
        <f t="shared" si="6"/>
        <v>0</v>
      </c>
    </row>
    <row r="409" spans="1:8" x14ac:dyDescent="0.3">
      <c r="A409" t="s">
        <v>70</v>
      </c>
      <c r="B409" t="s">
        <v>23</v>
      </c>
      <c r="C409" t="s">
        <v>9</v>
      </c>
      <c r="D409">
        <v>234</v>
      </c>
      <c r="E409" t="s">
        <v>68</v>
      </c>
      <c r="F409" t="s">
        <v>36</v>
      </c>
      <c r="G409" t="s">
        <v>37</v>
      </c>
      <c r="H409">
        <f t="shared" si="6"/>
        <v>234</v>
      </c>
    </row>
    <row r="410" spans="1:8" x14ac:dyDescent="0.3">
      <c r="A410" t="s">
        <v>70</v>
      </c>
      <c r="B410" t="s">
        <v>23</v>
      </c>
      <c r="C410" t="s">
        <v>13</v>
      </c>
      <c r="D410">
        <v>177</v>
      </c>
      <c r="E410" t="s">
        <v>68</v>
      </c>
      <c r="F410" t="s">
        <v>36</v>
      </c>
      <c r="G410" t="s">
        <v>37</v>
      </c>
      <c r="H410">
        <f t="shared" si="6"/>
        <v>177</v>
      </c>
    </row>
    <row r="411" spans="1:8" x14ac:dyDescent="0.3">
      <c r="A411" t="s">
        <v>70</v>
      </c>
      <c r="B411" t="s">
        <v>23</v>
      </c>
      <c r="C411" t="s">
        <v>14</v>
      </c>
      <c r="D411">
        <v>1473</v>
      </c>
      <c r="E411" t="s">
        <v>68</v>
      </c>
      <c r="F411" t="s">
        <v>36</v>
      </c>
      <c r="G411" t="s">
        <v>37</v>
      </c>
      <c r="H411">
        <f t="shared" si="6"/>
        <v>1470</v>
      </c>
    </row>
    <row r="412" spans="1:8" x14ac:dyDescent="0.3">
      <c r="A412" t="s">
        <v>70</v>
      </c>
      <c r="B412" t="s">
        <v>23</v>
      </c>
      <c r="C412" t="s">
        <v>15</v>
      </c>
      <c r="D412">
        <v>245</v>
      </c>
      <c r="E412" t="s">
        <v>68</v>
      </c>
      <c r="F412" t="s">
        <v>36</v>
      </c>
      <c r="G412" t="s">
        <v>37</v>
      </c>
      <c r="H412">
        <f t="shared" si="6"/>
        <v>245</v>
      </c>
    </row>
    <row r="413" spans="1:8" x14ac:dyDescent="0.3">
      <c r="A413" t="s">
        <v>70</v>
      </c>
      <c r="B413" t="s">
        <v>23</v>
      </c>
      <c r="C413" t="s">
        <v>16</v>
      </c>
      <c r="D413">
        <v>1955</v>
      </c>
      <c r="E413" t="s">
        <v>68</v>
      </c>
      <c r="F413" t="s">
        <v>36</v>
      </c>
      <c r="G413" t="s">
        <v>37</v>
      </c>
      <c r="H413">
        <f t="shared" si="6"/>
        <v>1960</v>
      </c>
    </row>
    <row r="414" spans="1:8" x14ac:dyDescent="0.3">
      <c r="A414" t="s">
        <v>70</v>
      </c>
      <c r="B414" t="s">
        <v>23</v>
      </c>
      <c r="C414" t="s">
        <v>17</v>
      </c>
      <c r="D414">
        <v>188933</v>
      </c>
      <c r="E414" t="s">
        <v>68</v>
      </c>
      <c r="F414" t="s">
        <v>36</v>
      </c>
      <c r="G414" t="s">
        <v>37</v>
      </c>
      <c r="H414">
        <f t="shared" si="6"/>
        <v>189000</v>
      </c>
    </row>
    <row r="415" spans="1:8" x14ac:dyDescent="0.3">
      <c r="A415" t="s">
        <v>70</v>
      </c>
      <c r="B415" t="s">
        <v>23</v>
      </c>
      <c r="C415" t="s">
        <v>18</v>
      </c>
      <c r="D415">
        <v>0</v>
      </c>
      <c r="E415" t="s">
        <v>68</v>
      </c>
      <c r="F415" t="s">
        <v>36</v>
      </c>
      <c r="G415" t="s">
        <v>37</v>
      </c>
      <c r="H415">
        <f t="shared" si="6"/>
        <v>0</v>
      </c>
    </row>
    <row r="416" spans="1:8" x14ac:dyDescent="0.3">
      <c r="A416" t="s">
        <v>70</v>
      </c>
      <c r="B416" t="s">
        <v>23</v>
      </c>
      <c r="C416" t="s">
        <v>19</v>
      </c>
      <c r="D416">
        <v>16</v>
      </c>
      <c r="E416" t="s">
        <v>68</v>
      </c>
      <c r="F416" t="s">
        <v>36</v>
      </c>
      <c r="G416" t="s">
        <v>37</v>
      </c>
      <c r="H416">
        <f t="shared" si="6"/>
        <v>16</v>
      </c>
    </row>
    <row r="417" spans="1:8" x14ac:dyDescent="0.3">
      <c r="A417" t="s">
        <v>70</v>
      </c>
      <c r="B417" t="s">
        <v>23</v>
      </c>
      <c r="C417" t="s">
        <v>20</v>
      </c>
      <c r="D417">
        <v>1085</v>
      </c>
      <c r="E417" t="s">
        <v>68</v>
      </c>
      <c r="F417" t="s">
        <v>36</v>
      </c>
      <c r="G417" t="s">
        <v>37</v>
      </c>
      <c r="H417">
        <f t="shared" si="6"/>
        <v>1090</v>
      </c>
    </row>
    <row r="418" spans="1:8" x14ac:dyDescent="0.3">
      <c r="A418" t="s">
        <v>70</v>
      </c>
      <c r="B418" t="s">
        <v>23</v>
      </c>
      <c r="C418" t="s">
        <v>21</v>
      </c>
      <c r="D418">
        <v>22</v>
      </c>
      <c r="E418" t="s">
        <v>68</v>
      </c>
      <c r="F418" t="s">
        <v>36</v>
      </c>
      <c r="G418" t="s">
        <v>37</v>
      </c>
      <c r="H418">
        <f t="shared" si="6"/>
        <v>22</v>
      </c>
    </row>
    <row r="419" spans="1:8" x14ac:dyDescent="0.3">
      <c r="A419" t="s">
        <v>70</v>
      </c>
      <c r="B419" t="s">
        <v>23</v>
      </c>
      <c r="C419" t="s">
        <v>22</v>
      </c>
      <c r="D419">
        <v>70</v>
      </c>
      <c r="E419" t="s">
        <v>68</v>
      </c>
      <c r="F419" t="s">
        <v>36</v>
      </c>
      <c r="G419" t="s">
        <v>37</v>
      </c>
      <c r="H419">
        <f t="shared" si="6"/>
        <v>70</v>
      </c>
    </row>
    <row r="420" spans="1:8" x14ac:dyDescent="0.3">
      <c r="A420" t="s">
        <v>71</v>
      </c>
      <c r="B420" t="s">
        <v>8</v>
      </c>
      <c r="C420" t="s">
        <v>9</v>
      </c>
      <c r="D420">
        <v>0</v>
      </c>
      <c r="E420" t="s">
        <v>68</v>
      </c>
      <c r="F420" t="s">
        <v>36</v>
      </c>
      <c r="G420" t="s">
        <v>37</v>
      </c>
      <c r="H420">
        <f t="shared" si="6"/>
        <v>0</v>
      </c>
    </row>
    <row r="421" spans="1:8" x14ac:dyDescent="0.3">
      <c r="A421" t="s">
        <v>71</v>
      </c>
      <c r="B421" t="s">
        <v>8</v>
      </c>
      <c r="C421" t="s">
        <v>13</v>
      </c>
      <c r="D421">
        <v>0</v>
      </c>
      <c r="E421" t="s">
        <v>68</v>
      </c>
      <c r="F421" t="s">
        <v>36</v>
      </c>
      <c r="G421" t="s">
        <v>37</v>
      </c>
      <c r="H421">
        <f t="shared" si="6"/>
        <v>0</v>
      </c>
    </row>
    <row r="422" spans="1:8" x14ac:dyDescent="0.3">
      <c r="A422" t="s">
        <v>71</v>
      </c>
      <c r="B422" t="s">
        <v>8</v>
      </c>
      <c r="C422" t="s">
        <v>14</v>
      </c>
      <c r="D422">
        <v>0</v>
      </c>
      <c r="E422" t="s">
        <v>68</v>
      </c>
      <c r="F422" t="s">
        <v>36</v>
      </c>
      <c r="G422" t="s">
        <v>37</v>
      </c>
      <c r="H422">
        <f t="shared" si="6"/>
        <v>0</v>
      </c>
    </row>
    <row r="423" spans="1:8" x14ac:dyDescent="0.3">
      <c r="A423" t="s">
        <v>71</v>
      </c>
      <c r="B423" t="s">
        <v>8</v>
      </c>
      <c r="C423" t="s">
        <v>15</v>
      </c>
      <c r="D423">
        <v>0</v>
      </c>
      <c r="E423" t="s">
        <v>68</v>
      </c>
      <c r="F423" t="s">
        <v>36</v>
      </c>
      <c r="G423" t="s">
        <v>37</v>
      </c>
      <c r="H423">
        <f t="shared" si="6"/>
        <v>0</v>
      </c>
    </row>
    <row r="424" spans="1:8" x14ac:dyDescent="0.3">
      <c r="A424" t="s">
        <v>71</v>
      </c>
      <c r="B424" t="s">
        <v>8</v>
      </c>
      <c r="C424" t="s">
        <v>16</v>
      </c>
      <c r="D424">
        <v>0</v>
      </c>
      <c r="E424" t="s">
        <v>68</v>
      </c>
      <c r="F424" t="s">
        <v>36</v>
      </c>
      <c r="G424" t="s">
        <v>37</v>
      </c>
      <c r="H424">
        <f t="shared" si="6"/>
        <v>0</v>
      </c>
    </row>
    <row r="425" spans="1:8" x14ac:dyDescent="0.3">
      <c r="A425" t="s">
        <v>71</v>
      </c>
      <c r="B425" t="s">
        <v>8</v>
      </c>
      <c r="C425" t="s">
        <v>17</v>
      </c>
      <c r="D425">
        <v>0</v>
      </c>
      <c r="E425" t="s">
        <v>68</v>
      </c>
      <c r="F425" t="s">
        <v>36</v>
      </c>
      <c r="G425" t="s">
        <v>37</v>
      </c>
      <c r="H425">
        <f t="shared" si="6"/>
        <v>0</v>
      </c>
    </row>
    <row r="426" spans="1:8" x14ac:dyDescent="0.3">
      <c r="A426" t="s">
        <v>71</v>
      </c>
      <c r="B426" t="s">
        <v>8</v>
      </c>
      <c r="C426" t="s">
        <v>18</v>
      </c>
      <c r="D426">
        <v>0</v>
      </c>
      <c r="E426" t="s">
        <v>68</v>
      </c>
      <c r="F426" t="s">
        <v>36</v>
      </c>
      <c r="G426" t="s">
        <v>37</v>
      </c>
      <c r="H426">
        <f t="shared" si="6"/>
        <v>0</v>
      </c>
    </row>
    <row r="427" spans="1:8" x14ac:dyDescent="0.3">
      <c r="A427" t="s">
        <v>71</v>
      </c>
      <c r="B427" t="s">
        <v>8</v>
      </c>
      <c r="C427" t="s">
        <v>19</v>
      </c>
      <c r="D427">
        <v>0</v>
      </c>
      <c r="E427" t="s">
        <v>68</v>
      </c>
      <c r="F427" t="s">
        <v>36</v>
      </c>
      <c r="G427" t="s">
        <v>37</v>
      </c>
      <c r="H427">
        <f t="shared" si="6"/>
        <v>0</v>
      </c>
    </row>
    <row r="428" spans="1:8" x14ac:dyDescent="0.3">
      <c r="A428" t="s">
        <v>71</v>
      </c>
      <c r="B428" t="s">
        <v>8</v>
      </c>
      <c r="C428" t="s">
        <v>20</v>
      </c>
      <c r="D428">
        <v>0</v>
      </c>
      <c r="E428" t="s">
        <v>68</v>
      </c>
      <c r="F428" t="s">
        <v>36</v>
      </c>
      <c r="G428" t="s">
        <v>37</v>
      </c>
      <c r="H428">
        <f t="shared" si="6"/>
        <v>0</v>
      </c>
    </row>
    <row r="429" spans="1:8" x14ac:dyDescent="0.3">
      <c r="A429" t="s">
        <v>71</v>
      </c>
      <c r="B429" t="s">
        <v>8</v>
      </c>
      <c r="C429" t="s">
        <v>21</v>
      </c>
      <c r="D429">
        <v>0</v>
      </c>
      <c r="E429" t="s">
        <v>68</v>
      </c>
      <c r="F429" t="s">
        <v>36</v>
      </c>
      <c r="G429" t="s">
        <v>37</v>
      </c>
      <c r="H429">
        <f t="shared" si="6"/>
        <v>0</v>
      </c>
    </row>
    <row r="430" spans="1:8" x14ac:dyDescent="0.3">
      <c r="A430" t="s">
        <v>71</v>
      </c>
      <c r="B430" t="s">
        <v>8</v>
      </c>
      <c r="C430" t="s">
        <v>22</v>
      </c>
      <c r="D430">
        <v>0</v>
      </c>
      <c r="E430" t="s">
        <v>68</v>
      </c>
      <c r="F430" t="s">
        <v>36</v>
      </c>
      <c r="G430" t="s">
        <v>37</v>
      </c>
      <c r="H430">
        <f t="shared" si="6"/>
        <v>0</v>
      </c>
    </row>
    <row r="431" spans="1:8" x14ac:dyDescent="0.3">
      <c r="A431" t="s">
        <v>71</v>
      </c>
      <c r="B431" t="s">
        <v>23</v>
      </c>
      <c r="C431" t="s">
        <v>9</v>
      </c>
      <c r="D431">
        <v>1413</v>
      </c>
      <c r="E431" t="s">
        <v>68</v>
      </c>
      <c r="F431" t="s">
        <v>36</v>
      </c>
      <c r="G431" t="s">
        <v>37</v>
      </c>
      <c r="H431">
        <f t="shared" si="6"/>
        <v>1410</v>
      </c>
    </row>
    <row r="432" spans="1:8" x14ac:dyDescent="0.3">
      <c r="A432" t="s">
        <v>71</v>
      </c>
      <c r="B432" t="s">
        <v>23</v>
      </c>
      <c r="C432" t="s">
        <v>13</v>
      </c>
      <c r="D432">
        <v>13753</v>
      </c>
      <c r="E432" t="s">
        <v>68</v>
      </c>
      <c r="F432" t="s">
        <v>36</v>
      </c>
      <c r="G432" t="s">
        <v>37</v>
      </c>
      <c r="H432">
        <f t="shared" si="6"/>
        <v>13800</v>
      </c>
    </row>
    <row r="433" spans="1:8" x14ac:dyDescent="0.3">
      <c r="A433" t="s">
        <v>71</v>
      </c>
      <c r="B433" t="s">
        <v>23</v>
      </c>
      <c r="C433" t="s">
        <v>14</v>
      </c>
      <c r="D433">
        <v>1833</v>
      </c>
      <c r="E433" t="s">
        <v>68</v>
      </c>
      <c r="F433" t="s">
        <v>36</v>
      </c>
      <c r="G433" t="s">
        <v>37</v>
      </c>
      <c r="H433">
        <f t="shared" si="6"/>
        <v>1830</v>
      </c>
    </row>
    <row r="434" spans="1:8" x14ac:dyDescent="0.3">
      <c r="A434" t="s">
        <v>71</v>
      </c>
      <c r="B434" t="s">
        <v>23</v>
      </c>
      <c r="C434" t="s">
        <v>15</v>
      </c>
      <c r="D434">
        <v>12501</v>
      </c>
      <c r="E434" t="s">
        <v>68</v>
      </c>
      <c r="F434" t="s">
        <v>36</v>
      </c>
      <c r="G434" t="s">
        <v>37</v>
      </c>
      <c r="H434">
        <f t="shared" si="6"/>
        <v>12500</v>
      </c>
    </row>
    <row r="435" spans="1:8" x14ac:dyDescent="0.3">
      <c r="A435" t="s">
        <v>71</v>
      </c>
      <c r="B435" t="s">
        <v>23</v>
      </c>
      <c r="C435" t="s">
        <v>16</v>
      </c>
      <c r="D435">
        <v>12736</v>
      </c>
      <c r="E435" t="s">
        <v>68</v>
      </c>
      <c r="F435" t="s">
        <v>36</v>
      </c>
      <c r="G435" t="s">
        <v>37</v>
      </c>
      <c r="H435">
        <f t="shared" si="6"/>
        <v>12700</v>
      </c>
    </row>
    <row r="436" spans="1:8" x14ac:dyDescent="0.3">
      <c r="A436" t="s">
        <v>71</v>
      </c>
      <c r="B436" t="s">
        <v>23</v>
      </c>
      <c r="C436" t="s">
        <v>17</v>
      </c>
      <c r="D436">
        <v>36</v>
      </c>
      <c r="E436" t="s">
        <v>68</v>
      </c>
      <c r="F436" t="s">
        <v>36</v>
      </c>
      <c r="G436" t="s">
        <v>37</v>
      </c>
      <c r="H436">
        <f t="shared" si="6"/>
        <v>36</v>
      </c>
    </row>
    <row r="437" spans="1:8" x14ac:dyDescent="0.3">
      <c r="A437" t="s">
        <v>71</v>
      </c>
      <c r="B437" t="s">
        <v>23</v>
      </c>
      <c r="C437" t="s">
        <v>18</v>
      </c>
      <c r="D437">
        <v>0</v>
      </c>
      <c r="E437" t="s">
        <v>68</v>
      </c>
      <c r="F437" t="s">
        <v>36</v>
      </c>
      <c r="G437" t="s">
        <v>37</v>
      </c>
      <c r="H437">
        <f t="shared" si="6"/>
        <v>0</v>
      </c>
    </row>
    <row r="438" spans="1:8" x14ac:dyDescent="0.3">
      <c r="A438" t="s">
        <v>71</v>
      </c>
      <c r="B438" t="s">
        <v>23</v>
      </c>
      <c r="C438" t="s">
        <v>19</v>
      </c>
      <c r="D438">
        <v>4107</v>
      </c>
      <c r="E438" t="s">
        <v>68</v>
      </c>
      <c r="F438" t="s">
        <v>36</v>
      </c>
      <c r="G438" t="s">
        <v>37</v>
      </c>
      <c r="H438">
        <f t="shared" si="6"/>
        <v>4110</v>
      </c>
    </row>
    <row r="439" spans="1:8" x14ac:dyDescent="0.3">
      <c r="A439" t="s">
        <v>71</v>
      </c>
      <c r="B439" t="s">
        <v>23</v>
      </c>
      <c r="C439" t="s">
        <v>20</v>
      </c>
      <c r="D439">
        <v>4170</v>
      </c>
      <c r="E439" t="s">
        <v>68</v>
      </c>
      <c r="F439" t="s">
        <v>36</v>
      </c>
      <c r="G439" t="s">
        <v>37</v>
      </c>
      <c r="H439">
        <f t="shared" si="6"/>
        <v>4170</v>
      </c>
    </row>
    <row r="440" spans="1:8" x14ac:dyDescent="0.3">
      <c r="A440" t="s">
        <v>71</v>
      </c>
      <c r="B440" t="s">
        <v>23</v>
      </c>
      <c r="C440" t="s">
        <v>21</v>
      </c>
      <c r="D440">
        <v>451</v>
      </c>
      <c r="E440" t="s">
        <v>68</v>
      </c>
      <c r="F440" t="s">
        <v>36</v>
      </c>
      <c r="G440" t="s">
        <v>37</v>
      </c>
      <c r="H440">
        <f t="shared" si="6"/>
        <v>451</v>
      </c>
    </row>
    <row r="441" spans="1:8" x14ac:dyDescent="0.3">
      <c r="A441" t="s">
        <v>71</v>
      </c>
      <c r="B441" t="s">
        <v>23</v>
      </c>
      <c r="C441" t="s">
        <v>22</v>
      </c>
      <c r="D441">
        <v>141674</v>
      </c>
      <c r="E441" t="s">
        <v>68</v>
      </c>
      <c r="F441" t="s">
        <v>36</v>
      </c>
      <c r="G441" t="s">
        <v>37</v>
      </c>
      <c r="H441">
        <f t="shared" si="6"/>
        <v>142000</v>
      </c>
    </row>
    <row r="442" spans="1:8" x14ac:dyDescent="0.3">
      <c r="A442" t="s">
        <v>72</v>
      </c>
      <c r="B442" t="s">
        <v>8</v>
      </c>
      <c r="C442" t="s">
        <v>9</v>
      </c>
      <c r="D442">
        <v>0</v>
      </c>
      <c r="E442" t="s">
        <v>68</v>
      </c>
      <c r="F442" t="s">
        <v>36</v>
      </c>
      <c r="G442" t="s">
        <v>37</v>
      </c>
      <c r="H442">
        <f t="shared" si="6"/>
        <v>0</v>
      </c>
    </row>
    <row r="443" spans="1:8" x14ac:dyDescent="0.3">
      <c r="A443" t="s">
        <v>72</v>
      </c>
      <c r="B443" t="s">
        <v>8</v>
      </c>
      <c r="C443" t="s">
        <v>13</v>
      </c>
      <c r="D443">
        <v>0</v>
      </c>
      <c r="E443" t="s">
        <v>68</v>
      </c>
      <c r="F443" t="s">
        <v>36</v>
      </c>
      <c r="G443" t="s">
        <v>37</v>
      </c>
      <c r="H443">
        <f t="shared" si="6"/>
        <v>0</v>
      </c>
    </row>
    <row r="444" spans="1:8" x14ac:dyDescent="0.3">
      <c r="A444" t="s">
        <v>72</v>
      </c>
      <c r="B444" t="s">
        <v>8</v>
      </c>
      <c r="C444" t="s">
        <v>14</v>
      </c>
      <c r="D444">
        <v>0</v>
      </c>
      <c r="E444" t="s">
        <v>68</v>
      </c>
      <c r="F444" t="s">
        <v>36</v>
      </c>
      <c r="G444" t="s">
        <v>37</v>
      </c>
      <c r="H444">
        <f t="shared" si="6"/>
        <v>0</v>
      </c>
    </row>
    <row r="445" spans="1:8" x14ac:dyDescent="0.3">
      <c r="A445" t="s">
        <v>72</v>
      </c>
      <c r="B445" t="s">
        <v>8</v>
      </c>
      <c r="C445" t="s">
        <v>15</v>
      </c>
      <c r="D445">
        <v>0</v>
      </c>
      <c r="E445" t="s">
        <v>68</v>
      </c>
      <c r="F445" t="s">
        <v>36</v>
      </c>
      <c r="G445" t="s">
        <v>37</v>
      </c>
      <c r="H445">
        <f t="shared" si="6"/>
        <v>0</v>
      </c>
    </row>
    <row r="446" spans="1:8" x14ac:dyDescent="0.3">
      <c r="A446" t="s">
        <v>72</v>
      </c>
      <c r="B446" t="s">
        <v>8</v>
      </c>
      <c r="C446" t="s">
        <v>16</v>
      </c>
      <c r="D446">
        <v>0</v>
      </c>
      <c r="E446" t="s">
        <v>68</v>
      </c>
      <c r="F446" t="s">
        <v>36</v>
      </c>
      <c r="G446" t="s">
        <v>37</v>
      </c>
      <c r="H446">
        <f t="shared" si="6"/>
        <v>0</v>
      </c>
    </row>
    <row r="447" spans="1:8" x14ac:dyDescent="0.3">
      <c r="A447" t="s">
        <v>72</v>
      </c>
      <c r="B447" t="s">
        <v>8</v>
      </c>
      <c r="C447" t="s">
        <v>17</v>
      </c>
      <c r="D447">
        <v>0</v>
      </c>
      <c r="E447" t="s">
        <v>68</v>
      </c>
      <c r="F447" t="s">
        <v>36</v>
      </c>
      <c r="G447" t="s">
        <v>37</v>
      </c>
      <c r="H447">
        <f t="shared" si="6"/>
        <v>0</v>
      </c>
    </row>
    <row r="448" spans="1:8" x14ac:dyDescent="0.3">
      <c r="A448" t="s">
        <v>72</v>
      </c>
      <c r="B448" t="s">
        <v>8</v>
      </c>
      <c r="C448" t="s">
        <v>18</v>
      </c>
      <c r="D448">
        <v>0</v>
      </c>
      <c r="E448" t="s">
        <v>68</v>
      </c>
      <c r="F448" t="s">
        <v>36</v>
      </c>
      <c r="G448" t="s">
        <v>37</v>
      </c>
      <c r="H448">
        <f t="shared" si="6"/>
        <v>0</v>
      </c>
    </row>
    <row r="449" spans="1:8" x14ac:dyDescent="0.3">
      <c r="A449" t="s">
        <v>72</v>
      </c>
      <c r="B449" t="s">
        <v>8</v>
      </c>
      <c r="C449" t="s">
        <v>19</v>
      </c>
      <c r="D449">
        <v>0</v>
      </c>
      <c r="E449" t="s">
        <v>68</v>
      </c>
      <c r="F449" t="s">
        <v>36</v>
      </c>
      <c r="G449" t="s">
        <v>37</v>
      </c>
      <c r="H449">
        <f t="shared" si="6"/>
        <v>0</v>
      </c>
    </row>
    <row r="450" spans="1:8" x14ac:dyDescent="0.3">
      <c r="A450" t="s">
        <v>72</v>
      </c>
      <c r="B450" t="s">
        <v>8</v>
      </c>
      <c r="C450" t="s">
        <v>20</v>
      </c>
      <c r="D450">
        <v>0</v>
      </c>
      <c r="E450" t="s">
        <v>68</v>
      </c>
      <c r="F450" t="s">
        <v>36</v>
      </c>
      <c r="G450" t="s">
        <v>37</v>
      </c>
      <c r="H450">
        <f t="shared" si="6"/>
        <v>0</v>
      </c>
    </row>
    <row r="451" spans="1:8" x14ac:dyDescent="0.3">
      <c r="A451" t="s">
        <v>72</v>
      </c>
      <c r="B451" t="s">
        <v>8</v>
      </c>
      <c r="C451" t="s">
        <v>21</v>
      </c>
      <c r="D451">
        <v>0</v>
      </c>
      <c r="E451" t="s">
        <v>68</v>
      </c>
      <c r="F451" t="s">
        <v>36</v>
      </c>
      <c r="G451" t="s">
        <v>37</v>
      </c>
      <c r="H451">
        <f t="shared" ref="H451:H514" si="7">ROUND(D451, 3 - LEN(INT(ABS(D451))))</f>
        <v>0</v>
      </c>
    </row>
    <row r="452" spans="1:8" x14ac:dyDescent="0.3">
      <c r="A452" t="s">
        <v>72</v>
      </c>
      <c r="B452" t="s">
        <v>8</v>
      </c>
      <c r="C452" t="s">
        <v>22</v>
      </c>
      <c r="D452">
        <v>0</v>
      </c>
      <c r="E452" t="s">
        <v>68</v>
      </c>
      <c r="F452" t="s">
        <v>36</v>
      </c>
      <c r="G452" t="s">
        <v>37</v>
      </c>
      <c r="H452">
        <f t="shared" si="7"/>
        <v>0</v>
      </c>
    </row>
    <row r="453" spans="1:8" x14ac:dyDescent="0.3">
      <c r="A453" t="s">
        <v>72</v>
      </c>
      <c r="B453" t="s">
        <v>23</v>
      </c>
      <c r="C453" t="s">
        <v>9</v>
      </c>
      <c r="D453">
        <v>1413</v>
      </c>
      <c r="E453" t="s">
        <v>68</v>
      </c>
      <c r="F453" t="s">
        <v>36</v>
      </c>
      <c r="G453" t="s">
        <v>37</v>
      </c>
      <c r="H453">
        <f t="shared" si="7"/>
        <v>1410</v>
      </c>
    </row>
    <row r="454" spans="1:8" x14ac:dyDescent="0.3">
      <c r="A454" t="s">
        <v>72</v>
      </c>
      <c r="B454" t="s">
        <v>23</v>
      </c>
      <c r="C454" t="s">
        <v>13</v>
      </c>
      <c r="D454">
        <v>13753</v>
      </c>
      <c r="E454" t="s">
        <v>68</v>
      </c>
      <c r="F454" t="s">
        <v>36</v>
      </c>
      <c r="G454" t="s">
        <v>37</v>
      </c>
      <c r="H454">
        <f t="shared" si="7"/>
        <v>13800</v>
      </c>
    </row>
    <row r="455" spans="1:8" x14ac:dyDescent="0.3">
      <c r="A455" t="s">
        <v>72</v>
      </c>
      <c r="B455" t="s">
        <v>23</v>
      </c>
      <c r="C455" t="s">
        <v>14</v>
      </c>
      <c r="D455">
        <v>1833</v>
      </c>
      <c r="E455" t="s">
        <v>68</v>
      </c>
      <c r="F455" t="s">
        <v>36</v>
      </c>
      <c r="G455" t="s">
        <v>37</v>
      </c>
      <c r="H455">
        <f t="shared" si="7"/>
        <v>1830</v>
      </c>
    </row>
    <row r="456" spans="1:8" x14ac:dyDescent="0.3">
      <c r="A456" t="s">
        <v>72</v>
      </c>
      <c r="B456" t="s">
        <v>23</v>
      </c>
      <c r="C456" t="s">
        <v>15</v>
      </c>
      <c r="D456">
        <v>12501</v>
      </c>
      <c r="E456" t="s">
        <v>68</v>
      </c>
      <c r="F456" t="s">
        <v>36</v>
      </c>
      <c r="G456" t="s">
        <v>37</v>
      </c>
      <c r="H456">
        <f t="shared" si="7"/>
        <v>12500</v>
      </c>
    </row>
    <row r="457" spans="1:8" x14ac:dyDescent="0.3">
      <c r="A457" t="s">
        <v>72</v>
      </c>
      <c r="B457" t="s">
        <v>23</v>
      </c>
      <c r="C457" t="s">
        <v>16</v>
      </c>
      <c r="D457">
        <v>12736</v>
      </c>
      <c r="E457" t="s">
        <v>68</v>
      </c>
      <c r="F457" t="s">
        <v>36</v>
      </c>
      <c r="G457" t="s">
        <v>37</v>
      </c>
      <c r="H457">
        <f t="shared" si="7"/>
        <v>12700</v>
      </c>
    </row>
    <row r="458" spans="1:8" x14ac:dyDescent="0.3">
      <c r="A458" t="s">
        <v>72</v>
      </c>
      <c r="B458" t="s">
        <v>23</v>
      </c>
      <c r="C458" t="s">
        <v>17</v>
      </c>
      <c r="D458">
        <v>36</v>
      </c>
      <c r="E458" t="s">
        <v>68</v>
      </c>
      <c r="F458" t="s">
        <v>36</v>
      </c>
      <c r="G458" t="s">
        <v>37</v>
      </c>
      <c r="H458">
        <f t="shared" si="7"/>
        <v>36</v>
      </c>
    </row>
    <row r="459" spans="1:8" x14ac:dyDescent="0.3">
      <c r="A459" t="s">
        <v>72</v>
      </c>
      <c r="B459" t="s">
        <v>23</v>
      </c>
      <c r="C459" t="s">
        <v>18</v>
      </c>
      <c r="D459">
        <v>0</v>
      </c>
      <c r="E459" t="s">
        <v>68</v>
      </c>
      <c r="F459" t="s">
        <v>36</v>
      </c>
      <c r="G459" t="s">
        <v>37</v>
      </c>
      <c r="H459">
        <f t="shared" si="7"/>
        <v>0</v>
      </c>
    </row>
    <row r="460" spans="1:8" x14ac:dyDescent="0.3">
      <c r="A460" t="s">
        <v>72</v>
      </c>
      <c r="B460" t="s">
        <v>23</v>
      </c>
      <c r="C460" t="s">
        <v>19</v>
      </c>
      <c r="D460">
        <v>4107</v>
      </c>
      <c r="E460" t="s">
        <v>68</v>
      </c>
      <c r="F460" t="s">
        <v>36</v>
      </c>
      <c r="G460" t="s">
        <v>37</v>
      </c>
      <c r="H460">
        <f t="shared" si="7"/>
        <v>4110</v>
      </c>
    </row>
    <row r="461" spans="1:8" x14ac:dyDescent="0.3">
      <c r="A461" t="s">
        <v>72</v>
      </c>
      <c r="B461" t="s">
        <v>23</v>
      </c>
      <c r="C461" t="s">
        <v>20</v>
      </c>
      <c r="D461">
        <v>4170</v>
      </c>
      <c r="E461" t="s">
        <v>68</v>
      </c>
      <c r="F461" t="s">
        <v>36</v>
      </c>
      <c r="G461" t="s">
        <v>37</v>
      </c>
      <c r="H461">
        <f t="shared" si="7"/>
        <v>4170</v>
      </c>
    </row>
    <row r="462" spans="1:8" x14ac:dyDescent="0.3">
      <c r="A462" t="s">
        <v>72</v>
      </c>
      <c r="B462" t="s">
        <v>23</v>
      </c>
      <c r="C462" t="s">
        <v>21</v>
      </c>
      <c r="D462">
        <v>451</v>
      </c>
      <c r="E462" t="s">
        <v>68</v>
      </c>
      <c r="F462" t="s">
        <v>36</v>
      </c>
      <c r="G462" t="s">
        <v>37</v>
      </c>
      <c r="H462">
        <f t="shared" si="7"/>
        <v>451</v>
      </c>
    </row>
    <row r="463" spans="1:8" x14ac:dyDescent="0.3">
      <c r="A463" t="s">
        <v>72</v>
      </c>
      <c r="B463" t="s">
        <v>23</v>
      </c>
      <c r="C463" t="s">
        <v>22</v>
      </c>
      <c r="D463">
        <v>141674</v>
      </c>
      <c r="E463" t="s">
        <v>68</v>
      </c>
      <c r="F463" t="s">
        <v>36</v>
      </c>
      <c r="G463" t="s">
        <v>37</v>
      </c>
      <c r="H463">
        <f t="shared" si="7"/>
        <v>142000</v>
      </c>
    </row>
    <row r="464" spans="1:8" x14ac:dyDescent="0.3">
      <c r="A464" t="s">
        <v>73</v>
      </c>
      <c r="B464" t="s">
        <v>8</v>
      </c>
      <c r="C464" t="s">
        <v>9</v>
      </c>
      <c r="D464">
        <v>0</v>
      </c>
      <c r="E464" t="s">
        <v>68</v>
      </c>
      <c r="F464" t="s">
        <v>36</v>
      </c>
      <c r="G464" t="s">
        <v>37</v>
      </c>
      <c r="H464">
        <f t="shared" si="7"/>
        <v>0</v>
      </c>
    </row>
    <row r="465" spans="1:8" x14ac:dyDescent="0.3">
      <c r="A465" t="s">
        <v>73</v>
      </c>
      <c r="B465" t="s">
        <v>8</v>
      </c>
      <c r="C465" t="s">
        <v>13</v>
      </c>
      <c r="D465">
        <v>0</v>
      </c>
      <c r="E465" t="s">
        <v>68</v>
      </c>
      <c r="F465" t="s">
        <v>36</v>
      </c>
      <c r="G465" t="s">
        <v>37</v>
      </c>
      <c r="H465">
        <f t="shared" si="7"/>
        <v>0</v>
      </c>
    </row>
    <row r="466" spans="1:8" x14ac:dyDescent="0.3">
      <c r="A466" t="s">
        <v>73</v>
      </c>
      <c r="B466" t="s">
        <v>8</v>
      </c>
      <c r="C466" t="s">
        <v>14</v>
      </c>
      <c r="D466">
        <v>0</v>
      </c>
      <c r="E466" t="s">
        <v>68</v>
      </c>
      <c r="F466" t="s">
        <v>36</v>
      </c>
      <c r="G466" t="s">
        <v>37</v>
      </c>
      <c r="H466">
        <f t="shared" si="7"/>
        <v>0</v>
      </c>
    </row>
    <row r="467" spans="1:8" x14ac:dyDescent="0.3">
      <c r="A467" t="s">
        <v>73</v>
      </c>
      <c r="B467" t="s">
        <v>8</v>
      </c>
      <c r="C467" t="s">
        <v>15</v>
      </c>
      <c r="D467">
        <v>0</v>
      </c>
      <c r="E467" t="s">
        <v>68</v>
      </c>
      <c r="F467" t="s">
        <v>36</v>
      </c>
      <c r="G467" t="s">
        <v>37</v>
      </c>
      <c r="H467">
        <f t="shared" si="7"/>
        <v>0</v>
      </c>
    </row>
    <row r="468" spans="1:8" x14ac:dyDescent="0.3">
      <c r="A468" t="s">
        <v>73</v>
      </c>
      <c r="B468" t="s">
        <v>8</v>
      </c>
      <c r="C468" t="s">
        <v>16</v>
      </c>
      <c r="D468">
        <v>0</v>
      </c>
      <c r="E468" t="s">
        <v>68</v>
      </c>
      <c r="F468" t="s">
        <v>36</v>
      </c>
      <c r="G468" t="s">
        <v>37</v>
      </c>
      <c r="H468">
        <f t="shared" si="7"/>
        <v>0</v>
      </c>
    </row>
    <row r="469" spans="1:8" x14ac:dyDescent="0.3">
      <c r="A469" t="s">
        <v>73</v>
      </c>
      <c r="B469" t="s">
        <v>8</v>
      </c>
      <c r="C469" t="s">
        <v>17</v>
      </c>
      <c r="D469">
        <v>0</v>
      </c>
      <c r="E469" t="s">
        <v>68</v>
      </c>
      <c r="F469" t="s">
        <v>36</v>
      </c>
      <c r="G469" t="s">
        <v>37</v>
      </c>
      <c r="H469">
        <f t="shared" si="7"/>
        <v>0</v>
      </c>
    </row>
    <row r="470" spans="1:8" x14ac:dyDescent="0.3">
      <c r="A470" t="s">
        <v>73</v>
      </c>
      <c r="B470" t="s">
        <v>8</v>
      </c>
      <c r="C470" t="s">
        <v>18</v>
      </c>
      <c r="D470">
        <v>0</v>
      </c>
      <c r="E470" t="s">
        <v>68</v>
      </c>
      <c r="F470" t="s">
        <v>36</v>
      </c>
      <c r="G470" t="s">
        <v>37</v>
      </c>
      <c r="H470">
        <f t="shared" si="7"/>
        <v>0</v>
      </c>
    </row>
    <row r="471" spans="1:8" x14ac:dyDescent="0.3">
      <c r="A471" t="s">
        <v>73</v>
      </c>
      <c r="B471" t="s">
        <v>8</v>
      </c>
      <c r="C471" t="s">
        <v>19</v>
      </c>
      <c r="D471">
        <v>0</v>
      </c>
      <c r="E471" t="s">
        <v>68</v>
      </c>
      <c r="F471" t="s">
        <v>36</v>
      </c>
      <c r="G471" t="s">
        <v>37</v>
      </c>
      <c r="H471">
        <f t="shared" si="7"/>
        <v>0</v>
      </c>
    </row>
    <row r="472" spans="1:8" x14ac:dyDescent="0.3">
      <c r="A472" t="s">
        <v>73</v>
      </c>
      <c r="B472" t="s">
        <v>8</v>
      </c>
      <c r="C472" t="s">
        <v>20</v>
      </c>
      <c r="D472">
        <v>0</v>
      </c>
      <c r="E472" t="s">
        <v>68</v>
      </c>
      <c r="F472" t="s">
        <v>36</v>
      </c>
      <c r="G472" t="s">
        <v>37</v>
      </c>
      <c r="H472">
        <f t="shared" si="7"/>
        <v>0</v>
      </c>
    </row>
    <row r="473" spans="1:8" x14ac:dyDescent="0.3">
      <c r="A473" t="s">
        <v>73</v>
      </c>
      <c r="B473" t="s">
        <v>8</v>
      </c>
      <c r="C473" t="s">
        <v>21</v>
      </c>
      <c r="D473">
        <v>0</v>
      </c>
      <c r="E473" t="s">
        <v>68</v>
      </c>
      <c r="F473" t="s">
        <v>36</v>
      </c>
      <c r="G473" t="s">
        <v>37</v>
      </c>
      <c r="H473">
        <f t="shared" si="7"/>
        <v>0</v>
      </c>
    </row>
    <row r="474" spans="1:8" x14ac:dyDescent="0.3">
      <c r="A474" t="s">
        <v>73</v>
      </c>
      <c r="B474" t="s">
        <v>8</v>
      </c>
      <c r="C474" t="s">
        <v>22</v>
      </c>
      <c r="D474">
        <v>0</v>
      </c>
      <c r="E474" t="s">
        <v>68</v>
      </c>
      <c r="F474" t="s">
        <v>36</v>
      </c>
      <c r="G474" t="s">
        <v>37</v>
      </c>
      <c r="H474">
        <f t="shared" si="7"/>
        <v>0</v>
      </c>
    </row>
    <row r="475" spans="1:8" x14ac:dyDescent="0.3">
      <c r="A475" t="s">
        <v>73</v>
      </c>
      <c r="B475" t="s">
        <v>23</v>
      </c>
      <c r="C475" t="s">
        <v>9</v>
      </c>
      <c r="D475">
        <v>263</v>
      </c>
      <c r="E475" t="s">
        <v>68</v>
      </c>
      <c r="F475" t="s">
        <v>36</v>
      </c>
      <c r="G475" t="s">
        <v>37</v>
      </c>
      <c r="H475">
        <f t="shared" si="7"/>
        <v>263</v>
      </c>
    </row>
    <row r="476" spans="1:8" x14ac:dyDescent="0.3">
      <c r="A476" t="s">
        <v>73</v>
      </c>
      <c r="B476" t="s">
        <v>23</v>
      </c>
      <c r="C476" t="s">
        <v>13</v>
      </c>
      <c r="D476">
        <v>42</v>
      </c>
      <c r="E476" t="s">
        <v>68</v>
      </c>
      <c r="F476" t="s">
        <v>36</v>
      </c>
      <c r="G476" t="s">
        <v>37</v>
      </c>
      <c r="H476">
        <f t="shared" si="7"/>
        <v>42</v>
      </c>
    </row>
    <row r="477" spans="1:8" x14ac:dyDescent="0.3">
      <c r="A477" t="s">
        <v>73</v>
      </c>
      <c r="B477" t="s">
        <v>23</v>
      </c>
      <c r="C477" t="s">
        <v>14</v>
      </c>
      <c r="D477">
        <v>849</v>
      </c>
      <c r="E477" t="s">
        <v>68</v>
      </c>
      <c r="F477" t="s">
        <v>36</v>
      </c>
      <c r="G477" t="s">
        <v>37</v>
      </c>
      <c r="H477">
        <f t="shared" si="7"/>
        <v>849</v>
      </c>
    </row>
    <row r="478" spans="1:8" x14ac:dyDescent="0.3">
      <c r="A478" t="s">
        <v>73</v>
      </c>
      <c r="B478" t="s">
        <v>23</v>
      </c>
      <c r="C478" t="s">
        <v>15</v>
      </c>
      <c r="D478">
        <v>121</v>
      </c>
      <c r="E478" t="s">
        <v>68</v>
      </c>
      <c r="F478" t="s">
        <v>36</v>
      </c>
      <c r="G478" t="s">
        <v>37</v>
      </c>
      <c r="H478">
        <f t="shared" si="7"/>
        <v>121</v>
      </c>
    </row>
    <row r="479" spans="1:8" x14ac:dyDescent="0.3">
      <c r="A479" t="s">
        <v>73</v>
      </c>
      <c r="B479" t="s">
        <v>23</v>
      </c>
      <c r="C479" t="s">
        <v>16</v>
      </c>
      <c r="D479">
        <v>670594</v>
      </c>
      <c r="E479" t="s">
        <v>68</v>
      </c>
      <c r="F479" t="s">
        <v>36</v>
      </c>
      <c r="G479" t="s">
        <v>37</v>
      </c>
      <c r="H479">
        <f t="shared" si="7"/>
        <v>671000</v>
      </c>
    </row>
    <row r="480" spans="1:8" x14ac:dyDescent="0.3">
      <c r="A480" t="s">
        <v>73</v>
      </c>
      <c r="B480" t="s">
        <v>23</v>
      </c>
      <c r="C480" t="s">
        <v>17</v>
      </c>
      <c r="D480">
        <v>66</v>
      </c>
      <c r="E480" t="s">
        <v>68</v>
      </c>
      <c r="F480" t="s">
        <v>36</v>
      </c>
      <c r="G480" t="s">
        <v>37</v>
      </c>
      <c r="H480">
        <f t="shared" si="7"/>
        <v>66</v>
      </c>
    </row>
    <row r="481" spans="1:8" x14ac:dyDescent="0.3">
      <c r="A481" t="s">
        <v>73</v>
      </c>
      <c r="B481" t="s">
        <v>23</v>
      </c>
      <c r="C481" t="s">
        <v>18</v>
      </c>
      <c r="D481">
        <v>0</v>
      </c>
      <c r="E481" t="s">
        <v>68</v>
      </c>
      <c r="F481" t="s">
        <v>36</v>
      </c>
      <c r="G481" t="s">
        <v>37</v>
      </c>
      <c r="H481">
        <f t="shared" si="7"/>
        <v>0</v>
      </c>
    </row>
    <row r="482" spans="1:8" x14ac:dyDescent="0.3">
      <c r="A482" t="s">
        <v>73</v>
      </c>
      <c r="B482" t="s">
        <v>23</v>
      </c>
      <c r="C482" t="s">
        <v>19</v>
      </c>
      <c r="D482">
        <v>15</v>
      </c>
      <c r="E482" t="s">
        <v>68</v>
      </c>
      <c r="F482" t="s">
        <v>36</v>
      </c>
      <c r="G482" t="s">
        <v>37</v>
      </c>
      <c r="H482">
        <f t="shared" si="7"/>
        <v>15</v>
      </c>
    </row>
    <row r="483" spans="1:8" x14ac:dyDescent="0.3">
      <c r="A483" t="s">
        <v>73</v>
      </c>
      <c r="B483" t="s">
        <v>23</v>
      </c>
      <c r="C483" t="s">
        <v>20</v>
      </c>
      <c r="D483">
        <v>921</v>
      </c>
      <c r="E483" t="s">
        <v>68</v>
      </c>
      <c r="F483" t="s">
        <v>36</v>
      </c>
      <c r="G483" t="s">
        <v>37</v>
      </c>
      <c r="H483">
        <f t="shared" si="7"/>
        <v>921</v>
      </c>
    </row>
    <row r="484" spans="1:8" x14ac:dyDescent="0.3">
      <c r="A484" t="s">
        <v>73</v>
      </c>
      <c r="B484" t="s">
        <v>23</v>
      </c>
      <c r="C484" t="s">
        <v>21</v>
      </c>
      <c r="D484">
        <v>307</v>
      </c>
      <c r="E484" t="s">
        <v>68</v>
      </c>
      <c r="F484" t="s">
        <v>36</v>
      </c>
      <c r="G484" t="s">
        <v>37</v>
      </c>
      <c r="H484">
        <f t="shared" si="7"/>
        <v>307</v>
      </c>
    </row>
    <row r="485" spans="1:8" x14ac:dyDescent="0.3">
      <c r="A485" t="s">
        <v>73</v>
      </c>
      <c r="B485" t="s">
        <v>23</v>
      </c>
      <c r="C485" t="s">
        <v>22</v>
      </c>
      <c r="D485">
        <v>149</v>
      </c>
      <c r="E485" t="s">
        <v>68</v>
      </c>
      <c r="F485" t="s">
        <v>36</v>
      </c>
      <c r="G485" t="s">
        <v>37</v>
      </c>
      <c r="H485">
        <f t="shared" si="7"/>
        <v>149</v>
      </c>
    </row>
    <row r="486" spans="1:8" x14ac:dyDescent="0.3">
      <c r="A486" t="s">
        <v>74</v>
      </c>
      <c r="B486" t="s">
        <v>8</v>
      </c>
      <c r="C486" t="s">
        <v>9</v>
      </c>
      <c r="D486">
        <v>0</v>
      </c>
      <c r="E486" t="s">
        <v>68</v>
      </c>
      <c r="F486" t="s">
        <v>36</v>
      </c>
      <c r="G486" t="s">
        <v>37</v>
      </c>
      <c r="H486">
        <f t="shared" si="7"/>
        <v>0</v>
      </c>
    </row>
    <row r="487" spans="1:8" x14ac:dyDescent="0.3">
      <c r="A487" t="s">
        <v>74</v>
      </c>
      <c r="B487" t="s">
        <v>8</v>
      </c>
      <c r="C487" t="s">
        <v>13</v>
      </c>
      <c r="D487">
        <v>0</v>
      </c>
      <c r="E487" t="s">
        <v>68</v>
      </c>
      <c r="F487" t="s">
        <v>36</v>
      </c>
      <c r="G487" t="s">
        <v>37</v>
      </c>
      <c r="H487">
        <f t="shared" si="7"/>
        <v>0</v>
      </c>
    </row>
    <row r="488" spans="1:8" x14ac:dyDescent="0.3">
      <c r="A488" t="s">
        <v>74</v>
      </c>
      <c r="B488" t="s">
        <v>8</v>
      </c>
      <c r="C488" t="s">
        <v>14</v>
      </c>
      <c r="D488">
        <v>0</v>
      </c>
      <c r="E488" t="s">
        <v>68</v>
      </c>
      <c r="F488" t="s">
        <v>36</v>
      </c>
      <c r="G488" t="s">
        <v>37</v>
      </c>
      <c r="H488">
        <f t="shared" si="7"/>
        <v>0</v>
      </c>
    </row>
    <row r="489" spans="1:8" x14ac:dyDescent="0.3">
      <c r="A489" t="s">
        <v>74</v>
      </c>
      <c r="B489" t="s">
        <v>8</v>
      </c>
      <c r="C489" t="s">
        <v>15</v>
      </c>
      <c r="D489">
        <v>0</v>
      </c>
      <c r="E489" t="s">
        <v>68</v>
      </c>
      <c r="F489" t="s">
        <v>36</v>
      </c>
      <c r="G489" t="s">
        <v>37</v>
      </c>
      <c r="H489">
        <f t="shared" si="7"/>
        <v>0</v>
      </c>
    </row>
    <row r="490" spans="1:8" x14ac:dyDescent="0.3">
      <c r="A490" t="s">
        <v>74</v>
      </c>
      <c r="B490" t="s">
        <v>8</v>
      </c>
      <c r="C490" t="s">
        <v>16</v>
      </c>
      <c r="D490">
        <v>0</v>
      </c>
      <c r="E490" t="s">
        <v>68</v>
      </c>
      <c r="F490" t="s">
        <v>36</v>
      </c>
      <c r="G490" t="s">
        <v>37</v>
      </c>
      <c r="H490">
        <f t="shared" si="7"/>
        <v>0</v>
      </c>
    </row>
    <row r="491" spans="1:8" x14ac:dyDescent="0.3">
      <c r="A491" t="s">
        <v>74</v>
      </c>
      <c r="B491" t="s">
        <v>8</v>
      </c>
      <c r="C491" t="s">
        <v>17</v>
      </c>
      <c r="D491">
        <v>0</v>
      </c>
      <c r="E491" t="s">
        <v>68</v>
      </c>
      <c r="F491" t="s">
        <v>36</v>
      </c>
      <c r="G491" t="s">
        <v>37</v>
      </c>
      <c r="H491">
        <f t="shared" si="7"/>
        <v>0</v>
      </c>
    </row>
    <row r="492" spans="1:8" x14ac:dyDescent="0.3">
      <c r="A492" t="s">
        <v>74</v>
      </c>
      <c r="B492" t="s">
        <v>8</v>
      </c>
      <c r="C492" t="s">
        <v>18</v>
      </c>
      <c r="D492">
        <v>0</v>
      </c>
      <c r="E492" t="s">
        <v>68</v>
      </c>
      <c r="F492" t="s">
        <v>36</v>
      </c>
      <c r="G492" t="s">
        <v>37</v>
      </c>
      <c r="H492">
        <f t="shared" si="7"/>
        <v>0</v>
      </c>
    </row>
    <row r="493" spans="1:8" x14ac:dyDescent="0.3">
      <c r="A493" t="s">
        <v>74</v>
      </c>
      <c r="B493" t="s">
        <v>8</v>
      </c>
      <c r="C493" t="s">
        <v>19</v>
      </c>
      <c r="D493">
        <v>0</v>
      </c>
      <c r="E493" t="s">
        <v>68</v>
      </c>
      <c r="F493" t="s">
        <v>36</v>
      </c>
      <c r="G493" t="s">
        <v>37</v>
      </c>
      <c r="H493">
        <f t="shared" si="7"/>
        <v>0</v>
      </c>
    </row>
    <row r="494" spans="1:8" x14ac:dyDescent="0.3">
      <c r="A494" t="s">
        <v>74</v>
      </c>
      <c r="B494" t="s">
        <v>8</v>
      </c>
      <c r="C494" t="s">
        <v>20</v>
      </c>
      <c r="D494">
        <v>0</v>
      </c>
      <c r="E494" t="s">
        <v>68</v>
      </c>
      <c r="F494" t="s">
        <v>36</v>
      </c>
      <c r="G494" t="s">
        <v>37</v>
      </c>
      <c r="H494">
        <f t="shared" si="7"/>
        <v>0</v>
      </c>
    </row>
    <row r="495" spans="1:8" x14ac:dyDescent="0.3">
      <c r="A495" t="s">
        <v>74</v>
      </c>
      <c r="B495" t="s">
        <v>8</v>
      </c>
      <c r="C495" t="s">
        <v>21</v>
      </c>
      <c r="D495">
        <v>0</v>
      </c>
      <c r="E495" t="s">
        <v>68</v>
      </c>
      <c r="F495" t="s">
        <v>36</v>
      </c>
      <c r="G495" t="s">
        <v>37</v>
      </c>
      <c r="H495">
        <f t="shared" si="7"/>
        <v>0</v>
      </c>
    </row>
    <row r="496" spans="1:8" x14ac:dyDescent="0.3">
      <c r="A496" t="s">
        <v>74</v>
      </c>
      <c r="B496" t="s">
        <v>8</v>
      </c>
      <c r="C496" t="s">
        <v>22</v>
      </c>
      <c r="D496">
        <v>0</v>
      </c>
      <c r="E496" t="s">
        <v>68</v>
      </c>
      <c r="F496" t="s">
        <v>36</v>
      </c>
      <c r="G496" t="s">
        <v>37</v>
      </c>
      <c r="H496">
        <f t="shared" si="7"/>
        <v>0</v>
      </c>
    </row>
    <row r="497" spans="1:8" x14ac:dyDescent="0.3">
      <c r="A497" t="s">
        <v>74</v>
      </c>
      <c r="B497" t="s">
        <v>23</v>
      </c>
      <c r="C497" t="s">
        <v>9</v>
      </c>
      <c r="D497">
        <v>1120</v>
      </c>
      <c r="E497" t="s">
        <v>68</v>
      </c>
      <c r="F497" t="s">
        <v>36</v>
      </c>
      <c r="G497" t="s">
        <v>37</v>
      </c>
      <c r="H497">
        <f t="shared" si="7"/>
        <v>1120</v>
      </c>
    </row>
    <row r="498" spans="1:8" x14ac:dyDescent="0.3">
      <c r="A498" t="s">
        <v>74</v>
      </c>
      <c r="B498" t="s">
        <v>23</v>
      </c>
      <c r="C498" t="s">
        <v>13</v>
      </c>
      <c r="D498">
        <v>10900</v>
      </c>
      <c r="E498" t="s">
        <v>68</v>
      </c>
      <c r="F498" t="s">
        <v>36</v>
      </c>
      <c r="G498" t="s">
        <v>37</v>
      </c>
      <c r="H498">
        <f t="shared" si="7"/>
        <v>10900</v>
      </c>
    </row>
    <row r="499" spans="1:8" x14ac:dyDescent="0.3">
      <c r="A499" t="s">
        <v>74</v>
      </c>
      <c r="B499" t="s">
        <v>23</v>
      </c>
      <c r="C499" t="s">
        <v>14</v>
      </c>
      <c r="D499">
        <v>1453</v>
      </c>
      <c r="E499" t="s">
        <v>68</v>
      </c>
      <c r="F499" t="s">
        <v>36</v>
      </c>
      <c r="G499" t="s">
        <v>37</v>
      </c>
      <c r="H499">
        <f t="shared" si="7"/>
        <v>1450</v>
      </c>
    </row>
    <row r="500" spans="1:8" x14ac:dyDescent="0.3">
      <c r="A500" t="s">
        <v>74</v>
      </c>
      <c r="B500" t="s">
        <v>23</v>
      </c>
      <c r="C500" t="s">
        <v>15</v>
      </c>
      <c r="D500">
        <v>9908</v>
      </c>
      <c r="E500" t="s">
        <v>68</v>
      </c>
      <c r="F500" t="s">
        <v>36</v>
      </c>
      <c r="G500" t="s">
        <v>37</v>
      </c>
      <c r="H500">
        <f t="shared" si="7"/>
        <v>9910</v>
      </c>
    </row>
    <row r="501" spans="1:8" x14ac:dyDescent="0.3">
      <c r="A501" t="s">
        <v>74</v>
      </c>
      <c r="B501" t="s">
        <v>23</v>
      </c>
      <c r="C501" t="s">
        <v>16</v>
      </c>
      <c r="D501">
        <v>10095</v>
      </c>
      <c r="E501" t="s">
        <v>68</v>
      </c>
      <c r="F501" t="s">
        <v>36</v>
      </c>
      <c r="G501" t="s">
        <v>37</v>
      </c>
      <c r="H501">
        <f t="shared" si="7"/>
        <v>10100</v>
      </c>
    </row>
    <row r="502" spans="1:8" x14ac:dyDescent="0.3">
      <c r="A502" t="s">
        <v>74</v>
      </c>
      <c r="B502" t="s">
        <v>23</v>
      </c>
      <c r="C502" t="s">
        <v>17</v>
      </c>
      <c r="D502">
        <v>28</v>
      </c>
      <c r="E502" t="s">
        <v>68</v>
      </c>
      <c r="F502" t="s">
        <v>36</v>
      </c>
      <c r="G502" t="s">
        <v>37</v>
      </c>
      <c r="H502">
        <f t="shared" si="7"/>
        <v>28</v>
      </c>
    </row>
    <row r="503" spans="1:8" x14ac:dyDescent="0.3">
      <c r="A503" t="s">
        <v>74</v>
      </c>
      <c r="B503" t="s">
        <v>23</v>
      </c>
      <c r="C503" t="s">
        <v>18</v>
      </c>
      <c r="D503">
        <v>0</v>
      </c>
      <c r="E503" t="s">
        <v>68</v>
      </c>
      <c r="F503" t="s">
        <v>36</v>
      </c>
      <c r="G503" t="s">
        <v>37</v>
      </c>
      <c r="H503">
        <f t="shared" si="7"/>
        <v>0</v>
      </c>
    </row>
    <row r="504" spans="1:8" x14ac:dyDescent="0.3">
      <c r="A504" t="s">
        <v>74</v>
      </c>
      <c r="B504" t="s">
        <v>23</v>
      </c>
      <c r="C504" t="s">
        <v>19</v>
      </c>
      <c r="D504">
        <v>3255</v>
      </c>
      <c r="E504" t="s">
        <v>68</v>
      </c>
      <c r="F504" t="s">
        <v>36</v>
      </c>
      <c r="G504" t="s">
        <v>37</v>
      </c>
      <c r="H504">
        <f t="shared" si="7"/>
        <v>3260</v>
      </c>
    </row>
    <row r="505" spans="1:8" x14ac:dyDescent="0.3">
      <c r="A505" t="s">
        <v>74</v>
      </c>
      <c r="B505" t="s">
        <v>23</v>
      </c>
      <c r="C505" t="s">
        <v>20</v>
      </c>
      <c r="D505">
        <v>3305</v>
      </c>
      <c r="E505" t="s">
        <v>68</v>
      </c>
      <c r="F505" t="s">
        <v>36</v>
      </c>
      <c r="G505" t="s">
        <v>37</v>
      </c>
      <c r="H505">
        <f t="shared" si="7"/>
        <v>3310</v>
      </c>
    </row>
    <row r="506" spans="1:8" x14ac:dyDescent="0.3">
      <c r="A506" t="s">
        <v>74</v>
      </c>
      <c r="B506" t="s">
        <v>23</v>
      </c>
      <c r="C506" t="s">
        <v>21</v>
      </c>
      <c r="D506">
        <v>357</v>
      </c>
      <c r="E506" t="s">
        <v>68</v>
      </c>
      <c r="F506" t="s">
        <v>36</v>
      </c>
      <c r="G506" t="s">
        <v>37</v>
      </c>
      <c r="H506">
        <f t="shared" si="7"/>
        <v>357</v>
      </c>
    </row>
    <row r="507" spans="1:8" x14ac:dyDescent="0.3">
      <c r="A507" t="s">
        <v>74</v>
      </c>
      <c r="B507" t="s">
        <v>23</v>
      </c>
      <c r="C507" t="s">
        <v>22</v>
      </c>
      <c r="D507">
        <v>112290</v>
      </c>
      <c r="E507" t="s">
        <v>68</v>
      </c>
      <c r="F507" t="s">
        <v>36</v>
      </c>
      <c r="G507" t="s">
        <v>37</v>
      </c>
      <c r="H507">
        <f t="shared" si="7"/>
        <v>112000</v>
      </c>
    </row>
    <row r="508" spans="1:8" x14ac:dyDescent="0.3">
      <c r="A508" t="s">
        <v>75</v>
      </c>
      <c r="B508" t="s">
        <v>8</v>
      </c>
      <c r="C508" t="s">
        <v>9</v>
      </c>
      <c r="D508">
        <v>0</v>
      </c>
      <c r="E508" t="s">
        <v>68</v>
      </c>
      <c r="F508" t="s">
        <v>36</v>
      </c>
      <c r="G508" t="s">
        <v>37</v>
      </c>
      <c r="H508">
        <f t="shared" si="7"/>
        <v>0</v>
      </c>
    </row>
    <row r="509" spans="1:8" x14ac:dyDescent="0.3">
      <c r="A509" t="s">
        <v>75</v>
      </c>
      <c r="B509" t="s">
        <v>8</v>
      </c>
      <c r="C509" t="s">
        <v>13</v>
      </c>
      <c r="D509">
        <v>0</v>
      </c>
      <c r="E509" t="s">
        <v>68</v>
      </c>
      <c r="F509" t="s">
        <v>36</v>
      </c>
      <c r="G509" t="s">
        <v>37</v>
      </c>
      <c r="H509">
        <f t="shared" si="7"/>
        <v>0</v>
      </c>
    </row>
    <row r="510" spans="1:8" x14ac:dyDescent="0.3">
      <c r="A510" t="s">
        <v>75</v>
      </c>
      <c r="B510" t="s">
        <v>8</v>
      </c>
      <c r="C510" t="s">
        <v>14</v>
      </c>
      <c r="D510">
        <v>0</v>
      </c>
      <c r="E510" t="s">
        <v>68</v>
      </c>
      <c r="F510" t="s">
        <v>36</v>
      </c>
      <c r="G510" t="s">
        <v>37</v>
      </c>
      <c r="H510">
        <f t="shared" si="7"/>
        <v>0</v>
      </c>
    </row>
    <row r="511" spans="1:8" x14ac:dyDescent="0.3">
      <c r="A511" t="s">
        <v>75</v>
      </c>
      <c r="B511" t="s">
        <v>8</v>
      </c>
      <c r="C511" t="s">
        <v>15</v>
      </c>
      <c r="D511">
        <v>0</v>
      </c>
      <c r="E511" t="s">
        <v>68</v>
      </c>
      <c r="F511" t="s">
        <v>36</v>
      </c>
      <c r="G511" t="s">
        <v>37</v>
      </c>
      <c r="H511">
        <f t="shared" si="7"/>
        <v>0</v>
      </c>
    </row>
    <row r="512" spans="1:8" x14ac:dyDescent="0.3">
      <c r="A512" t="s">
        <v>75</v>
      </c>
      <c r="B512" t="s">
        <v>8</v>
      </c>
      <c r="C512" t="s">
        <v>16</v>
      </c>
      <c r="D512">
        <v>0</v>
      </c>
      <c r="E512" t="s">
        <v>68</v>
      </c>
      <c r="F512" t="s">
        <v>36</v>
      </c>
      <c r="G512" t="s">
        <v>37</v>
      </c>
      <c r="H512">
        <f t="shared" si="7"/>
        <v>0</v>
      </c>
    </row>
    <row r="513" spans="1:8" x14ac:dyDescent="0.3">
      <c r="A513" t="s">
        <v>75</v>
      </c>
      <c r="B513" t="s">
        <v>8</v>
      </c>
      <c r="C513" t="s">
        <v>17</v>
      </c>
      <c r="D513">
        <v>0</v>
      </c>
      <c r="E513" t="s">
        <v>68</v>
      </c>
      <c r="F513" t="s">
        <v>36</v>
      </c>
      <c r="G513" t="s">
        <v>37</v>
      </c>
      <c r="H513">
        <f t="shared" si="7"/>
        <v>0</v>
      </c>
    </row>
    <row r="514" spans="1:8" x14ac:dyDescent="0.3">
      <c r="A514" t="s">
        <v>75</v>
      </c>
      <c r="B514" t="s">
        <v>8</v>
      </c>
      <c r="C514" t="s">
        <v>18</v>
      </c>
      <c r="D514">
        <v>0</v>
      </c>
      <c r="E514" t="s">
        <v>68</v>
      </c>
      <c r="F514" t="s">
        <v>36</v>
      </c>
      <c r="G514" t="s">
        <v>37</v>
      </c>
      <c r="H514">
        <f t="shared" si="7"/>
        <v>0</v>
      </c>
    </row>
    <row r="515" spans="1:8" x14ac:dyDescent="0.3">
      <c r="A515" t="s">
        <v>75</v>
      </c>
      <c r="B515" t="s">
        <v>8</v>
      </c>
      <c r="C515" t="s">
        <v>19</v>
      </c>
      <c r="D515">
        <v>0</v>
      </c>
      <c r="E515" t="s">
        <v>68</v>
      </c>
      <c r="F515" t="s">
        <v>36</v>
      </c>
      <c r="G515" t="s">
        <v>37</v>
      </c>
      <c r="H515">
        <f t="shared" ref="H515:H578" si="8">ROUND(D515, 3 - LEN(INT(ABS(D515))))</f>
        <v>0</v>
      </c>
    </row>
    <row r="516" spans="1:8" x14ac:dyDescent="0.3">
      <c r="A516" t="s">
        <v>75</v>
      </c>
      <c r="B516" t="s">
        <v>8</v>
      </c>
      <c r="C516" t="s">
        <v>20</v>
      </c>
      <c r="D516">
        <v>0</v>
      </c>
      <c r="E516" t="s">
        <v>68</v>
      </c>
      <c r="F516" t="s">
        <v>36</v>
      </c>
      <c r="G516" t="s">
        <v>37</v>
      </c>
      <c r="H516">
        <f t="shared" si="8"/>
        <v>0</v>
      </c>
    </row>
    <row r="517" spans="1:8" x14ac:dyDescent="0.3">
      <c r="A517" t="s">
        <v>75</v>
      </c>
      <c r="B517" t="s">
        <v>8</v>
      </c>
      <c r="C517" t="s">
        <v>21</v>
      </c>
      <c r="D517">
        <v>0</v>
      </c>
      <c r="E517" t="s">
        <v>68</v>
      </c>
      <c r="F517" t="s">
        <v>36</v>
      </c>
      <c r="G517" t="s">
        <v>37</v>
      </c>
      <c r="H517">
        <f t="shared" si="8"/>
        <v>0</v>
      </c>
    </row>
    <row r="518" spans="1:8" x14ac:dyDescent="0.3">
      <c r="A518" t="s">
        <v>75</v>
      </c>
      <c r="B518" t="s">
        <v>8</v>
      </c>
      <c r="C518" t="s">
        <v>22</v>
      </c>
      <c r="D518">
        <v>0</v>
      </c>
      <c r="E518" t="s">
        <v>68</v>
      </c>
      <c r="F518" t="s">
        <v>36</v>
      </c>
      <c r="G518" t="s">
        <v>37</v>
      </c>
      <c r="H518">
        <f t="shared" si="8"/>
        <v>0</v>
      </c>
    </row>
    <row r="519" spans="1:8" x14ac:dyDescent="0.3">
      <c r="A519" t="s">
        <v>75</v>
      </c>
      <c r="B519" t="s">
        <v>23</v>
      </c>
      <c r="C519" t="s">
        <v>9</v>
      </c>
      <c r="D519">
        <v>501332</v>
      </c>
      <c r="E519" t="s">
        <v>68</v>
      </c>
      <c r="F519" t="s">
        <v>36</v>
      </c>
      <c r="G519" t="s">
        <v>37</v>
      </c>
      <c r="H519">
        <f t="shared" si="8"/>
        <v>501000</v>
      </c>
    </row>
    <row r="520" spans="1:8" x14ac:dyDescent="0.3">
      <c r="A520" t="s">
        <v>75</v>
      </c>
      <c r="B520" t="s">
        <v>23</v>
      </c>
      <c r="C520" t="s">
        <v>13</v>
      </c>
      <c r="D520">
        <v>4831</v>
      </c>
      <c r="E520" t="s">
        <v>68</v>
      </c>
      <c r="F520" t="s">
        <v>36</v>
      </c>
      <c r="G520" t="s">
        <v>37</v>
      </c>
      <c r="H520">
        <f t="shared" si="8"/>
        <v>4830</v>
      </c>
    </row>
    <row r="521" spans="1:8" x14ac:dyDescent="0.3">
      <c r="A521" t="s">
        <v>75</v>
      </c>
      <c r="B521" t="s">
        <v>23</v>
      </c>
      <c r="C521" t="s">
        <v>14</v>
      </c>
      <c r="D521">
        <v>3401</v>
      </c>
      <c r="E521" t="s">
        <v>68</v>
      </c>
      <c r="F521" t="s">
        <v>36</v>
      </c>
      <c r="G521" t="s">
        <v>37</v>
      </c>
      <c r="H521">
        <f t="shared" si="8"/>
        <v>3400</v>
      </c>
    </row>
    <row r="522" spans="1:8" x14ac:dyDescent="0.3">
      <c r="A522" t="s">
        <v>75</v>
      </c>
      <c r="B522" t="s">
        <v>23</v>
      </c>
      <c r="C522" t="s">
        <v>15</v>
      </c>
      <c r="D522">
        <v>6528</v>
      </c>
      <c r="E522" t="s">
        <v>68</v>
      </c>
      <c r="F522" t="s">
        <v>36</v>
      </c>
      <c r="G522" t="s">
        <v>37</v>
      </c>
      <c r="H522">
        <f t="shared" si="8"/>
        <v>6530</v>
      </c>
    </row>
    <row r="523" spans="1:8" x14ac:dyDescent="0.3">
      <c r="A523" t="s">
        <v>75</v>
      </c>
      <c r="B523" t="s">
        <v>23</v>
      </c>
      <c r="C523" t="s">
        <v>16</v>
      </c>
      <c r="D523">
        <v>93659</v>
      </c>
      <c r="E523" t="s">
        <v>68</v>
      </c>
      <c r="F523" t="s">
        <v>36</v>
      </c>
      <c r="G523" t="s">
        <v>37</v>
      </c>
      <c r="H523">
        <f t="shared" si="8"/>
        <v>93700</v>
      </c>
    </row>
    <row r="524" spans="1:8" x14ac:dyDescent="0.3">
      <c r="A524" t="s">
        <v>75</v>
      </c>
      <c r="B524" t="s">
        <v>23</v>
      </c>
      <c r="C524" t="s">
        <v>17</v>
      </c>
      <c r="D524">
        <v>4574</v>
      </c>
      <c r="E524" t="s">
        <v>68</v>
      </c>
      <c r="F524" t="s">
        <v>36</v>
      </c>
      <c r="G524" t="s">
        <v>37</v>
      </c>
      <c r="H524">
        <f t="shared" si="8"/>
        <v>4570</v>
      </c>
    </row>
    <row r="525" spans="1:8" x14ac:dyDescent="0.3">
      <c r="A525" t="s">
        <v>75</v>
      </c>
      <c r="B525" t="s">
        <v>23</v>
      </c>
      <c r="C525" t="s">
        <v>18</v>
      </c>
      <c r="D525">
        <v>0</v>
      </c>
      <c r="E525" t="s">
        <v>68</v>
      </c>
      <c r="F525" t="s">
        <v>36</v>
      </c>
      <c r="G525" t="s">
        <v>37</v>
      </c>
      <c r="H525">
        <f t="shared" si="8"/>
        <v>0</v>
      </c>
    </row>
    <row r="526" spans="1:8" x14ac:dyDescent="0.3">
      <c r="A526" t="s">
        <v>75</v>
      </c>
      <c r="B526" t="s">
        <v>23</v>
      </c>
      <c r="C526" t="s">
        <v>19</v>
      </c>
      <c r="D526">
        <v>3814</v>
      </c>
      <c r="E526" t="s">
        <v>68</v>
      </c>
      <c r="F526" t="s">
        <v>36</v>
      </c>
      <c r="G526" t="s">
        <v>37</v>
      </c>
      <c r="H526">
        <f t="shared" si="8"/>
        <v>3810</v>
      </c>
    </row>
    <row r="527" spans="1:8" x14ac:dyDescent="0.3">
      <c r="A527" t="s">
        <v>75</v>
      </c>
      <c r="B527" t="s">
        <v>23</v>
      </c>
      <c r="C527" t="s">
        <v>20</v>
      </c>
      <c r="D527">
        <v>22859</v>
      </c>
      <c r="E527" t="s">
        <v>68</v>
      </c>
      <c r="F527" t="s">
        <v>36</v>
      </c>
      <c r="G527" t="s">
        <v>37</v>
      </c>
      <c r="H527">
        <f t="shared" si="8"/>
        <v>22900</v>
      </c>
    </row>
    <row r="528" spans="1:8" x14ac:dyDescent="0.3">
      <c r="A528" t="s">
        <v>75</v>
      </c>
      <c r="B528" t="s">
        <v>23</v>
      </c>
      <c r="C528" t="s">
        <v>21</v>
      </c>
      <c r="D528">
        <v>1005</v>
      </c>
      <c r="E528" t="s">
        <v>68</v>
      </c>
      <c r="F528" t="s">
        <v>36</v>
      </c>
      <c r="G528" t="s">
        <v>37</v>
      </c>
      <c r="H528">
        <f t="shared" si="8"/>
        <v>1010</v>
      </c>
    </row>
    <row r="529" spans="1:8" x14ac:dyDescent="0.3">
      <c r="A529" t="s">
        <v>75</v>
      </c>
      <c r="B529" t="s">
        <v>23</v>
      </c>
      <c r="C529" t="s">
        <v>22</v>
      </c>
      <c r="D529">
        <v>1223</v>
      </c>
      <c r="E529" t="s">
        <v>68</v>
      </c>
      <c r="F529" t="s">
        <v>36</v>
      </c>
      <c r="G529" t="s">
        <v>37</v>
      </c>
      <c r="H529">
        <f t="shared" si="8"/>
        <v>1220</v>
      </c>
    </row>
    <row r="530" spans="1:8" x14ac:dyDescent="0.3">
      <c r="A530" t="s">
        <v>76</v>
      </c>
      <c r="B530" t="s">
        <v>8</v>
      </c>
      <c r="C530" t="s">
        <v>9</v>
      </c>
      <c r="D530">
        <v>0</v>
      </c>
      <c r="E530" t="s">
        <v>68</v>
      </c>
      <c r="F530" t="s">
        <v>36</v>
      </c>
      <c r="G530" t="s">
        <v>37</v>
      </c>
      <c r="H530">
        <f t="shared" si="8"/>
        <v>0</v>
      </c>
    </row>
    <row r="531" spans="1:8" x14ac:dyDescent="0.3">
      <c r="A531" t="s">
        <v>76</v>
      </c>
      <c r="B531" t="s">
        <v>8</v>
      </c>
      <c r="C531" t="s">
        <v>13</v>
      </c>
      <c r="D531">
        <v>0</v>
      </c>
      <c r="E531" t="s">
        <v>68</v>
      </c>
      <c r="F531" t="s">
        <v>36</v>
      </c>
      <c r="G531" t="s">
        <v>37</v>
      </c>
      <c r="H531">
        <f t="shared" si="8"/>
        <v>0</v>
      </c>
    </row>
    <row r="532" spans="1:8" x14ac:dyDescent="0.3">
      <c r="A532" t="s">
        <v>76</v>
      </c>
      <c r="B532" t="s">
        <v>8</v>
      </c>
      <c r="C532" t="s">
        <v>14</v>
      </c>
      <c r="D532">
        <v>0</v>
      </c>
      <c r="E532" t="s">
        <v>68</v>
      </c>
      <c r="F532" t="s">
        <v>36</v>
      </c>
      <c r="G532" t="s">
        <v>37</v>
      </c>
      <c r="H532">
        <f t="shared" si="8"/>
        <v>0</v>
      </c>
    </row>
    <row r="533" spans="1:8" x14ac:dyDescent="0.3">
      <c r="A533" t="s">
        <v>76</v>
      </c>
      <c r="B533" t="s">
        <v>8</v>
      </c>
      <c r="C533" t="s">
        <v>15</v>
      </c>
      <c r="D533">
        <v>0</v>
      </c>
      <c r="E533" t="s">
        <v>68</v>
      </c>
      <c r="F533" t="s">
        <v>36</v>
      </c>
      <c r="G533" t="s">
        <v>37</v>
      </c>
      <c r="H533">
        <f t="shared" si="8"/>
        <v>0</v>
      </c>
    </row>
    <row r="534" spans="1:8" x14ac:dyDescent="0.3">
      <c r="A534" t="s">
        <v>76</v>
      </c>
      <c r="B534" t="s">
        <v>8</v>
      </c>
      <c r="C534" t="s">
        <v>16</v>
      </c>
      <c r="D534">
        <v>0</v>
      </c>
      <c r="E534" t="s">
        <v>68</v>
      </c>
      <c r="F534" t="s">
        <v>36</v>
      </c>
      <c r="G534" t="s">
        <v>37</v>
      </c>
      <c r="H534">
        <f t="shared" si="8"/>
        <v>0</v>
      </c>
    </row>
    <row r="535" spans="1:8" x14ac:dyDescent="0.3">
      <c r="A535" t="s">
        <v>76</v>
      </c>
      <c r="B535" t="s">
        <v>8</v>
      </c>
      <c r="C535" t="s">
        <v>17</v>
      </c>
      <c r="D535">
        <v>0</v>
      </c>
      <c r="E535" t="s">
        <v>68</v>
      </c>
      <c r="F535" t="s">
        <v>36</v>
      </c>
      <c r="G535" t="s">
        <v>37</v>
      </c>
      <c r="H535">
        <f t="shared" si="8"/>
        <v>0</v>
      </c>
    </row>
    <row r="536" spans="1:8" x14ac:dyDescent="0.3">
      <c r="A536" t="s">
        <v>76</v>
      </c>
      <c r="B536" t="s">
        <v>8</v>
      </c>
      <c r="C536" t="s">
        <v>18</v>
      </c>
      <c r="D536">
        <v>0</v>
      </c>
      <c r="E536" t="s">
        <v>68</v>
      </c>
      <c r="F536" t="s">
        <v>36</v>
      </c>
      <c r="G536" t="s">
        <v>37</v>
      </c>
      <c r="H536">
        <f t="shared" si="8"/>
        <v>0</v>
      </c>
    </row>
    <row r="537" spans="1:8" x14ac:dyDescent="0.3">
      <c r="A537" t="s">
        <v>76</v>
      </c>
      <c r="B537" t="s">
        <v>8</v>
      </c>
      <c r="C537" t="s">
        <v>19</v>
      </c>
      <c r="D537">
        <v>0</v>
      </c>
      <c r="E537" t="s">
        <v>68</v>
      </c>
      <c r="F537" t="s">
        <v>36</v>
      </c>
      <c r="G537" t="s">
        <v>37</v>
      </c>
      <c r="H537">
        <f t="shared" si="8"/>
        <v>0</v>
      </c>
    </row>
    <row r="538" spans="1:8" x14ac:dyDescent="0.3">
      <c r="A538" t="s">
        <v>76</v>
      </c>
      <c r="B538" t="s">
        <v>8</v>
      </c>
      <c r="C538" t="s">
        <v>20</v>
      </c>
      <c r="D538">
        <v>0</v>
      </c>
      <c r="E538" t="s">
        <v>68</v>
      </c>
      <c r="F538" t="s">
        <v>36</v>
      </c>
      <c r="G538" t="s">
        <v>37</v>
      </c>
      <c r="H538">
        <f t="shared" si="8"/>
        <v>0</v>
      </c>
    </row>
    <row r="539" spans="1:8" x14ac:dyDescent="0.3">
      <c r="A539" t="s">
        <v>76</v>
      </c>
      <c r="B539" t="s">
        <v>8</v>
      </c>
      <c r="C539" t="s">
        <v>21</v>
      </c>
      <c r="D539">
        <v>0</v>
      </c>
      <c r="E539" t="s">
        <v>68</v>
      </c>
      <c r="F539" t="s">
        <v>36</v>
      </c>
      <c r="G539" t="s">
        <v>37</v>
      </c>
      <c r="H539">
        <f t="shared" si="8"/>
        <v>0</v>
      </c>
    </row>
    <row r="540" spans="1:8" x14ac:dyDescent="0.3">
      <c r="A540" t="s">
        <v>76</v>
      </c>
      <c r="B540" t="s">
        <v>8</v>
      </c>
      <c r="C540" t="s">
        <v>22</v>
      </c>
      <c r="D540">
        <v>0</v>
      </c>
      <c r="E540" t="s">
        <v>68</v>
      </c>
      <c r="F540" t="s">
        <v>36</v>
      </c>
      <c r="G540" t="s">
        <v>37</v>
      </c>
      <c r="H540">
        <f t="shared" si="8"/>
        <v>0</v>
      </c>
    </row>
    <row r="541" spans="1:8" x14ac:dyDescent="0.3">
      <c r="A541" t="s">
        <v>76</v>
      </c>
      <c r="B541" t="s">
        <v>23</v>
      </c>
      <c r="C541" t="s">
        <v>9</v>
      </c>
      <c r="D541">
        <v>486292</v>
      </c>
      <c r="E541" t="s">
        <v>68</v>
      </c>
      <c r="F541" t="s">
        <v>36</v>
      </c>
      <c r="G541" t="s">
        <v>37</v>
      </c>
      <c r="H541">
        <f t="shared" si="8"/>
        <v>486000</v>
      </c>
    </row>
    <row r="542" spans="1:8" x14ac:dyDescent="0.3">
      <c r="A542" t="s">
        <v>76</v>
      </c>
      <c r="B542" t="s">
        <v>23</v>
      </c>
      <c r="C542" t="s">
        <v>13</v>
      </c>
      <c r="D542">
        <v>4686</v>
      </c>
      <c r="E542" t="s">
        <v>68</v>
      </c>
      <c r="F542" t="s">
        <v>36</v>
      </c>
      <c r="G542" t="s">
        <v>37</v>
      </c>
      <c r="H542">
        <f t="shared" si="8"/>
        <v>4690</v>
      </c>
    </row>
    <row r="543" spans="1:8" x14ac:dyDescent="0.3">
      <c r="A543" t="s">
        <v>76</v>
      </c>
      <c r="B543" t="s">
        <v>23</v>
      </c>
      <c r="C543" t="s">
        <v>14</v>
      </c>
      <c r="D543">
        <v>3299</v>
      </c>
      <c r="E543" t="s">
        <v>68</v>
      </c>
      <c r="F543" t="s">
        <v>36</v>
      </c>
      <c r="G543" t="s">
        <v>37</v>
      </c>
      <c r="H543">
        <f t="shared" si="8"/>
        <v>3300</v>
      </c>
    </row>
    <row r="544" spans="1:8" x14ac:dyDescent="0.3">
      <c r="A544" t="s">
        <v>76</v>
      </c>
      <c r="B544" t="s">
        <v>23</v>
      </c>
      <c r="C544" t="s">
        <v>15</v>
      </c>
      <c r="D544">
        <v>6332</v>
      </c>
      <c r="E544" t="s">
        <v>68</v>
      </c>
      <c r="F544" t="s">
        <v>36</v>
      </c>
      <c r="G544" t="s">
        <v>37</v>
      </c>
      <c r="H544">
        <f t="shared" si="8"/>
        <v>6330</v>
      </c>
    </row>
    <row r="545" spans="1:8" x14ac:dyDescent="0.3">
      <c r="A545" t="s">
        <v>76</v>
      </c>
      <c r="B545" t="s">
        <v>23</v>
      </c>
      <c r="C545" t="s">
        <v>16</v>
      </c>
      <c r="D545">
        <v>90849</v>
      </c>
      <c r="E545" t="s">
        <v>68</v>
      </c>
      <c r="F545" t="s">
        <v>36</v>
      </c>
      <c r="G545" t="s">
        <v>37</v>
      </c>
      <c r="H545">
        <f t="shared" si="8"/>
        <v>90800</v>
      </c>
    </row>
    <row r="546" spans="1:8" x14ac:dyDescent="0.3">
      <c r="A546" t="s">
        <v>76</v>
      </c>
      <c r="B546" t="s">
        <v>23</v>
      </c>
      <c r="C546" t="s">
        <v>17</v>
      </c>
      <c r="D546">
        <v>4437</v>
      </c>
      <c r="E546" t="s">
        <v>68</v>
      </c>
      <c r="F546" t="s">
        <v>36</v>
      </c>
      <c r="G546" t="s">
        <v>37</v>
      </c>
      <c r="H546">
        <f t="shared" si="8"/>
        <v>4440</v>
      </c>
    </row>
    <row r="547" spans="1:8" x14ac:dyDescent="0.3">
      <c r="A547" t="s">
        <v>76</v>
      </c>
      <c r="B547" t="s">
        <v>23</v>
      </c>
      <c r="C547" t="s">
        <v>18</v>
      </c>
      <c r="D547">
        <v>0</v>
      </c>
      <c r="E547" t="s">
        <v>68</v>
      </c>
      <c r="F547" t="s">
        <v>36</v>
      </c>
      <c r="G547" t="s">
        <v>37</v>
      </c>
      <c r="H547">
        <f t="shared" si="8"/>
        <v>0</v>
      </c>
    </row>
    <row r="548" spans="1:8" x14ac:dyDescent="0.3">
      <c r="A548" t="s">
        <v>76</v>
      </c>
      <c r="B548" t="s">
        <v>23</v>
      </c>
      <c r="C548" t="s">
        <v>19</v>
      </c>
      <c r="D548">
        <v>3700</v>
      </c>
      <c r="E548" t="s">
        <v>68</v>
      </c>
      <c r="F548" t="s">
        <v>36</v>
      </c>
      <c r="G548" t="s">
        <v>37</v>
      </c>
      <c r="H548">
        <f t="shared" si="8"/>
        <v>3700</v>
      </c>
    </row>
    <row r="549" spans="1:8" x14ac:dyDescent="0.3">
      <c r="A549" t="s">
        <v>76</v>
      </c>
      <c r="B549" t="s">
        <v>23</v>
      </c>
      <c r="C549" t="s">
        <v>20</v>
      </c>
      <c r="D549">
        <v>22173</v>
      </c>
      <c r="E549" t="s">
        <v>68</v>
      </c>
      <c r="F549" t="s">
        <v>36</v>
      </c>
      <c r="G549" t="s">
        <v>37</v>
      </c>
      <c r="H549">
        <f t="shared" si="8"/>
        <v>22200</v>
      </c>
    </row>
    <row r="550" spans="1:8" x14ac:dyDescent="0.3">
      <c r="A550" t="s">
        <v>76</v>
      </c>
      <c r="B550" t="s">
        <v>23</v>
      </c>
      <c r="C550" t="s">
        <v>21</v>
      </c>
      <c r="D550">
        <v>975</v>
      </c>
      <c r="E550" t="s">
        <v>68</v>
      </c>
      <c r="F550" t="s">
        <v>36</v>
      </c>
      <c r="G550" t="s">
        <v>37</v>
      </c>
      <c r="H550">
        <f t="shared" si="8"/>
        <v>975</v>
      </c>
    </row>
    <row r="551" spans="1:8" x14ac:dyDescent="0.3">
      <c r="A551" t="s">
        <v>76</v>
      </c>
      <c r="B551" t="s">
        <v>23</v>
      </c>
      <c r="C551" t="s">
        <v>22</v>
      </c>
      <c r="D551">
        <v>1186</v>
      </c>
      <c r="E551" t="s">
        <v>68</v>
      </c>
      <c r="F551" t="s">
        <v>36</v>
      </c>
      <c r="G551" t="s">
        <v>37</v>
      </c>
      <c r="H551">
        <f t="shared" si="8"/>
        <v>1190</v>
      </c>
    </row>
    <row r="552" spans="1:8" x14ac:dyDescent="0.3">
      <c r="A552" t="s">
        <v>77</v>
      </c>
      <c r="B552" t="s">
        <v>8</v>
      </c>
      <c r="C552" t="s">
        <v>9</v>
      </c>
      <c r="D552">
        <v>0</v>
      </c>
      <c r="E552" t="s">
        <v>68</v>
      </c>
      <c r="F552" t="s">
        <v>36</v>
      </c>
      <c r="G552" t="s">
        <v>37</v>
      </c>
      <c r="H552">
        <f t="shared" si="8"/>
        <v>0</v>
      </c>
    </row>
    <row r="553" spans="1:8" x14ac:dyDescent="0.3">
      <c r="A553" t="s">
        <v>77</v>
      </c>
      <c r="B553" t="s">
        <v>8</v>
      </c>
      <c r="C553" t="s">
        <v>13</v>
      </c>
      <c r="D553">
        <v>0</v>
      </c>
      <c r="E553" t="s">
        <v>68</v>
      </c>
      <c r="F553" t="s">
        <v>36</v>
      </c>
      <c r="G553" t="s">
        <v>37</v>
      </c>
      <c r="H553">
        <f t="shared" si="8"/>
        <v>0</v>
      </c>
    </row>
    <row r="554" spans="1:8" x14ac:dyDescent="0.3">
      <c r="A554" t="s">
        <v>77</v>
      </c>
      <c r="B554" t="s">
        <v>8</v>
      </c>
      <c r="C554" t="s">
        <v>14</v>
      </c>
      <c r="D554">
        <v>0</v>
      </c>
      <c r="E554" t="s">
        <v>68</v>
      </c>
      <c r="F554" t="s">
        <v>36</v>
      </c>
      <c r="G554" t="s">
        <v>37</v>
      </c>
      <c r="H554">
        <f t="shared" si="8"/>
        <v>0</v>
      </c>
    </row>
    <row r="555" spans="1:8" x14ac:dyDescent="0.3">
      <c r="A555" t="s">
        <v>77</v>
      </c>
      <c r="B555" t="s">
        <v>8</v>
      </c>
      <c r="C555" t="s">
        <v>15</v>
      </c>
      <c r="D555">
        <v>0</v>
      </c>
      <c r="E555" t="s">
        <v>68</v>
      </c>
      <c r="F555" t="s">
        <v>36</v>
      </c>
      <c r="G555" t="s">
        <v>37</v>
      </c>
      <c r="H555">
        <f t="shared" si="8"/>
        <v>0</v>
      </c>
    </row>
    <row r="556" spans="1:8" x14ac:dyDescent="0.3">
      <c r="A556" t="s">
        <v>77</v>
      </c>
      <c r="B556" t="s">
        <v>8</v>
      </c>
      <c r="C556" t="s">
        <v>16</v>
      </c>
      <c r="D556">
        <v>0</v>
      </c>
      <c r="E556" t="s">
        <v>68</v>
      </c>
      <c r="F556" t="s">
        <v>36</v>
      </c>
      <c r="G556" t="s">
        <v>37</v>
      </c>
      <c r="H556">
        <f t="shared" si="8"/>
        <v>0</v>
      </c>
    </row>
    <row r="557" spans="1:8" x14ac:dyDescent="0.3">
      <c r="A557" t="s">
        <v>77</v>
      </c>
      <c r="B557" t="s">
        <v>8</v>
      </c>
      <c r="C557" t="s">
        <v>17</v>
      </c>
      <c r="D557">
        <v>0</v>
      </c>
      <c r="E557" t="s">
        <v>68</v>
      </c>
      <c r="F557" t="s">
        <v>36</v>
      </c>
      <c r="G557" t="s">
        <v>37</v>
      </c>
      <c r="H557">
        <f t="shared" si="8"/>
        <v>0</v>
      </c>
    </row>
    <row r="558" spans="1:8" x14ac:dyDescent="0.3">
      <c r="A558" t="s">
        <v>77</v>
      </c>
      <c r="B558" t="s">
        <v>8</v>
      </c>
      <c r="C558" t="s">
        <v>18</v>
      </c>
      <c r="D558">
        <v>0</v>
      </c>
      <c r="E558" t="s">
        <v>68</v>
      </c>
      <c r="F558" t="s">
        <v>36</v>
      </c>
      <c r="G558" t="s">
        <v>37</v>
      </c>
      <c r="H558">
        <f t="shared" si="8"/>
        <v>0</v>
      </c>
    </row>
    <row r="559" spans="1:8" x14ac:dyDescent="0.3">
      <c r="A559" t="s">
        <v>77</v>
      </c>
      <c r="B559" t="s">
        <v>8</v>
      </c>
      <c r="C559" t="s">
        <v>19</v>
      </c>
      <c r="D559">
        <v>0</v>
      </c>
      <c r="E559" t="s">
        <v>68</v>
      </c>
      <c r="F559" t="s">
        <v>36</v>
      </c>
      <c r="G559" t="s">
        <v>37</v>
      </c>
      <c r="H559">
        <f t="shared" si="8"/>
        <v>0</v>
      </c>
    </row>
    <row r="560" spans="1:8" x14ac:dyDescent="0.3">
      <c r="A560" t="s">
        <v>77</v>
      </c>
      <c r="B560" t="s">
        <v>8</v>
      </c>
      <c r="C560" t="s">
        <v>20</v>
      </c>
      <c r="D560">
        <v>0</v>
      </c>
      <c r="E560" t="s">
        <v>68</v>
      </c>
      <c r="F560" t="s">
        <v>36</v>
      </c>
      <c r="G560" t="s">
        <v>37</v>
      </c>
      <c r="H560">
        <f t="shared" si="8"/>
        <v>0</v>
      </c>
    </row>
    <row r="561" spans="1:8" x14ac:dyDescent="0.3">
      <c r="A561" t="s">
        <v>77</v>
      </c>
      <c r="B561" t="s">
        <v>8</v>
      </c>
      <c r="C561" t="s">
        <v>21</v>
      </c>
      <c r="D561">
        <v>0</v>
      </c>
      <c r="E561" t="s">
        <v>68</v>
      </c>
      <c r="F561" t="s">
        <v>36</v>
      </c>
      <c r="G561" t="s">
        <v>37</v>
      </c>
      <c r="H561">
        <f t="shared" si="8"/>
        <v>0</v>
      </c>
    </row>
    <row r="562" spans="1:8" x14ac:dyDescent="0.3">
      <c r="A562" t="s">
        <v>77</v>
      </c>
      <c r="B562" t="s">
        <v>8</v>
      </c>
      <c r="C562" t="s">
        <v>22</v>
      </c>
      <c r="D562">
        <v>0</v>
      </c>
      <c r="E562" t="s">
        <v>68</v>
      </c>
      <c r="F562" t="s">
        <v>36</v>
      </c>
      <c r="G562" t="s">
        <v>37</v>
      </c>
      <c r="H562">
        <f t="shared" si="8"/>
        <v>0</v>
      </c>
    </row>
    <row r="563" spans="1:8" x14ac:dyDescent="0.3">
      <c r="A563" t="s">
        <v>77</v>
      </c>
      <c r="B563" t="s">
        <v>23</v>
      </c>
      <c r="C563" t="s">
        <v>9</v>
      </c>
      <c r="D563">
        <v>314</v>
      </c>
      <c r="E563" t="s">
        <v>68</v>
      </c>
      <c r="F563" t="s">
        <v>36</v>
      </c>
      <c r="G563" t="s">
        <v>37</v>
      </c>
      <c r="H563">
        <f t="shared" si="8"/>
        <v>314</v>
      </c>
    </row>
    <row r="564" spans="1:8" x14ac:dyDescent="0.3">
      <c r="A564" t="s">
        <v>77</v>
      </c>
      <c r="B564" t="s">
        <v>23</v>
      </c>
      <c r="C564" t="s">
        <v>13</v>
      </c>
      <c r="D564">
        <v>1420</v>
      </c>
      <c r="E564" t="s">
        <v>68</v>
      </c>
      <c r="F564" t="s">
        <v>36</v>
      </c>
      <c r="G564" t="s">
        <v>37</v>
      </c>
      <c r="H564">
        <f t="shared" si="8"/>
        <v>1420</v>
      </c>
    </row>
    <row r="565" spans="1:8" x14ac:dyDescent="0.3">
      <c r="A565" t="s">
        <v>77</v>
      </c>
      <c r="B565" t="s">
        <v>23</v>
      </c>
      <c r="C565" t="s">
        <v>14</v>
      </c>
      <c r="D565">
        <v>329</v>
      </c>
      <c r="E565" t="s">
        <v>68</v>
      </c>
      <c r="F565" t="s">
        <v>36</v>
      </c>
      <c r="G565" t="s">
        <v>37</v>
      </c>
      <c r="H565">
        <f t="shared" si="8"/>
        <v>329</v>
      </c>
    </row>
    <row r="566" spans="1:8" x14ac:dyDescent="0.3">
      <c r="A566" t="s">
        <v>77</v>
      </c>
      <c r="B566" t="s">
        <v>23</v>
      </c>
      <c r="C566" t="s">
        <v>15</v>
      </c>
      <c r="D566">
        <v>5110</v>
      </c>
      <c r="E566" t="s">
        <v>68</v>
      </c>
      <c r="F566" t="s">
        <v>36</v>
      </c>
      <c r="G566" t="s">
        <v>37</v>
      </c>
      <c r="H566">
        <f t="shared" si="8"/>
        <v>5110</v>
      </c>
    </row>
    <row r="567" spans="1:8" x14ac:dyDescent="0.3">
      <c r="A567" t="s">
        <v>77</v>
      </c>
      <c r="B567" t="s">
        <v>23</v>
      </c>
      <c r="C567" t="s">
        <v>16</v>
      </c>
      <c r="D567">
        <v>3583</v>
      </c>
      <c r="E567" t="s">
        <v>68</v>
      </c>
      <c r="F567" t="s">
        <v>36</v>
      </c>
      <c r="G567" t="s">
        <v>37</v>
      </c>
      <c r="H567">
        <f t="shared" si="8"/>
        <v>3580</v>
      </c>
    </row>
    <row r="568" spans="1:8" x14ac:dyDescent="0.3">
      <c r="A568" t="s">
        <v>77</v>
      </c>
      <c r="B568" t="s">
        <v>23</v>
      </c>
      <c r="C568" t="s">
        <v>17</v>
      </c>
      <c r="D568">
        <v>39</v>
      </c>
      <c r="E568" t="s">
        <v>68</v>
      </c>
      <c r="F568" t="s">
        <v>36</v>
      </c>
      <c r="G568" t="s">
        <v>37</v>
      </c>
      <c r="H568">
        <f t="shared" si="8"/>
        <v>39</v>
      </c>
    </row>
    <row r="569" spans="1:8" x14ac:dyDescent="0.3">
      <c r="A569" t="s">
        <v>77</v>
      </c>
      <c r="B569" t="s">
        <v>23</v>
      </c>
      <c r="C569" t="s">
        <v>18</v>
      </c>
      <c r="D569">
        <v>0</v>
      </c>
      <c r="E569" t="s">
        <v>68</v>
      </c>
      <c r="F569" t="s">
        <v>36</v>
      </c>
      <c r="G569" t="s">
        <v>37</v>
      </c>
      <c r="H569">
        <f t="shared" si="8"/>
        <v>0</v>
      </c>
    </row>
    <row r="570" spans="1:8" x14ac:dyDescent="0.3">
      <c r="A570" t="s">
        <v>77</v>
      </c>
      <c r="B570" t="s">
        <v>23</v>
      </c>
      <c r="C570" t="s">
        <v>19</v>
      </c>
      <c r="D570">
        <v>241</v>
      </c>
      <c r="E570" t="s">
        <v>68</v>
      </c>
      <c r="F570" t="s">
        <v>36</v>
      </c>
      <c r="G570" t="s">
        <v>37</v>
      </c>
      <c r="H570">
        <f t="shared" si="8"/>
        <v>241</v>
      </c>
    </row>
    <row r="571" spans="1:8" x14ac:dyDescent="0.3">
      <c r="A571" t="s">
        <v>77</v>
      </c>
      <c r="B571" t="s">
        <v>23</v>
      </c>
      <c r="C571" t="s">
        <v>20</v>
      </c>
      <c r="D571">
        <v>1152564</v>
      </c>
      <c r="E571" t="s">
        <v>68</v>
      </c>
      <c r="F571" t="s">
        <v>36</v>
      </c>
      <c r="G571" t="s">
        <v>37</v>
      </c>
      <c r="H571">
        <f t="shared" si="8"/>
        <v>1150000</v>
      </c>
    </row>
    <row r="572" spans="1:8" x14ac:dyDescent="0.3">
      <c r="A572" t="s">
        <v>77</v>
      </c>
      <c r="B572" t="s">
        <v>23</v>
      </c>
      <c r="C572" t="s">
        <v>21</v>
      </c>
      <c r="D572">
        <v>3158</v>
      </c>
      <c r="E572" t="s">
        <v>68</v>
      </c>
      <c r="F572" t="s">
        <v>36</v>
      </c>
      <c r="G572" t="s">
        <v>37</v>
      </c>
      <c r="H572">
        <f t="shared" si="8"/>
        <v>3160</v>
      </c>
    </row>
    <row r="573" spans="1:8" x14ac:dyDescent="0.3">
      <c r="A573" t="s">
        <v>77</v>
      </c>
      <c r="B573" t="s">
        <v>23</v>
      </c>
      <c r="C573" t="s">
        <v>22</v>
      </c>
      <c r="D573">
        <v>627</v>
      </c>
      <c r="E573" t="s">
        <v>68</v>
      </c>
      <c r="F573" t="s">
        <v>36</v>
      </c>
      <c r="G573" t="s">
        <v>37</v>
      </c>
      <c r="H573">
        <f t="shared" si="8"/>
        <v>627</v>
      </c>
    </row>
    <row r="574" spans="1:8" x14ac:dyDescent="0.3">
      <c r="A574" t="s">
        <v>78</v>
      </c>
      <c r="B574" t="s">
        <v>8</v>
      </c>
      <c r="C574" t="s">
        <v>9</v>
      </c>
      <c r="D574">
        <v>0</v>
      </c>
      <c r="E574" t="s">
        <v>68</v>
      </c>
      <c r="F574" t="s">
        <v>36</v>
      </c>
      <c r="G574" t="s">
        <v>37</v>
      </c>
      <c r="H574">
        <f t="shared" si="8"/>
        <v>0</v>
      </c>
    </row>
    <row r="575" spans="1:8" x14ac:dyDescent="0.3">
      <c r="A575" t="s">
        <v>78</v>
      </c>
      <c r="B575" t="s">
        <v>8</v>
      </c>
      <c r="C575" t="s">
        <v>13</v>
      </c>
      <c r="D575">
        <v>0</v>
      </c>
      <c r="E575" t="s">
        <v>68</v>
      </c>
      <c r="F575" t="s">
        <v>36</v>
      </c>
      <c r="G575" t="s">
        <v>37</v>
      </c>
      <c r="H575">
        <f t="shared" si="8"/>
        <v>0</v>
      </c>
    </row>
    <row r="576" spans="1:8" x14ac:dyDescent="0.3">
      <c r="A576" t="s">
        <v>78</v>
      </c>
      <c r="B576" t="s">
        <v>8</v>
      </c>
      <c r="C576" t="s">
        <v>14</v>
      </c>
      <c r="D576">
        <v>0</v>
      </c>
      <c r="E576" t="s">
        <v>68</v>
      </c>
      <c r="F576" t="s">
        <v>36</v>
      </c>
      <c r="G576" t="s">
        <v>37</v>
      </c>
      <c r="H576">
        <f t="shared" si="8"/>
        <v>0</v>
      </c>
    </row>
    <row r="577" spans="1:8" x14ac:dyDescent="0.3">
      <c r="A577" t="s">
        <v>78</v>
      </c>
      <c r="B577" t="s">
        <v>8</v>
      </c>
      <c r="C577" t="s">
        <v>15</v>
      </c>
      <c r="D577">
        <v>0</v>
      </c>
      <c r="E577" t="s">
        <v>68</v>
      </c>
      <c r="F577" t="s">
        <v>36</v>
      </c>
      <c r="G577" t="s">
        <v>37</v>
      </c>
      <c r="H577">
        <f t="shared" si="8"/>
        <v>0</v>
      </c>
    </row>
    <row r="578" spans="1:8" x14ac:dyDescent="0.3">
      <c r="A578" t="s">
        <v>78</v>
      </c>
      <c r="B578" t="s">
        <v>8</v>
      </c>
      <c r="C578" t="s">
        <v>16</v>
      </c>
      <c r="D578">
        <v>0</v>
      </c>
      <c r="E578" t="s">
        <v>68</v>
      </c>
      <c r="F578" t="s">
        <v>36</v>
      </c>
      <c r="G578" t="s">
        <v>37</v>
      </c>
      <c r="H578">
        <f t="shared" si="8"/>
        <v>0</v>
      </c>
    </row>
    <row r="579" spans="1:8" x14ac:dyDescent="0.3">
      <c r="A579" t="s">
        <v>78</v>
      </c>
      <c r="B579" t="s">
        <v>8</v>
      </c>
      <c r="C579" t="s">
        <v>17</v>
      </c>
      <c r="D579">
        <v>0</v>
      </c>
      <c r="E579" t="s">
        <v>68</v>
      </c>
      <c r="F579" t="s">
        <v>36</v>
      </c>
      <c r="G579" t="s">
        <v>37</v>
      </c>
      <c r="H579">
        <f t="shared" ref="H579:H642" si="9">ROUND(D579, 3 - LEN(INT(ABS(D579))))</f>
        <v>0</v>
      </c>
    </row>
    <row r="580" spans="1:8" x14ac:dyDescent="0.3">
      <c r="A580" t="s">
        <v>78</v>
      </c>
      <c r="B580" t="s">
        <v>8</v>
      </c>
      <c r="C580" t="s">
        <v>18</v>
      </c>
      <c r="D580">
        <v>0</v>
      </c>
      <c r="E580" t="s">
        <v>68</v>
      </c>
      <c r="F580" t="s">
        <v>36</v>
      </c>
      <c r="G580" t="s">
        <v>37</v>
      </c>
      <c r="H580">
        <f t="shared" si="9"/>
        <v>0</v>
      </c>
    </row>
    <row r="581" spans="1:8" x14ac:dyDescent="0.3">
      <c r="A581" t="s">
        <v>78</v>
      </c>
      <c r="B581" t="s">
        <v>8</v>
      </c>
      <c r="C581" t="s">
        <v>19</v>
      </c>
      <c r="D581">
        <v>0</v>
      </c>
      <c r="E581" t="s">
        <v>68</v>
      </c>
      <c r="F581" t="s">
        <v>36</v>
      </c>
      <c r="G581" t="s">
        <v>37</v>
      </c>
      <c r="H581">
        <f t="shared" si="9"/>
        <v>0</v>
      </c>
    </row>
    <row r="582" spans="1:8" x14ac:dyDescent="0.3">
      <c r="A582" t="s">
        <v>78</v>
      </c>
      <c r="B582" t="s">
        <v>8</v>
      </c>
      <c r="C582" t="s">
        <v>20</v>
      </c>
      <c r="D582">
        <v>0</v>
      </c>
      <c r="E582" t="s">
        <v>68</v>
      </c>
      <c r="F582" t="s">
        <v>36</v>
      </c>
      <c r="G582" t="s">
        <v>37</v>
      </c>
      <c r="H582">
        <f t="shared" si="9"/>
        <v>0</v>
      </c>
    </row>
    <row r="583" spans="1:8" x14ac:dyDescent="0.3">
      <c r="A583" t="s">
        <v>78</v>
      </c>
      <c r="B583" t="s">
        <v>8</v>
      </c>
      <c r="C583" t="s">
        <v>21</v>
      </c>
      <c r="D583">
        <v>0</v>
      </c>
      <c r="E583" t="s">
        <v>68</v>
      </c>
      <c r="F583" t="s">
        <v>36</v>
      </c>
      <c r="G583" t="s">
        <v>37</v>
      </c>
      <c r="H583">
        <f t="shared" si="9"/>
        <v>0</v>
      </c>
    </row>
    <row r="584" spans="1:8" x14ac:dyDescent="0.3">
      <c r="A584" t="s">
        <v>78</v>
      </c>
      <c r="B584" t="s">
        <v>8</v>
      </c>
      <c r="C584" t="s">
        <v>22</v>
      </c>
      <c r="D584">
        <v>0</v>
      </c>
      <c r="E584" t="s">
        <v>68</v>
      </c>
      <c r="F584" t="s">
        <v>36</v>
      </c>
      <c r="G584" t="s">
        <v>37</v>
      </c>
      <c r="H584">
        <f t="shared" si="9"/>
        <v>0</v>
      </c>
    </row>
    <row r="585" spans="1:8" x14ac:dyDescent="0.3">
      <c r="A585" t="s">
        <v>78</v>
      </c>
      <c r="B585" t="s">
        <v>23</v>
      </c>
      <c r="C585" t="s">
        <v>9</v>
      </c>
      <c r="D585">
        <v>215</v>
      </c>
      <c r="E585" t="s">
        <v>68</v>
      </c>
      <c r="F585" t="s">
        <v>36</v>
      </c>
      <c r="G585" t="s">
        <v>37</v>
      </c>
      <c r="H585">
        <f t="shared" si="9"/>
        <v>215</v>
      </c>
    </row>
    <row r="586" spans="1:8" x14ac:dyDescent="0.3">
      <c r="A586" t="s">
        <v>78</v>
      </c>
      <c r="B586" t="s">
        <v>23</v>
      </c>
      <c r="C586" t="s">
        <v>13</v>
      </c>
      <c r="D586">
        <v>34</v>
      </c>
      <c r="E586" t="s">
        <v>68</v>
      </c>
      <c r="F586" t="s">
        <v>36</v>
      </c>
      <c r="G586" t="s">
        <v>37</v>
      </c>
      <c r="H586">
        <f t="shared" si="9"/>
        <v>34</v>
      </c>
    </row>
    <row r="587" spans="1:8" x14ac:dyDescent="0.3">
      <c r="A587" t="s">
        <v>78</v>
      </c>
      <c r="B587" t="s">
        <v>23</v>
      </c>
      <c r="C587" t="s">
        <v>14</v>
      </c>
      <c r="D587">
        <v>695</v>
      </c>
      <c r="E587" t="s">
        <v>68</v>
      </c>
      <c r="F587" t="s">
        <v>36</v>
      </c>
      <c r="G587" t="s">
        <v>37</v>
      </c>
      <c r="H587">
        <f t="shared" si="9"/>
        <v>695</v>
      </c>
    </row>
    <row r="588" spans="1:8" x14ac:dyDescent="0.3">
      <c r="A588" t="s">
        <v>78</v>
      </c>
      <c r="B588" t="s">
        <v>23</v>
      </c>
      <c r="C588" t="s">
        <v>15</v>
      </c>
      <c r="D588">
        <v>99</v>
      </c>
      <c r="E588" t="s">
        <v>68</v>
      </c>
      <c r="F588" t="s">
        <v>36</v>
      </c>
      <c r="G588" t="s">
        <v>37</v>
      </c>
      <c r="H588">
        <f t="shared" si="9"/>
        <v>99</v>
      </c>
    </row>
    <row r="589" spans="1:8" x14ac:dyDescent="0.3">
      <c r="A589" t="s">
        <v>78</v>
      </c>
      <c r="B589" t="s">
        <v>23</v>
      </c>
      <c r="C589" t="s">
        <v>16</v>
      </c>
      <c r="D589">
        <v>548668</v>
      </c>
      <c r="E589" t="s">
        <v>68</v>
      </c>
      <c r="F589" t="s">
        <v>36</v>
      </c>
      <c r="G589" t="s">
        <v>37</v>
      </c>
      <c r="H589">
        <f t="shared" si="9"/>
        <v>549000</v>
      </c>
    </row>
    <row r="590" spans="1:8" x14ac:dyDescent="0.3">
      <c r="A590" t="s">
        <v>78</v>
      </c>
      <c r="B590" t="s">
        <v>23</v>
      </c>
      <c r="C590" t="s">
        <v>17</v>
      </c>
      <c r="D590">
        <v>54</v>
      </c>
      <c r="E590" t="s">
        <v>68</v>
      </c>
      <c r="F590" t="s">
        <v>36</v>
      </c>
      <c r="G590" t="s">
        <v>37</v>
      </c>
      <c r="H590">
        <f t="shared" si="9"/>
        <v>54</v>
      </c>
    </row>
    <row r="591" spans="1:8" x14ac:dyDescent="0.3">
      <c r="A591" t="s">
        <v>78</v>
      </c>
      <c r="B591" t="s">
        <v>23</v>
      </c>
      <c r="C591" t="s">
        <v>18</v>
      </c>
      <c r="D591">
        <v>0</v>
      </c>
      <c r="E591" t="s">
        <v>68</v>
      </c>
      <c r="F591" t="s">
        <v>36</v>
      </c>
      <c r="G591" t="s">
        <v>37</v>
      </c>
      <c r="H591">
        <f t="shared" si="9"/>
        <v>0</v>
      </c>
    </row>
    <row r="592" spans="1:8" x14ac:dyDescent="0.3">
      <c r="A592" t="s">
        <v>78</v>
      </c>
      <c r="B592" t="s">
        <v>23</v>
      </c>
      <c r="C592" t="s">
        <v>19</v>
      </c>
      <c r="D592">
        <v>12</v>
      </c>
      <c r="E592" t="s">
        <v>68</v>
      </c>
      <c r="F592" t="s">
        <v>36</v>
      </c>
      <c r="G592" t="s">
        <v>37</v>
      </c>
      <c r="H592">
        <f t="shared" si="9"/>
        <v>12</v>
      </c>
    </row>
    <row r="593" spans="1:8" x14ac:dyDescent="0.3">
      <c r="A593" t="s">
        <v>78</v>
      </c>
      <c r="B593" t="s">
        <v>23</v>
      </c>
      <c r="C593" t="s">
        <v>20</v>
      </c>
      <c r="D593">
        <v>754</v>
      </c>
      <c r="E593" t="s">
        <v>68</v>
      </c>
      <c r="F593" t="s">
        <v>36</v>
      </c>
      <c r="G593" t="s">
        <v>37</v>
      </c>
      <c r="H593">
        <f t="shared" si="9"/>
        <v>754</v>
      </c>
    </row>
    <row r="594" spans="1:8" x14ac:dyDescent="0.3">
      <c r="A594" t="s">
        <v>78</v>
      </c>
      <c r="B594" t="s">
        <v>23</v>
      </c>
      <c r="C594" t="s">
        <v>21</v>
      </c>
      <c r="D594">
        <v>251</v>
      </c>
      <c r="E594" t="s">
        <v>68</v>
      </c>
      <c r="F594" t="s">
        <v>36</v>
      </c>
      <c r="G594" t="s">
        <v>37</v>
      </c>
      <c r="H594">
        <f t="shared" si="9"/>
        <v>251</v>
      </c>
    </row>
    <row r="595" spans="1:8" x14ac:dyDescent="0.3">
      <c r="A595" t="s">
        <v>78</v>
      </c>
      <c r="B595" t="s">
        <v>23</v>
      </c>
      <c r="C595" t="s">
        <v>22</v>
      </c>
      <c r="D595">
        <v>122</v>
      </c>
      <c r="E595" t="s">
        <v>68</v>
      </c>
      <c r="F595" t="s">
        <v>36</v>
      </c>
      <c r="G595" t="s">
        <v>37</v>
      </c>
      <c r="H595">
        <f t="shared" si="9"/>
        <v>122</v>
      </c>
    </row>
    <row r="596" spans="1:8" x14ac:dyDescent="0.3">
      <c r="A596" t="s">
        <v>79</v>
      </c>
      <c r="B596" t="s">
        <v>8</v>
      </c>
      <c r="C596" t="s">
        <v>9</v>
      </c>
      <c r="D596">
        <v>0</v>
      </c>
      <c r="E596" t="s">
        <v>68</v>
      </c>
      <c r="F596" t="s">
        <v>36</v>
      </c>
      <c r="G596" t="s">
        <v>37</v>
      </c>
      <c r="H596">
        <f t="shared" si="9"/>
        <v>0</v>
      </c>
    </row>
    <row r="597" spans="1:8" x14ac:dyDescent="0.3">
      <c r="A597" t="s">
        <v>79</v>
      </c>
      <c r="B597" t="s">
        <v>8</v>
      </c>
      <c r="C597" t="s">
        <v>13</v>
      </c>
      <c r="D597">
        <v>0</v>
      </c>
      <c r="E597" t="s">
        <v>68</v>
      </c>
      <c r="F597" t="s">
        <v>36</v>
      </c>
      <c r="G597" t="s">
        <v>37</v>
      </c>
      <c r="H597">
        <f t="shared" si="9"/>
        <v>0</v>
      </c>
    </row>
    <row r="598" spans="1:8" x14ac:dyDescent="0.3">
      <c r="A598" t="s">
        <v>79</v>
      </c>
      <c r="B598" t="s">
        <v>8</v>
      </c>
      <c r="C598" t="s">
        <v>14</v>
      </c>
      <c r="D598">
        <v>0</v>
      </c>
      <c r="E598" t="s">
        <v>68</v>
      </c>
      <c r="F598" t="s">
        <v>36</v>
      </c>
      <c r="G598" t="s">
        <v>37</v>
      </c>
      <c r="H598">
        <f t="shared" si="9"/>
        <v>0</v>
      </c>
    </row>
    <row r="599" spans="1:8" x14ac:dyDescent="0.3">
      <c r="A599" t="s">
        <v>79</v>
      </c>
      <c r="B599" t="s">
        <v>8</v>
      </c>
      <c r="C599" t="s">
        <v>15</v>
      </c>
      <c r="D599">
        <v>0</v>
      </c>
      <c r="E599" t="s">
        <v>68</v>
      </c>
      <c r="F599" t="s">
        <v>36</v>
      </c>
      <c r="G599" t="s">
        <v>37</v>
      </c>
      <c r="H599">
        <f t="shared" si="9"/>
        <v>0</v>
      </c>
    </row>
    <row r="600" spans="1:8" x14ac:dyDescent="0.3">
      <c r="A600" t="s">
        <v>79</v>
      </c>
      <c r="B600" t="s">
        <v>8</v>
      </c>
      <c r="C600" t="s">
        <v>16</v>
      </c>
      <c r="D600">
        <v>0</v>
      </c>
      <c r="E600" t="s">
        <v>68</v>
      </c>
      <c r="F600" t="s">
        <v>36</v>
      </c>
      <c r="G600" t="s">
        <v>37</v>
      </c>
      <c r="H600">
        <f t="shared" si="9"/>
        <v>0</v>
      </c>
    </row>
    <row r="601" spans="1:8" x14ac:dyDescent="0.3">
      <c r="A601" t="s">
        <v>79</v>
      </c>
      <c r="B601" t="s">
        <v>8</v>
      </c>
      <c r="C601" t="s">
        <v>17</v>
      </c>
      <c r="D601">
        <v>0</v>
      </c>
      <c r="E601" t="s">
        <v>68</v>
      </c>
      <c r="F601" t="s">
        <v>36</v>
      </c>
      <c r="G601" t="s">
        <v>37</v>
      </c>
      <c r="H601">
        <f t="shared" si="9"/>
        <v>0</v>
      </c>
    </row>
    <row r="602" spans="1:8" x14ac:dyDescent="0.3">
      <c r="A602" t="s">
        <v>79</v>
      </c>
      <c r="B602" t="s">
        <v>8</v>
      </c>
      <c r="C602" t="s">
        <v>18</v>
      </c>
      <c r="D602">
        <v>0</v>
      </c>
      <c r="E602" t="s">
        <v>68</v>
      </c>
      <c r="F602" t="s">
        <v>36</v>
      </c>
      <c r="G602" t="s">
        <v>37</v>
      </c>
      <c r="H602">
        <f t="shared" si="9"/>
        <v>0</v>
      </c>
    </row>
    <row r="603" spans="1:8" x14ac:dyDescent="0.3">
      <c r="A603" t="s">
        <v>79</v>
      </c>
      <c r="B603" t="s">
        <v>8</v>
      </c>
      <c r="C603" t="s">
        <v>19</v>
      </c>
      <c r="D603">
        <v>0</v>
      </c>
      <c r="E603" t="s">
        <v>68</v>
      </c>
      <c r="F603" t="s">
        <v>36</v>
      </c>
      <c r="G603" t="s">
        <v>37</v>
      </c>
      <c r="H603">
        <f t="shared" si="9"/>
        <v>0</v>
      </c>
    </row>
    <row r="604" spans="1:8" x14ac:dyDescent="0.3">
      <c r="A604" t="s">
        <v>79</v>
      </c>
      <c r="B604" t="s">
        <v>8</v>
      </c>
      <c r="C604" t="s">
        <v>20</v>
      </c>
      <c r="D604">
        <v>0</v>
      </c>
      <c r="E604" t="s">
        <v>68</v>
      </c>
      <c r="F604" t="s">
        <v>36</v>
      </c>
      <c r="G604" t="s">
        <v>37</v>
      </c>
      <c r="H604">
        <f t="shared" si="9"/>
        <v>0</v>
      </c>
    </row>
    <row r="605" spans="1:8" x14ac:dyDescent="0.3">
      <c r="A605" t="s">
        <v>79</v>
      </c>
      <c r="B605" t="s">
        <v>8</v>
      </c>
      <c r="C605" t="s">
        <v>21</v>
      </c>
      <c r="D605">
        <v>0</v>
      </c>
      <c r="E605" t="s">
        <v>68</v>
      </c>
      <c r="F605" t="s">
        <v>36</v>
      </c>
      <c r="G605" t="s">
        <v>37</v>
      </c>
      <c r="H605">
        <f t="shared" si="9"/>
        <v>0</v>
      </c>
    </row>
    <row r="606" spans="1:8" x14ac:dyDescent="0.3">
      <c r="A606" t="s">
        <v>79</v>
      </c>
      <c r="B606" t="s">
        <v>8</v>
      </c>
      <c r="C606" t="s">
        <v>22</v>
      </c>
      <c r="D606">
        <v>0</v>
      </c>
      <c r="E606" t="s">
        <v>68</v>
      </c>
      <c r="F606" t="s">
        <v>36</v>
      </c>
      <c r="G606" t="s">
        <v>37</v>
      </c>
      <c r="H606">
        <f t="shared" si="9"/>
        <v>0</v>
      </c>
    </row>
    <row r="607" spans="1:8" x14ac:dyDescent="0.3">
      <c r="A607" t="s">
        <v>79</v>
      </c>
      <c r="B607" t="s">
        <v>23</v>
      </c>
      <c r="C607" t="s">
        <v>9</v>
      </c>
      <c r="D607">
        <v>184</v>
      </c>
      <c r="E607" t="s">
        <v>68</v>
      </c>
      <c r="F607" t="s">
        <v>36</v>
      </c>
      <c r="G607" t="s">
        <v>37</v>
      </c>
      <c r="H607">
        <f t="shared" si="9"/>
        <v>184</v>
      </c>
    </row>
    <row r="608" spans="1:8" x14ac:dyDescent="0.3">
      <c r="A608" t="s">
        <v>79</v>
      </c>
      <c r="B608" t="s">
        <v>23</v>
      </c>
      <c r="C608" t="s">
        <v>13</v>
      </c>
      <c r="D608">
        <v>29</v>
      </c>
      <c r="E608" t="s">
        <v>68</v>
      </c>
      <c r="F608" t="s">
        <v>36</v>
      </c>
      <c r="G608" t="s">
        <v>37</v>
      </c>
      <c r="H608">
        <f t="shared" si="9"/>
        <v>29</v>
      </c>
    </row>
    <row r="609" spans="1:8" x14ac:dyDescent="0.3">
      <c r="A609" t="s">
        <v>79</v>
      </c>
      <c r="B609" t="s">
        <v>23</v>
      </c>
      <c r="C609" t="s">
        <v>14</v>
      </c>
      <c r="D609">
        <v>594</v>
      </c>
      <c r="E609" t="s">
        <v>68</v>
      </c>
      <c r="F609" t="s">
        <v>36</v>
      </c>
      <c r="G609" t="s">
        <v>37</v>
      </c>
      <c r="H609">
        <f t="shared" si="9"/>
        <v>594</v>
      </c>
    </row>
    <row r="610" spans="1:8" x14ac:dyDescent="0.3">
      <c r="A610" t="s">
        <v>79</v>
      </c>
      <c r="B610" t="s">
        <v>23</v>
      </c>
      <c r="C610" t="s">
        <v>15</v>
      </c>
      <c r="D610">
        <v>84</v>
      </c>
      <c r="E610" t="s">
        <v>68</v>
      </c>
      <c r="F610" t="s">
        <v>36</v>
      </c>
      <c r="G610" t="s">
        <v>37</v>
      </c>
      <c r="H610">
        <f t="shared" si="9"/>
        <v>84</v>
      </c>
    </row>
    <row r="611" spans="1:8" x14ac:dyDescent="0.3">
      <c r="A611" t="s">
        <v>79</v>
      </c>
      <c r="B611" t="s">
        <v>23</v>
      </c>
      <c r="C611" t="s">
        <v>16</v>
      </c>
      <c r="D611">
        <v>469416</v>
      </c>
      <c r="E611" t="s">
        <v>68</v>
      </c>
      <c r="F611" t="s">
        <v>36</v>
      </c>
      <c r="G611" t="s">
        <v>37</v>
      </c>
      <c r="H611">
        <f t="shared" si="9"/>
        <v>469000</v>
      </c>
    </row>
    <row r="612" spans="1:8" x14ac:dyDescent="0.3">
      <c r="A612" t="s">
        <v>79</v>
      </c>
      <c r="B612" t="s">
        <v>23</v>
      </c>
      <c r="C612" t="s">
        <v>17</v>
      </c>
      <c r="D612">
        <v>46</v>
      </c>
      <c r="E612" t="s">
        <v>68</v>
      </c>
      <c r="F612" t="s">
        <v>36</v>
      </c>
      <c r="G612" t="s">
        <v>37</v>
      </c>
      <c r="H612">
        <f t="shared" si="9"/>
        <v>46</v>
      </c>
    </row>
    <row r="613" spans="1:8" x14ac:dyDescent="0.3">
      <c r="A613" t="s">
        <v>79</v>
      </c>
      <c r="B613" t="s">
        <v>23</v>
      </c>
      <c r="C613" t="s">
        <v>18</v>
      </c>
      <c r="D613">
        <v>0</v>
      </c>
      <c r="E613" t="s">
        <v>68</v>
      </c>
      <c r="F613" t="s">
        <v>36</v>
      </c>
      <c r="G613" t="s">
        <v>37</v>
      </c>
      <c r="H613">
        <f t="shared" si="9"/>
        <v>0</v>
      </c>
    </row>
    <row r="614" spans="1:8" x14ac:dyDescent="0.3">
      <c r="A614" t="s">
        <v>79</v>
      </c>
      <c r="B614" t="s">
        <v>23</v>
      </c>
      <c r="C614" t="s">
        <v>19</v>
      </c>
      <c r="D614">
        <v>10</v>
      </c>
      <c r="E614" t="s">
        <v>68</v>
      </c>
      <c r="F614" t="s">
        <v>36</v>
      </c>
      <c r="G614" t="s">
        <v>37</v>
      </c>
      <c r="H614">
        <f t="shared" si="9"/>
        <v>10</v>
      </c>
    </row>
    <row r="615" spans="1:8" x14ac:dyDescent="0.3">
      <c r="A615" t="s">
        <v>79</v>
      </c>
      <c r="B615" t="s">
        <v>23</v>
      </c>
      <c r="C615" t="s">
        <v>20</v>
      </c>
      <c r="D615">
        <v>645</v>
      </c>
      <c r="E615" t="s">
        <v>68</v>
      </c>
      <c r="F615" t="s">
        <v>36</v>
      </c>
      <c r="G615" t="s">
        <v>37</v>
      </c>
      <c r="H615">
        <f t="shared" si="9"/>
        <v>645</v>
      </c>
    </row>
    <row r="616" spans="1:8" x14ac:dyDescent="0.3">
      <c r="A616" t="s">
        <v>79</v>
      </c>
      <c r="B616" t="s">
        <v>23</v>
      </c>
      <c r="C616" t="s">
        <v>21</v>
      </c>
      <c r="D616">
        <v>215</v>
      </c>
      <c r="E616" t="s">
        <v>68</v>
      </c>
      <c r="F616" t="s">
        <v>36</v>
      </c>
      <c r="G616" t="s">
        <v>37</v>
      </c>
      <c r="H616">
        <f t="shared" si="9"/>
        <v>215</v>
      </c>
    </row>
    <row r="617" spans="1:8" x14ac:dyDescent="0.3">
      <c r="A617" t="s">
        <v>79</v>
      </c>
      <c r="B617" t="s">
        <v>23</v>
      </c>
      <c r="C617" t="s">
        <v>22</v>
      </c>
      <c r="D617">
        <v>104</v>
      </c>
      <c r="E617" t="s">
        <v>68</v>
      </c>
      <c r="F617" t="s">
        <v>36</v>
      </c>
      <c r="G617" t="s">
        <v>37</v>
      </c>
      <c r="H617">
        <f t="shared" si="9"/>
        <v>104</v>
      </c>
    </row>
    <row r="618" spans="1:8" x14ac:dyDescent="0.3">
      <c r="A618" t="s">
        <v>80</v>
      </c>
      <c r="B618" t="s">
        <v>8</v>
      </c>
      <c r="C618" t="s">
        <v>9</v>
      </c>
      <c r="D618">
        <v>0</v>
      </c>
      <c r="E618" t="s">
        <v>68</v>
      </c>
      <c r="F618" t="s">
        <v>36</v>
      </c>
      <c r="G618" t="s">
        <v>37</v>
      </c>
      <c r="H618">
        <f t="shared" si="9"/>
        <v>0</v>
      </c>
    </row>
    <row r="619" spans="1:8" x14ac:dyDescent="0.3">
      <c r="A619" t="s">
        <v>80</v>
      </c>
      <c r="B619" t="s">
        <v>8</v>
      </c>
      <c r="C619" t="s">
        <v>13</v>
      </c>
      <c r="D619">
        <v>0</v>
      </c>
      <c r="E619" t="s">
        <v>68</v>
      </c>
      <c r="F619" t="s">
        <v>36</v>
      </c>
      <c r="G619" t="s">
        <v>37</v>
      </c>
      <c r="H619">
        <f t="shared" si="9"/>
        <v>0</v>
      </c>
    </row>
    <row r="620" spans="1:8" x14ac:dyDescent="0.3">
      <c r="A620" t="s">
        <v>80</v>
      </c>
      <c r="B620" t="s">
        <v>8</v>
      </c>
      <c r="C620" t="s">
        <v>14</v>
      </c>
      <c r="D620">
        <v>0</v>
      </c>
      <c r="E620" t="s">
        <v>68</v>
      </c>
      <c r="F620" t="s">
        <v>36</v>
      </c>
      <c r="G620" t="s">
        <v>37</v>
      </c>
      <c r="H620">
        <f t="shared" si="9"/>
        <v>0</v>
      </c>
    </row>
    <row r="621" spans="1:8" x14ac:dyDescent="0.3">
      <c r="A621" t="s">
        <v>80</v>
      </c>
      <c r="B621" t="s">
        <v>8</v>
      </c>
      <c r="C621" t="s">
        <v>15</v>
      </c>
      <c r="D621">
        <v>0</v>
      </c>
      <c r="E621" t="s">
        <v>68</v>
      </c>
      <c r="F621" t="s">
        <v>36</v>
      </c>
      <c r="G621" t="s">
        <v>37</v>
      </c>
      <c r="H621">
        <f t="shared" si="9"/>
        <v>0</v>
      </c>
    </row>
    <row r="622" spans="1:8" x14ac:dyDescent="0.3">
      <c r="A622" t="s">
        <v>80</v>
      </c>
      <c r="B622" t="s">
        <v>8</v>
      </c>
      <c r="C622" t="s">
        <v>16</v>
      </c>
      <c r="D622">
        <v>0</v>
      </c>
      <c r="E622" t="s">
        <v>68</v>
      </c>
      <c r="F622" t="s">
        <v>36</v>
      </c>
      <c r="G622" t="s">
        <v>37</v>
      </c>
      <c r="H622">
        <f t="shared" si="9"/>
        <v>0</v>
      </c>
    </row>
    <row r="623" spans="1:8" x14ac:dyDescent="0.3">
      <c r="A623" t="s">
        <v>80</v>
      </c>
      <c r="B623" t="s">
        <v>8</v>
      </c>
      <c r="C623" t="s">
        <v>17</v>
      </c>
      <c r="D623">
        <v>0</v>
      </c>
      <c r="E623" t="s">
        <v>68</v>
      </c>
      <c r="F623" t="s">
        <v>36</v>
      </c>
      <c r="G623" t="s">
        <v>37</v>
      </c>
      <c r="H623">
        <f t="shared" si="9"/>
        <v>0</v>
      </c>
    </row>
    <row r="624" spans="1:8" x14ac:dyDescent="0.3">
      <c r="A624" t="s">
        <v>80</v>
      </c>
      <c r="B624" t="s">
        <v>8</v>
      </c>
      <c r="C624" t="s">
        <v>18</v>
      </c>
      <c r="D624">
        <v>0</v>
      </c>
      <c r="E624" t="s">
        <v>68</v>
      </c>
      <c r="F624" t="s">
        <v>36</v>
      </c>
      <c r="G624" t="s">
        <v>37</v>
      </c>
      <c r="H624">
        <f t="shared" si="9"/>
        <v>0</v>
      </c>
    </row>
    <row r="625" spans="1:8" x14ac:dyDescent="0.3">
      <c r="A625" t="s">
        <v>80</v>
      </c>
      <c r="B625" t="s">
        <v>8</v>
      </c>
      <c r="C625" t="s">
        <v>19</v>
      </c>
      <c r="D625">
        <v>0</v>
      </c>
      <c r="E625" t="s">
        <v>68</v>
      </c>
      <c r="F625" t="s">
        <v>36</v>
      </c>
      <c r="G625" t="s">
        <v>37</v>
      </c>
      <c r="H625">
        <f t="shared" si="9"/>
        <v>0</v>
      </c>
    </row>
    <row r="626" spans="1:8" x14ac:dyDescent="0.3">
      <c r="A626" t="s">
        <v>80</v>
      </c>
      <c r="B626" t="s">
        <v>8</v>
      </c>
      <c r="C626" t="s">
        <v>20</v>
      </c>
      <c r="D626">
        <v>0</v>
      </c>
      <c r="E626" t="s">
        <v>68</v>
      </c>
      <c r="F626" t="s">
        <v>36</v>
      </c>
      <c r="G626" t="s">
        <v>37</v>
      </c>
      <c r="H626">
        <f t="shared" si="9"/>
        <v>0</v>
      </c>
    </row>
    <row r="627" spans="1:8" x14ac:dyDescent="0.3">
      <c r="A627" t="s">
        <v>80</v>
      </c>
      <c r="B627" t="s">
        <v>8</v>
      </c>
      <c r="C627" t="s">
        <v>21</v>
      </c>
      <c r="D627">
        <v>0</v>
      </c>
      <c r="E627" t="s">
        <v>68</v>
      </c>
      <c r="F627" t="s">
        <v>36</v>
      </c>
      <c r="G627" t="s">
        <v>37</v>
      </c>
      <c r="H627">
        <f t="shared" si="9"/>
        <v>0</v>
      </c>
    </row>
    <row r="628" spans="1:8" x14ac:dyDescent="0.3">
      <c r="A628" t="s">
        <v>80</v>
      </c>
      <c r="B628" t="s">
        <v>8</v>
      </c>
      <c r="C628" t="s">
        <v>22</v>
      </c>
      <c r="D628">
        <v>0</v>
      </c>
      <c r="E628" t="s">
        <v>68</v>
      </c>
      <c r="F628" t="s">
        <v>36</v>
      </c>
      <c r="G628" t="s">
        <v>37</v>
      </c>
      <c r="H628">
        <f t="shared" si="9"/>
        <v>0</v>
      </c>
    </row>
    <row r="629" spans="1:8" x14ac:dyDescent="0.3">
      <c r="A629" t="s">
        <v>80</v>
      </c>
      <c r="B629" t="s">
        <v>23</v>
      </c>
      <c r="C629" t="s">
        <v>9</v>
      </c>
      <c r="D629">
        <v>701</v>
      </c>
      <c r="E629" t="s">
        <v>68</v>
      </c>
      <c r="F629" t="s">
        <v>36</v>
      </c>
      <c r="G629" t="s">
        <v>37</v>
      </c>
      <c r="H629">
        <f t="shared" si="9"/>
        <v>701</v>
      </c>
    </row>
    <row r="630" spans="1:8" x14ac:dyDescent="0.3">
      <c r="A630" t="s">
        <v>80</v>
      </c>
      <c r="B630" t="s">
        <v>23</v>
      </c>
      <c r="C630" t="s">
        <v>13</v>
      </c>
      <c r="D630">
        <v>6825</v>
      </c>
      <c r="E630" t="s">
        <v>68</v>
      </c>
      <c r="F630" t="s">
        <v>36</v>
      </c>
      <c r="G630" t="s">
        <v>37</v>
      </c>
      <c r="H630">
        <f t="shared" si="9"/>
        <v>6830</v>
      </c>
    </row>
    <row r="631" spans="1:8" x14ac:dyDescent="0.3">
      <c r="A631" t="s">
        <v>80</v>
      </c>
      <c r="B631" t="s">
        <v>23</v>
      </c>
      <c r="C631" t="s">
        <v>14</v>
      </c>
      <c r="D631">
        <v>910</v>
      </c>
      <c r="E631" t="s">
        <v>68</v>
      </c>
      <c r="F631" t="s">
        <v>36</v>
      </c>
      <c r="G631" t="s">
        <v>37</v>
      </c>
      <c r="H631">
        <f t="shared" si="9"/>
        <v>910</v>
      </c>
    </row>
    <row r="632" spans="1:8" x14ac:dyDescent="0.3">
      <c r="A632" t="s">
        <v>80</v>
      </c>
      <c r="B632" t="s">
        <v>23</v>
      </c>
      <c r="C632" t="s">
        <v>15</v>
      </c>
      <c r="D632">
        <v>6204</v>
      </c>
      <c r="E632" t="s">
        <v>68</v>
      </c>
      <c r="F632" t="s">
        <v>36</v>
      </c>
      <c r="G632" t="s">
        <v>37</v>
      </c>
      <c r="H632">
        <f t="shared" si="9"/>
        <v>6200</v>
      </c>
    </row>
    <row r="633" spans="1:8" x14ac:dyDescent="0.3">
      <c r="A633" t="s">
        <v>80</v>
      </c>
      <c r="B633" t="s">
        <v>23</v>
      </c>
      <c r="C633" t="s">
        <v>16</v>
      </c>
      <c r="D633">
        <v>6321</v>
      </c>
      <c r="E633" t="s">
        <v>68</v>
      </c>
      <c r="F633" t="s">
        <v>36</v>
      </c>
      <c r="G633" t="s">
        <v>37</v>
      </c>
      <c r="H633">
        <f t="shared" si="9"/>
        <v>6320</v>
      </c>
    </row>
    <row r="634" spans="1:8" x14ac:dyDescent="0.3">
      <c r="A634" t="s">
        <v>80</v>
      </c>
      <c r="B634" t="s">
        <v>23</v>
      </c>
      <c r="C634" t="s">
        <v>17</v>
      </c>
      <c r="D634">
        <v>18</v>
      </c>
      <c r="E634" t="s">
        <v>68</v>
      </c>
      <c r="F634" t="s">
        <v>36</v>
      </c>
      <c r="G634" t="s">
        <v>37</v>
      </c>
      <c r="H634">
        <f t="shared" si="9"/>
        <v>18</v>
      </c>
    </row>
    <row r="635" spans="1:8" x14ac:dyDescent="0.3">
      <c r="A635" t="s">
        <v>80</v>
      </c>
      <c r="B635" t="s">
        <v>23</v>
      </c>
      <c r="C635" t="s">
        <v>18</v>
      </c>
      <c r="D635">
        <v>0</v>
      </c>
      <c r="E635" t="s">
        <v>68</v>
      </c>
      <c r="F635" t="s">
        <v>36</v>
      </c>
      <c r="G635" t="s">
        <v>37</v>
      </c>
      <c r="H635">
        <f t="shared" si="9"/>
        <v>0</v>
      </c>
    </row>
    <row r="636" spans="1:8" x14ac:dyDescent="0.3">
      <c r="A636" t="s">
        <v>80</v>
      </c>
      <c r="B636" t="s">
        <v>23</v>
      </c>
      <c r="C636" t="s">
        <v>19</v>
      </c>
      <c r="D636">
        <v>2038</v>
      </c>
      <c r="E636" t="s">
        <v>68</v>
      </c>
      <c r="F636" t="s">
        <v>36</v>
      </c>
      <c r="G636" t="s">
        <v>37</v>
      </c>
      <c r="H636">
        <f t="shared" si="9"/>
        <v>2040</v>
      </c>
    </row>
    <row r="637" spans="1:8" x14ac:dyDescent="0.3">
      <c r="A637" t="s">
        <v>80</v>
      </c>
      <c r="B637" t="s">
        <v>23</v>
      </c>
      <c r="C637" t="s">
        <v>20</v>
      </c>
      <c r="D637">
        <v>2069</v>
      </c>
      <c r="E637" t="s">
        <v>68</v>
      </c>
      <c r="F637" t="s">
        <v>36</v>
      </c>
      <c r="G637" t="s">
        <v>37</v>
      </c>
      <c r="H637">
        <f t="shared" si="9"/>
        <v>2070</v>
      </c>
    </row>
    <row r="638" spans="1:8" x14ac:dyDescent="0.3">
      <c r="A638" t="s">
        <v>80</v>
      </c>
      <c r="B638" t="s">
        <v>23</v>
      </c>
      <c r="C638" t="s">
        <v>21</v>
      </c>
      <c r="D638">
        <v>224</v>
      </c>
      <c r="E638" t="s">
        <v>68</v>
      </c>
      <c r="F638" t="s">
        <v>36</v>
      </c>
      <c r="G638" t="s">
        <v>37</v>
      </c>
      <c r="H638">
        <f t="shared" si="9"/>
        <v>224</v>
      </c>
    </row>
    <row r="639" spans="1:8" x14ac:dyDescent="0.3">
      <c r="A639" t="s">
        <v>80</v>
      </c>
      <c r="B639" t="s">
        <v>23</v>
      </c>
      <c r="C639" t="s">
        <v>22</v>
      </c>
      <c r="D639">
        <v>70312</v>
      </c>
      <c r="E639" t="s">
        <v>68</v>
      </c>
      <c r="F639" t="s">
        <v>36</v>
      </c>
      <c r="G639" t="s">
        <v>37</v>
      </c>
      <c r="H639">
        <f t="shared" si="9"/>
        <v>70300</v>
      </c>
    </row>
    <row r="640" spans="1:8" x14ac:dyDescent="0.3">
      <c r="A640" t="s">
        <v>81</v>
      </c>
      <c r="B640" t="s">
        <v>8</v>
      </c>
      <c r="C640" t="s">
        <v>9</v>
      </c>
      <c r="D640">
        <v>0</v>
      </c>
      <c r="E640" t="s">
        <v>68</v>
      </c>
      <c r="F640" t="s">
        <v>36</v>
      </c>
      <c r="G640" t="s">
        <v>37</v>
      </c>
      <c r="H640">
        <f t="shared" si="9"/>
        <v>0</v>
      </c>
    </row>
    <row r="641" spans="1:8" x14ac:dyDescent="0.3">
      <c r="A641" t="s">
        <v>81</v>
      </c>
      <c r="B641" t="s">
        <v>8</v>
      </c>
      <c r="C641" t="s">
        <v>13</v>
      </c>
      <c r="D641">
        <v>0</v>
      </c>
      <c r="E641" t="s">
        <v>68</v>
      </c>
      <c r="F641" t="s">
        <v>36</v>
      </c>
      <c r="G641" t="s">
        <v>37</v>
      </c>
      <c r="H641">
        <f t="shared" si="9"/>
        <v>0</v>
      </c>
    </row>
    <row r="642" spans="1:8" x14ac:dyDescent="0.3">
      <c r="A642" t="s">
        <v>81</v>
      </c>
      <c r="B642" t="s">
        <v>8</v>
      </c>
      <c r="C642" t="s">
        <v>14</v>
      </c>
      <c r="D642">
        <v>0</v>
      </c>
      <c r="E642" t="s">
        <v>68</v>
      </c>
      <c r="F642" t="s">
        <v>36</v>
      </c>
      <c r="G642" t="s">
        <v>37</v>
      </c>
      <c r="H642">
        <f t="shared" si="9"/>
        <v>0</v>
      </c>
    </row>
    <row r="643" spans="1:8" x14ac:dyDescent="0.3">
      <c r="A643" t="s">
        <v>81</v>
      </c>
      <c r="B643" t="s">
        <v>8</v>
      </c>
      <c r="C643" t="s">
        <v>15</v>
      </c>
      <c r="D643">
        <v>0</v>
      </c>
      <c r="E643" t="s">
        <v>68</v>
      </c>
      <c r="F643" t="s">
        <v>36</v>
      </c>
      <c r="G643" t="s">
        <v>37</v>
      </c>
      <c r="H643">
        <f t="shared" ref="H643:H706" si="10">ROUND(D643, 3 - LEN(INT(ABS(D643))))</f>
        <v>0</v>
      </c>
    </row>
    <row r="644" spans="1:8" x14ac:dyDescent="0.3">
      <c r="A644" t="s">
        <v>81</v>
      </c>
      <c r="B644" t="s">
        <v>8</v>
      </c>
      <c r="C644" t="s">
        <v>16</v>
      </c>
      <c r="D644">
        <v>0</v>
      </c>
      <c r="E644" t="s">
        <v>68</v>
      </c>
      <c r="F644" t="s">
        <v>36</v>
      </c>
      <c r="G644" t="s">
        <v>37</v>
      </c>
      <c r="H644">
        <f t="shared" si="10"/>
        <v>0</v>
      </c>
    </row>
    <row r="645" spans="1:8" x14ac:dyDescent="0.3">
      <c r="A645" t="s">
        <v>81</v>
      </c>
      <c r="B645" t="s">
        <v>8</v>
      </c>
      <c r="C645" t="s">
        <v>17</v>
      </c>
      <c r="D645">
        <v>0</v>
      </c>
      <c r="E645" t="s">
        <v>68</v>
      </c>
      <c r="F645" t="s">
        <v>36</v>
      </c>
      <c r="G645" t="s">
        <v>37</v>
      </c>
      <c r="H645">
        <f t="shared" si="10"/>
        <v>0</v>
      </c>
    </row>
    <row r="646" spans="1:8" x14ac:dyDescent="0.3">
      <c r="A646" t="s">
        <v>81</v>
      </c>
      <c r="B646" t="s">
        <v>8</v>
      </c>
      <c r="C646" t="s">
        <v>18</v>
      </c>
      <c r="D646">
        <v>0</v>
      </c>
      <c r="E646" t="s">
        <v>68</v>
      </c>
      <c r="F646" t="s">
        <v>36</v>
      </c>
      <c r="G646" t="s">
        <v>37</v>
      </c>
      <c r="H646">
        <f t="shared" si="10"/>
        <v>0</v>
      </c>
    </row>
    <row r="647" spans="1:8" x14ac:dyDescent="0.3">
      <c r="A647" t="s">
        <v>81</v>
      </c>
      <c r="B647" t="s">
        <v>8</v>
      </c>
      <c r="C647" t="s">
        <v>19</v>
      </c>
      <c r="D647">
        <v>0</v>
      </c>
      <c r="E647" t="s">
        <v>68</v>
      </c>
      <c r="F647" t="s">
        <v>36</v>
      </c>
      <c r="G647" t="s">
        <v>37</v>
      </c>
      <c r="H647">
        <f t="shared" si="10"/>
        <v>0</v>
      </c>
    </row>
    <row r="648" spans="1:8" x14ac:dyDescent="0.3">
      <c r="A648" t="s">
        <v>81</v>
      </c>
      <c r="B648" t="s">
        <v>8</v>
      </c>
      <c r="C648" t="s">
        <v>20</v>
      </c>
      <c r="D648">
        <v>0</v>
      </c>
      <c r="E648" t="s">
        <v>68</v>
      </c>
      <c r="F648" t="s">
        <v>36</v>
      </c>
      <c r="G648" t="s">
        <v>37</v>
      </c>
      <c r="H648">
        <f t="shared" si="10"/>
        <v>0</v>
      </c>
    </row>
    <row r="649" spans="1:8" x14ac:dyDescent="0.3">
      <c r="A649" t="s">
        <v>81</v>
      </c>
      <c r="B649" t="s">
        <v>8</v>
      </c>
      <c r="C649" t="s">
        <v>21</v>
      </c>
      <c r="D649">
        <v>0</v>
      </c>
      <c r="E649" t="s">
        <v>68</v>
      </c>
      <c r="F649" t="s">
        <v>36</v>
      </c>
      <c r="G649" t="s">
        <v>37</v>
      </c>
      <c r="H649">
        <f t="shared" si="10"/>
        <v>0</v>
      </c>
    </row>
    <row r="650" spans="1:8" x14ac:dyDescent="0.3">
      <c r="A650" t="s">
        <v>81</v>
      </c>
      <c r="B650" t="s">
        <v>8</v>
      </c>
      <c r="C650" t="s">
        <v>22</v>
      </c>
      <c r="D650">
        <v>0</v>
      </c>
      <c r="E650" t="s">
        <v>68</v>
      </c>
      <c r="F650" t="s">
        <v>36</v>
      </c>
      <c r="G650" t="s">
        <v>37</v>
      </c>
      <c r="H650">
        <f t="shared" si="10"/>
        <v>0</v>
      </c>
    </row>
    <row r="651" spans="1:8" x14ac:dyDescent="0.3">
      <c r="A651" t="s">
        <v>81</v>
      </c>
      <c r="B651" t="s">
        <v>23</v>
      </c>
      <c r="C651" t="s">
        <v>9</v>
      </c>
      <c r="D651">
        <v>656</v>
      </c>
      <c r="E651" t="s">
        <v>68</v>
      </c>
      <c r="F651" t="s">
        <v>36</v>
      </c>
      <c r="G651" t="s">
        <v>37</v>
      </c>
      <c r="H651">
        <f t="shared" si="10"/>
        <v>656</v>
      </c>
    </row>
    <row r="652" spans="1:8" x14ac:dyDescent="0.3">
      <c r="A652" t="s">
        <v>81</v>
      </c>
      <c r="B652" t="s">
        <v>23</v>
      </c>
      <c r="C652" t="s">
        <v>13</v>
      </c>
      <c r="D652">
        <v>22132</v>
      </c>
      <c r="E652" t="s">
        <v>68</v>
      </c>
      <c r="F652" t="s">
        <v>36</v>
      </c>
      <c r="G652" t="s">
        <v>37</v>
      </c>
      <c r="H652">
        <f t="shared" si="10"/>
        <v>22100</v>
      </c>
    </row>
    <row r="653" spans="1:8" x14ac:dyDescent="0.3">
      <c r="A653" t="s">
        <v>81</v>
      </c>
      <c r="B653" t="s">
        <v>23</v>
      </c>
      <c r="C653" t="s">
        <v>14</v>
      </c>
      <c r="D653">
        <v>14811</v>
      </c>
      <c r="E653" t="s">
        <v>68</v>
      </c>
      <c r="F653" t="s">
        <v>36</v>
      </c>
      <c r="G653" t="s">
        <v>37</v>
      </c>
      <c r="H653">
        <f t="shared" si="10"/>
        <v>14800</v>
      </c>
    </row>
    <row r="654" spans="1:8" x14ac:dyDescent="0.3">
      <c r="A654" t="s">
        <v>81</v>
      </c>
      <c r="B654" t="s">
        <v>23</v>
      </c>
      <c r="C654" t="s">
        <v>15</v>
      </c>
      <c r="D654">
        <v>116257</v>
      </c>
      <c r="E654" t="s">
        <v>68</v>
      </c>
      <c r="F654" t="s">
        <v>36</v>
      </c>
      <c r="G654" t="s">
        <v>37</v>
      </c>
      <c r="H654">
        <f t="shared" si="10"/>
        <v>116000</v>
      </c>
    </row>
    <row r="655" spans="1:8" x14ac:dyDescent="0.3">
      <c r="A655" t="s">
        <v>81</v>
      </c>
      <c r="B655" t="s">
        <v>23</v>
      </c>
      <c r="C655" t="s">
        <v>16</v>
      </c>
      <c r="D655">
        <v>125973</v>
      </c>
      <c r="E655" t="s">
        <v>68</v>
      </c>
      <c r="F655" t="s">
        <v>36</v>
      </c>
      <c r="G655" t="s">
        <v>37</v>
      </c>
      <c r="H655">
        <f t="shared" si="10"/>
        <v>126000</v>
      </c>
    </row>
    <row r="656" spans="1:8" x14ac:dyDescent="0.3">
      <c r="A656" t="s">
        <v>81</v>
      </c>
      <c r="B656" t="s">
        <v>23</v>
      </c>
      <c r="C656" t="s">
        <v>17</v>
      </c>
      <c r="D656">
        <v>44</v>
      </c>
      <c r="E656" t="s">
        <v>68</v>
      </c>
      <c r="F656" t="s">
        <v>36</v>
      </c>
      <c r="G656" t="s">
        <v>37</v>
      </c>
      <c r="H656">
        <f t="shared" si="10"/>
        <v>44</v>
      </c>
    </row>
    <row r="657" spans="1:8" x14ac:dyDescent="0.3">
      <c r="A657" t="s">
        <v>81</v>
      </c>
      <c r="B657" t="s">
        <v>23</v>
      </c>
      <c r="C657" t="s">
        <v>18</v>
      </c>
      <c r="D657">
        <v>0</v>
      </c>
      <c r="E657" t="s">
        <v>68</v>
      </c>
      <c r="F657" t="s">
        <v>36</v>
      </c>
      <c r="G657" t="s">
        <v>37</v>
      </c>
      <c r="H657">
        <f t="shared" si="10"/>
        <v>0</v>
      </c>
    </row>
    <row r="658" spans="1:8" x14ac:dyDescent="0.3">
      <c r="A658" t="s">
        <v>81</v>
      </c>
      <c r="B658" t="s">
        <v>23</v>
      </c>
      <c r="C658" t="s">
        <v>19</v>
      </c>
      <c r="D658">
        <v>69515</v>
      </c>
      <c r="E658" t="s">
        <v>68</v>
      </c>
      <c r="F658" t="s">
        <v>36</v>
      </c>
      <c r="G658" t="s">
        <v>37</v>
      </c>
      <c r="H658">
        <f t="shared" si="10"/>
        <v>69500</v>
      </c>
    </row>
    <row r="659" spans="1:8" x14ac:dyDescent="0.3">
      <c r="A659" t="s">
        <v>81</v>
      </c>
      <c r="B659" t="s">
        <v>23</v>
      </c>
      <c r="C659" t="s">
        <v>20</v>
      </c>
      <c r="D659">
        <v>1781</v>
      </c>
      <c r="E659" t="s">
        <v>68</v>
      </c>
      <c r="F659" t="s">
        <v>36</v>
      </c>
      <c r="G659" t="s">
        <v>37</v>
      </c>
      <c r="H659">
        <f t="shared" si="10"/>
        <v>1780</v>
      </c>
    </row>
    <row r="660" spans="1:8" x14ac:dyDescent="0.3">
      <c r="A660" t="s">
        <v>81</v>
      </c>
      <c r="B660" t="s">
        <v>23</v>
      </c>
      <c r="C660" t="s">
        <v>21</v>
      </c>
      <c r="D660">
        <v>5212</v>
      </c>
      <c r="E660" t="s">
        <v>68</v>
      </c>
      <c r="F660" t="s">
        <v>36</v>
      </c>
      <c r="G660" t="s">
        <v>37</v>
      </c>
      <c r="H660">
        <f t="shared" si="10"/>
        <v>5210</v>
      </c>
    </row>
    <row r="661" spans="1:8" x14ac:dyDescent="0.3">
      <c r="A661" t="s">
        <v>81</v>
      </c>
      <c r="B661" t="s">
        <v>23</v>
      </c>
      <c r="C661" t="s">
        <v>22</v>
      </c>
      <c r="D661">
        <v>12144</v>
      </c>
      <c r="E661" t="s">
        <v>68</v>
      </c>
      <c r="F661" t="s">
        <v>36</v>
      </c>
      <c r="G661" t="s">
        <v>37</v>
      </c>
      <c r="H661">
        <f t="shared" si="10"/>
        <v>12100</v>
      </c>
    </row>
    <row r="662" spans="1:8" x14ac:dyDescent="0.3">
      <c r="A662" t="s">
        <v>82</v>
      </c>
      <c r="B662" t="s">
        <v>8</v>
      </c>
      <c r="C662" t="s">
        <v>9</v>
      </c>
      <c r="D662">
        <v>0</v>
      </c>
      <c r="E662" t="s">
        <v>68</v>
      </c>
      <c r="F662" t="s">
        <v>36</v>
      </c>
      <c r="G662" t="s">
        <v>37</v>
      </c>
      <c r="H662">
        <f t="shared" si="10"/>
        <v>0</v>
      </c>
    </row>
    <row r="663" spans="1:8" x14ac:dyDescent="0.3">
      <c r="A663" t="s">
        <v>82</v>
      </c>
      <c r="B663" t="s">
        <v>8</v>
      </c>
      <c r="C663" t="s">
        <v>13</v>
      </c>
      <c r="D663">
        <v>0</v>
      </c>
      <c r="E663" t="s">
        <v>68</v>
      </c>
      <c r="F663" t="s">
        <v>36</v>
      </c>
      <c r="G663" t="s">
        <v>37</v>
      </c>
      <c r="H663">
        <f t="shared" si="10"/>
        <v>0</v>
      </c>
    </row>
    <row r="664" spans="1:8" x14ac:dyDescent="0.3">
      <c r="A664" t="s">
        <v>82</v>
      </c>
      <c r="B664" t="s">
        <v>8</v>
      </c>
      <c r="C664" t="s">
        <v>14</v>
      </c>
      <c r="D664">
        <v>0</v>
      </c>
      <c r="E664" t="s">
        <v>68</v>
      </c>
      <c r="F664" t="s">
        <v>36</v>
      </c>
      <c r="G664" t="s">
        <v>37</v>
      </c>
      <c r="H664">
        <f t="shared" si="10"/>
        <v>0</v>
      </c>
    </row>
    <row r="665" spans="1:8" x14ac:dyDescent="0.3">
      <c r="A665" t="s">
        <v>82</v>
      </c>
      <c r="B665" t="s">
        <v>8</v>
      </c>
      <c r="C665" t="s">
        <v>15</v>
      </c>
      <c r="D665">
        <v>0</v>
      </c>
      <c r="E665" t="s">
        <v>68</v>
      </c>
      <c r="F665" t="s">
        <v>36</v>
      </c>
      <c r="G665" t="s">
        <v>37</v>
      </c>
      <c r="H665">
        <f t="shared" si="10"/>
        <v>0</v>
      </c>
    </row>
    <row r="666" spans="1:8" x14ac:dyDescent="0.3">
      <c r="A666" t="s">
        <v>82</v>
      </c>
      <c r="B666" t="s">
        <v>8</v>
      </c>
      <c r="C666" t="s">
        <v>16</v>
      </c>
      <c r="D666">
        <v>0</v>
      </c>
      <c r="E666" t="s">
        <v>68</v>
      </c>
      <c r="F666" t="s">
        <v>36</v>
      </c>
      <c r="G666" t="s">
        <v>37</v>
      </c>
      <c r="H666">
        <f t="shared" si="10"/>
        <v>0</v>
      </c>
    </row>
    <row r="667" spans="1:8" x14ac:dyDescent="0.3">
      <c r="A667" t="s">
        <v>82</v>
      </c>
      <c r="B667" t="s">
        <v>8</v>
      </c>
      <c r="C667" t="s">
        <v>17</v>
      </c>
      <c r="D667">
        <v>0</v>
      </c>
      <c r="E667" t="s">
        <v>68</v>
      </c>
      <c r="F667" t="s">
        <v>36</v>
      </c>
      <c r="G667" t="s">
        <v>37</v>
      </c>
      <c r="H667">
        <f t="shared" si="10"/>
        <v>0</v>
      </c>
    </row>
    <row r="668" spans="1:8" x14ac:dyDescent="0.3">
      <c r="A668" t="s">
        <v>82</v>
      </c>
      <c r="B668" t="s">
        <v>8</v>
      </c>
      <c r="C668" t="s">
        <v>18</v>
      </c>
      <c r="D668">
        <v>0</v>
      </c>
      <c r="E668" t="s">
        <v>68</v>
      </c>
      <c r="F668" t="s">
        <v>36</v>
      </c>
      <c r="G668" t="s">
        <v>37</v>
      </c>
      <c r="H668">
        <f t="shared" si="10"/>
        <v>0</v>
      </c>
    </row>
    <row r="669" spans="1:8" x14ac:dyDescent="0.3">
      <c r="A669" t="s">
        <v>82</v>
      </c>
      <c r="B669" t="s">
        <v>8</v>
      </c>
      <c r="C669" t="s">
        <v>19</v>
      </c>
      <c r="D669">
        <v>0</v>
      </c>
      <c r="E669" t="s">
        <v>68</v>
      </c>
      <c r="F669" t="s">
        <v>36</v>
      </c>
      <c r="G669" t="s">
        <v>37</v>
      </c>
      <c r="H669">
        <f t="shared" si="10"/>
        <v>0</v>
      </c>
    </row>
    <row r="670" spans="1:8" x14ac:dyDescent="0.3">
      <c r="A670" t="s">
        <v>82</v>
      </c>
      <c r="B670" t="s">
        <v>8</v>
      </c>
      <c r="C670" t="s">
        <v>20</v>
      </c>
      <c r="D670">
        <v>0</v>
      </c>
      <c r="E670" t="s">
        <v>68</v>
      </c>
      <c r="F670" t="s">
        <v>36</v>
      </c>
      <c r="G670" t="s">
        <v>37</v>
      </c>
      <c r="H670">
        <f t="shared" si="10"/>
        <v>0</v>
      </c>
    </row>
    <row r="671" spans="1:8" x14ac:dyDescent="0.3">
      <c r="A671" t="s">
        <v>82</v>
      </c>
      <c r="B671" t="s">
        <v>8</v>
      </c>
      <c r="C671" t="s">
        <v>21</v>
      </c>
      <c r="D671">
        <v>0</v>
      </c>
      <c r="E671" t="s">
        <v>68</v>
      </c>
      <c r="F671" t="s">
        <v>36</v>
      </c>
      <c r="G671" t="s">
        <v>37</v>
      </c>
      <c r="H671">
        <f t="shared" si="10"/>
        <v>0</v>
      </c>
    </row>
    <row r="672" spans="1:8" x14ac:dyDescent="0.3">
      <c r="A672" t="s">
        <v>82</v>
      </c>
      <c r="B672" t="s">
        <v>8</v>
      </c>
      <c r="C672" t="s">
        <v>22</v>
      </c>
      <c r="D672">
        <v>0</v>
      </c>
      <c r="E672" t="s">
        <v>68</v>
      </c>
      <c r="F672" t="s">
        <v>36</v>
      </c>
      <c r="G672" t="s">
        <v>37</v>
      </c>
      <c r="H672">
        <f t="shared" si="10"/>
        <v>0</v>
      </c>
    </row>
    <row r="673" spans="1:8" x14ac:dyDescent="0.3">
      <c r="A673" t="s">
        <v>82</v>
      </c>
      <c r="B673" t="s">
        <v>23</v>
      </c>
      <c r="C673" t="s">
        <v>9</v>
      </c>
      <c r="D673">
        <v>160</v>
      </c>
      <c r="E673" t="s">
        <v>68</v>
      </c>
      <c r="F673" t="s">
        <v>36</v>
      </c>
      <c r="G673" t="s">
        <v>37</v>
      </c>
      <c r="H673">
        <f t="shared" si="10"/>
        <v>160</v>
      </c>
    </row>
    <row r="674" spans="1:8" x14ac:dyDescent="0.3">
      <c r="A674" t="s">
        <v>82</v>
      </c>
      <c r="B674" t="s">
        <v>23</v>
      </c>
      <c r="C674" t="s">
        <v>13</v>
      </c>
      <c r="D674">
        <v>26</v>
      </c>
      <c r="E674" t="s">
        <v>68</v>
      </c>
      <c r="F674" t="s">
        <v>36</v>
      </c>
      <c r="G674" t="s">
        <v>37</v>
      </c>
      <c r="H674">
        <f t="shared" si="10"/>
        <v>26</v>
      </c>
    </row>
    <row r="675" spans="1:8" x14ac:dyDescent="0.3">
      <c r="A675" t="s">
        <v>82</v>
      </c>
      <c r="B675" t="s">
        <v>23</v>
      </c>
      <c r="C675" t="s">
        <v>14</v>
      </c>
      <c r="D675">
        <v>517</v>
      </c>
      <c r="E675" t="s">
        <v>68</v>
      </c>
      <c r="F675" t="s">
        <v>36</v>
      </c>
      <c r="G675" t="s">
        <v>37</v>
      </c>
      <c r="H675">
        <f t="shared" si="10"/>
        <v>517</v>
      </c>
    </row>
    <row r="676" spans="1:8" x14ac:dyDescent="0.3">
      <c r="A676" t="s">
        <v>82</v>
      </c>
      <c r="B676" t="s">
        <v>23</v>
      </c>
      <c r="C676" t="s">
        <v>15</v>
      </c>
      <c r="D676">
        <v>74</v>
      </c>
      <c r="E676" t="s">
        <v>68</v>
      </c>
      <c r="F676" t="s">
        <v>36</v>
      </c>
      <c r="G676" t="s">
        <v>37</v>
      </c>
      <c r="H676">
        <f t="shared" si="10"/>
        <v>74</v>
      </c>
    </row>
    <row r="677" spans="1:8" x14ac:dyDescent="0.3">
      <c r="A677" t="s">
        <v>82</v>
      </c>
      <c r="B677" t="s">
        <v>23</v>
      </c>
      <c r="C677" t="s">
        <v>16</v>
      </c>
      <c r="D677">
        <v>408452</v>
      </c>
      <c r="E677" t="s">
        <v>68</v>
      </c>
      <c r="F677" t="s">
        <v>36</v>
      </c>
      <c r="G677" t="s">
        <v>37</v>
      </c>
      <c r="H677">
        <f t="shared" si="10"/>
        <v>408000</v>
      </c>
    </row>
    <row r="678" spans="1:8" x14ac:dyDescent="0.3">
      <c r="A678" t="s">
        <v>82</v>
      </c>
      <c r="B678" t="s">
        <v>23</v>
      </c>
      <c r="C678" t="s">
        <v>17</v>
      </c>
      <c r="D678">
        <v>40</v>
      </c>
      <c r="E678" t="s">
        <v>68</v>
      </c>
      <c r="F678" t="s">
        <v>36</v>
      </c>
      <c r="G678" t="s">
        <v>37</v>
      </c>
      <c r="H678">
        <f t="shared" si="10"/>
        <v>40</v>
      </c>
    </row>
    <row r="679" spans="1:8" x14ac:dyDescent="0.3">
      <c r="A679" t="s">
        <v>82</v>
      </c>
      <c r="B679" t="s">
        <v>23</v>
      </c>
      <c r="C679" t="s">
        <v>18</v>
      </c>
      <c r="D679">
        <v>0</v>
      </c>
      <c r="E679" t="s">
        <v>68</v>
      </c>
      <c r="F679" t="s">
        <v>36</v>
      </c>
      <c r="G679" t="s">
        <v>37</v>
      </c>
      <c r="H679">
        <f t="shared" si="10"/>
        <v>0</v>
      </c>
    </row>
    <row r="680" spans="1:8" x14ac:dyDescent="0.3">
      <c r="A680" t="s">
        <v>82</v>
      </c>
      <c r="B680" t="s">
        <v>23</v>
      </c>
      <c r="C680" t="s">
        <v>19</v>
      </c>
      <c r="D680">
        <v>9</v>
      </c>
      <c r="E680" t="s">
        <v>68</v>
      </c>
      <c r="F680" t="s">
        <v>36</v>
      </c>
      <c r="G680" t="s">
        <v>37</v>
      </c>
      <c r="H680">
        <f t="shared" si="10"/>
        <v>9</v>
      </c>
    </row>
    <row r="681" spans="1:8" x14ac:dyDescent="0.3">
      <c r="A681" t="s">
        <v>82</v>
      </c>
      <c r="B681" t="s">
        <v>23</v>
      </c>
      <c r="C681" t="s">
        <v>20</v>
      </c>
      <c r="D681">
        <v>561</v>
      </c>
      <c r="E681" t="s">
        <v>68</v>
      </c>
      <c r="F681" t="s">
        <v>36</v>
      </c>
      <c r="G681" t="s">
        <v>37</v>
      </c>
      <c r="H681">
        <f t="shared" si="10"/>
        <v>561</v>
      </c>
    </row>
    <row r="682" spans="1:8" x14ac:dyDescent="0.3">
      <c r="A682" t="s">
        <v>82</v>
      </c>
      <c r="B682" t="s">
        <v>23</v>
      </c>
      <c r="C682" t="s">
        <v>21</v>
      </c>
      <c r="D682">
        <v>187</v>
      </c>
      <c r="E682" t="s">
        <v>68</v>
      </c>
      <c r="F682" t="s">
        <v>36</v>
      </c>
      <c r="G682" t="s">
        <v>37</v>
      </c>
      <c r="H682">
        <f t="shared" si="10"/>
        <v>187</v>
      </c>
    </row>
    <row r="683" spans="1:8" x14ac:dyDescent="0.3">
      <c r="A683" t="s">
        <v>82</v>
      </c>
      <c r="B683" t="s">
        <v>23</v>
      </c>
      <c r="C683" t="s">
        <v>22</v>
      </c>
      <c r="D683">
        <v>91</v>
      </c>
      <c r="E683" t="s">
        <v>68</v>
      </c>
      <c r="F683" t="s">
        <v>36</v>
      </c>
      <c r="G683" t="s">
        <v>37</v>
      </c>
      <c r="H683">
        <f t="shared" si="10"/>
        <v>91</v>
      </c>
    </row>
    <row r="684" spans="1:8" x14ac:dyDescent="0.3">
      <c r="A684" t="s">
        <v>83</v>
      </c>
      <c r="B684" t="s">
        <v>8</v>
      </c>
      <c r="C684" t="s">
        <v>9</v>
      </c>
      <c r="D684">
        <v>0</v>
      </c>
      <c r="E684" t="s">
        <v>68</v>
      </c>
      <c r="F684" t="s">
        <v>36</v>
      </c>
      <c r="G684" t="s">
        <v>37</v>
      </c>
      <c r="H684">
        <f t="shared" si="10"/>
        <v>0</v>
      </c>
    </row>
    <row r="685" spans="1:8" x14ac:dyDescent="0.3">
      <c r="A685" t="s">
        <v>83</v>
      </c>
      <c r="B685" t="s">
        <v>8</v>
      </c>
      <c r="C685" t="s">
        <v>13</v>
      </c>
      <c r="D685">
        <v>0</v>
      </c>
      <c r="E685" t="s">
        <v>68</v>
      </c>
      <c r="F685" t="s">
        <v>36</v>
      </c>
      <c r="G685" t="s">
        <v>37</v>
      </c>
      <c r="H685">
        <f t="shared" si="10"/>
        <v>0</v>
      </c>
    </row>
    <row r="686" spans="1:8" x14ac:dyDescent="0.3">
      <c r="A686" t="s">
        <v>83</v>
      </c>
      <c r="B686" t="s">
        <v>8</v>
      </c>
      <c r="C686" t="s">
        <v>14</v>
      </c>
      <c r="D686">
        <v>0</v>
      </c>
      <c r="E686" t="s">
        <v>68</v>
      </c>
      <c r="F686" t="s">
        <v>36</v>
      </c>
      <c r="G686" t="s">
        <v>37</v>
      </c>
      <c r="H686">
        <f t="shared" si="10"/>
        <v>0</v>
      </c>
    </row>
    <row r="687" spans="1:8" x14ac:dyDescent="0.3">
      <c r="A687" t="s">
        <v>83</v>
      </c>
      <c r="B687" t="s">
        <v>8</v>
      </c>
      <c r="C687" t="s">
        <v>15</v>
      </c>
      <c r="D687">
        <v>0</v>
      </c>
      <c r="E687" t="s">
        <v>68</v>
      </c>
      <c r="F687" t="s">
        <v>36</v>
      </c>
      <c r="G687" t="s">
        <v>37</v>
      </c>
      <c r="H687">
        <f t="shared" si="10"/>
        <v>0</v>
      </c>
    </row>
    <row r="688" spans="1:8" x14ac:dyDescent="0.3">
      <c r="A688" t="s">
        <v>83</v>
      </c>
      <c r="B688" t="s">
        <v>8</v>
      </c>
      <c r="C688" t="s">
        <v>16</v>
      </c>
      <c r="D688">
        <v>0</v>
      </c>
      <c r="E688" t="s">
        <v>68</v>
      </c>
      <c r="F688" t="s">
        <v>36</v>
      </c>
      <c r="G688" t="s">
        <v>37</v>
      </c>
      <c r="H688">
        <f t="shared" si="10"/>
        <v>0</v>
      </c>
    </row>
    <row r="689" spans="1:8" x14ac:dyDescent="0.3">
      <c r="A689" t="s">
        <v>83</v>
      </c>
      <c r="B689" t="s">
        <v>8</v>
      </c>
      <c r="C689" t="s">
        <v>17</v>
      </c>
      <c r="D689">
        <v>0</v>
      </c>
      <c r="E689" t="s">
        <v>68</v>
      </c>
      <c r="F689" t="s">
        <v>36</v>
      </c>
      <c r="G689" t="s">
        <v>37</v>
      </c>
      <c r="H689">
        <f t="shared" si="10"/>
        <v>0</v>
      </c>
    </row>
    <row r="690" spans="1:8" x14ac:dyDescent="0.3">
      <c r="A690" t="s">
        <v>83</v>
      </c>
      <c r="B690" t="s">
        <v>8</v>
      </c>
      <c r="C690" t="s">
        <v>18</v>
      </c>
      <c r="D690">
        <v>0</v>
      </c>
      <c r="E690" t="s">
        <v>68</v>
      </c>
      <c r="F690" t="s">
        <v>36</v>
      </c>
      <c r="G690" t="s">
        <v>37</v>
      </c>
      <c r="H690">
        <f t="shared" si="10"/>
        <v>0</v>
      </c>
    </row>
    <row r="691" spans="1:8" x14ac:dyDescent="0.3">
      <c r="A691" t="s">
        <v>83</v>
      </c>
      <c r="B691" t="s">
        <v>8</v>
      </c>
      <c r="C691" t="s">
        <v>19</v>
      </c>
      <c r="D691">
        <v>0</v>
      </c>
      <c r="E691" t="s">
        <v>68</v>
      </c>
      <c r="F691" t="s">
        <v>36</v>
      </c>
      <c r="G691" t="s">
        <v>37</v>
      </c>
      <c r="H691">
        <f t="shared" si="10"/>
        <v>0</v>
      </c>
    </row>
    <row r="692" spans="1:8" x14ac:dyDescent="0.3">
      <c r="A692" t="s">
        <v>83</v>
      </c>
      <c r="B692" t="s">
        <v>8</v>
      </c>
      <c r="C692" t="s">
        <v>20</v>
      </c>
      <c r="D692">
        <v>0</v>
      </c>
      <c r="E692" t="s">
        <v>68</v>
      </c>
      <c r="F692" t="s">
        <v>36</v>
      </c>
      <c r="G692" t="s">
        <v>37</v>
      </c>
      <c r="H692">
        <f t="shared" si="10"/>
        <v>0</v>
      </c>
    </row>
    <row r="693" spans="1:8" x14ac:dyDescent="0.3">
      <c r="A693" t="s">
        <v>83</v>
      </c>
      <c r="B693" t="s">
        <v>8</v>
      </c>
      <c r="C693" t="s">
        <v>21</v>
      </c>
      <c r="D693">
        <v>0</v>
      </c>
      <c r="E693" t="s">
        <v>68</v>
      </c>
      <c r="F693" t="s">
        <v>36</v>
      </c>
      <c r="G693" t="s">
        <v>37</v>
      </c>
      <c r="H693">
        <f t="shared" si="10"/>
        <v>0</v>
      </c>
    </row>
    <row r="694" spans="1:8" x14ac:dyDescent="0.3">
      <c r="A694" t="s">
        <v>83</v>
      </c>
      <c r="B694" t="s">
        <v>8</v>
      </c>
      <c r="C694" t="s">
        <v>22</v>
      </c>
      <c r="D694">
        <v>0</v>
      </c>
      <c r="E694" t="s">
        <v>68</v>
      </c>
      <c r="F694" t="s">
        <v>36</v>
      </c>
      <c r="G694" t="s">
        <v>37</v>
      </c>
      <c r="H694">
        <f t="shared" si="10"/>
        <v>0</v>
      </c>
    </row>
    <row r="695" spans="1:8" x14ac:dyDescent="0.3">
      <c r="A695" t="s">
        <v>83</v>
      </c>
      <c r="B695" t="s">
        <v>23</v>
      </c>
      <c r="C695" t="s">
        <v>9</v>
      </c>
      <c r="D695">
        <v>576</v>
      </c>
      <c r="E695" t="s">
        <v>68</v>
      </c>
      <c r="F695" t="s">
        <v>36</v>
      </c>
      <c r="G695" t="s">
        <v>37</v>
      </c>
      <c r="H695">
        <f t="shared" si="10"/>
        <v>576</v>
      </c>
    </row>
    <row r="696" spans="1:8" x14ac:dyDescent="0.3">
      <c r="A696" t="s">
        <v>83</v>
      </c>
      <c r="B696" t="s">
        <v>23</v>
      </c>
      <c r="C696" t="s">
        <v>13</v>
      </c>
      <c r="D696">
        <v>5603</v>
      </c>
      <c r="E696" t="s">
        <v>68</v>
      </c>
      <c r="F696" t="s">
        <v>36</v>
      </c>
      <c r="G696" t="s">
        <v>37</v>
      </c>
      <c r="H696">
        <f t="shared" si="10"/>
        <v>5600</v>
      </c>
    </row>
    <row r="697" spans="1:8" x14ac:dyDescent="0.3">
      <c r="A697" t="s">
        <v>83</v>
      </c>
      <c r="B697" t="s">
        <v>23</v>
      </c>
      <c r="C697" t="s">
        <v>14</v>
      </c>
      <c r="D697">
        <v>747</v>
      </c>
      <c r="E697" t="s">
        <v>68</v>
      </c>
      <c r="F697" t="s">
        <v>36</v>
      </c>
      <c r="G697" t="s">
        <v>37</v>
      </c>
      <c r="H697">
        <f t="shared" si="10"/>
        <v>747</v>
      </c>
    </row>
    <row r="698" spans="1:8" x14ac:dyDescent="0.3">
      <c r="A698" t="s">
        <v>83</v>
      </c>
      <c r="B698" t="s">
        <v>23</v>
      </c>
      <c r="C698" t="s">
        <v>15</v>
      </c>
      <c r="D698">
        <v>5093</v>
      </c>
      <c r="E698" t="s">
        <v>68</v>
      </c>
      <c r="F698" t="s">
        <v>36</v>
      </c>
      <c r="G698" t="s">
        <v>37</v>
      </c>
      <c r="H698">
        <f t="shared" si="10"/>
        <v>5090</v>
      </c>
    </row>
    <row r="699" spans="1:8" x14ac:dyDescent="0.3">
      <c r="A699" t="s">
        <v>83</v>
      </c>
      <c r="B699" t="s">
        <v>23</v>
      </c>
      <c r="C699" t="s">
        <v>16</v>
      </c>
      <c r="D699">
        <v>5189</v>
      </c>
      <c r="E699" t="s">
        <v>68</v>
      </c>
      <c r="F699" t="s">
        <v>36</v>
      </c>
      <c r="G699" t="s">
        <v>37</v>
      </c>
      <c r="H699">
        <f t="shared" si="10"/>
        <v>5190</v>
      </c>
    </row>
    <row r="700" spans="1:8" x14ac:dyDescent="0.3">
      <c r="A700" t="s">
        <v>83</v>
      </c>
      <c r="B700" t="s">
        <v>23</v>
      </c>
      <c r="C700" t="s">
        <v>17</v>
      </c>
      <c r="D700">
        <v>15</v>
      </c>
      <c r="E700" t="s">
        <v>68</v>
      </c>
      <c r="F700" t="s">
        <v>36</v>
      </c>
      <c r="G700" t="s">
        <v>37</v>
      </c>
      <c r="H700">
        <f t="shared" si="10"/>
        <v>15</v>
      </c>
    </row>
    <row r="701" spans="1:8" x14ac:dyDescent="0.3">
      <c r="A701" t="s">
        <v>83</v>
      </c>
      <c r="B701" t="s">
        <v>23</v>
      </c>
      <c r="C701" t="s">
        <v>18</v>
      </c>
      <c r="D701">
        <v>0</v>
      </c>
      <c r="E701" t="s">
        <v>68</v>
      </c>
      <c r="F701" t="s">
        <v>36</v>
      </c>
      <c r="G701" t="s">
        <v>37</v>
      </c>
      <c r="H701">
        <f t="shared" si="10"/>
        <v>0</v>
      </c>
    </row>
    <row r="702" spans="1:8" x14ac:dyDescent="0.3">
      <c r="A702" t="s">
        <v>83</v>
      </c>
      <c r="B702" t="s">
        <v>23</v>
      </c>
      <c r="C702" t="s">
        <v>19</v>
      </c>
      <c r="D702">
        <v>1673</v>
      </c>
      <c r="E702" t="s">
        <v>68</v>
      </c>
      <c r="F702" t="s">
        <v>36</v>
      </c>
      <c r="G702" t="s">
        <v>37</v>
      </c>
      <c r="H702">
        <f t="shared" si="10"/>
        <v>1670</v>
      </c>
    </row>
    <row r="703" spans="1:8" x14ac:dyDescent="0.3">
      <c r="A703" t="s">
        <v>83</v>
      </c>
      <c r="B703" t="s">
        <v>23</v>
      </c>
      <c r="C703" t="s">
        <v>20</v>
      </c>
      <c r="D703">
        <v>1699</v>
      </c>
      <c r="E703" t="s">
        <v>68</v>
      </c>
      <c r="F703" t="s">
        <v>36</v>
      </c>
      <c r="G703" t="s">
        <v>37</v>
      </c>
      <c r="H703">
        <f t="shared" si="10"/>
        <v>1700</v>
      </c>
    </row>
    <row r="704" spans="1:8" x14ac:dyDescent="0.3">
      <c r="A704" t="s">
        <v>83</v>
      </c>
      <c r="B704" t="s">
        <v>23</v>
      </c>
      <c r="C704" t="s">
        <v>21</v>
      </c>
      <c r="D704">
        <v>184</v>
      </c>
      <c r="E704" t="s">
        <v>68</v>
      </c>
      <c r="F704" t="s">
        <v>36</v>
      </c>
      <c r="G704" t="s">
        <v>37</v>
      </c>
      <c r="H704">
        <f t="shared" si="10"/>
        <v>184</v>
      </c>
    </row>
    <row r="705" spans="1:8" x14ac:dyDescent="0.3">
      <c r="A705" t="s">
        <v>83</v>
      </c>
      <c r="B705" t="s">
        <v>23</v>
      </c>
      <c r="C705" t="s">
        <v>22</v>
      </c>
      <c r="D705">
        <v>57719</v>
      </c>
      <c r="E705" t="s">
        <v>68</v>
      </c>
      <c r="F705" t="s">
        <v>36</v>
      </c>
      <c r="G705" t="s">
        <v>37</v>
      </c>
      <c r="H705">
        <f t="shared" si="10"/>
        <v>57700</v>
      </c>
    </row>
    <row r="706" spans="1:8" x14ac:dyDescent="0.3">
      <c r="A706" t="s">
        <v>67</v>
      </c>
      <c r="B706" t="s">
        <v>8</v>
      </c>
      <c r="C706" t="s">
        <v>9</v>
      </c>
      <c r="D706">
        <v>2279</v>
      </c>
      <c r="E706" t="s">
        <v>68</v>
      </c>
      <c r="F706" t="s">
        <v>38</v>
      </c>
      <c r="G706" t="s">
        <v>37</v>
      </c>
      <c r="H706">
        <f t="shared" si="10"/>
        <v>2280</v>
      </c>
    </row>
    <row r="707" spans="1:8" x14ac:dyDescent="0.3">
      <c r="A707" t="s">
        <v>67</v>
      </c>
      <c r="B707" t="s">
        <v>8</v>
      </c>
      <c r="C707" t="s">
        <v>13</v>
      </c>
      <c r="D707">
        <v>32</v>
      </c>
      <c r="E707" t="s">
        <v>68</v>
      </c>
      <c r="F707" t="s">
        <v>38</v>
      </c>
      <c r="G707" t="s">
        <v>37</v>
      </c>
      <c r="H707">
        <f t="shared" ref="H707:H770" si="11">ROUND(D707, 3 - LEN(INT(ABS(D707))))</f>
        <v>32</v>
      </c>
    </row>
    <row r="708" spans="1:8" x14ac:dyDescent="0.3">
      <c r="A708" t="s">
        <v>67</v>
      </c>
      <c r="B708" t="s">
        <v>8</v>
      </c>
      <c r="C708" t="s">
        <v>14</v>
      </c>
      <c r="D708">
        <v>15511</v>
      </c>
      <c r="E708" t="s">
        <v>68</v>
      </c>
      <c r="F708" t="s">
        <v>38</v>
      </c>
      <c r="G708" t="s">
        <v>37</v>
      </c>
      <c r="H708">
        <f t="shared" si="11"/>
        <v>15500</v>
      </c>
    </row>
    <row r="709" spans="1:8" x14ac:dyDescent="0.3">
      <c r="A709" t="s">
        <v>67</v>
      </c>
      <c r="B709" t="s">
        <v>8</v>
      </c>
      <c r="C709" t="s">
        <v>15</v>
      </c>
      <c r="D709">
        <v>41</v>
      </c>
      <c r="E709" t="s">
        <v>68</v>
      </c>
      <c r="F709" t="s">
        <v>38</v>
      </c>
      <c r="G709" t="s">
        <v>37</v>
      </c>
      <c r="H709">
        <f t="shared" si="11"/>
        <v>41</v>
      </c>
    </row>
    <row r="710" spans="1:8" x14ac:dyDescent="0.3">
      <c r="A710" t="s">
        <v>67</v>
      </c>
      <c r="B710" t="s">
        <v>8</v>
      </c>
      <c r="C710" t="s">
        <v>16</v>
      </c>
      <c r="D710">
        <v>7246595</v>
      </c>
      <c r="E710" t="s">
        <v>68</v>
      </c>
      <c r="F710" t="s">
        <v>38</v>
      </c>
      <c r="G710" t="s">
        <v>37</v>
      </c>
      <c r="H710">
        <f t="shared" si="11"/>
        <v>7250000</v>
      </c>
    </row>
    <row r="711" spans="1:8" x14ac:dyDescent="0.3">
      <c r="A711" t="s">
        <v>67</v>
      </c>
      <c r="B711" t="s">
        <v>8</v>
      </c>
      <c r="C711" t="s">
        <v>17</v>
      </c>
      <c r="D711">
        <v>3972</v>
      </c>
      <c r="E711" t="s">
        <v>68</v>
      </c>
      <c r="F711" t="s">
        <v>38</v>
      </c>
      <c r="G711" t="s">
        <v>37</v>
      </c>
      <c r="H711">
        <f t="shared" si="11"/>
        <v>3970</v>
      </c>
    </row>
    <row r="712" spans="1:8" x14ac:dyDescent="0.3">
      <c r="A712" t="s">
        <v>67</v>
      </c>
      <c r="B712" t="s">
        <v>8</v>
      </c>
      <c r="C712" t="s">
        <v>18</v>
      </c>
      <c r="D712">
        <v>0</v>
      </c>
      <c r="E712" t="s">
        <v>68</v>
      </c>
      <c r="F712" t="s">
        <v>38</v>
      </c>
      <c r="G712" t="s">
        <v>37</v>
      </c>
      <c r="H712">
        <f t="shared" si="11"/>
        <v>0</v>
      </c>
    </row>
    <row r="713" spans="1:8" x14ac:dyDescent="0.3">
      <c r="A713" t="s">
        <v>67</v>
      </c>
      <c r="B713" t="s">
        <v>8</v>
      </c>
      <c r="C713" t="s">
        <v>19</v>
      </c>
      <c r="D713">
        <v>2</v>
      </c>
      <c r="E713" t="s">
        <v>68</v>
      </c>
      <c r="F713" t="s">
        <v>38</v>
      </c>
      <c r="G713" t="s">
        <v>37</v>
      </c>
      <c r="H713">
        <f t="shared" si="11"/>
        <v>2</v>
      </c>
    </row>
    <row r="714" spans="1:8" x14ac:dyDescent="0.3">
      <c r="A714" t="s">
        <v>67</v>
      </c>
      <c r="B714" t="s">
        <v>8</v>
      </c>
      <c r="C714" t="s">
        <v>20</v>
      </c>
      <c r="D714">
        <v>306</v>
      </c>
      <c r="E714" t="s">
        <v>68</v>
      </c>
      <c r="F714" t="s">
        <v>38</v>
      </c>
      <c r="G714" t="s">
        <v>37</v>
      </c>
      <c r="H714">
        <f t="shared" si="11"/>
        <v>306</v>
      </c>
    </row>
    <row r="715" spans="1:8" x14ac:dyDescent="0.3">
      <c r="A715" t="s">
        <v>67</v>
      </c>
      <c r="B715" t="s">
        <v>8</v>
      </c>
      <c r="C715" t="s">
        <v>21</v>
      </c>
      <c r="D715">
        <v>48</v>
      </c>
      <c r="E715" t="s">
        <v>68</v>
      </c>
      <c r="F715" t="s">
        <v>38</v>
      </c>
      <c r="G715" t="s">
        <v>37</v>
      </c>
      <c r="H715">
        <f t="shared" si="11"/>
        <v>48</v>
      </c>
    </row>
    <row r="716" spans="1:8" x14ac:dyDescent="0.3">
      <c r="A716" t="s">
        <v>67</v>
      </c>
      <c r="B716" t="s">
        <v>8</v>
      </c>
      <c r="C716" t="s">
        <v>22</v>
      </c>
      <c r="D716">
        <v>408</v>
      </c>
      <c r="E716" t="s">
        <v>68</v>
      </c>
      <c r="F716" t="s">
        <v>38</v>
      </c>
      <c r="G716" t="s">
        <v>37</v>
      </c>
      <c r="H716">
        <f t="shared" si="11"/>
        <v>408</v>
      </c>
    </row>
    <row r="717" spans="1:8" x14ac:dyDescent="0.3">
      <c r="A717" t="s">
        <v>67</v>
      </c>
      <c r="B717" t="s">
        <v>23</v>
      </c>
      <c r="C717" t="s">
        <v>9</v>
      </c>
      <c r="D717">
        <v>9268</v>
      </c>
      <c r="E717" t="s">
        <v>68</v>
      </c>
      <c r="F717" t="s">
        <v>38</v>
      </c>
      <c r="G717" t="s">
        <v>37</v>
      </c>
      <c r="H717">
        <f t="shared" si="11"/>
        <v>9270</v>
      </c>
    </row>
    <row r="718" spans="1:8" x14ac:dyDescent="0.3">
      <c r="A718" t="s">
        <v>67</v>
      </c>
      <c r="B718" t="s">
        <v>23</v>
      </c>
      <c r="C718" t="s">
        <v>13</v>
      </c>
      <c r="D718">
        <v>11756</v>
      </c>
      <c r="E718" t="s">
        <v>68</v>
      </c>
      <c r="F718" t="s">
        <v>38</v>
      </c>
      <c r="G718" t="s">
        <v>37</v>
      </c>
      <c r="H718">
        <f t="shared" si="11"/>
        <v>11800</v>
      </c>
    </row>
    <row r="719" spans="1:8" x14ac:dyDescent="0.3">
      <c r="A719" t="s">
        <v>67</v>
      </c>
      <c r="B719" t="s">
        <v>23</v>
      </c>
      <c r="C719" t="s">
        <v>14</v>
      </c>
      <c r="D719">
        <v>46355</v>
      </c>
      <c r="E719" t="s">
        <v>68</v>
      </c>
      <c r="F719" t="s">
        <v>38</v>
      </c>
      <c r="G719" t="s">
        <v>37</v>
      </c>
      <c r="H719">
        <f t="shared" si="11"/>
        <v>46400</v>
      </c>
    </row>
    <row r="720" spans="1:8" x14ac:dyDescent="0.3">
      <c r="A720" t="s">
        <v>67</v>
      </c>
      <c r="B720" t="s">
        <v>23</v>
      </c>
      <c r="C720" t="s">
        <v>15</v>
      </c>
      <c r="D720">
        <v>1607</v>
      </c>
      <c r="E720" t="s">
        <v>68</v>
      </c>
      <c r="F720" t="s">
        <v>38</v>
      </c>
      <c r="G720" t="s">
        <v>37</v>
      </c>
      <c r="H720">
        <f t="shared" si="11"/>
        <v>1610</v>
      </c>
    </row>
    <row r="721" spans="1:8" x14ac:dyDescent="0.3">
      <c r="A721" t="s">
        <v>67</v>
      </c>
      <c r="B721" t="s">
        <v>23</v>
      </c>
      <c r="C721" t="s">
        <v>16</v>
      </c>
      <c r="D721">
        <v>14577117</v>
      </c>
      <c r="E721" t="s">
        <v>68</v>
      </c>
      <c r="F721" t="s">
        <v>38</v>
      </c>
      <c r="G721" t="s">
        <v>37</v>
      </c>
      <c r="H721">
        <f t="shared" si="11"/>
        <v>14600000</v>
      </c>
    </row>
    <row r="722" spans="1:8" x14ac:dyDescent="0.3">
      <c r="A722" t="s">
        <v>67</v>
      </c>
      <c r="B722" t="s">
        <v>23</v>
      </c>
      <c r="C722" t="s">
        <v>17</v>
      </c>
      <c r="D722">
        <v>2098</v>
      </c>
      <c r="E722" t="s">
        <v>68</v>
      </c>
      <c r="F722" t="s">
        <v>38</v>
      </c>
      <c r="G722" t="s">
        <v>37</v>
      </c>
      <c r="H722">
        <f t="shared" si="11"/>
        <v>2100</v>
      </c>
    </row>
    <row r="723" spans="1:8" x14ac:dyDescent="0.3">
      <c r="A723" t="s">
        <v>67</v>
      </c>
      <c r="B723" t="s">
        <v>23</v>
      </c>
      <c r="C723" t="s">
        <v>18</v>
      </c>
      <c r="D723">
        <v>87</v>
      </c>
      <c r="E723" t="s">
        <v>68</v>
      </c>
      <c r="F723" t="s">
        <v>38</v>
      </c>
      <c r="G723" t="s">
        <v>37</v>
      </c>
      <c r="H723">
        <f t="shared" si="11"/>
        <v>87</v>
      </c>
    </row>
    <row r="724" spans="1:8" x14ac:dyDescent="0.3">
      <c r="A724" t="s">
        <v>67</v>
      </c>
      <c r="B724" t="s">
        <v>23</v>
      </c>
      <c r="C724" t="s">
        <v>19</v>
      </c>
      <c r="D724">
        <v>2791</v>
      </c>
      <c r="E724" t="s">
        <v>68</v>
      </c>
      <c r="F724" t="s">
        <v>38</v>
      </c>
      <c r="G724" t="s">
        <v>37</v>
      </c>
      <c r="H724">
        <f t="shared" si="11"/>
        <v>2790</v>
      </c>
    </row>
    <row r="725" spans="1:8" x14ac:dyDescent="0.3">
      <c r="A725" t="s">
        <v>67</v>
      </c>
      <c r="B725" t="s">
        <v>23</v>
      </c>
      <c r="C725" t="s">
        <v>20</v>
      </c>
      <c r="D725">
        <v>86645</v>
      </c>
      <c r="E725" t="s">
        <v>68</v>
      </c>
      <c r="F725" t="s">
        <v>38</v>
      </c>
      <c r="G725" t="s">
        <v>37</v>
      </c>
      <c r="H725">
        <f t="shared" si="11"/>
        <v>86600</v>
      </c>
    </row>
    <row r="726" spans="1:8" x14ac:dyDescent="0.3">
      <c r="A726" t="s">
        <v>67</v>
      </c>
      <c r="B726" t="s">
        <v>23</v>
      </c>
      <c r="C726" t="s">
        <v>21</v>
      </c>
      <c r="D726">
        <v>3694</v>
      </c>
      <c r="E726" t="s">
        <v>68</v>
      </c>
      <c r="F726" t="s">
        <v>38</v>
      </c>
      <c r="G726" t="s">
        <v>37</v>
      </c>
      <c r="H726">
        <f t="shared" si="11"/>
        <v>3690</v>
      </c>
    </row>
    <row r="727" spans="1:8" x14ac:dyDescent="0.3">
      <c r="A727" t="s">
        <v>67</v>
      </c>
      <c r="B727" t="s">
        <v>23</v>
      </c>
      <c r="C727" t="s">
        <v>22</v>
      </c>
      <c r="D727">
        <v>7380</v>
      </c>
      <c r="E727" t="s">
        <v>68</v>
      </c>
      <c r="F727" t="s">
        <v>38</v>
      </c>
      <c r="G727" t="s">
        <v>37</v>
      </c>
      <c r="H727">
        <f t="shared" si="11"/>
        <v>7380</v>
      </c>
    </row>
    <row r="728" spans="1:8" x14ac:dyDescent="0.3">
      <c r="A728" t="s">
        <v>69</v>
      </c>
      <c r="B728" t="s">
        <v>8</v>
      </c>
      <c r="C728" t="s">
        <v>9</v>
      </c>
      <c r="D728">
        <v>176</v>
      </c>
      <c r="E728" t="s">
        <v>68</v>
      </c>
      <c r="F728" t="s">
        <v>38</v>
      </c>
      <c r="G728" t="s">
        <v>37</v>
      </c>
      <c r="H728">
        <f t="shared" si="11"/>
        <v>176</v>
      </c>
    </row>
    <row r="729" spans="1:8" x14ac:dyDescent="0.3">
      <c r="A729" t="s">
        <v>69</v>
      </c>
      <c r="B729" t="s">
        <v>8</v>
      </c>
      <c r="C729" t="s">
        <v>13</v>
      </c>
      <c r="D729">
        <v>343</v>
      </c>
      <c r="E729" t="s">
        <v>68</v>
      </c>
      <c r="F729" t="s">
        <v>38</v>
      </c>
      <c r="G729" t="s">
        <v>37</v>
      </c>
      <c r="H729">
        <f t="shared" si="11"/>
        <v>343</v>
      </c>
    </row>
    <row r="730" spans="1:8" x14ac:dyDescent="0.3">
      <c r="A730" t="s">
        <v>69</v>
      </c>
      <c r="B730" t="s">
        <v>8</v>
      </c>
      <c r="C730" t="s">
        <v>14</v>
      </c>
      <c r="D730">
        <v>314</v>
      </c>
      <c r="E730" t="s">
        <v>68</v>
      </c>
      <c r="F730" t="s">
        <v>38</v>
      </c>
      <c r="G730" t="s">
        <v>37</v>
      </c>
      <c r="H730">
        <f t="shared" si="11"/>
        <v>314</v>
      </c>
    </row>
    <row r="731" spans="1:8" x14ac:dyDescent="0.3">
      <c r="A731" t="s">
        <v>69</v>
      </c>
      <c r="B731" t="s">
        <v>8</v>
      </c>
      <c r="C731" t="s">
        <v>15</v>
      </c>
      <c r="D731">
        <v>42</v>
      </c>
      <c r="E731" t="s">
        <v>68</v>
      </c>
      <c r="F731" t="s">
        <v>38</v>
      </c>
      <c r="G731" t="s">
        <v>37</v>
      </c>
      <c r="H731">
        <f t="shared" si="11"/>
        <v>42</v>
      </c>
    </row>
    <row r="732" spans="1:8" x14ac:dyDescent="0.3">
      <c r="A732" t="s">
        <v>69</v>
      </c>
      <c r="B732" t="s">
        <v>8</v>
      </c>
      <c r="C732" t="s">
        <v>16</v>
      </c>
      <c r="D732">
        <v>681</v>
      </c>
      <c r="E732" t="s">
        <v>68</v>
      </c>
      <c r="F732" t="s">
        <v>38</v>
      </c>
      <c r="G732" t="s">
        <v>37</v>
      </c>
      <c r="H732">
        <f t="shared" si="11"/>
        <v>681</v>
      </c>
    </row>
    <row r="733" spans="1:8" x14ac:dyDescent="0.3">
      <c r="A733" t="s">
        <v>69</v>
      </c>
      <c r="B733" t="s">
        <v>8</v>
      </c>
      <c r="C733" t="s">
        <v>17</v>
      </c>
      <c r="D733">
        <v>0</v>
      </c>
      <c r="E733" t="s">
        <v>68</v>
      </c>
      <c r="F733" t="s">
        <v>38</v>
      </c>
      <c r="G733" t="s">
        <v>37</v>
      </c>
      <c r="H733">
        <f t="shared" si="11"/>
        <v>0</v>
      </c>
    </row>
    <row r="734" spans="1:8" x14ac:dyDescent="0.3">
      <c r="A734" t="s">
        <v>69</v>
      </c>
      <c r="B734" t="s">
        <v>8</v>
      </c>
      <c r="C734" t="s">
        <v>18</v>
      </c>
      <c r="D734">
        <v>0</v>
      </c>
      <c r="E734" t="s">
        <v>68</v>
      </c>
      <c r="F734" t="s">
        <v>38</v>
      </c>
      <c r="G734" t="s">
        <v>37</v>
      </c>
      <c r="H734">
        <f t="shared" si="11"/>
        <v>0</v>
      </c>
    </row>
    <row r="735" spans="1:8" x14ac:dyDescent="0.3">
      <c r="A735" t="s">
        <v>69</v>
      </c>
      <c r="B735" t="s">
        <v>8</v>
      </c>
      <c r="C735" t="s">
        <v>19</v>
      </c>
      <c r="D735">
        <v>0</v>
      </c>
      <c r="E735" t="s">
        <v>68</v>
      </c>
      <c r="F735" t="s">
        <v>38</v>
      </c>
      <c r="G735" t="s">
        <v>37</v>
      </c>
      <c r="H735">
        <f t="shared" si="11"/>
        <v>0</v>
      </c>
    </row>
    <row r="736" spans="1:8" x14ac:dyDescent="0.3">
      <c r="A736" t="s">
        <v>69</v>
      </c>
      <c r="B736" t="s">
        <v>8</v>
      </c>
      <c r="C736" t="s">
        <v>20</v>
      </c>
      <c r="D736">
        <v>59</v>
      </c>
      <c r="E736" t="s">
        <v>68</v>
      </c>
      <c r="F736" t="s">
        <v>38</v>
      </c>
      <c r="G736" t="s">
        <v>37</v>
      </c>
      <c r="H736">
        <f t="shared" si="11"/>
        <v>59</v>
      </c>
    </row>
    <row r="737" spans="1:8" x14ac:dyDescent="0.3">
      <c r="A737" t="s">
        <v>69</v>
      </c>
      <c r="B737" t="s">
        <v>8</v>
      </c>
      <c r="C737" t="s">
        <v>21</v>
      </c>
      <c r="D737">
        <v>273</v>
      </c>
      <c r="E737" t="s">
        <v>68</v>
      </c>
      <c r="F737" t="s">
        <v>38</v>
      </c>
      <c r="G737" t="s">
        <v>37</v>
      </c>
      <c r="H737">
        <f t="shared" si="11"/>
        <v>273</v>
      </c>
    </row>
    <row r="738" spans="1:8" x14ac:dyDescent="0.3">
      <c r="A738" t="s">
        <v>69</v>
      </c>
      <c r="B738" t="s">
        <v>8</v>
      </c>
      <c r="C738" t="s">
        <v>22</v>
      </c>
      <c r="D738">
        <v>2622521</v>
      </c>
      <c r="E738" t="s">
        <v>68</v>
      </c>
      <c r="F738" t="s">
        <v>38</v>
      </c>
      <c r="G738" t="s">
        <v>37</v>
      </c>
      <c r="H738">
        <f t="shared" si="11"/>
        <v>2620000</v>
      </c>
    </row>
    <row r="739" spans="1:8" x14ac:dyDescent="0.3">
      <c r="A739" t="s">
        <v>69</v>
      </c>
      <c r="B739" t="s">
        <v>23</v>
      </c>
      <c r="C739" t="s">
        <v>9</v>
      </c>
      <c r="D739">
        <v>389528</v>
      </c>
      <c r="E739" t="s">
        <v>68</v>
      </c>
      <c r="F739" t="s">
        <v>38</v>
      </c>
      <c r="G739" t="s">
        <v>37</v>
      </c>
      <c r="H739">
        <f t="shared" si="11"/>
        <v>390000</v>
      </c>
    </row>
    <row r="740" spans="1:8" x14ac:dyDescent="0.3">
      <c r="A740" t="s">
        <v>69</v>
      </c>
      <c r="B740" t="s">
        <v>23</v>
      </c>
      <c r="C740" t="s">
        <v>13</v>
      </c>
      <c r="D740">
        <v>1528888</v>
      </c>
      <c r="E740" t="s">
        <v>68</v>
      </c>
      <c r="F740" t="s">
        <v>38</v>
      </c>
      <c r="G740" t="s">
        <v>37</v>
      </c>
      <c r="H740">
        <f t="shared" si="11"/>
        <v>1530000</v>
      </c>
    </row>
    <row r="741" spans="1:8" x14ac:dyDescent="0.3">
      <c r="A741" t="s">
        <v>69</v>
      </c>
      <c r="B741" t="s">
        <v>23</v>
      </c>
      <c r="C741" t="s">
        <v>14</v>
      </c>
      <c r="D741">
        <v>2226645</v>
      </c>
      <c r="E741" t="s">
        <v>68</v>
      </c>
      <c r="F741" t="s">
        <v>38</v>
      </c>
      <c r="G741" t="s">
        <v>37</v>
      </c>
      <c r="H741">
        <f t="shared" si="11"/>
        <v>2230000</v>
      </c>
    </row>
    <row r="742" spans="1:8" x14ac:dyDescent="0.3">
      <c r="A742" t="s">
        <v>69</v>
      </c>
      <c r="B742" t="s">
        <v>23</v>
      </c>
      <c r="C742" t="s">
        <v>15</v>
      </c>
      <c r="D742">
        <v>39506</v>
      </c>
      <c r="E742" t="s">
        <v>68</v>
      </c>
      <c r="F742" t="s">
        <v>38</v>
      </c>
      <c r="G742" t="s">
        <v>37</v>
      </c>
      <c r="H742">
        <f t="shared" si="11"/>
        <v>39500</v>
      </c>
    </row>
    <row r="743" spans="1:8" x14ac:dyDescent="0.3">
      <c r="A743" t="s">
        <v>69</v>
      </c>
      <c r="B743" t="s">
        <v>23</v>
      </c>
      <c r="C743" t="s">
        <v>16</v>
      </c>
      <c r="D743">
        <v>784736</v>
      </c>
      <c r="E743" t="s">
        <v>68</v>
      </c>
      <c r="F743" t="s">
        <v>38</v>
      </c>
      <c r="G743" t="s">
        <v>37</v>
      </c>
      <c r="H743">
        <f t="shared" si="11"/>
        <v>785000</v>
      </c>
    </row>
    <row r="744" spans="1:8" x14ac:dyDescent="0.3">
      <c r="A744" t="s">
        <v>69</v>
      </c>
      <c r="B744" t="s">
        <v>23</v>
      </c>
      <c r="C744" t="s">
        <v>17</v>
      </c>
      <c r="D744">
        <v>94085</v>
      </c>
      <c r="E744" t="s">
        <v>68</v>
      </c>
      <c r="F744" t="s">
        <v>38</v>
      </c>
      <c r="G744" t="s">
        <v>37</v>
      </c>
      <c r="H744">
        <f t="shared" si="11"/>
        <v>94100</v>
      </c>
    </row>
    <row r="745" spans="1:8" x14ac:dyDescent="0.3">
      <c r="A745" t="s">
        <v>69</v>
      </c>
      <c r="B745" t="s">
        <v>23</v>
      </c>
      <c r="C745" t="s">
        <v>18</v>
      </c>
      <c r="D745">
        <v>1</v>
      </c>
      <c r="E745" t="s">
        <v>68</v>
      </c>
      <c r="F745" t="s">
        <v>38</v>
      </c>
      <c r="G745" t="s">
        <v>37</v>
      </c>
      <c r="H745">
        <f t="shared" si="11"/>
        <v>1</v>
      </c>
    </row>
    <row r="746" spans="1:8" x14ac:dyDescent="0.3">
      <c r="A746" t="s">
        <v>69</v>
      </c>
      <c r="B746" t="s">
        <v>23</v>
      </c>
      <c r="C746" t="s">
        <v>19</v>
      </c>
      <c r="D746">
        <v>353391</v>
      </c>
      <c r="E746" t="s">
        <v>68</v>
      </c>
      <c r="F746" t="s">
        <v>38</v>
      </c>
      <c r="G746" t="s">
        <v>37</v>
      </c>
      <c r="H746">
        <f t="shared" si="11"/>
        <v>353000</v>
      </c>
    </row>
    <row r="747" spans="1:8" x14ac:dyDescent="0.3">
      <c r="A747" t="s">
        <v>69</v>
      </c>
      <c r="B747" t="s">
        <v>23</v>
      </c>
      <c r="C747" t="s">
        <v>20</v>
      </c>
      <c r="D747">
        <v>98418</v>
      </c>
      <c r="E747" t="s">
        <v>68</v>
      </c>
      <c r="F747" t="s">
        <v>38</v>
      </c>
      <c r="G747" t="s">
        <v>37</v>
      </c>
      <c r="H747">
        <f t="shared" si="11"/>
        <v>98400</v>
      </c>
    </row>
    <row r="748" spans="1:8" x14ac:dyDescent="0.3">
      <c r="A748" t="s">
        <v>69</v>
      </c>
      <c r="B748" t="s">
        <v>23</v>
      </c>
      <c r="C748" t="s">
        <v>21</v>
      </c>
      <c r="D748">
        <v>46984</v>
      </c>
      <c r="E748" t="s">
        <v>68</v>
      </c>
      <c r="F748" t="s">
        <v>38</v>
      </c>
      <c r="G748" t="s">
        <v>37</v>
      </c>
      <c r="H748">
        <f t="shared" si="11"/>
        <v>47000</v>
      </c>
    </row>
    <row r="749" spans="1:8" x14ac:dyDescent="0.3">
      <c r="A749" t="s">
        <v>69</v>
      </c>
      <c r="B749" t="s">
        <v>23</v>
      </c>
      <c r="C749" t="s">
        <v>22</v>
      </c>
      <c r="D749">
        <v>7197697</v>
      </c>
      <c r="E749" t="s">
        <v>68</v>
      </c>
      <c r="F749" t="s">
        <v>38</v>
      </c>
      <c r="G749" t="s">
        <v>37</v>
      </c>
      <c r="H749">
        <f t="shared" si="11"/>
        <v>7200000</v>
      </c>
    </row>
    <row r="750" spans="1:8" x14ac:dyDescent="0.3">
      <c r="A750" t="s">
        <v>70</v>
      </c>
      <c r="B750" t="s">
        <v>8</v>
      </c>
      <c r="C750" t="s">
        <v>9</v>
      </c>
      <c r="D750">
        <v>4</v>
      </c>
      <c r="E750" t="s">
        <v>68</v>
      </c>
      <c r="F750" t="s">
        <v>38</v>
      </c>
      <c r="G750" t="s">
        <v>37</v>
      </c>
      <c r="H750">
        <f t="shared" si="11"/>
        <v>4</v>
      </c>
    </row>
    <row r="751" spans="1:8" x14ac:dyDescent="0.3">
      <c r="A751" t="s">
        <v>70</v>
      </c>
      <c r="B751" t="s">
        <v>8</v>
      </c>
      <c r="C751" t="s">
        <v>13</v>
      </c>
      <c r="D751">
        <v>16</v>
      </c>
      <c r="E751" t="s">
        <v>68</v>
      </c>
      <c r="F751" t="s">
        <v>38</v>
      </c>
      <c r="G751" t="s">
        <v>37</v>
      </c>
      <c r="H751">
        <f t="shared" si="11"/>
        <v>16</v>
      </c>
    </row>
    <row r="752" spans="1:8" x14ac:dyDescent="0.3">
      <c r="A752" t="s">
        <v>70</v>
      </c>
      <c r="B752" t="s">
        <v>8</v>
      </c>
      <c r="C752" t="s">
        <v>14</v>
      </c>
      <c r="D752">
        <v>11</v>
      </c>
      <c r="E752" t="s">
        <v>68</v>
      </c>
      <c r="F752" t="s">
        <v>38</v>
      </c>
      <c r="G752" t="s">
        <v>37</v>
      </c>
      <c r="H752">
        <f t="shared" si="11"/>
        <v>11</v>
      </c>
    </row>
    <row r="753" spans="1:8" x14ac:dyDescent="0.3">
      <c r="A753" t="s">
        <v>70</v>
      </c>
      <c r="B753" t="s">
        <v>8</v>
      </c>
      <c r="C753" t="s">
        <v>15</v>
      </c>
      <c r="D753">
        <v>37</v>
      </c>
      <c r="E753" t="s">
        <v>68</v>
      </c>
      <c r="F753" t="s">
        <v>38</v>
      </c>
      <c r="G753" t="s">
        <v>37</v>
      </c>
      <c r="H753">
        <f t="shared" si="11"/>
        <v>37</v>
      </c>
    </row>
    <row r="754" spans="1:8" x14ac:dyDescent="0.3">
      <c r="A754" t="s">
        <v>70</v>
      </c>
      <c r="B754" t="s">
        <v>8</v>
      </c>
      <c r="C754" t="s">
        <v>16</v>
      </c>
      <c r="D754">
        <v>84</v>
      </c>
      <c r="E754" t="s">
        <v>68</v>
      </c>
      <c r="F754" t="s">
        <v>38</v>
      </c>
      <c r="G754" t="s">
        <v>37</v>
      </c>
      <c r="H754">
        <f t="shared" si="11"/>
        <v>84</v>
      </c>
    </row>
    <row r="755" spans="1:8" x14ac:dyDescent="0.3">
      <c r="A755" t="s">
        <v>70</v>
      </c>
      <c r="B755" t="s">
        <v>8</v>
      </c>
      <c r="C755" t="s">
        <v>17</v>
      </c>
      <c r="D755">
        <v>3593446</v>
      </c>
      <c r="E755" t="s">
        <v>68</v>
      </c>
      <c r="F755" t="s">
        <v>38</v>
      </c>
      <c r="G755" t="s">
        <v>37</v>
      </c>
      <c r="H755">
        <f t="shared" si="11"/>
        <v>3590000</v>
      </c>
    </row>
    <row r="756" spans="1:8" x14ac:dyDescent="0.3">
      <c r="A756" t="s">
        <v>70</v>
      </c>
      <c r="B756" t="s">
        <v>8</v>
      </c>
      <c r="C756" t="s">
        <v>18</v>
      </c>
      <c r="D756">
        <v>0</v>
      </c>
      <c r="E756" t="s">
        <v>68</v>
      </c>
      <c r="F756" t="s">
        <v>38</v>
      </c>
      <c r="G756" t="s">
        <v>37</v>
      </c>
      <c r="H756">
        <f t="shared" si="11"/>
        <v>0</v>
      </c>
    </row>
    <row r="757" spans="1:8" x14ac:dyDescent="0.3">
      <c r="A757" t="s">
        <v>70</v>
      </c>
      <c r="B757" t="s">
        <v>8</v>
      </c>
      <c r="C757" t="s">
        <v>19</v>
      </c>
      <c r="D757">
        <v>0</v>
      </c>
      <c r="E757" t="s">
        <v>68</v>
      </c>
      <c r="F757" t="s">
        <v>38</v>
      </c>
      <c r="G757" t="s">
        <v>37</v>
      </c>
      <c r="H757">
        <f t="shared" si="11"/>
        <v>0</v>
      </c>
    </row>
    <row r="758" spans="1:8" x14ac:dyDescent="0.3">
      <c r="A758" t="s">
        <v>70</v>
      </c>
      <c r="B758" t="s">
        <v>8</v>
      </c>
      <c r="C758" t="s">
        <v>20</v>
      </c>
      <c r="D758">
        <v>9</v>
      </c>
      <c r="E758" t="s">
        <v>68</v>
      </c>
      <c r="F758" t="s">
        <v>38</v>
      </c>
      <c r="G758" t="s">
        <v>37</v>
      </c>
      <c r="H758">
        <f t="shared" si="11"/>
        <v>9</v>
      </c>
    </row>
    <row r="759" spans="1:8" x14ac:dyDescent="0.3">
      <c r="A759" t="s">
        <v>70</v>
      </c>
      <c r="B759" t="s">
        <v>8</v>
      </c>
      <c r="C759" t="s">
        <v>21</v>
      </c>
      <c r="D759">
        <v>4</v>
      </c>
      <c r="E759" t="s">
        <v>68</v>
      </c>
      <c r="F759" t="s">
        <v>38</v>
      </c>
      <c r="G759" t="s">
        <v>37</v>
      </c>
      <c r="H759">
        <f t="shared" si="11"/>
        <v>4</v>
      </c>
    </row>
    <row r="760" spans="1:8" x14ac:dyDescent="0.3">
      <c r="A760" t="s">
        <v>70</v>
      </c>
      <c r="B760" t="s">
        <v>8</v>
      </c>
      <c r="C760" t="s">
        <v>22</v>
      </c>
      <c r="D760">
        <v>391</v>
      </c>
      <c r="E760" t="s">
        <v>68</v>
      </c>
      <c r="F760" t="s">
        <v>38</v>
      </c>
      <c r="G760" t="s">
        <v>37</v>
      </c>
      <c r="H760">
        <f t="shared" si="11"/>
        <v>391</v>
      </c>
    </row>
    <row r="761" spans="1:8" x14ac:dyDescent="0.3">
      <c r="A761" t="s">
        <v>70</v>
      </c>
      <c r="B761" t="s">
        <v>23</v>
      </c>
      <c r="C761" t="s">
        <v>9</v>
      </c>
      <c r="D761">
        <v>2154814</v>
      </c>
      <c r="E761" t="s">
        <v>68</v>
      </c>
      <c r="F761" t="s">
        <v>38</v>
      </c>
      <c r="G761" t="s">
        <v>37</v>
      </c>
      <c r="H761">
        <f t="shared" si="11"/>
        <v>2150000</v>
      </c>
    </row>
    <row r="762" spans="1:8" x14ac:dyDescent="0.3">
      <c r="A762" t="s">
        <v>70</v>
      </c>
      <c r="B762" t="s">
        <v>23</v>
      </c>
      <c r="C762" t="s">
        <v>13</v>
      </c>
      <c r="D762">
        <v>10042</v>
      </c>
      <c r="E762" t="s">
        <v>68</v>
      </c>
      <c r="F762" t="s">
        <v>38</v>
      </c>
      <c r="G762" t="s">
        <v>37</v>
      </c>
      <c r="H762">
        <f t="shared" si="11"/>
        <v>10000</v>
      </c>
    </row>
    <row r="763" spans="1:8" x14ac:dyDescent="0.3">
      <c r="A763" t="s">
        <v>70</v>
      </c>
      <c r="B763" t="s">
        <v>23</v>
      </c>
      <c r="C763" t="s">
        <v>14</v>
      </c>
      <c r="D763">
        <v>652463</v>
      </c>
      <c r="E763" t="s">
        <v>68</v>
      </c>
      <c r="F763" t="s">
        <v>38</v>
      </c>
      <c r="G763" t="s">
        <v>37</v>
      </c>
      <c r="H763">
        <f t="shared" si="11"/>
        <v>652000</v>
      </c>
    </row>
    <row r="764" spans="1:8" x14ac:dyDescent="0.3">
      <c r="A764" t="s">
        <v>70</v>
      </c>
      <c r="B764" t="s">
        <v>23</v>
      </c>
      <c r="C764" t="s">
        <v>15</v>
      </c>
      <c r="D764">
        <v>900</v>
      </c>
      <c r="E764" t="s">
        <v>68</v>
      </c>
      <c r="F764" t="s">
        <v>38</v>
      </c>
      <c r="G764" t="s">
        <v>37</v>
      </c>
      <c r="H764">
        <f t="shared" si="11"/>
        <v>900</v>
      </c>
    </row>
    <row r="765" spans="1:8" x14ac:dyDescent="0.3">
      <c r="A765" t="s">
        <v>70</v>
      </c>
      <c r="B765" t="s">
        <v>23</v>
      </c>
      <c r="C765" t="s">
        <v>16</v>
      </c>
      <c r="D765">
        <v>35977</v>
      </c>
      <c r="E765" t="s">
        <v>68</v>
      </c>
      <c r="F765" t="s">
        <v>38</v>
      </c>
      <c r="G765" t="s">
        <v>37</v>
      </c>
      <c r="H765">
        <f t="shared" si="11"/>
        <v>36000</v>
      </c>
    </row>
    <row r="766" spans="1:8" x14ac:dyDescent="0.3">
      <c r="A766" t="s">
        <v>70</v>
      </c>
      <c r="B766" t="s">
        <v>23</v>
      </c>
      <c r="C766" t="s">
        <v>17</v>
      </c>
      <c r="D766">
        <v>1091191</v>
      </c>
      <c r="E766" t="s">
        <v>68</v>
      </c>
      <c r="F766" t="s">
        <v>38</v>
      </c>
      <c r="G766" t="s">
        <v>37</v>
      </c>
      <c r="H766">
        <f t="shared" si="11"/>
        <v>1090000</v>
      </c>
    </row>
    <row r="767" spans="1:8" x14ac:dyDescent="0.3">
      <c r="A767" t="s">
        <v>70</v>
      </c>
      <c r="B767" t="s">
        <v>23</v>
      </c>
      <c r="C767" t="s">
        <v>18</v>
      </c>
      <c r="D767">
        <v>6</v>
      </c>
      <c r="E767" t="s">
        <v>68</v>
      </c>
      <c r="F767" t="s">
        <v>38</v>
      </c>
      <c r="G767" t="s">
        <v>37</v>
      </c>
      <c r="H767">
        <f t="shared" si="11"/>
        <v>6</v>
      </c>
    </row>
    <row r="768" spans="1:8" x14ac:dyDescent="0.3">
      <c r="A768" t="s">
        <v>70</v>
      </c>
      <c r="B768" t="s">
        <v>23</v>
      </c>
      <c r="C768" t="s">
        <v>19</v>
      </c>
      <c r="D768">
        <v>869</v>
      </c>
      <c r="E768" t="s">
        <v>68</v>
      </c>
      <c r="F768" t="s">
        <v>38</v>
      </c>
      <c r="G768" t="s">
        <v>37</v>
      </c>
      <c r="H768">
        <f t="shared" si="11"/>
        <v>869</v>
      </c>
    </row>
    <row r="769" spans="1:8" x14ac:dyDescent="0.3">
      <c r="A769" t="s">
        <v>70</v>
      </c>
      <c r="B769" t="s">
        <v>23</v>
      </c>
      <c r="C769" t="s">
        <v>20</v>
      </c>
      <c r="D769">
        <v>12043</v>
      </c>
      <c r="E769" t="s">
        <v>68</v>
      </c>
      <c r="F769" t="s">
        <v>38</v>
      </c>
      <c r="G769" t="s">
        <v>37</v>
      </c>
      <c r="H769">
        <f t="shared" si="11"/>
        <v>12000</v>
      </c>
    </row>
    <row r="770" spans="1:8" x14ac:dyDescent="0.3">
      <c r="A770" t="s">
        <v>70</v>
      </c>
      <c r="B770" t="s">
        <v>23</v>
      </c>
      <c r="C770" t="s">
        <v>21</v>
      </c>
      <c r="D770">
        <v>1744</v>
      </c>
      <c r="E770" t="s">
        <v>68</v>
      </c>
      <c r="F770" t="s">
        <v>38</v>
      </c>
      <c r="G770" t="s">
        <v>37</v>
      </c>
      <c r="H770">
        <f t="shared" si="11"/>
        <v>1740</v>
      </c>
    </row>
    <row r="771" spans="1:8" x14ac:dyDescent="0.3">
      <c r="A771" t="s">
        <v>70</v>
      </c>
      <c r="B771" t="s">
        <v>23</v>
      </c>
      <c r="C771" t="s">
        <v>22</v>
      </c>
      <c r="D771">
        <v>4041</v>
      </c>
      <c r="E771" t="s">
        <v>68</v>
      </c>
      <c r="F771" t="s">
        <v>38</v>
      </c>
      <c r="G771" t="s">
        <v>37</v>
      </c>
      <c r="H771">
        <f t="shared" ref="H771:H834" si="12">ROUND(D771, 3 - LEN(INT(ABS(D771))))</f>
        <v>4040</v>
      </c>
    </row>
    <row r="772" spans="1:8" x14ac:dyDescent="0.3">
      <c r="A772" t="s">
        <v>71</v>
      </c>
      <c r="B772" t="s">
        <v>8</v>
      </c>
      <c r="C772" t="s">
        <v>9</v>
      </c>
      <c r="D772">
        <v>105</v>
      </c>
      <c r="E772" t="s">
        <v>68</v>
      </c>
      <c r="F772" t="s">
        <v>38</v>
      </c>
      <c r="G772" t="s">
        <v>37</v>
      </c>
      <c r="H772">
        <f t="shared" si="12"/>
        <v>105</v>
      </c>
    </row>
    <row r="773" spans="1:8" x14ac:dyDescent="0.3">
      <c r="A773" t="s">
        <v>71</v>
      </c>
      <c r="B773" t="s">
        <v>8</v>
      </c>
      <c r="C773" t="s">
        <v>13</v>
      </c>
      <c r="D773">
        <v>205</v>
      </c>
      <c r="E773" t="s">
        <v>68</v>
      </c>
      <c r="F773" t="s">
        <v>38</v>
      </c>
      <c r="G773" t="s">
        <v>37</v>
      </c>
      <c r="H773">
        <f t="shared" si="12"/>
        <v>205</v>
      </c>
    </row>
    <row r="774" spans="1:8" x14ac:dyDescent="0.3">
      <c r="A774" t="s">
        <v>71</v>
      </c>
      <c r="B774" t="s">
        <v>8</v>
      </c>
      <c r="C774" t="s">
        <v>14</v>
      </c>
      <c r="D774">
        <v>188</v>
      </c>
      <c r="E774" t="s">
        <v>68</v>
      </c>
      <c r="F774" t="s">
        <v>38</v>
      </c>
      <c r="G774" t="s">
        <v>37</v>
      </c>
      <c r="H774">
        <f t="shared" si="12"/>
        <v>188</v>
      </c>
    </row>
    <row r="775" spans="1:8" x14ac:dyDescent="0.3">
      <c r="A775" t="s">
        <v>71</v>
      </c>
      <c r="B775" t="s">
        <v>8</v>
      </c>
      <c r="C775" t="s">
        <v>15</v>
      </c>
      <c r="D775">
        <v>25</v>
      </c>
      <c r="E775" t="s">
        <v>68</v>
      </c>
      <c r="F775" t="s">
        <v>38</v>
      </c>
      <c r="G775" t="s">
        <v>37</v>
      </c>
      <c r="H775">
        <f t="shared" si="12"/>
        <v>25</v>
      </c>
    </row>
    <row r="776" spans="1:8" x14ac:dyDescent="0.3">
      <c r="A776" t="s">
        <v>71</v>
      </c>
      <c r="B776" t="s">
        <v>8</v>
      </c>
      <c r="C776" t="s">
        <v>16</v>
      </c>
      <c r="D776">
        <v>407</v>
      </c>
      <c r="E776" t="s">
        <v>68</v>
      </c>
      <c r="F776" t="s">
        <v>38</v>
      </c>
      <c r="G776" t="s">
        <v>37</v>
      </c>
      <c r="H776">
        <f t="shared" si="12"/>
        <v>407</v>
      </c>
    </row>
    <row r="777" spans="1:8" x14ac:dyDescent="0.3">
      <c r="A777" t="s">
        <v>71</v>
      </c>
      <c r="B777" t="s">
        <v>8</v>
      </c>
      <c r="C777" t="s">
        <v>17</v>
      </c>
      <c r="D777">
        <v>0</v>
      </c>
      <c r="E777" t="s">
        <v>68</v>
      </c>
      <c r="F777" t="s">
        <v>38</v>
      </c>
      <c r="G777" t="s">
        <v>37</v>
      </c>
      <c r="H777">
        <f t="shared" si="12"/>
        <v>0</v>
      </c>
    </row>
    <row r="778" spans="1:8" x14ac:dyDescent="0.3">
      <c r="A778" t="s">
        <v>71</v>
      </c>
      <c r="B778" t="s">
        <v>8</v>
      </c>
      <c r="C778" t="s">
        <v>18</v>
      </c>
      <c r="D778">
        <v>0</v>
      </c>
      <c r="E778" t="s">
        <v>68</v>
      </c>
      <c r="F778" t="s">
        <v>38</v>
      </c>
      <c r="G778" t="s">
        <v>37</v>
      </c>
      <c r="H778">
        <f t="shared" si="12"/>
        <v>0</v>
      </c>
    </row>
    <row r="779" spans="1:8" x14ac:dyDescent="0.3">
      <c r="A779" t="s">
        <v>71</v>
      </c>
      <c r="B779" t="s">
        <v>8</v>
      </c>
      <c r="C779" t="s">
        <v>19</v>
      </c>
      <c r="D779">
        <v>0</v>
      </c>
      <c r="E779" t="s">
        <v>68</v>
      </c>
      <c r="F779" t="s">
        <v>38</v>
      </c>
      <c r="G779" t="s">
        <v>37</v>
      </c>
      <c r="H779">
        <f t="shared" si="12"/>
        <v>0</v>
      </c>
    </row>
    <row r="780" spans="1:8" x14ac:dyDescent="0.3">
      <c r="A780" t="s">
        <v>71</v>
      </c>
      <c r="B780" t="s">
        <v>8</v>
      </c>
      <c r="C780" t="s">
        <v>20</v>
      </c>
      <c r="D780">
        <v>35</v>
      </c>
      <c r="E780" t="s">
        <v>68</v>
      </c>
      <c r="F780" t="s">
        <v>38</v>
      </c>
      <c r="G780" t="s">
        <v>37</v>
      </c>
      <c r="H780">
        <f t="shared" si="12"/>
        <v>35</v>
      </c>
    </row>
    <row r="781" spans="1:8" x14ac:dyDescent="0.3">
      <c r="A781" t="s">
        <v>71</v>
      </c>
      <c r="B781" t="s">
        <v>8</v>
      </c>
      <c r="C781" t="s">
        <v>21</v>
      </c>
      <c r="D781">
        <v>163</v>
      </c>
      <c r="E781" t="s">
        <v>68</v>
      </c>
      <c r="F781" t="s">
        <v>38</v>
      </c>
      <c r="G781" t="s">
        <v>37</v>
      </c>
      <c r="H781">
        <f t="shared" si="12"/>
        <v>163</v>
      </c>
    </row>
    <row r="782" spans="1:8" x14ac:dyDescent="0.3">
      <c r="A782" t="s">
        <v>71</v>
      </c>
      <c r="B782" t="s">
        <v>8</v>
      </c>
      <c r="C782" t="s">
        <v>22</v>
      </c>
      <c r="D782">
        <v>1566550</v>
      </c>
      <c r="E782" t="s">
        <v>68</v>
      </c>
      <c r="F782" t="s">
        <v>38</v>
      </c>
      <c r="G782" t="s">
        <v>37</v>
      </c>
      <c r="H782">
        <f t="shared" si="12"/>
        <v>1570000</v>
      </c>
    </row>
    <row r="783" spans="1:8" x14ac:dyDescent="0.3">
      <c r="A783" t="s">
        <v>71</v>
      </c>
      <c r="B783" t="s">
        <v>23</v>
      </c>
      <c r="C783" t="s">
        <v>9</v>
      </c>
      <c r="D783">
        <v>232683</v>
      </c>
      <c r="E783" t="s">
        <v>68</v>
      </c>
      <c r="F783" t="s">
        <v>38</v>
      </c>
      <c r="G783" t="s">
        <v>37</v>
      </c>
      <c r="H783">
        <f t="shared" si="12"/>
        <v>233000</v>
      </c>
    </row>
    <row r="784" spans="1:8" x14ac:dyDescent="0.3">
      <c r="A784" t="s">
        <v>71</v>
      </c>
      <c r="B784" t="s">
        <v>23</v>
      </c>
      <c r="C784" t="s">
        <v>13</v>
      </c>
      <c r="D784">
        <v>913274</v>
      </c>
      <c r="E784" t="s">
        <v>68</v>
      </c>
      <c r="F784" t="s">
        <v>38</v>
      </c>
      <c r="G784" t="s">
        <v>37</v>
      </c>
      <c r="H784">
        <f t="shared" si="12"/>
        <v>913000</v>
      </c>
    </row>
    <row r="785" spans="1:8" x14ac:dyDescent="0.3">
      <c r="A785" t="s">
        <v>71</v>
      </c>
      <c r="B785" t="s">
        <v>23</v>
      </c>
      <c r="C785" t="s">
        <v>14</v>
      </c>
      <c r="D785">
        <v>1330076</v>
      </c>
      <c r="E785" t="s">
        <v>68</v>
      </c>
      <c r="F785" t="s">
        <v>38</v>
      </c>
      <c r="G785" t="s">
        <v>37</v>
      </c>
      <c r="H785">
        <f t="shared" si="12"/>
        <v>1330000</v>
      </c>
    </row>
    <row r="786" spans="1:8" x14ac:dyDescent="0.3">
      <c r="A786" t="s">
        <v>71</v>
      </c>
      <c r="B786" t="s">
        <v>23</v>
      </c>
      <c r="C786" t="s">
        <v>15</v>
      </c>
      <c r="D786">
        <v>23598</v>
      </c>
      <c r="E786" t="s">
        <v>68</v>
      </c>
      <c r="F786" t="s">
        <v>38</v>
      </c>
      <c r="G786" t="s">
        <v>37</v>
      </c>
      <c r="H786">
        <f t="shared" si="12"/>
        <v>23600</v>
      </c>
    </row>
    <row r="787" spans="1:8" x14ac:dyDescent="0.3">
      <c r="A787" t="s">
        <v>71</v>
      </c>
      <c r="B787" t="s">
        <v>23</v>
      </c>
      <c r="C787" t="s">
        <v>16</v>
      </c>
      <c r="D787">
        <v>468758</v>
      </c>
      <c r="E787" t="s">
        <v>68</v>
      </c>
      <c r="F787" t="s">
        <v>38</v>
      </c>
      <c r="G787" t="s">
        <v>37</v>
      </c>
      <c r="H787">
        <f t="shared" si="12"/>
        <v>469000</v>
      </c>
    </row>
    <row r="788" spans="1:8" x14ac:dyDescent="0.3">
      <c r="A788" t="s">
        <v>71</v>
      </c>
      <c r="B788" t="s">
        <v>23</v>
      </c>
      <c r="C788" t="s">
        <v>17</v>
      </c>
      <c r="D788">
        <v>56201</v>
      </c>
      <c r="E788" t="s">
        <v>68</v>
      </c>
      <c r="F788" t="s">
        <v>38</v>
      </c>
      <c r="G788" t="s">
        <v>37</v>
      </c>
      <c r="H788">
        <f t="shared" si="12"/>
        <v>56200</v>
      </c>
    </row>
    <row r="789" spans="1:8" x14ac:dyDescent="0.3">
      <c r="A789" t="s">
        <v>71</v>
      </c>
      <c r="B789" t="s">
        <v>23</v>
      </c>
      <c r="C789" t="s">
        <v>18</v>
      </c>
      <c r="D789">
        <v>0</v>
      </c>
      <c r="E789" t="s">
        <v>68</v>
      </c>
      <c r="F789" t="s">
        <v>38</v>
      </c>
      <c r="G789" t="s">
        <v>37</v>
      </c>
      <c r="H789">
        <f t="shared" si="12"/>
        <v>0</v>
      </c>
    </row>
    <row r="790" spans="1:8" x14ac:dyDescent="0.3">
      <c r="A790" t="s">
        <v>71</v>
      </c>
      <c r="B790" t="s">
        <v>23</v>
      </c>
      <c r="C790" t="s">
        <v>19</v>
      </c>
      <c r="D790">
        <v>211096</v>
      </c>
      <c r="E790" t="s">
        <v>68</v>
      </c>
      <c r="F790" t="s">
        <v>38</v>
      </c>
      <c r="G790" t="s">
        <v>37</v>
      </c>
      <c r="H790">
        <f t="shared" si="12"/>
        <v>211000</v>
      </c>
    </row>
    <row r="791" spans="1:8" x14ac:dyDescent="0.3">
      <c r="A791" t="s">
        <v>71</v>
      </c>
      <c r="B791" t="s">
        <v>23</v>
      </c>
      <c r="C791" t="s">
        <v>20</v>
      </c>
      <c r="D791">
        <v>58790</v>
      </c>
      <c r="E791" t="s">
        <v>68</v>
      </c>
      <c r="F791" t="s">
        <v>38</v>
      </c>
      <c r="G791" t="s">
        <v>37</v>
      </c>
      <c r="H791">
        <f t="shared" si="12"/>
        <v>58800</v>
      </c>
    </row>
    <row r="792" spans="1:8" x14ac:dyDescent="0.3">
      <c r="A792" t="s">
        <v>71</v>
      </c>
      <c r="B792" t="s">
        <v>23</v>
      </c>
      <c r="C792" t="s">
        <v>21</v>
      </c>
      <c r="D792">
        <v>28066</v>
      </c>
      <c r="E792" t="s">
        <v>68</v>
      </c>
      <c r="F792" t="s">
        <v>38</v>
      </c>
      <c r="G792" t="s">
        <v>37</v>
      </c>
      <c r="H792">
        <f t="shared" si="12"/>
        <v>28100</v>
      </c>
    </row>
    <row r="793" spans="1:8" x14ac:dyDescent="0.3">
      <c r="A793" t="s">
        <v>71</v>
      </c>
      <c r="B793" t="s">
        <v>23</v>
      </c>
      <c r="C793" t="s">
        <v>22</v>
      </c>
      <c r="D793">
        <v>4299509</v>
      </c>
      <c r="E793" t="s">
        <v>68</v>
      </c>
      <c r="F793" t="s">
        <v>38</v>
      </c>
      <c r="G793" t="s">
        <v>37</v>
      </c>
      <c r="H793">
        <f t="shared" si="12"/>
        <v>4300000</v>
      </c>
    </row>
    <row r="794" spans="1:8" x14ac:dyDescent="0.3">
      <c r="A794" t="s">
        <v>72</v>
      </c>
      <c r="B794" t="s">
        <v>8</v>
      </c>
      <c r="C794" t="s">
        <v>9</v>
      </c>
      <c r="D794">
        <v>105</v>
      </c>
      <c r="E794" t="s">
        <v>68</v>
      </c>
      <c r="F794" t="s">
        <v>38</v>
      </c>
      <c r="G794" t="s">
        <v>37</v>
      </c>
      <c r="H794">
        <f t="shared" si="12"/>
        <v>105</v>
      </c>
    </row>
    <row r="795" spans="1:8" x14ac:dyDescent="0.3">
      <c r="A795" t="s">
        <v>72</v>
      </c>
      <c r="B795" t="s">
        <v>8</v>
      </c>
      <c r="C795" t="s">
        <v>13</v>
      </c>
      <c r="D795">
        <v>205</v>
      </c>
      <c r="E795" t="s">
        <v>68</v>
      </c>
      <c r="F795" t="s">
        <v>38</v>
      </c>
      <c r="G795" t="s">
        <v>37</v>
      </c>
      <c r="H795">
        <f t="shared" si="12"/>
        <v>205</v>
      </c>
    </row>
    <row r="796" spans="1:8" x14ac:dyDescent="0.3">
      <c r="A796" t="s">
        <v>72</v>
      </c>
      <c r="B796" t="s">
        <v>8</v>
      </c>
      <c r="C796" t="s">
        <v>14</v>
      </c>
      <c r="D796">
        <v>188</v>
      </c>
      <c r="E796" t="s">
        <v>68</v>
      </c>
      <c r="F796" t="s">
        <v>38</v>
      </c>
      <c r="G796" t="s">
        <v>37</v>
      </c>
      <c r="H796">
        <f t="shared" si="12"/>
        <v>188</v>
      </c>
    </row>
    <row r="797" spans="1:8" x14ac:dyDescent="0.3">
      <c r="A797" t="s">
        <v>72</v>
      </c>
      <c r="B797" t="s">
        <v>8</v>
      </c>
      <c r="C797" t="s">
        <v>15</v>
      </c>
      <c r="D797">
        <v>25</v>
      </c>
      <c r="E797" t="s">
        <v>68</v>
      </c>
      <c r="F797" t="s">
        <v>38</v>
      </c>
      <c r="G797" t="s">
        <v>37</v>
      </c>
      <c r="H797">
        <f t="shared" si="12"/>
        <v>25</v>
      </c>
    </row>
    <row r="798" spans="1:8" x14ac:dyDescent="0.3">
      <c r="A798" t="s">
        <v>72</v>
      </c>
      <c r="B798" t="s">
        <v>8</v>
      </c>
      <c r="C798" t="s">
        <v>16</v>
      </c>
      <c r="D798">
        <v>407</v>
      </c>
      <c r="E798" t="s">
        <v>68</v>
      </c>
      <c r="F798" t="s">
        <v>38</v>
      </c>
      <c r="G798" t="s">
        <v>37</v>
      </c>
      <c r="H798">
        <f t="shared" si="12"/>
        <v>407</v>
      </c>
    </row>
    <row r="799" spans="1:8" x14ac:dyDescent="0.3">
      <c r="A799" t="s">
        <v>72</v>
      </c>
      <c r="B799" t="s">
        <v>8</v>
      </c>
      <c r="C799" t="s">
        <v>17</v>
      </c>
      <c r="D799">
        <v>0</v>
      </c>
      <c r="E799" t="s">
        <v>68</v>
      </c>
      <c r="F799" t="s">
        <v>38</v>
      </c>
      <c r="G799" t="s">
        <v>37</v>
      </c>
      <c r="H799">
        <f t="shared" si="12"/>
        <v>0</v>
      </c>
    </row>
    <row r="800" spans="1:8" x14ac:dyDescent="0.3">
      <c r="A800" t="s">
        <v>72</v>
      </c>
      <c r="B800" t="s">
        <v>8</v>
      </c>
      <c r="C800" t="s">
        <v>18</v>
      </c>
      <c r="D800">
        <v>0</v>
      </c>
      <c r="E800" t="s">
        <v>68</v>
      </c>
      <c r="F800" t="s">
        <v>38</v>
      </c>
      <c r="G800" t="s">
        <v>37</v>
      </c>
      <c r="H800">
        <f t="shared" si="12"/>
        <v>0</v>
      </c>
    </row>
    <row r="801" spans="1:8" x14ac:dyDescent="0.3">
      <c r="A801" t="s">
        <v>72</v>
      </c>
      <c r="B801" t="s">
        <v>8</v>
      </c>
      <c r="C801" t="s">
        <v>19</v>
      </c>
      <c r="D801">
        <v>0</v>
      </c>
      <c r="E801" t="s">
        <v>68</v>
      </c>
      <c r="F801" t="s">
        <v>38</v>
      </c>
      <c r="G801" t="s">
        <v>37</v>
      </c>
      <c r="H801">
        <f t="shared" si="12"/>
        <v>0</v>
      </c>
    </row>
    <row r="802" spans="1:8" x14ac:dyDescent="0.3">
      <c r="A802" t="s">
        <v>72</v>
      </c>
      <c r="B802" t="s">
        <v>8</v>
      </c>
      <c r="C802" t="s">
        <v>20</v>
      </c>
      <c r="D802">
        <v>35</v>
      </c>
      <c r="E802" t="s">
        <v>68</v>
      </c>
      <c r="F802" t="s">
        <v>38</v>
      </c>
      <c r="G802" t="s">
        <v>37</v>
      </c>
      <c r="H802">
        <f t="shared" si="12"/>
        <v>35</v>
      </c>
    </row>
    <row r="803" spans="1:8" x14ac:dyDescent="0.3">
      <c r="A803" t="s">
        <v>72</v>
      </c>
      <c r="B803" t="s">
        <v>8</v>
      </c>
      <c r="C803" t="s">
        <v>21</v>
      </c>
      <c r="D803">
        <v>163</v>
      </c>
      <c r="E803" t="s">
        <v>68</v>
      </c>
      <c r="F803" t="s">
        <v>38</v>
      </c>
      <c r="G803" t="s">
        <v>37</v>
      </c>
      <c r="H803">
        <f t="shared" si="12"/>
        <v>163</v>
      </c>
    </row>
    <row r="804" spans="1:8" x14ac:dyDescent="0.3">
      <c r="A804" t="s">
        <v>72</v>
      </c>
      <c r="B804" t="s">
        <v>8</v>
      </c>
      <c r="C804" t="s">
        <v>22</v>
      </c>
      <c r="D804">
        <v>1566550</v>
      </c>
      <c r="E804" t="s">
        <v>68</v>
      </c>
      <c r="F804" t="s">
        <v>38</v>
      </c>
      <c r="G804" t="s">
        <v>37</v>
      </c>
      <c r="H804">
        <f t="shared" si="12"/>
        <v>1570000</v>
      </c>
    </row>
    <row r="805" spans="1:8" x14ac:dyDescent="0.3">
      <c r="A805" t="s">
        <v>72</v>
      </c>
      <c r="B805" t="s">
        <v>23</v>
      </c>
      <c r="C805" t="s">
        <v>9</v>
      </c>
      <c r="D805">
        <v>232683</v>
      </c>
      <c r="E805" t="s">
        <v>68</v>
      </c>
      <c r="F805" t="s">
        <v>38</v>
      </c>
      <c r="G805" t="s">
        <v>37</v>
      </c>
      <c r="H805">
        <f t="shared" si="12"/>
        <v>233000</v>
      </c>
    </row>
    <row r="806" spans="1:8" x14ac:dyDescent="0.3">
      <c r="A806" t="s">
        <v>72</v>
      </c>
      <c r="B806" t="s">
        <v>23</v>
      </c>
      <c r="C806" t="s">
        <v>13</v>
      </c>
      <c r="D806">
        <v>913274</v>
      </c>
      <c r="E806" t="s">
        <v>68</v>
      </c>
      <c r="F806" t="s">
        <v>38</v>
      </c>
      <c r="G806" t="s">
        <v>37</v>
      </c>
      <c r="H806">
        <f t="shared" si="12"/>
        <v>913000</v>
      </c>
    </row>
    <row r="807" spans="1:8" x14ac:dyDescent="0.3">
      <c r="A807" t="s">
        <v>72</v>
      </c>
      <c r="B807" t="s">
        <v>23</v>
      </c>
      <c r="C807" t="s">
        <v>14</v>
      </c>
      <c r="D807">
        <v>1330076</v>
      </c>
      <c r="E807" t="s">
        <v>68</v>
      </c>
      <c r="F807" t="s">
        <v>38</v>
      </c>
      <c r="G807" t="s">
        <v>37</v>
      </c>
      <c r="H807">
        <f t="shared" si="12"/>
        <v>1330000</v>
      </c>
    </row>
    <row r="808" spans="1:8" x14ac:dyDescent="0.3">
      <c r="A808" t="s">
        <v>72</v>
      </c>
      <c r="B808" t="s">
        <v>23</v>
      </c>
      <c r="C808" t="s">
        <v>15</v>
      </c>
      <c r="D808">
        <v>23598</v>
      </c>
      <c r="E808" t="s">
        <v>68</v>
      </c>
      <c r="F808" t="s">
        <v>38</v>
      </c>
      <c r="G808" t="s">
        <v>37</v>
      </c>
      <c r="H808">
        <f t="shared" si="12"/>
        <v>23600</v>
      </c>
    </row>
    <row r="809" spans="1:8" x14ac:dyDescent="0.3">
      <c r="A809" t="s">
        <v>72</v>
      </c>
      <c r="B809" t="s">
        <v>23</v>
      </c>
      <c r="C809" t="s">
        <v>16</v>
      </c>
      <c r="D809">
        <v>468758</v>
      </c>
      <c r="E809" t="s">
        <v>68</v>
      </c>
      <c r="F809" t="s">
        <v>38</v>
      </c>
      <c r="G809" t="s">
        <v>37</v>
      </c>
      <c r="H809">
        <f t="shared" si="12"/>
        <v>469000</v>
      </c>
    </row>
    <row r="810" spans="1:8" x14ac:dyDescent="0.3">
      <c r="A810" t="s">
        <v>72</v>
      </c>
      <c r="B810" t="s">
        <v>23</v>
      </c>
      <c r="C810" t="s">
        <v>17</v>
      </c>
      <c r="D810">
        <v>56201</v>
      </c>
      <c r="E810" t="s">
        <v>68</v>
      </c>
      <c r="F810" t="s">
        <v>38</v>
      </c>
      <c r="G810" t="s">
        <v>37</v>
      </c>
      <c r="H810">
        <f t="shared" si="12"/>
        <v>56200</v>
      </c>
    </row>
    <row r="811" spans="1:8" x14ac:dyDescent="0.3">
      <c r="A811" t="s">
        <v>72</v>
      </c>
      <c r="B811" t="s">
        <v>23</v>
      </c>
      <c r="C811" t="s">
        <v>18</v>
      </c>
      <c r="D811">
        <v>0</v>
      </c>
      <c r="E811" t="s">
        <v>68</v>
      </c>
      <c r="F811" t="s">
        <v>38</v>
      </c>
      <c r="G811" t="s">
        <v>37</v>
      </c>
      <c r="H811">
        <f t="shared" si="12"/>
        <v>0</v>
      </c>
    </row>
    <row r="812" spans="1:8" x14ac:dyDescent="0.3">
      <c r="A812" t="s">
        <v>72</v>
      </c>
      <c r="B812" t="s">
        <v>23</v>
      </c>
      <c r="C812" t="s">
        <v>19</v>
      </c>
      <c r="D812">
        <v>211096</v>
      </c>
      <c r="E812" t="s">
        <v>68</v>
      </c>
      <c r="F812" t="s">
        <v>38</v>
      </c>
      <c r="G812" t="s">
        <v>37</v>
      </c>
      <c r="H812">
        <f t="shared" si="12"/>
        <v>211000</v>
      </c>
    </row>
    <row r="813" spans="1:8" x14ac:dyDescent="0.3">
      <c r="A813" t="s">
        <v>72</v>
      </c>
      <c r="B813" t="s">
        <v>23</v>
      </c>
      <c r="C813" t="s">
        <v>20</v>
      </c>
      <c r="D813">
        <v>58790</v>
      </c>
      <c r="E813" t="s">
        <v>68</v>
      </c>
      <c r="F813" t="s">
        <v>38</v>
      </c>
      <c r="G813" t="s">
        <v>37</v>
      </c>
      <c r="H813">
        <f t="shared" si="12"/>
        <v>58800</v>
      </c>
    </row>
    <row r="814" spans="1:8" x14ac:dyDescent="0.3">
      <c r="A814" t="s">
        <v>72</v>
      </c>
      <c r="B814" t="s">
        <v>23</v>
      </c>
      <c r="C814" t="s">
        <v>21</v>
      </c>
      <c r="D814">
        <v>28066</v>
      </c>
      <c r="E814" t="s">
        <v>68</v>
      </c>
      <c r="F814" t="s">
        <v>38</v>
      </c>
      <c r="G814" t="s">
        <v>37</v>
      </c>
      <c r="H814">
        <f t="shared" si="12"/>
        <v>28100</v>
      </c>
    </row>
    <row r="815" spans="1:8" x14ac:dyDescent="0.3">
      <c r="A815" t="s">
        <v>72</v>
      </c>
      <c r="B815" t="s">
        <v>23</v>
      </c>
      <c r="C815" t="s">
        <v>22</v>
      </c>
      <c r="D815">
        <v>4299509</v>
      </c>
      <c r="E815" t="s">
        <v>68</v>
      </c>
      <c r="F815" t="s">
        <v>38</v>
      </c>
      <c r="G815" t="s">
        <v>37</v>
      </c>
      <c r="H815">
        <f t="shared" si="12"/>
        <v>4300000</v>
      </c>
    </row>
    <row r="816" spans="1:8" x14ac:dyDescent="0.3">
      <c r="A816" t="s">
        <v>73</v>
      </c>
      <c r="B816" t="s">
        <v>8</v>
      </c>
      <c r="C816" t="s">
        <v>9</v>
      </c>
      <c r="D816">
        <v>844</v>
      </c>
      <c r="E816" t="s">
        <v>68</v>
      </c>
      <c r="F816" t="s">
        <v>38</v>
      </c>
      <c r="G816" t="s">
        <v>37</v>
      </c>
      <c r="H816">
        <f t="shared" si="12"/>
        <v>844</v>
      </c>
    </row>
    <row r="817" spans="1:8" x14ac:dyDescent="0.3">
      <c r="A817" t="s">
        <v>73</v>
      </c>
      <c r="B817" t="s">
        <v>8</v>
      </c>
      <c r="C817" t="s">
        <v>13</v>
      </c>
      <c r="D817">
        <v>12</v>
      </c>
      <c r="E817" t="s">
        <v>68</v>
      </c>
      <c r="F817" t="s">
        <v>38</v>
      </c>
      <c r="G817" t="s">
        <v>37</v>
      </c>
      <c r="H817">
        <f t="shared" si="12"/>
        <v>12</v>
      </c>
    </row>
    <row r="818" spans="1:8" x14ac:dyDescent="0.3">
      <c r="A818" t="s">
        <v>73</v>
      </c>
      <c r="B818" t="s">
        <v>8</v>
      </c>
      <c r="C818" t="s">
        <v>14</v>
      </c>
      <c r="D818">
        <v>5745</v>
      </c>
      <c r="E818" t="s">
        <v>68</v>
      </c>
      <c r="F818" t="s">
        <v>38</v>
      </c>
      <c r="G818" t="s">
        <v>37</v>
      </c>
      <c r="H818">
        <f t="shared" si="12"/>
        <v>5750</v>
      </c>
    </row>
    <row r="819" spans="1:8" x14ac:dyDescent="0.3">
      <c r="A819" t="s">
        <v>73</v>
      </c>
      <c r="B819" t="s">
        <v>8</v>
      </c>
      <c r="C819" t="s">
        <v>15</v>
      </c>
      <c r="D819">
        <v>15</v>
      </c>
      <c r="E819" t="s">
        <v>68</v>
      </c>
      <c r="F819" t="s">
        <v>38</v>
      </c>
      <c r="G819" t="s">
        <v>37</v>
      </c>
      <c r="H819">
        <f t="shared" si="12"/>
        <v>15</v>
      </c>
    </row>
    <row r="820" spans="1:8" x14ac:dyDescent="0.3">
      <c r="A820" t="s">
        <v>73</v>
      </c>
      <c r="B820" t="s">
        <v>8</v>
      </c>
      <c r="C820" t="s">
        <v>16</v>
      </c>
      <c r="D820">
        <v>2683924</v>
      </c>
      <c r="E820" t="s">
        <v>68</v>
      </c>
      <c r="F820" t="s">
        <v>38</v>
      </c>
      <c r="G820" t="s">
        <v>37</v>
      </c>
      <c r="H820">
        <f t="shared" si="12"/>
        <v>2680000</v>
      </c>
    </row>
    <row r="821" spans="1:8" x14ac:dyDescent="0.3">
      <c r="A821" t="s">
        <v>73</v>
      </c>
      <c r="B821" t="s">
        <v>8</v>
      </c>
      <c r="C821" t="s">
        <v>17</v>
      </c>
      <c r="D821">
        <v>1471</v>
      </c>
      <c r="E821" t="s">
        <v>68</v>
      </c>
      <c r="F821" t="s">
        <v>38</v>
      </c>
      <c r="G821" t="s">
        <v>37</v>
      </c>
      <c r="H821">
        <f t="shared" si="12"/>
        <v>1470</v>
      </c>
    </row>
    <row r="822" spans="1:8" x14ac:dyDescent="0.3">
      <c r="A822" t="s">
        <v>73</v>
      </c>
      <c r="B822" t="s">
        <v>8</v>
      </c>
      <c r="C822" t="s">
        <v>18</v>
      </c>
      <c r="D822">
        <v>0</v>
      </c>
      <c r="E822" t="s">
        <v>68</v>
      </c>
      <c r="F822" t="s">
        <v>38</v>
      </c>
      <c r="G822" t="s">
        <v>37</v>
      </c>
      <c r="H822">
        <f t="shared" si="12"/>
        <v>0</v>
      </c>
    </row>
    <row r="823" spans="1:8" x14ac:dyDescent="0.3">
      <c r="A823" t="s">
        <v>73</v>
      </c>
      <c r="B823" t="s">
        <v>8</v>
      </c>
      <c r="C823" t="s">
        <v>19</v>
      </c>
      <c r="D823">
        <v>0</v>
      </c>
      <c r="E823" t="s">
        <v>68</v>
      </c>
      <c r="F823" t="s">
        <v>38</v>
      </c>
      <c r="G823" t="s">
        <v>37</v>
      </c>
      <c r="H823">
        <f t="shared" si="12"/>
        <v>0</v>
      </c>
    </row>
    <row r="824" spans="1:8" x14ac:dyDescent="0.3">
      <c r="A824" t="s">
        <v>73</v>
      </c>
      <c r="B824" t="s">
        <v>8</v>
      </c>
      <c r="C824" t="s">
        <v>20</v>
      </c>
      <c r="D824">
        <v>113</v>
      </c>
      <c r="E824" t="s">
        <v>68</v>
      </c>
      <c r="F824" t="s">
        <v>38</v>
      </c>
      <c r="G824" t="s">
        <v>37</v>
      </c>
      <c r="H824">
        <f t="shared" si="12"/>
        <v>113</v>
      </c>
    </row>
    <row r="825" spans="1:8" x14ac:dyDescent="0.3">
      <c r="A825" t="s">
        <v>73</v>
      </c>
      <c r="B825" t="s">
        <v>8</v>
      </c>
      <c r="C825" t="s">
        <v>21</v>
      </c>
      <c r="D825">
        <v>18</v>
      </c>
      <c r="E825" t="s">
        <v>68</v>
      </c>
      <c r="F825" t="s">
        <v>38</v>
      </c>
      <c r="G825" t="s">
        <v>37</v>
      </c>
      <c r="H825">
        <f t="shared" si="12"/>
        <v>18</v>
      </c>
    </row>
    <row r="826" spans="1:8" x14ac:dyDescent="0.3">
      <c r="A826" t="s">
        <v>73</v>
      </c>
      <c r="B826" t="s">
        <v>8</v>
      </c>
      <c r="C826" t="s">
        <v>22</v>
      </c>
      <c r="D826">
        <v>151</v>
      </c>
      <c r="E826" t="s">
        <v>68</v>
      </c>
      <c r="F826" t="s">
        <v>38</v>
      </c>
      <c r="G826" t="s">
        <v>37</v>
      </c>
      <c r="H826">
        <f t="shared" si="12"/>
        <v>151</v>
      </c>
    </row>
    <row r="827" spans="1:8" x14ac:dyDescent="0.3">
      <c r="A827" t="s">
        <v>73</v>
      </c>
      <c r="B827" t="s">
        <v>23</v>
      </c>
      <c r="C827" t="s">
        <v>9</v>
      </c>
      <c r="D827">
        <v>3432</v>
      </c>
      <c r="E827" t="s">
        <v>68</v>
      </c>
      <c r="F827" t="s">
        <v>38</v>
      </c>
      <c r="G827" t="s">
        <v>37</v>
      </c>
      <c r="H827">
        <f t="shared" si="12"/>
        <v>3430</v>
      </c>
    </row>
    <row r="828" spans="1:8" x14ac:dyDescent="0.3">
      <c r="A828" t="s">
        <v>73</v>
      </c>
      <c r="B828" t="s">
        <v>23</v>
      </c>
      <c r="C828" t="s">
        <v>13</v>
      </c>
      <c r="D828">
        <v>4354</v>
      </c>
      <c r="E828" t="s">
        <v>68</v>
      </c>
      <c r="F828" t="s">
        <v>38</v>
      </c>
      <c r="G828" t="s">
        <v>37</v>
      </c>
      <c r="H828">
        <f t="shared" si="12"/>
        <v>4350</v>
      </c>
    </row>
    <row r="829" spans="1:8" x14ac:dyDescent="0.3">
      <c r="A829" t="s">
        <v>73</v>
      </c>
      <c r="B829" t="s">
        <v>23</v>
      </c>
      <c r="C829" t="s">
        <v>14</v>
      </c>
      <c r="D829">
        <v>17169</v>
      </c>
      <c r="E829" t="s">
        <v>68</v>
      </c>
      <c r="F829" t="s">
        <v>38</v>
      </c>
      <c r="G829" t="s">
        <v>37</v>
      </c>
      <c r="H829">
        <f t="shared" si="12"/>
        <v>17200</v>
      </c>
    </row>
    <row r="830" spans="1:8" x14ac:dyDescent="0.3">
      <c r="A830" t="s">
        <v>73</v>
      </c>
      <c r="B830" t="s">
        <v>23</v>
      </c>
      <c r="C830" t="s">
        <v>15</v>
      </c>
      <c r="D830">
        <v>595</v>
      </c>
      <c r="E830" t="s">
        <v>68</v>
      </c>
      <c r="F830" t="s">
        <v>38</v>
      </c>
      <c r="G830" t="s">
        <v>37</v>
      </c>
      <c r="H830">
        <f t="shared" si="12"/>
        <v>595</v>
      </c>
    </row>
    <row r="831" spans="1:8" x14ac:dyDescent="0.3">
      <c r="A831" t="s">
        <v>73</v>
      </c>
      <c r="B831" t="s">
        <v>23</v>
      </c>
      <c r="C831" t="s">
        <v>16</v>
      </c>
      <c r="D831">
        <v>5398932</v>
      </c>
      <c r="E831" t="s">
        <v>68</v>
      </c>
      <c r="F831" t="s">
        <v>38</v>
      </c>
      <c r="G831" t="s">
        <v>37</v>
      </c>
      <c r="H831">
        <f t="shared" si="12"/>
        <v>5400000</v>
      </c>
    </row>
    <row r="832" spans="1:8" x14ac:dyDescent="0.3">
      <c r="A832" t="s">
        <v>73</v>
      </c>
      <c r="B832" t="s">
        <v>23</v>
      </c>
      <c r="C832" t="s">
        <v>17</v>
      </c>
      <c r="D832">
        <v>777</v>
      </c>
      <c r="E832" t="s">
        <v>68</v>
      </c>
      <c r="F832" t="s">
        <v>38</v>
      </c>
      <c r="G832" t="s">
        <v>37</v>
      </c>
      <c r="H832">
        <f t="shared" si="12"/>
        <v>777</v>
      </c>
    </row>
    <row r="833" spans="1:8" x14ac:dyDescent="0.3">
      <c r="A833" t="s">
        <v>73</v>
      </c>
      <c r="B833" t="s">
        <v>23</v>
      </c>
      <c r="C833" t="s">
        <v>18</v>
      </c>
      <c r="D833">
        <v>32</v>
      </c>
      <c r="E833" t="s">
        <v>68</v>
      </c>
      <c r="F833" t="s">
        <v>38</v>
      </c>
      <c r="G833" t="s">
        <v>37</v>
      </c>
      <c r="H833">
        <f t="shared" si="12"/>
        <v>32</v>
      </c>
    </row>
    <row r="834" spans="1:8" x14ac:dyDescent="0.3">
      <c r="A834" t="s">
        <v>73</v>
      </c>
      <c r="B834" t="s">
        <v>23</v>
      </c>
      <c r="C834" t="s">
        <v>19</v>
      </c>
      <c r="D834">
        <v>1034</v>
      </c>
      <c r="E834" t="s">
        <v>68</v>
      </c>
      <c r="F834" t="s">
        <v>38</v>
      </c>
      <c r="G834" t="s">
        <v>37</v>
      </c>
      <c r="H834">
        <f t="shared" si="12"/>
        <v>1030</v>
      </c>
    </row>
    <row r="835" spans="1:8" x14ac:dyDescent="0.3">
      <c r="A835" t="s">
        <v>73</v>
      </c>
      <c r="B835" t="s">
        <v>23</v>
      </c>
      <c r="C835" t="s">
        <v>20</v>
      </c>
      <c r="D835">
        <v>32091</v>
      </c>
      <c r="E835" t="s">
        <v>68</v>
      </c>
      <c r="F835" t="s">
        <v>38</v>
      </c>
      <c r="G835" t="s">
        <v>37</v>
      </c>
      <c r="H835">
        <f t="shared" ref="H835:H898" si="13">ROUND(D835, 3 - LEN(INT(ABS(D835))))</f>
        <v>32100</v>
      </c>
    </row>
    <row r="836" spans="1:8" x14ac:dyDescent="0.3">
      <c r="A836" t="s">
        <v>73</v>
      </c>
      <c r="B836" t="s">
        <v>23</v>
      </c>
      <c r="C836" t="s">
        <v>21</v>
      </c>
      <c r="D836">
        <v>1368</v>
      </c>
      <c r="E836" t="s">
        <v>68</v>
      </c>
      <c r="F836" t="s">
        <v>38</v>
      </c>
      <c r="G836" t="s">
        <v>37</v>
      </c>
      <c r="H836">
        <f t="shared" si="13"/>
        <v>1370</v>
      </c>
    </row>
    <row r="837" spans="1:8" x14ac:dyDescent="0.3">
      <c r="A837" t="s">
        <v>73</v>
      </c>
      <c r="B837" t="s">
        <v>23</v>
      </c>
      <c r="C837" t="s">
        <v>22</v>
      </c>
      <c r="D837">
        <v>2733</v>
      </c>
      <c r="E837" t="s">
        <v>68</v>
      </c>
      <c r="F837" t="s">
        <v>38</v>
      </c>
      <c r="G837" t="s">
        <v>37</v>
      </c>
      <c r="H837">
        <f t="shared" si="13"/>
        <v>2730</v>
      </c>
    </row>
    <row r="838" spans="1:8" x14ac:dyDescent="0.3">
      <c r="A838" t="s">
        <v>74</v>
      </c>
      <c r="B838" t="s">
        <v>8</v>
      </c>
      <c r="C838" t="s">
        <v>9</v>
      </c>
      <c r="D838">
        <v>83</v>
      </c>
      <c r="E838" t="s">
        <v>68</v>
      </c>
      <c r="F838" t="s">
        <v>38</v>
      </c>
      <c r="G838" t="s">
        <v>37</v>
      </c>
      <c r="H838">
        <f t="shared" si="13"/>
        <v>83</v>
      </c>
    </row>
    <row r="839" spans="1:8" x14ac:dyDescent="0.3">
      <c r="A839" t="s">
        <v>74</v>
      </c>
      <c r="B839" t="s">
        <v>8</v>
      </c>
      <c r="C839" t="s">
        <v>13</v>
      </c>
      <c r="D839">
        <v>162</v>
      </c>
      <c r="E839" t="s">
        <v>68</v>
      </c>
      <c r="F839" t="s">
        <v>38</v>
      </c>
      <c r="G839" t="s">
        <v>37</v>
      </c>
      <c r="H839">
        <f t="shared" si="13"/>
        <v>162</v>
      </c>
    </row>
    <row r="840" spans="1:8" x14ac:dyDescent="0.3">
      <c r="A840" t="s">
        <v>74</v>
      </c>
      <c r="B840" t="s">
        <v>8</v>
      </c>
      <c r="C840" t="s">
        <v>14</v>
      </c>
      <c r="D840">
        <v>149</v>
      </c>
      <c r="E840" t="s">
        <v>68</v>
      </c>
      <c r="F840" t="s">
        <v>38</v>
      </c>
      <c r="G840" t="s">
        <v>37</v>
      </c>
      <c r="H840">
        <f t="shared" si="13"/>
        <v>149</v>
      </c>
    </row>
    <row r="841" spans="1:8" x14ac:dyDescent="0.3">
      <c r="A841" t="s">
        <v>74</v>
      </c>
      <c r="B841" t="s">
        <v>8</v>
      </c>
      <c r="C841" t="s">
        <v>15</v>
      </c>
      <c r="D841">
        <v>20</v>
      </c>
      <c r="E841" t="s">
        <v>68</v>
      </c>
      <c r="F841" t="s">
        <v>38</v>
      </c>
      <c r="G841" t="s">
        <v>37</v>
      </c>
      <c r="H841">
        <f t="shared" si="13"/>
        <v>20</v>
      </c>
    </row>
    <row r="842" spans="1:8" x14ac:dyDescent="0.3">
      <c r="A842" t="s">
        <v>74</v>
      </c>
      <c r="B842" t="s">
        <v>8</v>
      </c>
      <c r="C842" t="s">
        <v>16</v>
      </c>
      <c r="D842">
        <v>322</v>
      </c>
      <c r="E842" t="s">
        <v>68</v>
      </c>
      <c r="F842" t="s">
        <v>38</v>
      </c>
      <c r="G842" t="s">
        <v>37</v>
      </c>
      <c r="H842">
        <f t="shared" si="13"/>
        <v>322</v>
      </c>
    </row>
    <row r="843" spans="1:8" x14ac:dyDescent="0.3">
      <c r="A843" t="s">
        <v>74</v>
      </c>
      <c r="B843" t="s">
        <v>8</v>
      </c>
      <c r="C843" t="s">
        <v>17</v>
      </c>
      <c r="D843">
        <v>0</v>
      </c>
      <c r="E843" t="s">
        <v>68</v>
      </c>
      <c r="F843" t="s">
        <v>38</v>
      </c>
      <c r="G843" t="s">
        <v>37</v>
      </c>
      <c r="H843">
        <f t="shared" si="13"/>
        <v>0</v>
      </c>
    </row>
    <row r="844" spans="1:8" x14ac:dyDescent="0.3">
      <c r="A844" t="s">
        <v>74</v>
      </c>
      <c r="B844" t="s">
        <v>8</v>
      </c>
      <c r="C844" t="s">
        <v>18</v>
      </c>
      <c r="D844">
        <v>0</v>
      </c>
      <c r="E844" t="s">
        <v>68</v>
      </c>
      <c r="F844" t="s">
        <v>38</v>
      </c>
      <c r="G844" t="s">
        <v>37</v>
      </c>
      <c r="H844">
        <f t="shared" si="13"/>
        <v>0</v>
      </c>
    </row>
    <row r="845" spans="1:8" x14ac:dyDescent="0.3">
      <c r="A845" t="s">
        <v>74</v>
      </c>
      <c r="B845" t="s">
        <v>8</v>
      </c>
      <c r="C845" t="s">
        <v>19</v>
      </c>
      <c r="D845">
        <v>0</v>
      </c>
      <c r="E845" t="s">
        <v>68</v>
      </c>
      <c r="F845" t="s">
        <v>38</v>
      </c>
      <c r="G845" t="s">
        <v>37</v>
      </c>
      <c r="H845">
        <f t="shared" si="13"/>
        <v>0</v>
      </c>
    </row>
    <row r="846" spans="1:8" x14ac:dyDescent="0.3">
      <c r="A846" t="s">
        <v>74</v>
      </c>
      <c r="B846" t="s">
        <v>8</v>
      </c>
      <c r="C846" t="s">
        <v>20</v>
      </c>
      <c r="D846">
        <v>28</v>
      </c>
      <c r="E846" t="s">
        <v>68</v>
      </c>
      <c r="F846" t="s">
        <v>38</v>
      </c>
      <c r="G846" t="s">
        <v>37</v>
      </c>
      <c r="H846">
        <f t="shared" si="13"/>
        <v>28</v>
      </c>
    </row>
    <row r="847" spans="1:8" x14ac:dyDescent="0.3">
      <c r="A847" t="s">
        <v>74</v>
      </c>
      <c r="B847" t="s">
        <v>8</v>
      </c>
      <c r="C847" t="s">
        <v>21</v>
      </c>
      <c r="D847">
        <v>129</v>
      </c>
      <c r="E847" t="s">
        <v>68</v>
      </c>
      <c r="F847" t="s">
        <v>38</v>
      </c>
      <c r="G847" t="s">
        <v>37</v>
      </c>
      <c r="H847">
        <f t="shared" si="13"/>
        <v>129</v>
      </c>
    </row>
    <row r="848" spans="1:8" x14ac:dyDescent="0.3">
      <c r="A848" t="s">
        <v>74</v>
      </c>
      <c r="B848" t="s">
        <v>8</v>
      </c>
      <c r="C848" t="s">
        <v>22</v>
      </c>
      <c r="D848">
        <v>1241636</v>
      </c>
      <c r="E848" t="s">
        <v>68</v>
      </c>
      <c r="F848" t="s">
        <v>38</v>
      </c>
      <c r="G848" t="s">
        <v>37</v>
      </c>
      <c r="H848">
        <f t="shared" si="13"/>
        <v>1240000</v>
      </c>
    </row>
    <row r="849" spans="1:8" x14ac:dyDescent="0.3">
      <c r="A849" t="s">
        <v>74</v>
      </c>
      <c r="B849" t="s">
        <v>23</v>
      </c>
      <c r="C849" t="s">
        <v>9</v>
      </c>
      <c r="D849">
        <v>184423</v>
      </c>
      <c r="E849" t="s">
        <v>68</v>
      </c>
      <c r="F849" t="s">
        <v>38</v>
      </c>
      <c r="G849" t="s">
        <v>37</v>
      </c>
      <c r="H849">
        <f t="shared" si="13"/>
        <v>184000</v>
      </c>
    </row>
    <row r="850" spans="1:8" x14ac:dyDescent="0.3">
      <c r="A850" t="s">
        <v>74</v>
      </c>
      <c r="B850" t="s">
        <v>23</v>
      </c>
      <c r="C850" t="s">
        <v>13</v>
      </c>
      <c r="D850">
        <v>723854</v>
      </c>
      <c r="E850" t="s">
        <v>68</v>
      </c>
      <c r="F850" t="s">
        <v>38</v>
      </c>
      <c r="G850" t="s">
        <v>37</v>
      </c>
      <c r="H850">
        <f t="shared" si="13"/>
        <v>724000</v>
      </c>
    </row>
    <row r="851" spans="1:8" x14ac:dyDescent="0.3">
      <c r="A851" t="s">
        <v>74</v>
      </c>
      <c r="B851" t="s">
        <v>23</v>
      </c>
      <c r="C851" t="s">
        <v>14</v>
      </c>
      <c r="D851">
        <v>1054208</v>
      </c>
      <c r="E851" t="s">
        <v>68</v>
      </c>
      <c r="F851" t="s">
        <v>38</v>
      </c>
      <c r="G851" t="s">
        <v>37</v>
      </c>
      <c r="H851">
        <f t="shared" si="13"/>
        <v>1050000</v>
      </c>
    </row>
    <row r="852" spans="1:8" x14ac:dyDescent="0.3">
      <c r="A852" t="s">
        <v>74</v>
      </c>
      <c r="B852" t="s">
        <v>23</v>
      </c>
      <c r="C852" t="s">
        <v>15</v>
      </c>
      <c r="D852">
        <v>18704</v>
      </c>
      <c r="E852" t="s">
        <v>68</v>
      </c>
      <c r="F852" t="s">
        <v>38</v>
      </c>
      <c r="G852" t="s">
        <v>37</v>
      </c>
      <c r="H852">
        <f t="shared" si="13"/>
        <v>18700</v>
      </c>
    </row>
    <row r="853" spans="1:8" x14ac:dyDescent="0.3">
      <c r="A853" t="s">
        <v>74</v>
      </c>
      <c r="B853" t="s">
        <v>23</v>
      </c>
      <c r="C853" t="s">
        <v>16</v>
      </c>
      <c r="D853">
        <v>371534</v>
      </c>
      <c r="E853" t="s">
        <v>68</v>
      </c>
      <c r="F853" t="s">
        <v>38</v>
      </c>
      <c r="G853" t="s">
        <v>37</v>
      </c>
      <c r="H853">
        <f t="shared" si="13"/>
        <v>372000</v>
      </c>
    </row>
    <row r="854" spans="1:8" x14ac:dyDescent="0.3">
      <c r="A854" t="s">
        <v>74</v>
      </c>
      <c r="B854" t="s">
        <v>23</v>
      </c>
      <c r="C854" t="s">
        <v>17</v>
      </c>
      <c r="D854">
        <v>44545</v>
      </c>
      <c r="E854" t="s">
        <v>68</v>
      </c>
      <c r="F854" t="s">
        <v>38</v>
      </c>
      <c r="G854" t="s">
        <v>37</v>
      </c>
      <c r="H854">
        <f t="shared" si="13"/>
        <v>44500</v>
      </c>
    </row>
    <row r="855" spans="1:8" x14ac:dyDescent="0.3">
      <c r="A855" t="s">
        <v>74</v>
      </c>
      <c r="B855" t="s">
        <v>23</v>
      </c>
      <c r="C855" t="s">
        <v>18</v>
      </c>
      <c r="D855">
        <v>0</v>
      </c>
      <c r="E855" t="s">
        <v>68</v>
      </c>
      <c r="F855" t="s">
        <v>38</v>
      </c>
      <c r="G855" t="s">
        <v>37</v>
      </c>
      <c r="H855">
        <f t="shared" si="13"/>
        <v>0</v>
      </c>
    </row>
    <row r="856" spans="1:8" x14ac:dyDescent="0.3">
      <c r="A856" t="s">
        <v>74</v>
      </c>
      <c r="B856" t="s">
        <v>23</v>
      </c>
      <c r="C856" t="s">
        <v>19</v>
      </c>
      <c r="D856">
        <v>167313</v>
      </c>
      <c r="E856" t="s">
        <v>68</v>
      </c>
      <c r="F856" t="s">
        <v>38</v>
      </c>
      <c r="G856" t="s">
        <v>37</v>
      </c>
      <c r="H856">
        <f t="shared" si="13"/>
        <v>167000</v>
      </c>
    </row>
    <row r="857" spans="1:8" x14ac:dyDescent="0.3">
      <c r="A857" t="s">
        <v>74</v>
      </c>
      <c r="B857" t="s">
        <v>23</v>
      </c>
      <c r="C857" t="s">
        <v>20</v>
      </c>
      <c r="D857">
        <v>46596</v>
      </c>
      <c r="E857" t="s">
        <v>68</v>
      </c>
      <c r="F857" t="s">
        <v>38</v>
      </c>
      <c r="G857" t="s">
        <v>37</v>
      </c>
      <c r="H857">
        <f t="shared" si="13"/>
        <v>46600</v>
      </c>
    </row>
    <row r="858" spans="1:8" x14ac:dyDescent="0.3">
      <c r="A858" t="s">
        <v>74</v>
      </c>
      <c r="B858" t="s">
        <v>23</v>
      </c>
      <c r="C858" t="s">
        <v>21</v>
      </c>
      <c r="D858">
        <v>22245</v>
      </c>
      <c r="E858" t="s">
        <v>68</v>
      </c>
      <c r="F858" t="s">
        <v>38</v>
      </c>
      <c r="G858" t="s">
        <v>37</v>
      </c>
      <c r="H858">
        <f t="shared" si="13"/>
        <v>22200</v>
      </c>
    </row>
    <row r="859" spans="1:8" x14ac:dyDescent="0.3">
      <c r="A859" t="s">
        <v>74</v>
      </c>
      <c r="B859" t="s">
        <v>23</v>
      </c>
      <c r="C859" t="s">
        <v>22</v>
      </c>
      <c r="D859">
        <v>3407759</v>
      </c>
      <c r="E859" t="s">
        <v>68</v>
      </c>
      <c r="F859" t="s">
        <v>38</v>
      </c>
      <c r="G859" t="s">
        <v>37</v>
      </c>
      <c r="H859">
        <f t="shared" si="13"/>
        <v>3410000</v>
      </c>
    </row>
    <row r="860" spans="1:8" x14ac:dyDescent="0.3">
      <c r="A860" t="s">
        <v>75</v>
      </c>
      <c r="B860" t="s">
        <v>8</v>
      </c>
      <c r="C860" t="s">
        <v>9</v>
      </c>
      <c r="D860">
        <v>4527816</v>
      </c>
      <c r="E860" t="s">
        <v>68</v>
      </c>
      <c r="F860" t="s">
        <v>38</v>
      </c>
      <c r="G860" t="s">
        <v>37</v>
      </c>
      <c r="H860">
        <f t="shared" si="13"/>
        <v>4530000</v>
      </c>
    </row>
    <row r="861" spans="1:8" x14ac:dyDescent="0.3">
      <c r="A861" t="s">
        <v>75</v>
      </c>
      <c r="B861" t="s">
        <v>8</v>
      </c>
      <c r="C861" t="s">
        <v>13</v>
      </c>
      <c r="D861">
        <v>0</v>
      </c>
      <c r="E861" t="s">
        <v>68</v>
      </c>
      <c r="F861" t="s">
        <v>38</v>
      </c>
      <c r="G861" t="s">
        <v>37</v>
      </c>
      <c r="H861">
        <f t="shared" si="13"/>
        <v>0</v>
      </c>
    </row>
    <row r="862" spans="1:8" x14ac:dyDescent="0.3">
      <c r="A862" t="s">
        <v>75</v>
      </c>
      <c r="B862" t="s">
        <v>8</v>
      </c>
      <c r="C862" t="s">
        <v>14</v>
      </c>
      <c r="D862">
        <v>3803</v>
      </c>
      <c r="E862" t="s">
        <v>68</v>
      </c>
      <c r="F862" t="s">
        <v>38</v>
      </c>
      <c r="G862" t="s">
        <v>37</v>
      </c>
      <c r="H862">
        <f t="shared" si="13"/>
        <v>3800</v>
      </c>
    </row>
    <row r="863" spans="1:8" x14ac:dyDescent="0.3">
      <c r="A863" t="s">
        <v>75</v>
      </c>
      <c r="B863" t="s">
        <v>8</v>
      </c>
      <c r="C863" t="s">
        <v>15</v>
      </c>
      <c r="D863">
        <v>0</v>
      </c>
      <c r="E863" t="s">
        <v>68</v>
      </c>
      <c r="F863" t="s">
        <v>38</v>
      </c>
      <c r="G863" t="s">
        <v>37</v>
      </c>
      <c r="H863">
        <f t="shared" si="13"/>
        <v>0</v>
      </c>
    </row>
    <row r="864" spans="1:8" x14ac:dyDescent="0.3">
      <c r="A864" t="s">
        <v>75</v>
      </c>
      <c r="B864" t="s">
        <v>8</v>
      </c>
      <c r="C864" t="s">
        <v>16</v>
      </c>
      <c r="D864">
        <v>0</v>
      </c>
      <c r="E864" t="s">
        <v>68</v>
      </c>
      <c r="F864" t="s">
        <v>38</v>
      </c>
      <c r="G864" t="s">
        <v>37</v>
      </c>
      <c r="H864">
        <f t="shared" si="13"/>
        <v>0</v>
      </c>
    </row>
    <row r="865" spans="1:8" x14ac:dyDescent="0.3">
      <c r="A865" t="s">
        <v>75</v>
      </c>
      <c r="B865" t="s">
        <v>8</v>
      </c>
      <c r="C865" t="s">
        <v>17</v>
      </c>
      <c r="D865">
        <v>2745</v>
      </c>
      <c r="E865" t="s">
        <v>68</v>
      </c>
      <c r="F865" t="s">
        <v>38</v>
      </c>
      <c r="G865" t="s">
        <v>37</v>
      </c>
      <c r="H865">
        <f t="shared" si="13"/>
        <v>2750</v>
      </c>
    </row>
    <row r="866" spans="1:8" x14ac:dyDescent="0.3">
      <c r="A866" t="s">
        <v>75</v>
      </c>
      <c r="B866" t="s">
        <v>8</v>
      </c>
      <c r="C866" t="s">
        <v>18</v>
      </c>
      <c r="D866">
        <v>0</v>
      </c>
      <c r="E866" t="s">
        <v>68</v>
      </c>
      <c r="F866" t="s">
        <v>38</v>
      </c>
      <c r="G866" t="s">
        <v>37</v>
      </c>
      <c r="H866">
        <f t="shared" si="13"/>
        <v>0</v>
      </c>
    </row>
    <row r="867" spans="1:8" x14ac:dyDescent="0.3">
      <c r="A867" t="s">
        <v>75</v>
      </c>
      <c r="B867" t="s">
        <v>8</v>
      </c>
      <c r="C867" t="s">
        <v>19</v>
      </c>
      <c r="D867">
        <v>0</v>
      </c>
      <c r="E867" t="s">
        <v>68</v>
      </c>
      <c r="F867" t="s">
        <v>38</v>
      </c>
      <c r="G867" t="s">
        <v>37</v>
      </c>
      <c r="H867">
        <f t="shared" si="13"/>
        <v>0</v>
      </c>
    </row>
    <row r="868" spans="1:8" x14ac:dyDescent="0.3">
      <c r="A868" t="s">
        <v>75</v>
      </c>
      <c r="B868" t="s">
        <v>8</v>
      </c>
      <c r="C868" t="s">
        <v>20</v>
      </c>
      <c r="D868">
        <v>0</v>
      </c>
      <c r="E868" t="s">
        <v>68</v>
      </c>
      <c r="F868" t="s">
        <v>38</v>
      </c>
      <c r="G868" t="s">
        <v>37</v>
      </c>
      <c r="H868">
        <f t="shared" si="13"/>
        <v>0</v>
      </c>
    </row>
    <row r="869" spans="1:8" x14ac:dyDescent="0.3">
      <c r="A869" t="s">
        <v>75</v>
      </c>
      <c r="B869" t="s">
        <v>8</v>
      </c>
      <c r="C869" t="s">
        <v>21</v>
      </c>
      <c r="D869">
        <v>0</v>
      </c>
      <c r="E869" t="s">
        <v>68</v>
      </c>
      <c r="F869" t="s">
        <v>38</v>
      </c>
      <c r="G869" t="s">
        <v>37</v>
      </c>
      <c r="H869">
        <f t="shared" si="13"/>
        <v>0</v>
      </c>
    </row>
    <row r="870" spans="1:8" x14ac:dyDescent="0.3">
      <c r="A870" t="s">
        <v>75</v>
      </c>
      <c r="B870" t="s">
        <v>8</v>
      </c>
      <c r="C870" t="s">
        <v>22</v>
      </c>
      <c r="D870">
        <v>976</v>
      </c>
      <c r="E870" t="s">
        <v>68</v>
      </c>
      <c r="F870" t="s">
        <v>38</v>
      </c>
      <c r="G870" t="s">
        <v>37</v>
      </c>
      <c r="H870">
        <f t="shared" si="13"/>
        <v>976</v>
      </c>
    </row>
    <row r="871" spans="1:8" x14ac:dyDescent="0.3">
      <c r="A871" t="s">
        <v>75</v>
      </c>
      <c r="B871" t="s">
        <v>23</v>
      </c>
      <c r="C871" t="s">
        <v>9</v>
      </c>
      <c r="D871">
        <v>5240066</v>
      </c>
      <c r="E871" t="s">
        <v>68</v>
      </c>
      <c r="F871" t="s">
        <v>38</v>
      </c>
      <c r="G871" t="s">
        <v>37</v>
      </c>
      <c r="H871">
        <f t="shared" si="13"/>
        <v>5240000</v>
      </c>
    </row>
    <row r="872" spans="1:8" x14ac:dyDescent="0.3">
      <c r="A872" t="s">
        <v>75</v>
      </c>
      <c r="B872" t="s">
        <v>23</v>
      </c>
      <c r="C872" t="s">
        <v>13</v>
      </c>
      <c r="D872">
        <v>165781</v>
      </c>
      <c r="E872" t="s">
        <v>68</v>
      </c>
      <c r="F872" t="s">
        <v>38</v>
      </c>
      <c r="G872" t="s">
        <v>37</v>
      </c>
      <c r="H872">
        <f t="shared" si="13"/>
        <v>166000</v>
      </c>
    </row>
    <row r="873" spans="1:8" x14ac:dyDescent="0.3">
      <c r="A873" t="s">
        <v>75</v>
      </c>
      <c r="B873" t="s">
        <v>23</v>
      </c>
      <c r="C873" t="s">
        <v>14</v>
      </c>
      <c r="D873">
        <v>2349170</v>
      </c>
      <c r="E873" t="s">
        <v>68</v>
      </c>
      <c r="F873" t="s">
        <v>38</v>
      </c>
      <c r="G873" t="s">
        <v>37</v>
      </c>
      <c r="H873">
        <f t="shared" si="13"/>
        <v>2350000</v>
      </c>
    </row>
    <row r="874" spans="1:8" x14ac:dyDescent="0.3">
      <c r="A874" t="s">
        <v>75</v>
      </c>
      <c r="B874" t="s">
        <v>23</v>
      </c>
      <c r="C874" t="s">
        <v>15</v>
      </c>
      <c r="D874">
        <v>35937</v>
      </c>
      <c r="E874" t="s">
        <v>68</v>
      </c>
      <c r="F874" t="s">
        <v>38</v>
      </c>
      <c r="G874" t="s">
        <v>37</v>
      </c>
      <c r="H874">
        <f t="shared" si="13"/>
        <v>35900</v>
      </c>
    </row>
    <row r="875" spans="1:8" x14ac:dyDescent="0.3">
      <c r="A875" t="s">
        <v>75</v>
      </c>
      <c r="B875" t="s">
        <v>23</v>
      </c>
      <c r="C875" t="s">
        <v>16</v>
      </c>
      <c r="D875">
        <v>1466604</v>
      </c>
      <c r="E875" t="s">
        <v>68</v>
      </c>
      <c r="F875" t="s">
        <v>38</v>
      </c>
      <c r="G875" t="s">
        <v>37</v>
      </c>
      <c r="H875">
        <f t="shared" si="13"/>
        <v>1470000</v>
      </c>
    </row>
    <row r="876" spans="1:8" x14ac:dyDescent="0.3">
      <c r="A876" t="s">
        <v>75</v>
      </c>
      <c r="B876" t="s">
        <v>23</v>
      </c>
      <c r="C876" t="s">
        <v>17</v>
      </c>
      <c r="D876">
        <v>96134</v>
      </c>
      <c r="E876" t="s">
        <v>68</v>
      </c>
      <c r="F876" t="s">
        <v>38</v>
      </c>
      <c r="G876" t="s">
        <v>37</v>
      </c>
      <c r="H876">
        <f t="shared" si="13"/>
        <v>96100</v>
      </c>
    </row>
    <row r="877" spans="1:8" x14ac:dyDescent="0.3">
      <c r="A877" t="s">
        <v>75</v>
      </c>
      <c r="B877" t="s">
        <v>23</v>
      </c>
      <c r="C877" t="s">
        <v>18</v>
      </c>
      <c r="D877">
        <v>0</v>
      </c>
      <c r="E877" t="s">
        <v>68</v>
      </c>
      <c r="F877" t="s">
        <v>38</v>
      </c>
      <c r="G877" t="s">
        <v>37</v>
      </c>
      <c r="H877">
        <f t="shared" si="13"/>
        <v>0</v>
      </c>
    </row>
    <row r="878" spans="1:8" x14ac:dyDescent="0.3">
      <c r="A878" t="s">
        <v>75</v>
      </c>
      <c r="B878" t="s">
        <v>23</v>
      </c>
      <c r="C878" t="s">
        <v>19</v>
      </c>
      <c r="D878">
        <v>57647</v>
      </c>
      <c r="E878" t="s">
        <v>68</v>
      </c>
      <c r="F878" t="s">
        <v>38</v>
      </c>
      <c r="G878" t="s">
        <v>37</v>
      </c>
      <c r="H878">
        <f t="shared" si="13"/>
        <v>57600</v>
      </c>
    </row>
    <row r="879" spans="1:8" x14ac:dyDescent="0.3">
      <c r="A879" t="s">
        <v>75</v>
      </c>
      <c r="B879" t="s">
        <v>23</v>
      </c>
      <c r="C879" t="s">
        <v>20</v>
      </c>
      <c r="D879">
        <v>64665</v>
      </c>
      <c r="E879" t="s">
        <v>68</v>
      </c>
      <c r="F879" t="s">
        <v>38</v>
      </c>
      <c r="G879" t="s">
        <v>37</v>
      </c>
      <c r="H879">
        <f t="shared" si="13"/>
        <v>64700</v>
      </c>
    </row>
    <row r="880" spans="1:8" x14ac:dyDescent="0.3">
      <c r="A880" t="s">
        <v>75</v>
      </c>
      <c r="B880" t="s">
        <v>23</v>
      </c>
      <c r="C880" t="s">
        <v>21</v>
      </c>
      <c r="D880">
        <v>51676</v>
      </c>
      <c r="E880" t="s">
        <v>68</v>
      </c>
      <c r="F880" t="s">
        <v>38</v>
      </c>
      <c r="G880" t="s">
        <v>37</v>
      </c>
      <c r="H880">
        <f t="shared" si="13"/>
        <v>51700</v>
      </c>
    </row>
    <row r="881" spans="1:8" x14ac:dyDescent="0.3">
      <c r="A881" t="s">
        <v>75</v>
      </c>
      <c r="B881" t="s">
        <v>23</v>
      </c>
      <c r="C881" t="s">
        <v>22</v>
      </c>
      <c r="D881">
        <v>18803</v>
      </c>
      <c r="E881" t="s">
        <v>68</v>
      </c>
      <c r="F881" t="s">
        <v>38</v>
      </c>
      <c r="G881" t="s">
        <v>37</v>
      </c>
      <c r="H881">
        <f t="shared" si="13"/>
        <v>18800</v>
      </c>
    </row>
    <row r="882" spans="1:8" x14ac:dyDescent="0.3">
      <c r="A882" t="s">
        <v>76</v>
      </c>
      <c r="B882" t="s">
        <v>8</v>
      </c>
      <c r="C882" t="s">
        <v>9</v>
      </c>
      <c r="D882">
        <v>4391981</v>
      </c>
      <c r="E882" t="s">
        <v>68</v>
      </c>
      <c r="F882" t="s">
        <v>38</v>
      </c>
      <c r="G882" t="s">
        <v>37</v>
      </c>
      <c r="H882">
        <f t="shared" si="13"/>
        <v>4390000</v>
      </c>
    </row>
    <row r="883" spans="1:8" x14ac:dyDescent="0.3">
      <c r="A883" t="s">
        <v>76</v>
      </c>
      <c r="B883" t="s">
        <v>8</v>
      </c>
      <c r="C883" t="s">
        <v>13</v>
      </c>
      <c r="D883">
        <v>0</v>
      </c>
      <c r="E883" t="s">
        <v>68</v>
      </c>
      <c r="F883" t="s">
        <v>38</v>
      </c>
      <c r="G883" t="s">
        <v>37</v>
      </c>
      <c r="H883">
        <f t="shared" si="13"/>
        <v>0</v>
      </c>
    </row>
    <row r="884" spans="1:8" x14ac:dyDescent="0.3">
      <c r="A884" t="s">
        <v>76</v>
      </c>
      <c r="B884" t="s">
        <v>8</v>
      </c>
      <c r="C884" t="s">
        <v>14</v>
      </c>
      <c r="D884">
        <v>3689</v>
      </c>
      <c r="E884" t="s">
        <v>68</v>
      </c>
      <c r="F884" t="s">
        <v>38</v>
      </c>
      <c r="G884" t="s">
        <v>37</v>
      </c>
      <c r="H884">
        <f t="shared" si="13"/>
        <v>3690</v>
      </c>
    </row>
    <row r="885" spans="1:8" x14ac:dyDescent="0.3">
      <c r="A885" t="s">
        <v>76</v>
      </c>
      <c r="B885" t="s">
        <v>8</v>
      </c>
      <c r="C885" t="s">
        <v>15</v>
      </c>
      <c r="D885">
        <v>0</v>
      </c>
      <c r="E885" t="s">
        <v>68</v>
      </c>
      <c r="F885" t="s">
        <v>38</v>
      </c>
      <c r="G885" t="s">
        <v>37</v>
      </c>
      <c r="H885">
        <f t="shared" si="13"/>
        <v>0</v>
      </c>
    </row>
    <row r="886" spans="1:8" x14ac:dyDescent="0.3">
      <c r="A886" t="s">
        <v>76</v>
      </c>
      <c r="B886" t="s">
        <v>8</v>
      </c>
      <c r="C886" t="s">
        <v>16</v>
      </c>
      <c r="D886">
        <v>0</v>
      </c>
      <c r="E886" t="s">
        <v>68</v>
      </c>
      <c r="F886" t="s">
        <v>38</v>
      </c>
      <c r="G886" t="s">
        <v>37</v>
      </c>
      <c r="H886">
        <f t="shared" si="13"/>
        <v>0</v>
      </c>
    </row>
    <row r="887" spans="1:8" x14ac:dyDescent="0.3">
      <c r="A887" t="s">
        <v>76</v>
      </c>
      <c r="B887" t="s">
        <v>8</v>
      </c>
      <c r="C887" t="s">
        <v>17</v>
      </c>
      <c r="D887">
        <v>2662</v>
      </c>
      <c r="E887" t="s">
        <v>68</v>
      </c>
      <c r="F887" t="s">
        <v>38</v>
      </c>
      <c r="G887" t="s">
        <v>37</v>
      </c>
      <c r="H887">
        <f t="shared" si="13"/>
        <v>2660</v>
      </c>
    </row>
    <row r="888" spans="1:8" x14ac:dyDescent="0.3">
      <c r="A888" t="s">
        <v>76</v>
      </c>
      <c r="B888" t="s">
        <v>8</v>
      </c>
      <c r="C888" t="s">
        <v>18</v>
      </c>
      <c r="D888">
        <v>0</v>
      </c>
      <c r="E888" t="s">
        <v>68</v>
      </c>
      <c r="F888" t="s">
        <v>38</v>
      </c>
      <c r="G888" t="s">
        <v>37</v>
      </c>
      <c r="H888">
        <f t="shared" si="13"/>
        <v>0</v>
      </c>
    </row>
    <row r="889" spans="1:8" x14ac:dyDescent="0.3">
      <c r="A889" t="s">
        <v>76</v>
      </c>
      <c r="B889" t="s">
        <v>8</v>
      </c>
      <c r="C889" t="s">
        <v>19</v>
      </c>
      <c r="D889">
        <v>0</v>
      </c>
      <c r="E889" t="s">
        <v>68</v>
      </c>
      <c r="F889" t="s">
        <v>38</v>
      </c>
      <c r="G889" t="s">
        <v>37</v>
      </c>
      <c r="H889">
        <f t="shared" si="13"/>
        <v>0</v>
      </c>
    </row>
    <row r="890" spans="1:8" x14ac:dyDescent="0.3">
      <c r="A890" t="s">
        <v>76</v>
      </c>
      <c r="B890" t="s">
        <v>8</v>
      </c>
      <c r="C890" t="s">
        <v>20</v>
      </c>
      <c r="D890">
        <v>0</v>
      </c>
      <c r="E890" t="s">
        <v>68</v>
      </c>
      <c r="F890" t="s">
        <v>38</v>
      </c>
      <c r="G890" t="s">
        <v>37</v>
      </c>
      <c r="H890">
        <f t="shared" si="13"/>
        <v>0</v>
      </c>
    </row>
    <row r="891" spans="1:8" x14ac:dyDescent="0.3">
      <c r="A891" t="s">
        <v>76</v>
      </c>
      <c r="B891" t="s">
        <v>8</v>
      </c>
      <c r="C891" t="s">
        <v>21</v>
      </c>
      <c r="D891">
        <v>0</v>
      </c>
      <c r="E891" t="s">
        <v>68</v>
      </c>
      <c r="F891" t="s">
        <v>38</v>
      </c>
      <c r="G891" t="s">
        <v>37</v>
      </c>
      <c r="H891">
        <f t="shared" si="13"/>
        <v>0</v>
      </c>
    </row>
    <row r="892" spans="1:8" x14ac:dyDescent="0.3">
      <c r="A892" t="s">
        <v>76</v>
      </c>
      <c r="B892" t="s">
        <v>8</v>
      </c>
      <c r="C892" t="s">
        <v>22</v>
      </c>
      <c r="D892">
        <v>947</v>
      </c>
      <c r="E892" t="s">
        <v>68</v>
      </c>
      <c r="F892" t="s">
        <v>38</v>
      </c>
      <c r="G892" t="s">
        <v>37</v>
      </c>
      <c r="H892">
        <f t="shared" si="13"/>
        <v>947</v>
      </c>
    </row>
    <row r="893" spans="1:8" x14ac:dyDescent="0.3">
      <c r="A893" t="s">
        <v>76</v>
      </c>
      <c r="B893" t="s">
        <v>23</v>
      </c>
      <c r="C893" t="s">
        <v>9</v>
      </c>
      <c r="D893">
        <v>5082864</v>
      </c>
      <c r="E893" t="s">
        <v>68</v>
      </c>
      <c r="F893" t="s">
        <v>38</v>
      </c>
      <c r="G893" t="s">
        <v>37</v>
      </c>
      <c r="H893">
        <f t="shared" si="13"/>
        <v>5080000</v>
      </c>
    </row>
    <row r="894" spans="1:8" x14ac:dyDescent="0.3">
      <c r="A894" t="s">
        <v>76</v>
      </c>
      <c r="B894" t="s">
        <v>23</v>
      </c>
      <c r="C894" t="s">
        <v>13</v>
      </c>
      <c r="D894">
        <v>160807</v>
      </c>
      <c r="E894" t="s">
        <v>68</v>
      </c>
      <c r="F894" t="s">
        <v>38</v>
      </c>
      <c r="G894" t="s">
        <v>37</v>
      </c>
      <c r="H894">
        <f t="shared" si="13"/>
        <v>161000</v>
      </c>
    </row>
    <row r="895" spans="1:8" x14ac:dyDescent="0.3">
      <c r="A895" t="s">
        <v>76</v>
      </c>
      <c r="B895" t="s">
        <v>23</v>
      </c>
      <c r="C895" t="s">
        <v>14</v>
      </c>
      <c r="D895">
        <v>2278695</v>
      </c>
      <c r="E895" t="s">
        <v>68</v>
      </c>
      <c r="F895" t="s">
        <v>38</v>
      </c>
      <c r="G895" t="s">
        <v>37</v>
      </c>
      <c r="H895">
        <f t="shared" si="13"/>
        <v>2280000</v>
      </c>
    </row>
    <row r="896" spans="1:8" x14ac:dyDescent="0.3">
      <c r="A896" t="s">
        <v>76</v>
      </c>
      <c r="B896" t="s">
        <v>23</v>
      </c>
      <c r="C896" t="s">
        <v>15</v>
      </c>
      <c r="D896">
        <v>34859</v>
      </c>
      <c r="E896" t="s">
        <v>68</v>
      </c>
      <c r="F896" t="s">
        <v>38</v>
      </c>
      <c r="G896" t="s">
        <v>37</v>
      </c>
      <c r="H896">
        <f t="shared" si="13"/>
        <v>34900</v>
      </c>
    </row>
    <row r="897" spans="1:8" x14ac:dyDescent="0.3">
      <c r="A897" t="s">
        <v>76</v>
      </c>
      <c r="B897" t="s">
        <v>23</v>
      </c>
      <c r="C897" t="s">
        <v>16</v>
      </c>
      <c r="D897">
        <v>1422606</v>
      </c>
      <c r="E897" t="s">
        <v>68</v>
      </c>
      <c r="F897" t="s">
        <v>38</v>
      </c>
      <c r="G897" t="s">
        <v>37</v>
      </c>
      <c r="H897">
        <f t="shared" si="13"/>
        <v>1420000</v>
      </c>
    </row>
    <row r="898" spans="1:8" x14ac:dyDescent="0.3">
      <c r="A898" t="s">
        <v>76</v>
      </c>
      <c r="B898" t="s">
        <v>23</v>
      </c>
      <c r="C898" t="s">
        <v>17</v>
      </c>
      <c r="D898">
        <v>93250</v>
      </c>
      <c r="E898" t="s">
        <v>68</v>
      </c>
      <c r="F898" t="s">
        <v>38</v>
      </c>
      <c r="G898" t="s">
        <v>37</v>
      </c>
      <c r="H898">
        <f t="shared" si="13"/>
        <v>93300</v>
      </c>
    </row>
    <row r="899" spans="1:8" x14ac:dyDescent="0.3">
      <c r="A899" t="s">
        <v>76</v>
      </c>
      <c r="B899" t="s">
        <v>23</v>
      </c>
      <c r="C899" t="s">
        <v>18</v>
      </c>
      <c r="D899">
        <v>0</v>
      </c>
      <c r="E899" t="s">
        <v>68</v>
      </c>
      <c r="F899" t="s">
        <v>38</v>
      </c>
      <c r="G899" t="s">
        <v>37</v>
      </c>
      <c r="H899">
        <f t="shared" ref="H899:H962" si="14">ROUND(D899, 3 - LEN(INT(ABS(D899))))</f>
        <v>0</v>
      </c>
    </row>
    <row r="900" spans="1:8" x14ac:dyDescent="0.3">
      <c r="A900" t="s">
        <v>76</v>
      </c>
      <c r="B900" t="s">
        <v>23</v>
      </c>
      <c r="C900" t="s">
        <v>19</v>
      </c>
      <c r="D900">
        <v>55918</v>
      </c>
      <c r="E900" t="s">
        <v>68</v>
      </c>
      <c r="F900" t="s">
        <v>38</v>
      </c>
      <c r="G900" t="s">
        <v>37</v>
      </c>
      <c r="H900">
        <f t="shared" si="14"/>
        <v>55900</v>
      </c>
    </row>
    <row r="901" spans="1:8" x14ac:dyDescent="0.3">
      <c r="A901" t="s">
        <v>76</v>
      </c>
      <c r="B901" t="s">
        <v>23</v>
      </c>
      <c r="C901" t="s">
        <v>20</v>
      </c>
      <c r="D901">
        <v>62725</v>
      </c>
      <c r="E901" t="s">
        <v>68</v>
      </c>
      <c r="F901" t="s">
        <v>38</v>
      </c>
      <c r="G901" t="s">
        <v>37</v>
      </c>
      <c r="H901">
        <f t="shared" si="14"/>
        <v>62700</v>
      </c>
    </row>
    <row r="902" spans="1:8" x14ac:dyDescent="0.3">
      <c r="A902" t="s">
        <v>76</v>
      </c>
      <c r="B902" t="s">
        <v>23</v>
      </c>
      <c r="C902" t="s">
        <v>21</v>
      </c>
      <c r="D902">
        <v>50125</v>
      </c>
      <c r="E902" t="s">
        <v>68</v>
      </c>
      <c r="F902" t="s">
        <v>38</v>
      </c>
      <c r="G902" t="s">
        <v>37</v>
      </c>
      <c r="H902">
        <f t="shared" si="14"/>
        <v>50100</v>
      </c>
    </row>
    <row r="903" spans="1:8" x14ac:dyDescent="0.3">
      <c r="A903" t="s">
        <v>76</v>
      </c>
      <c r="B903" t="s">
        <v>23</v>
      </c>
      <c r="C903" t="s">
        <v>22</v>
      </c>
      <c r="D903">
        <v>18239</v>
      </c>
      <c r="E903" t="s">
        <v>68</v>
      </c>
      <c r="F903" t="s">
        <v>38</v>
      </c>
      <c r="G903" t="s">
        <v>37</v>
      </c>
      <c r="H903">
        <f t="shared" si="14"/>
        <v>18200</v>
      </c>
    </row>
    <row r="904" spans="1:8" x14ac:dyDescent="0.3">
      <c r="A904" t="s">
        <v>77</v>
      </c>
      <c r="B904" t="s">
        <v>8</v>
      </c>
      <c r="C904" t="s">
        <v>9</v>
      </c>
      <c r="D904">
        <v>3</v>
      </c>
      <c r="E904" t="s">
        <v>68</v>
      </c>
      <c r="F904" t="s">
        <v>38</v>
      </c>
      <c r="G904" t="s">
        <v>37</v>
      </c>
      <c r="H904">
        <f t="shared" si="14"/>
        <v>3</v>
      </c>
    </row>
    <row r="905" spans="1:8" x14ac:dyDescent="0.3">
      <c r="A905" t="s">
        <v>77</v>
      </c>
      <c r="B905" t="s">
        <v>8</v>
      </c>
      <c r="C905" t="s">
        <v>13</v>
      </c>
      <c r="D905">
        <v>62</v>
      </c>
      <c r="E905" t="s">
        <v>68</v>
      </c>
      <c r="F905" t="s">
        <v>38</v>
      </c>
      <c r="G905" t="s">
        <v>37</v>
      </c>
      <c r="H905">
        <f t="shared" si="14"/>
        <v>62</v>
      </c>
    </row>
    <row r="906" spans="1:8" x14ac:dyDescent="0.3">
      <c r="A906" t="s">
        <v>77</v>
      </c>
      <c r="B906" t="s">
        <v>8</v>
      </c>
      <c r="C906" t="s">
        <v>14</v>
      </c>
      <c r="D906">
        <v>33</v>
      </c>
      <c r="E906" t="s">
        <v>68</v>
      </c>
      <c r="F906" t="s">
        <v>38</v>
      </c>
      <c r="G906" t="s">
        <v>37</v>
      </c>
      <c r="H906">
        <f t="shared" si="14"/>
        <v>33</v>
      </c>
    </row>
    <row r="907" spans="1:8" x14ac:dyDescent="0.3">
      <c r="A907" t="s">
        <v>77</v>
      </c>
      <c r="B907" t="s">
        <v>8</v>
      </c>
      <c r="C907" t="s">
        <v>15</v>
      </c>
      <c r="D907">
        <v>122</v>
      </c>
      <c r="E907" t="s">
        <v>68</v>
      </c>
      <c r="F907" t="s">
        <v>38</v>
      </c>
      <c r="G907" t="s">
        <v>37</v>
      </c>
      <c r="H907">
        <f t="shared" si="14"/>
        <v>122</v>
      </c>
    </row>
    <row r="908" spans="1:8" x14ac:dyDescent="0.3">
      <c r="A908" t="s">
        <v>77</v>
      </c>
      <c r="B908" t="s">
        <v>8</v>
      </c>
      <c r="C908" t="s">
        <v>16</v>
      </c>
      <c r="D908">
        <v>36</v>
      </c>
      <c r="E908" t="s">
        <v>68</v>
      </c>
      <c r="F908" t="s">
        <v>38</v>
      </c>
      <c r="G908" t="s">
        <v>37</v>
      </c>
      <c r="H908">
        <f t="shared" si="14"/>
        <v>36</v>
      </c>
    </row>
    <row r="909" spans="1:8" x14ac:dyDescent="0.3">
      <c r="A909" t="s">
        <v>77</v>
      </c>
      <c r="B909" t="s">
        <v>8</v>
      </c>
      <c r="C909" t="s">
        <v>17</v>
      </c>
      <c r="D909">
        <v>192</v>
      </c>
      <c r="E909" t="s">
        <v>68</v>
      </c>
      <c r="F909" t="s">
        <v>38</v>
      </c>
      <c r="G909" t="s">
        <v>37</v>
      </c>
      <c r="H909">
        <f t="shared" si="14"/>
        <v>192</v>
      </c>
    </row>
    <row r="910" spans="1:8" x14ac:dyDescent="0.3">
      <c r="A910" t="s">
        <v>77</v>
      </c>
      <c r="B910" t="s">
        <v>8</v>
      </c>
      <c r="C910" t="s">
        <v>18</v>
      </c>
      <c r="D910">
        <v>0</v>
      </c>
      <c r="E910" t="s">
        <v>68</v>
      </c>
      <c r="F910" t="s">
        <v>38</v>
      </c>
      <c r="G910" t="s">
        <v>37</v>
      </c>
      <c r="H910">
        <f t="shared" si="14"/>
        <v>0</v>
      </c>
    </row>
    <row r="911" spans="1:8" x14ac:dyDescent="0.3">
      <c r="A911" t="s">
        <v>77</v>
      </c>
      <c r="B911" t="s">
        <v>8</v>
      </c>
      <c r="C911" t="s">
        <v>19</v>
      </c>
      <c r="D911">
        <v>1</v>
      </c>
      <c r="E911" t="s">
        <v>68</v>
      </c>
      <c r="F911" t="s">
        <v>38</v>
      </c>
      <c r="G911" t="s">
        <v>37</v>
      </c>
      <c r="H911">
        <f t="shared" si="14"/>
        <v>1</v>
      </c>
    </row>
    <row r="912" spans="1:8" x14ac:dyDescent="0.3">
      <c r="A912" t="s">
        <v>77</v>
      </c>
      <c r="B912" t="s">
        <v>8</v>
      </c>
      <c r="C912" t="s">
        <v>20</v>
      </c>
      <c r="D912">
        <v>4592142</v>
      </c>
      <c r="E912" t="s">
        <v>68</v>
      </c>
      <c r="F912" t="s">
        <v>38</v>
      </c>
      <c r="G912" t="s">
        <v>37</v>
      </c>
      <c r="H912">
        <f t="shared" si="14"/>
        <v>4590000</v>
      </c>
    </row>
    <row r="913" spans="1:8" x14ac:dyDescent="0.3">
      <c r="A913" t="s">
        <v>77</v>
      </c>
      <c r="B913" t="s">
        <v>8</v>
      </c>
      <c r="C913" t="s">
        <v>21</v>
      </c>
      <c r="D913">
        <v>10</v>
      </c>
      <c r="E913" t="s">
        <v>68</v>
      </c>
      <c r="F913" t="s">
        <v>38</v>
      </c>
      <c r="G913" t="s">
        <v>37</v>
      </c>
      <c r="H913">
        <f t="shared" si="14"/>
        <v>10</v>
      </c>
    </row>
    <row r="914" spans="1:8" x14ac:dyDescent="0.3">
      <c r="A914" t="s">
        <v>77</v>
      </c>
      <c r="B914" t="s">
        <v>8</v>
      </c>
      <c r="C914" t="s">
        <v>22</v>
      </c>
      <c r="D914">
        <v>164</v>
      </c>
      <c r="E914" t="s">
        <v>68</v>
      </c>
      <c r="F914" t="s">
        <v>38</v>
      </c>
      <c r="G914" t="s">
        <v>37</v>
      </c>
      <c r="H914">
        <f t="shared" si="14"/>
        <v>164</v>
      </c>
    </row>
    <row r="915" spans="1:8" x14ac:dyDescent="0.3">
      <c r="A915" t="s">
        <v>77</v>
      </c>
      <c r="B915" t="s">
        <v>23</v>
      </c>
      <c r="C915" t="s">
        <v>9</v>
      </c>
      <c r="D915">
        <v>130081</v>
      </c>
      <c r="E915" t="s">
        <v>68</v>
      </c>
      <c r="F915" t="s">
        <v>38</v>
      </c>
      <c r="G915" t="s">
        <v>37</v>
      </c>
      <c r="H915">
        <f t="shared" si="14"/>
        <v>130000</v>
      </c>
    </row>
    <row r="916" spans="1:8" x14ac:dyDescent="0.3">
      <c r="A916" t="s">
        <v>77</v>
      </c>
      <c r="B916" t="s">
        <v>23</v>
      </c>
      <c r="C916" t="s">
        <v>13</v>
      </c>
      <c r="D916">
        <v>51810</v>
      </c>
      <c r="E916" t="s">
        <v>68</v>
      </c>
      <c r="F916" t="s">
        <v>38</v>
      </c>
      <c r="G916" t="s">
        <v>37</v>
      </c>
      <c r="H916">
        <f t="shared" si="14"/>
        <v>51800</v>
      </c>
    </row>
    <row r="917" spans="1:8" x14ac:dyDescent="0.3">
      <c r="A917" t="s">
        <v>77</v>
      </c>
      <c r="B917" t="s">
        <v>23</v>
      </c>
      <c r="C917" t="s">
        <v>14</v>
      </c>
      <c r="D917">
        <v>275606</v>
      </c>
      <c r="E917" t="s">
        <v>68</v>
      </c>
      <c r="F917" t="s">
        <v>38</v>
      </c>
      <c r="G917" t="s">
        <v>37</v>
      </c>
      <c r="H917">
        <f t="shared" si="14"/>
        <v>276000</v>
      </c>
    </row>
    <row r="918" spans="1:8" x14ac:dyDescent="0.3">
      <c r="A918" t="s">
        <v>77</v>
      </c>
      <c r="B918" t="s">
        <v>23</v>
      </c>
      <c r="C918" t="s">
        <v>15</v>
      </c>
      <c r="D918">
        <v>34367</v>
      </c>
      <c r="E918" t="s">
        <v>68</v>
      </c>
      <c r="F918" t="s">
        <v>38</v>
      </c>
      <c r="G918" t="s">
        <v>37</v>
      </c>
      <c r="H918">
        <f t="shared" si="14"/>
        <v>34400</v>
      </c>
    </row>
    <row r="919" spans="1:8" x14ac:dyDescent="0.3">
      <c r="A919" t="s">
        <v>77</v>
      </c>
      <c r="B919" t="s">
        <v>23</v>
      </c>
      <c r="C919" t="s">
        <v>16</v>
      </c>
      <c r="D919">
        <v>154676</v>
      </c>
      <c r="E919" t="s">
        <v>68</v>
      </c>
      <c r="F919" t="s">
        <v>38</v>
      </c>
      <c r="G919" t="s">
        <v>37</v>
      </c>
      <c r="H919">
        <f t="shared" si="14"/>
        <v>155000</v>
      </c>
    </row>
    <row r="920" spans="1:8" x14ac:dyDescent="0.3">
      <c r="A920" t="s">
        <v>77</v>
      </c>
      <c r="B920" t="s">
        <v>23</v>
      </c>
      <c r="C920" t="s">
        <v>17</v>
      </c>
      <c r="D920">
        <v>5573</v>
      </c>
      <c r="E920" t="s">
        <v>68</v>
      </c>
      <c r="F920" t="s">
        <v>38</v>
      </c>
      <c r="G920" t="s">
        <v>37</v>
      </c>
      <c r="H920">
        <f t="shared" si="14"/>
        <v>5570</v>
      </c>
    </row>
    <row r="921" spans="1:8" x14ac:dyDescent="0.3">
      <c r="A921" t="s">
        <v>77</v>
      </c>
      <c r="B921" t="s">
        <v>23</v>
      </c>
      <c r="C921" t="s">
        <v>18</v>
      </c>
      <c r="D921">
        <v>0</v>
      </c>
      <c r="E921" t="s">
        <v>68</v>
      </c>
      <c r="F921" t="s">
        <v>38</v>
      </c>
      <c r="G921" t="s">
        <v>37</v>
      </c>
      <c r="H921">
        <f t="shared" si="14"/>
        <v>0</v>
      </c>
    </row>
    <row r="922" spans="1:8" x14ac:dyDescent="0.3">
      <c r="A922" t="s">
        <v>77</v>
      </c>
      <c r="B922" t="s">
        <v>23</v>
      </c>
      <c r="C922" t="s">
        <v>19</v>
      </c>
      <c r="D922">
        <v>14169</v>
      </c>
      <c r="E922" t="s">
        <v>68</v>
      </c>
      <c r="F922" t="s">
        <v>38</v>
      </c>
      <c r="G922" t="s">
        <v>37</v>
      </c>
      <c r="H922">
        <f t="shared" si="14"/>
        <v>14200</v>
      </c>
    </row>
    <row r="923" spans="1:8" x14ac:dyDescent="0.3">
      <c r="A923" t="s">
        <v>77</v>
      </c>
      <c r="B923" t="s">
        <v>23</v>
      </c>
      <c r="C923" t="s">
        <v>20</v>
      </c>
      <c r="D923">
        <v>5693219</v>
      </c>
      <c r="E923" t="s">
        <v>68</v>
      </c>
      <c r="F923" t="s">
        <v>38</v>
      </c>
      <c r="G923" t="s">
        <v>37</v>
      </c>
      <c r="H923">
        <f t="shared" si="14"/>
        <v>5690000</v>
      </c>
    </row>
    <row r="924" spans="1:8" x14ac:dyDescent="0.3">
      <c r="A924" t="s">
        <v>77</v>
      </c>
      <c r="B924" t="s">
        <v>23</v>
      </c>
      <c r="C924" t="s">
        <v>21</v>
      </c>
      <c r="D924">
        <v>20616</v>
      </c>
      <c r="E924" t="s">
        <v>68</v>
      </c>
      <c r="F924" t="s">
        <v>38</v>
      </c>
      <c r="G924" t="s">
        <v>37</v>
      </c>
      <c r="H924">
        <f t="shared" si="14"/>
        <v>20600</v>
      </c>
    </row>
    <row r="925" spans="1:8" x14ac:dyDescent="0.3">
      <c r="A925" t="s">
        <v>77</v>
      </c>
      <c r="B925" t="s">
        <v>23</v>
      </c>
      <c r="C925" t="s">
        <v>22</v>
      </c>
      <c r="D925">
        <v>6456</v>
      </c>
      <c r="E925" t="s">
        <v>68</v>
      </c>
      <c r="F925" t="s">
        <v>38</v>
      </c>
      <c r="G925" t="s">
        <v>37</v>
      </c>
      <c r="H925">
        <f t="shared" si="14"/>
        <v>6460</v>
      </c>
    </row>
    <row r="926" spans="1:8" x14ac:dyDescent="0.3">
      <c r="A926" t="s">
        <v>78</v>
      </c>
      <c r="B926" t="s">
        <v>8</v>
      </c>
      <c r="C926" t="s">
        <v>9</v>
      </c>
      <c r="D926">
        <v>691</v>
      </c>
      <c r="E926" t="s">
        <v>68</v>
      </c>
      <c r="F926" t="s">
        <v>38</v>
      </c>
      <c r="G926" t="s">
        <v>37</v>
      </c>
      <c r="H926">
        <f t="shared" si="14"/>
        <v>691</v>
      </c>
    </row>
    <row r="927" spans="1:8" x14ac:dyDescent="0.3">
      <c r="A927" t="s">
        <v>78</v>
      </c>
      <c r="B927" t="s">
        <v>8</v>
      </c>
      <c r="C927" t="s">
        <v>13</v>
      </c>
      <c r="D927">
        <v>10</v>
      </c>
      <c r="E927" t="s">
        <v>68</v>
      </c>
      <c r="F927" t="s">
        <v>38</v>
      </c>
      <c r="G927" t="s">
        <v>37</v>
      </c>
      <c r="H927">
        <f t="shared" si="14"/>
        <v>10</v>
      </c>
    </row>
    <row r="928" spans="1:8" x14ac:dyDescent="0.3">
      <c r="A928" t="s">
        <v>78</v>
      </c>
      <c r="B928" t="s">
        <v>8</v>
      </c>
      <c r="C928" t="s">
        <v>14</v>
      </c>
      <c r="D928">
        <v>4700</v>
      </c>
      <c r="E928" t="s">
        <v>68</v>
      </c>
      <c r="F928" t="s">
        <v>38</v>
      </c>
      <c r="G928" t="s">
        <v>37</v>
      </c>
      <c r="H928">
        <f t="shared" si="14"/>
        <v>4700</v>
      </c>
    </row>
    <row r="929" spans="1:8" x14ac:dyDescent="0.3">
      <c r="A929" t="s">
        <v>78</v>
      </c>
      <c r="B929" t="s">
        <v>8</v>
      </c>
      <c r="C929" t="s">
        <v>15</v>
      </c>
      <c r="D929">
        <v>12</v>
      </c>
      <c r="E929" t="s">
        <v>68</v>
      </c>
      <c r="F929" t="s">
        <v>38</v>
      </c>
      <c r="G929" t="s">
        <v>37</v>
      </c>
      <c r="H929">
        <f t="shared" si="14"/>
        <v>12</v>
      </c>
    </row>
    <row r="930" spans="1:8" x14ac:dyDescent="0.3">
      <c r="A930" t="s">
        <v>78</v>
      </c>
      <c r="B930" t="s">
        <v>8</v>
      </c>
      <c r="C930" t="s">
        <v>16</v>
      </c>
      <c r="D930">
        <v>2195938</v>
      </c>
      <c r="E930" t="s">
        <v>68</v>
      </c>
      <c r="F930" t="s">
        <v>38</v>
      </c>
      <c r="G930" t="s">
        <v>37</v>
      </c>
      <c r="H930">
        <f t="shared" si="14"/>
        <v>2200000</v>
      </c>
    </row>
    <row r="931" spans="1:8" x14ac:dyDescent="0.3">
      <c r="A931" t="s">
        <v>78</v>
      </c>
      <c r="B931" t="s">
        <v>8</v>
      </c>
      <c r="C931" t="s">
        <v>17</v>
      </c>
      <c r="D931">
        <v>1204</v>
      </c>
      <c r="E931" t="s">
        <v>68</v>
      </c>
      <c r="F931" t="s">
        <v>38</v>
      </c>
      <c r="G931" t="s">
        <v>37</v>
      </c>
      <c r="H931">
        <f t="shared" si="14"/>
        <v>1200</v>
      </c>
    </row>
    <row r="932" spans="1:8" x14ac:dyDescent="0.3">
      <c r="A932" t="s">
        <v>78</v>
      </c>
      <c r="B932" t="s">
        <v>8</v>
      </c>
      <c r="C932" t="s">
        <v>18</v>
      </c>
      <c r="D932">
        <v>0</v>
      </c>
      <c r="E932" t="s">
        <v>68</v>
      </c>
      <c r="F932" t="s">
        <v>38</v>
      </c>
      <c r="G932" t="s">
        <v>37</v>
      </c>
      <c r="H932">
        <f t="shared" si="14"/>
        <v>0</v>
      </c>
    </row>
    <row r="933" spans="1:8" x14ac:dyDescent="0.3">
      <c r="A933" t="s">
        <v>78</v>
      </c>
      <c r="B933" t="s">
        <v>8</v>
      </c>
      <c r="C933" t="s">
        <v>19</v>
      </c>
      <c r="D933">
        <v>0</v>
      </c>
      <c r="E933" t="s">
        <v>68</v>
      </c>
      <c r="F933" t="s">
        <v>38</v>
      </c>
      <c r="G933" t="s">
        <v>37</v>
      </c>
      <c r="H933">
        <f t="shared" si="14"/>
        <v>0</v>
      </c>
    </row>
    <row r="934" spans="1:8" x14ac:dyDescent="0.3">
      <c r="A934" t="s">
        <v>78</v>
      </c>
      <c r="B934" t="s">
        <v>8</v>
      </c>
      <c r="C934" t="s">
        <v>20</v>
      </c>
      <c r="D934">
        <v>93</v>
      </c>
      <c r="E934" t="s">
        <v>68</v>
      </c>
      <c r="F934" t="s">
        <v>38</v>
      </c>
      <c r="G934" t="s">
        <v>37</v>
      </c>
      <c r="H934">
        <f t="shared" si="14"/>
        <v>93</v>
      </c>
    </row>
    <row r="935" spans="1:8" x14ac:dyDescent="0.3">
      <c r="A935" t="s">
        <v>78</v>
      </c>
      <c r="B935" t="s">
        <v>8</v>
      </c>
      <c r="C935" t="s">
        <v>21</v>
      </c>
      <c r="D935">
        <v>15</v>
      </c>
      <c r="E935" t="s">
        <v>68</v>
      </c>
      <c r="F935" t="s">
        <v>38</v>
      </c>
      <c r="G935" t="s">
        <v>37</v>
      </c>
      <c r="H935">
        <f t="shared" si="14"/>
        <v>15</v>
      </c>
    </row>
    <row r="936" spans="1:8" x14ac:dyDescent="0.3">
      <c r="A936" t="s">
        <v>78</v>
      </c>
      <c r="B936" t="s">
        <v>8</v>
      </c>
      <c r="C936" t="s">
        <v>22</v>
      </c>
      <c r="D936">
        <v>124</v>
      </c>
      <c r="E936" t="s">
        <v>68</v>
      </c>
      <c r="F936" t="s">
        <v>38</v>
      </c>
      <c r="G936" t="s">
        <v>37</v>
      </c>
      <c r="H936">
        <f t="shared" si="14"/>
        <v>124</v>
      </c>
    </row>
    <row r="937" spans="1:8" x14ac:dyDescent="0.3">
      <c r="A937" t="s">
        <v>78</v>
      </c>
      <c r="B937" t="s">
        <v>23</v>
      </c>
      <c r="C937" t="s">
        <v>9</v>
      </c>
      <c r="D937">
        <v>2808</v>
      </c>
      <c r="E937" t="s">
        <v>68</v>
      </c>
      <c r="F937" t="s">
        <v>38</v>
      </c>
      <c r="G937" t="s">
        <v>37</v>
      </c>
      <c r="H937">
        <f t="shared" si="14"/>
        <v>2810</v>
      </c>
    </row>
    <row r="938" spans="1:8" x14ac:dyDescent="0.3">
      <c r="A938" t="s">
        <v>78</v>
      </c>
      <c r="B938" t="s">
        <v>23</v>
      </c>
      <c r="C938" t="s">
        <v>13</v>
      </c>
      <c r="D938">
        <v>3562</v>
      </c>
      <c r="E938" t="s">
        <v>68</v>
      </c>
      <c r="F938" t="s">
        <v>38</v>
      </c>
      <c r="G938" t="s">
        <v>37</v>
      </c>
      <c r="H938">
        <f t="shared" si="14"/>
        <v>3560</v>
      </c>
    </row>
    <row r="939" spans="1:8" x14ac:dyDescent="0.3">
      <c r="A939" t="s">
        <v>78</v>
      </c>
      <c r="B939" t="s">
        <v>23</v>
      </c>
      <c r="C939" t="s">
        <v>14</v>
      </c>
      <c r="D939">
        <v>14047</v>
      </c>
      <c r="E939" t="s">
        <v>68</v>
      </c>
      <c r="F939" t="s">
        <v>38</v>
      </c>
      <c r="G939" t="s">
        <v>37</v>
      </c>
      <c r="H939">
        <f t="shared" si="14"/>
        <v>14000</v>
      </c>
    </row>
    <row r="940" spans="1:8" x14ac:dyDescent="0.3">
      <c r="A940" t="s">
        <v>78</v>
      </c>
      <c r="B940" t="s">
        <v>23</v>
      </c>
      <c r="C940" t="s">
        <v>15</v>
      </c>
      <c r="D940">
        <v>487</v>
      </c>
      <c r="E940" t="s">
        <v>68</v>
      </c>
      <c r="F940" t="s">
        <v>38</v>
      </c>
      <c r="G940" t="s">
        <v>37</v>
      </c>
      <c r="H940">
        <f t="shared" si="14"/>
        <v>487</v>
      </c>
    </row>
    <row r="941" spans="1:8" x14ac:dyDescent="0.3">
      <c r="A941" t="s">
        <v>78</v>
      </c>
      <c r="B941" t="s">
        <v>23</v>
      </c>
      <c r="C941" t="s">
        <v>16</v>
      </c>
      <c r="D941">
        <v>4417308</v>
      </c>
      <c r="E941" t="s">
        <v>68</v>
      </c>
      <c r="F941" t="s">
        <v>38</v>
      </c>
      <c r="G941" t="s">
        <v>37</v>
      </c>
      <c r="H941">
        <f t="shared" si="14"/>
        <v>4420000</v>
      </c>
    </row>
    <row r="942" spans="1:8" x14ac:dyDescent="0.3">
      <c r="A942" t="s">
        <v>78</v>
      </c>
      <c r="B942" t="s">
        <v>23</v>
      </c>
      <c r="C942" t="s">
        <v>17</v>
      </c>
      <c r="D942">
        <v>636</v>
      </c>
      <c r="E942" t="s">
        <v>68</v>
      </c>
      <c r="F942" t="s">
        <v>38</v>
      </c>
      <c r="G942" t="s">
        <v>37</v>
      </c>
      <c r="H942">
        <f t="shared" si="14"/>
        <v>636</v>
      </c>
    </row>
    <row r="943" spans="1:8" x14ac:dyDescent="0.3">
      <c r="A943" t="s">
        <v>78</v>
      </c>
      <c r="B943" t="s">
        <v>23</v>
      </c>
      <c r="C943" t="s">
        <v>18</v>
      </c>
      <c r="D943">
        <v>26</v>
      </c>
      <c r="E943" t="s">
        <v>68</v>
      </c>
      <c r="F943" t="s">
        <v>38</v>
      </c>
      <c r="G943" t="s">
        <v>37</v>
      </c>
      <c r="H943">
        <f t="shared" si="14"/>
        <v>26</v>
      </c>
    </row>
    <row r="944" spans="1:8" x14ac:dyDescent="0.3">
      <c r="A944" t="s">
        <v>78</v>
      </c>
      <c r="B944" t="s">
        <v>23</v>
      </c>
      <c r="C944" t="s">
        <v>19</v>
      </c>
      <c r="D944">
        <v>846</v>
      </c>
      <c r="E944" t="s">
        <v>68</v>
      </c>
      <c r="F944" t="s">
        <v>38</v>
      </c>
      <c r="G944" t="s">
        <v>37</v>
      </c>
      <c r="H944">
        <f t="shared" si="14"/>
        <v>846</v>
      </c>
    </row>
    <row r="945" spans="1:8" x14ac:dyDescent="0.3">
      <c r="A945" t="s">
        <v>78</v>
      </c>
      <c r="B945" t="s">
        <v>23</v>
      </c>
      <c r="C945" t="s">
        <v>20</v>
      </c>
      <c r="D945">
        <v>26256</v>
      </c>
      <c r="E945" t="s">
        <v>68</v>
      </c>
      <c r="F945" t="s">
        <v>38</v>
      </c>
      <c r="G945" t="s">
        <v>37</v>
      </c>
      <c r="H945">
        <f t="shared" si="14"/>
        <v>26300</v>
      </c>
    </row>
    <row r="946" spans="1:8" x14ac:dyDescent="0.3">
      <c r="A946" t="s">
        <v>78</v>
      </c>
      <c r="B946" t="s">
        <v>23</v>
      </c>
      <c r="C946" t="s">
        <v>21</v>
      </c>
      <c r="D946">
        <v>1119</v>
      </c>
      <c r="E946" t="s">
        <v>68</v>
      </c>
      <c r="F946" t="s">
        <v>38</v>
      </c>
      <c r="G946" t="s">
        <v>37</v>
      </c>
      <c r="H946">
        <f t="shared" si="14"/>
        <v>1120</v>
      </c>
    </row>
    <row r="947" spans="1:8" x14ac:dyDescent="0.3">
      <c r="A947" t="s">
        <v>78</v>
      </c>
      <c r="B947" t="s">
        <v>23</v>
      </c>
      <c r="C947" t="s">
        <v>22</v>
      </c>
      <c r="D947">
        <v>2236</v>
      </c>
      <c r="E947" t="s">
        <v>68</v>
      </c>
      <c r="F947" t="s">
        <v>38</v>
      </c>
      <c r="G947" t="s">
        <v>37</v>
      </c>
      <c r="H947">
        <f t="shared" si="14"/>
        <v>2240</v>
      </c>
    </row>
    <row r="948" spans="1:8" x14ac:dyDescent="0.3">
      <c r="A948" t="s">
        <v>79</v>
      </c>
      <c r="B948" t="s">
        <v>8</v>
      </c>
      <c r="C948" t="s">
        <v>9</v>
      </c>
      <c r="D948">
        <v>591</v>
      </c>
      <c r="E948" t="s">
        <v>68</v>
      </c>
      <c r="F948" t="s">
        <v>38</v>
      </c>
      <c r="G948" t="s">
        <v>37</v>
      </c>
      <c r="H948">
        <f t="shared" si="14"/>
        <v>591</v>
      </c>
    </row>
    <row r="949" spans="1:8" x14ac:dyDescent="0.3">
      <c r="A949" t="s">
        <v>79</v>
      </c>
      <c r="B949" t="s">
        <v>8</v>
      </c>
      <c r="C949" t="s">
        <v>13</v>
      </c>
      <c r="D949">
        <v>8</v>
      </c>
      <c r="E949" t="s">
        <v>68</v>
      </c>
      <c r="F949" t="s">
        <v>38</v>
      </c>
      <c r="G949" t="s">
        <v>37</v>
      </c>
      <c r="H949">
        <f t="shared" si="14"/>
        <v>8</v>
      </c>
    </row>
    <row r="950" spans="1:8" x14ac:dyDescent="0.3">
      <c r="A950" t="s">
        <v>79</v>
      </c>
      <c r="B950" t="s">
        <v>8</v>
      </c>
      <c r="C950" t="s">
        <v>14</v>
      </c>
      <c r="D950">
        <v>4021</v>
      </c>
      <c r="E950" t="s">
        <v>68</v>
      </c>
      <c r="F950" t="s">
        <v>38</v>
      </c>
      <c r="G950" t="s">
        <v>37</v>
      </c>
      <c r="H950">
        <f t="shared" si="14"/>
        <v>4020</v>
      </c>
    </row>
    <row r="951" spans="1:8" x14ac:dyDescent="0.3">
      <c r="A951" t="s">
        <v>79</v>
      </c>
      <c r="B951" t="s">
        <v>8</v>
      </c>
      <c r="C951" t="s">
        <v>15</v>
      </c>
      <c r="D951">
        <v>11</v>
      </c>
      <c r="E951" t="s">
        <v>68</v>
      </c>
      <c r="F951" t="s">
        <v>38</v>
      </c>
      <c r="G951" t="s">
        <v>37</v>
      </c>
      <c r="H951">
        <f t="shared" si="14"/>
        <v>11</v>
      </c>
    </row>
    <row r="952" spans="1:8" x14ac:dyDescent="0.3">
      <c r="A952" t="s">
        <v>79</v>
      </c>
      <c r="B952" t="s">
        <v>8</v>
      </c>
      <c r="C952" t="s">
        <v>16</v>
      </c>
      <c r="D952">
        <v>1878747</v>
      </c>
      <c r="E952" t="s">
        <v>68</v>
      </c>
      <c r="F952" t="s">
        <v>38</v>
      </c>
      <c r="G952" t="s">
        <v>37</v>
      </c>
      <c r="H952">
        <f t="shared" si="14"/>
        <v>1880000</v>
      </c>
    </row>
    <row r="953" spans="1:8" x14ac:dyDescent="0.3">
      <c r="A953" t="s">
        <v>79</v>
      </c>
      <c r="B953" t="s">
        <v>8</v>
      </c>
      <c r="C953" t="s">
        <v>17</v>
      </c>
      <c r="D953">
        <v>1030</v>
      </c>
      <c r="E953" t="s">
        <v>68</v>
      </c>
      <c r="F953" t="s">
        <v>38</v>
      </c>
      <c r="G953" t="s">
        <v>37</v>
      </c>
      <c r="H953">
        <f t="shared" si="14"/>
        <v>1030</v>
      </c>
    </row>
    <row r="954" spans="1:8" x14ac:dyDescent="0.3">
      <c r="A954" t="s">
        <v>79</v>
      </c>
      <c r="B954" t="s">
        <v>8</v>
      </c>
      <c r="C954" t="s">
        <v>18</v>
      </c>
      <c r="D954">
        <v>0</v>
      </c>
      <c r="E954" t="s">
        <v>68</v>
      </c>
      <c r="F954" t="s">
        <v>38</v>
      </c>
      <c r="G954" t="s">
        <v>37</v>
      </c>
      <c r="H954">
        <f t="shared" si="14"/>
        <v>0</v>
      </c>
    </row>
    <row r="955" spans="1:8" x14ac:dyDescent="0.3">
      <c r="A955" t="s">
        <v>79</v>
      </c>
      <c r="B955" t="s">
        <v>8</v>
      </c>
      <c r="C955" t="s">
        <v>19</v>
      </c>
      <c r="D955">
        <v>0</v>
      </c>
      <c r="E955" t="s">
        <v>68</v>
      </c>
      <c r="F955" t="s">
        <v>38</v>
      </c>
      <c r="G955" t="s">
        <v>37</v>
      </c>
      <c r="H955">
        <f t="shared" si="14"/>
        <v>0</v>
      </c>
    </row>
    <row r="956" spans="1:8" x14ac:dyDescent="0.3">
      <c r="A956" t="s">
        <v>79</v>
      </c>
      <c r="B956" t="s">
        <v>8</v>
      </c>
      <c r="C956" t="s">
        <v>20</v>
      </c>
      <c r="D956">
        <v>79</v>
      </c>
      <c r="E956" t="s">
        <v>68</v>
      </c>
      <c r="F956" t="s">
        <v>38</v>
      </c>
      <c r="G956" t="s">
        <v>37</v>
      </c>
      <c r="H956">
        <f t="shared" si="14"/>
        <v>79</v>
      </c>
    </row>
    <row r="957" spans="1:8" x14ac:dyDescent="0.3">
      <c r="A957" t="s">
        <v>79</v>
      </c>
      <c r="B957" t="s">
        <v>8</v>
      </c>
      <c r="C957" t="s">
        <v>21</v>
      </c>
      <c r="D957">
        <v>13</v>
      </c>
      <c r="E957" t="s">
        <v>68</v>
      </c>
      <c r="F957" t="s">
        <v>38</v>
      </c>
      <c r="G957" t="s">
        <v>37</v>
      </c>
      <c r="H957">
        <f t="shared" si="14"/>
        <v>13</v>
      </c>
    </row>
    <row r="958" spans="1:8" x14ac:dyDescent="0.3">
      <c r="A958" t="s">
        <v>79</v>
      </c>
      <c r="B958" t="s">
        <v>8</v>
      </c>
      <c r="C958" t="s">
        <v>22</v>
      </c>
      <c r="D958">
        <v>106</v>
      </c>
      <c r="E958" t="s">
        <v>68</v>
      </c>
      <c r="F958" t="s">
        <v>38</v>
      </c>
      <c r="G958" t="s">
        <v>37</v>
      </c>
      <c r="H958">
        <f t="shared" si="14"/>
        <v>106</v>
      </c>
    </row>
    <row r="959" spans="1:8" x14ac:dyDescent="0.3">
      <c r="A959" t="s">
        <v>79</v>
      </c>
      <c r="B959" t="s">
        <v>23</v>
      </c>
      <c r="C959" t="s">
        <v>9</v>
      </c>
      <c r="D959">
        <v>2403</v>
      </c>
      <c r="E959" t="s">
        <v>68</v>
      </c>
      <c r="F959" t="s">
        <v>38</v>
      </c>
      <c r="G959" t="s">
        <v>37</v>
      </c>
      <c r="H959">
        <f t="shared" si="14"/>
        <v>2400</v>
      </c>
    </row>
    <row r="960" spans="1:8" x14ac:dyDescent="0.3">
      <c r="A960" t="s">
        <v>79</v>
      </c>
      <c r="B960" t="s">
        <v>23</v>
      </c>
      <c r="C960" t="s">
        <v>13</v>
      </c>
      <c r="D960">
        <v>3048</v>
      </c>
      <c r="E960" t="s">
        <v>68</v>
      </c>
      <c r="F960" t="s">
        <v>38</v>
      </c>
      <c r="G960" t="s">
        <v>37</v>
      </c>
      <c r="H960">
        <f t="shared" si="14"/>
        <v>3050</v>
      </c>
    </row>
    <row r="961" spans="1:8" x14ac:dyDescent="0.3">
      <c r="A961" t="s">
        <v>79</v>
      </c>
      <c r="B961" t="s">
        <v>23</v>
      </c>
      <c r="C961" t="s">
        <v>14</v>
      </c>
      <c r="D961">
        <v>12018</v>
      </c>
      <c r="E961" t="s">
        <v>68</v>
      </c>
      <c r="F961" t="s">
        <v>38</v>
      </c>
      <c r="G961" t="s">
        <v>37</v>
      </c>
      <c r="H961">
        <f t="shared" si="14"/>
        <v>12000</v>
      </c>
    </row>
    <row r="962" spans="1:8" x14ac:dyDescent="0.3">
      <c r="A962" t="s">
        <v>79</v>
      </c>
      <c r="B962" t="s">
        <v>23</v>
      </c>
      <c r="C962" t="s">
        <v>15</v>
      </c>
      <c r="D962">
        <v>417</v>
      </c>
      <c r="E962" t="s">
        <v>68</v>
      </c>
      <c r="F962" t="s">
        <v>38</v>
      </c>
      <c r="G962" t="s">
        <v>37</v>
      </c>
      <c r="H962">
        <f t="shared" si="14"/>
        <v>417</v>
      </c>
    </row>
    <row r="963" spans="1:8" x14ac:dyDescent="0.3">
      <c r="A963" t="s">
        <v>79</v>
      </c>
      <c r="B963" t="s">
        <v>23</v>
      </c>
      <c r="C963" t="s">
        <v>16</v>
      </c>
      <c r="D963">
        <v>3779253</v>
      </c>
      <c r="E963" t="s">
        <v>68</v>
      </c>
      <c r="F963" t="s">
        <v>38</v>
      </c>
      <c r="G963" t="s">
        <v>37</v>
      </c>
      <c r="H963">
        <f t="shared" ref="H963:H1026" si="15">ROUND(D963, 3 - LEN(INT(ABS(D963))))</f>
        <v>3780000</v>
      </c>
    </row>
    <row r="964" spans="1:8" x14ac:dyDescent="0.3">
      <c r="A964" t="s">
        <v>79</v>
      </c>
      <c r="B964" t="s">
        <v>23</v>
      </c>
      <c r="C964" t="s">
        <v>17</v>
      </c>
      <c r="D964">
        <v>544</v>
      </c>
      <c r="E964" t="s">
        <v>68</v>
      </c>
      <c r="F964" t="s">
        <v>38</v>
      </c>
      <c r="G964" t="s">
        <v>37</v>
      </c>
      <c r="H964">
        <f t="shared" si="15"/>
        <v>544</v>
      </c>
    </row>
    <row r="965" spans="1:8" x14ac:dyDescent="0.3">
      <c r="A965" t="s">
        <v>79</v>
      </c>
      <c r="B965" t="s">
        <v>23</v>
      </c>
      <c r="C965" t="s">
        <v>18</v>
      </c>
      <c r="D965">
        <v>23</v>
      </c>
      <c r="E965" t="s">
        <v>68</v>
      </c>
      <c r="F965" t="s">
        <v>38</v>
      </c>
      <c r="G965" t="s">
        <v>37</v>
      </c>
      <c r="H965">
        <f t="shared" si="15"/>
        <v>23</v>
      </c>
    </row>
    <row r="966" spans="1:8" x14ac:dyDescent="0.3">
      <c r="A966" t="s">
        <v>79</v>
      </c>
      <c r="B966" t="s">
        <v>23</v>
      </c>
      <c r="C966" t="s">
        <v>19</v>
      </c>
      <c r="D966">
        <v>724</v>
      </c>
      <c r="E966" t="s">
        <v>68</v>
      </c>
      <c r="F966" t="s">
        <v>38</v>
      </c>
      <c r="G966" t="s">
        <v>37</v>
      </c>
      <c r="H966">
        <f t="shared" si="15"/>
        <v>724</v>
      </c>
    </row>
    <row r="967" spans="1:8" x14ac:dyDescent="0.3">
      <c r="A967" t="s">
        <v>79</v>
      </c>
      <c r="B967" t="s">
        <v>23</v>
      </c>
      <c r="C967" t="s">
        <v>20</v>
      </c>
      <c r="D967">
        <v>22464</v>
      </c>
      <c r="E967" t="s">
        <v>68</v>
      </c>
      <c r="F967" t="s">
        <v>38</v>
      </c>
      <c r="G967" t="s">
        <v>37</v>
      </c>
      <c r="H967">
        <f t="shared" si="15"/>
        <v>22500</v>
      </c>
    </row>
    <row r="968" spans="1:8" x14ac:dyDescent="0.3">
      <c r="A968" t="s">
        <v>79</v>
      </c>
      <c r="B968" t="s">
        <v>23</v>
      </c>
      <c r="C968" t="s">
        <v>21</v>
      </c>
      <c r="D968">
        <v>958</v>
      </c>
      <c r="E968" t="s">
        <v>68</v>
      </c>
      <c r="F968" t="s">
        <v>38</v>
      </c>
      <c r="G968" t="s">
        <v>37</v>
      </c>
      <c r="H968">
        <f t="shared" si="15"/>
        <v>958</v>
      </c>
    </row>
    <row r="969" spans="1:8" x14ac:dyDescent="0.3">
      <c r="A969" t="s">
        <v>79</v>
      </c>
      <c r="B969" t="s">
        <v>23</v>
      </c>
      <c r="C969" t="s">
        <v>22</v>
      </c>
      <c r="D969">
        <v>1913</v>
      </c>
      <c r="E969" t="s">
        <v>68</v>
      </c>
      <c r="F969" t="s">
        <v>38</v>
      </c>
      <c r="G969" t="s">
        <v>37</v>
      </c>
      <c r="H969">
        <f t="shared" si="15"/>
        <v>1910</v>
      </c>
    </row>
    <row r="970" spans="1:8" x14ac:dyDescent="0.3">
      <c r="A970" t="s">
        <v>80</v>
      </c>
      <c r="B970" t="s">
        <v>8</v>
      </c>
      <c r="C970" t="s">
        <v>9</v>
      </c>
      <c r="D970">
        <v>52</v>
      </c>
      <c r="E970" t="s">
        <v>68</v>
      </c>
      <c r="F970" t="s">
        <v>38</v>
      </c>
      <c r="G970" t="s">
        <v>37</v>
      </c>
      <c r="H970">
        <f t="shared" si="15"/>
        <v>52</v>
      </c>
    </row>
    <row r="971" spans="1:8" x14ac:dyDescent="0.3">
      <c r="A971" t="s">
        <v>80</v>
      </c>
      <c r="B971" t="s">
        <v>8</v>
      </c>
      <c r="C971" t="s">
        <v>13</v>
      </c>
      <c r="D971">
        <v>102</v>
      </c>
      <c r="E971" t="s">
        <v>68</v>
      </c>
      <c r="F971" t="s">
        <v>38</v>
      </c>
      <c r="G971" t="s">
        <v>37</v>
      </c>
      <c r="H971">
        <f t="shared" si="15"/>
        <v>102</v>
      </c>
    </row>
    <row r="972" spans="1:8" x14ac:dyDescent="0.3">
      <c r="A972" t="s">
        <v>80</v>
      </c>
      <c r="B972" t="s">
        <v>8</v>
      </c>
      <c r="C972" t="s">
        <v>14</v>
      </c>
      <c r="D972">
        <v>93</v>
      </c>
      <c r="E972" t="s">
        <v>68</v>
      </c>
      <c r="F972" t="s">
        <v>38</v>
      </c>
      <c r="G972" t="s">
        <v>37</v>
      </c>
      <c r="H972">
        <f t="shared" si="15"/>
        <v>93</v>
      </c>
    </row>
    <row r="973" spans="1:8" x14ac:dyDescent="0.3">
      <c r="A973" t="s">
        <v>80</v>
      </c>
      <c r="B973" t="s">
        <v>8</v>
      </c>
      <c r="C973" t="s">
        <v>15</v>
      </c>
      <c r="D973">
        <v>12</v>
      </c>
      <c r="E973" t="s">
        <v>68</v>
      </c>
      <c r="F973" t="s">
        <v>38</v>
      </c>
      <c r="G973" t="s">
        <v>37</v>
      </c>
      <c r="H973">
        <f t="shared" si="15"/>
        <v>12</v>
      </c>
    </row>
    <row r="974" spans="1:8" x14ac:dyDescent="0.3">
      <c r="A974" t="s">
        <v>80</v>
      </c>
      <c r="B974" t="s">
        <v>8</v>
      </c>
      <c r="C974" t="s">
        <v>16</v>
      </c>
      <c r="D974">
        <v>202</v>
      </c>
      <c r="E974" t="s">
        <v>68</v>
      </c>
      <c r="F974" t="s">
        <v>38</v>
      </c>
      <c r="G974" t="s">
        <v>37</v>
      </c>
      <c r="H974">
        <f t="shared" si="15"/>
        <v>202</v>
      </c>
    </row>
    <row r="975" spans="1:8" x14ac:dyDescent="0.3">
      <c r="A975" t="s">
        <v>80</v>
      </c>
      <c r="B975" t="s">
        <v>8</v>
      </c>
      <c r="C975" t="s">
        <v>17</v>
      </c>
      <c r="D975">
        <v>0</v>
      </c>
      <c r="E975" t="s">
        <v>68</v>
      </c>
      <c r="F975" t="s">
        <v>38</v>
      </c>
      <c r="G975" t="s">
        <v>37</v>
      </c>
      <c r="H975">
        <f t="shared" si="15"/>
        <v>0</v>
      </c>
    </row>
    <row r="976" spans="1:8" x14ac:dyDescent="0.3">
      <c r="A976" t="s">
        <v>80</v>
      </c>
      <c r="B976" t="s">
        <v>8</v>
      </c>
      <c r="C976" t="s">
        <v>18</v>
      </c>
      <c r="D976">
        <v>0</v>
      </c>
      <c r="E976" t="s">
        <v>68</v>
      </c>
      <c r="F976" t="s">
        <v>38</v>
      </c>
      <c r="G976" t="s">
        <v>37</v>
      </c>
      <c r="H976">
        <f t="shared" si="15"/>
        <v>0</v>
      </c>
    </row>
    <row r="977" spans="1:8" x14ac:dyDescent="0.3">
      <c r="A977" t="s">
        <v>80</v>
      </c>
      <c r="B977" t="s">
        <v>8</v>
      </c>
      <c r="C977" t="s">
        <v>19</v>
      </c>
      <c r="D977">
        <v>0</v>
      </c>
      <c r="E977" t="s">
        <v>68</v>
      </c>
      <c r="F977" t="s">
        <v>38</v>
      </c>
      <c r="G977" t="s">
        <v>37</v>
      </c>
      <c r="H977">
        <f t="shared" si="15"/>
        <v>0</v>
      </c>
    </row>
    <row r="978" spans="1:8" x14ac:dyDescent="0.3">
      <c r="A978" t="s">
        <v>80</v>
      </c>
      <c r="B978" t="s">
        <v>8</v>
      </c>
      <c r="C978" t="s">
        <v>20</v>
      </c>
      <c r="D978">
        <v>17</v>
      </c>
      <c r="E978" t="s">
        <v>68</v>
      </c>
      <c r="F978" t="s">
        <v>38</v>
      </c>
      <c r="G978" t="s">
        <v>37</v>
      </c>
      <c r="H978">
        <f t="shared" si="15"/>
        <v>17</v>
      </c>
    </row>
    <row r="979" spans="1:8" x14ac:dyDescent="0.3">
      <c r="A979" t="s">
        <v>80</v>
      </c>
      <c r="B979" t="s">
        <v>8</v>
      </c>
      <c r="C979" t="s">
        <v>21</v>
      </c>
      <c r="D979">
        <v>81</v>
      </c>
      <c r="E979" t="s">
        <v>68</v>
      </c>
      <c r="F979" t="s">
        <v>38</v>
      </c>
      <c r="G979" t="s">
        <v>37</v>
      </c>
      <c r="H979">
        <f t="shared" si="15"/>
        <v>81</v>
      </c>
    </row>
    <row r="980" spans="1:8" x14ac:dyDescent="0.3">
      <c r="A980" t="s">
        <v>80</v>
      </c>
      <c r="B980" t="s">
        <v>8</v>
      </c>
      <c r="C980" t="s">
        <v>22</v>
      </c>
      <c r="D980">
        <v>777473</v>
      </c>
      <c r="E980" t="s">
        <v>68</v>
      </c>
      <c r="F980" t="s">
        <v>38</v>
      </c>
      <c r="G980" t="s">
        <v>37</v>
      </c>
      <c r="H980">
        <f t="shared" si="15"/>
        <v>777000</v>
      </c>
    </row>
    <row r="981" spans="1:8" x14ac:dyDescent="0.3">
      <c r="A981" t="s">
        <v>80</v>
      </c>
      <c r="B981" t="s">
        <v>23</v>
      </c>
      <c r="C981" t="s">
        <v>9</v>
      </c>
      <c r="D981">
        <v>115480</v>
      </c>
      <c r="E981" t="s">
        <v>68</v>
      </c>
      <c r="F981" t="s">
        <v>38</v>
      </c>
      <c r="G981" t="s">
        <v>37</v>
      </c>
      <c r="H981">
        <f t="shared" si="15"/>
        <v>115000</v>
      </c>
    </row>
    <row r="982" spans="1:8" x14ac:dyDescent="0.3">
      <c r="A982" t="s">
        <v>80</v>
      </c>
      <c r="B982" t="s">
        <v>23</v>
      </c>
      <c r="C982" t="s">
        <v>13</v>
      </c>
      <c r="D982">
        <v>453254</v>
      </c>
      <c r="E982" t="s">
        <v>68</v>
      </c>
      <c r="F982" t="s">
        <v>38</v>
      </c>
      <c r="G982" t="s">
        <v>37</v>
      </c>
      <c r="H982">
        <f t="shared" si="15"/>
        <v>453000</v>
      </c>
    </row>
    <row r="983" spans="1:8" x14ac:dyDescent="0.3">
      <c r="A983" t="s">
        <v>80</v>
      </c>
      <c r="B983" t="s">
        <v>23</v>
      </c>
      <c r="C983" t="s">
        <v>14</v>
      </c>
      <c r="D983">
        <v>660112</v>
      </c>
      <c r="E983" t="s">
        <v>68</v>
      </c>
      <c r="F983" t="s">
        <v>38</v>
      </c>
      <c r="G983" t="s">
        <v>37</v>
      </c>
      <c r="H983">
        <f t="shared" si="15"/>
        <v>660000</v>
      </c>
    </row>
    <row r="984" spans="1:8" x14ac:dyDescent="0.3">
      <c r="A984" t="s">
        <v>80</v>
      </c>
      <c r="B984" t="s">
        <v>23</v>
      </c>
      <c r="C984" t="s">
        <v>15</v>
      </c>
      <c r="D984">
        <v>11712</v>
      </c>
      <c r="E984" t="s">
        <v>68</v>
      </c>
      <c r="F984" t="s">
        <v>38</v>
      </c>
      <c r="G984" t="s">
        <v>37</v>
      </c>
      <c r="H984">
        <f t="shared" si="15"/>
        <v>11700</v>
      </c>
    </row>
    <row r="985" spans="1:8" x14ac:dyDescent="0.3">
      <c r="A985" t="s">
        <v>80</v>
      </c>
      <c r="B985" t="s">
        <v>23</v>
      </c>
      <c r="C985" t="s">
        <v>16</v>
      </c>
      <c r="D985">
        <v>232643</v>
      </c>
      <c r="E985" t="s">
        <v>68</v>
      </c>
      <c r="F985" t="s">
        <v>38</v>
      </c>
      <c r="G985" t="s">
        <v>37</v>
      </c>
      <c r="H985">
        <f t="shared" si="15"/>
        <v>233000</v>
      </c>
    </row>
    <row r="986" spans="1:8" x14ac:dyDescent="0.3">
      <c r="A986" t="s">
        <v>80</v>
      </c>
      <c r="B986" t="s">
        <v>23</v>
      </c>
      <c r="C986" t="s">
        <v>17</v>
      </c>
      <c r="D986">
        <v>27892</v>
      </c>
      <c r="E986" t="s">
        <v>68</v>
      </c>
      <c r="F986" t="s">
        <v>38</v>
      </c>
      <c r="G986" t="s">
        <v>37</v>
      </c>
      <c r="H986">
        <f t="shared" si="15"/>
        <v>27900</v>
      </c>
    </row>
    <row r="987" spans="1:8" x14ac:dyDescent="0.3">
      <c r="A987" t="s">
        <v>80</v>
      </c>
      <c r="B987" t="s">
        <v>23</v>
      </c>
      <c r="C987" t="s">
        <v>18</v>
      </c>
      <c r="D987">
        <v>0</v>
      </c>
      <c r="E987" t="s">
        <v>68</v>
      </c>
      <c r="F987" t="s">
        <v>38</v>
      </c>
      <c r="G987" t="s">
        <v>37</v>
      </c>
      <c r="H987">
        <f t="shared" si="15"/>
        <v>0</v>
      </c>
    </row>
    <row r="988" spans="1:8" x14ac:dyDescent="0.3">
      <c r="A988" t="s">
        <v>80</v>
      </c>
      <c r="B988" t="s">
        <v>23</v>
      </c>
      <c r="C988" t="s">
        <v>19</v>
      </c>
      <c r="D988">
        <v>104766</v>
      </c>
      <c r="E988" t="s">
        <v>68</v>
      </c>
      <c r="F988" t="s">
        <v>38</v>
      </c>
      <c r="G988" t="s">
        <v>37</v>
      </c>
      <c r="H988">
        <f t="shared" si="15"/>
        <v>105000</v>
      </c>
    </row>
    <row r="989" spans="1:8" x14ac:dyDescent="0.3">
      <c r="A989" t="s">
        <v>80</v>
      </c>
      <c r="B989" t="s">
        <v>23</v>
      </c>
      <c r="C989" t="s">
        <v>20</v>
      </c>
      <c r="D989">
        <v>29177</v>
      </c>
      <c r="E989" t="s">
        <v>68</v>
      </c>
      <c r="F989" t="s">
        <v>38</v>
      </c>
      <c r="G989" t="s">
        <v>37</v>
      </c>
      <c r="H989">
        <f t="shared" si="15"/>
        <v>29200</v>
      </c>
    </row>
    <row r="990" spans="1:8" x14ac:dyDescent="0.3">
      <c r="A990" t="s">
        <v>80</v>
      </c>
      <c r="B990" t="s">
        <v>23</v>
      </c>
      <c r="C990" t="s">
        <v>21</v>
      </c>
      <c r="D990">
        <v>13929</v>
      </c>
      <c r="E990" t="s">
        <v>68</v>
      </c>
      <c r="F990" t="s">
        <v>38</v>
      </c>
      <c r="G990" t="s">
        <v>37</v>
      </c>
      <c r="H990">
        <f t="shared" si="15"/>
        <v>13900</v>
      </c>
    </row>
    <row r="991" spans="1:8" x14ac:dyDescent="0.3">
      <c r="A991" t="s">
        <v>80</v>
      </c>
      <c r="B991" t="s">
        <v>23</v>
      </c>
      <c r="C991" t="s">
        <v>22</v>
      </c>
      <c r="D991">
        <v>2133831</v>
      </c>
      <c r="E991" t="s">
        <v>68</v>
      </c>
      <c r="F991" t="s">
        <v>38</v>
      </c>
      <c r="G991" t="s">
        <v>37</v>
      </c>
      <c r="H991">
        <f t="shared" si="15"/>
        <v>2130000</v>
      </c>
    </row>
    <row r="992" spans="1:8" x14ac:dyDescent="0.3">
      <c r="A992" t="s">
        <v>81</v>
      </c>
      <c r="B992" t="s">
        <v>8</v>
      </c>
      <c r="C992" t="s">
        <v>9</v>
      </c>
      <c r="D992">
        <v>163</v>
      </c>
      <c r="E992" t="s">
        <v>68</v>
      </c>
      <c r="F992" t="s">
        <v>38</v>
      </c>
      <c r="G992" t="s">
        <v>37</v>
      </c>
      <c r="H992">
        <f t="shared" si="15"/>
        <v>163</v>
      </c>
    </row>
    <row r="993" spans="1:8" x14ac:dyDescent="0.3">
      <c r="A993" t="s">
        <v>81</v>
      </c>
      <c r="B993" t="s">
        <v>8</v>
      </c>
      <c r="C993" t="s">
        <v>13</v>
      </c>
      <c r="D993">
        <v>123155</v>
      </c>
      <c r="E993" t="s">
        <v>68</v>
      </c>
      <c r="F993" t="s">
        <v>38</v>
      </c>
      <c r="G993" t="s">
        <v>37</v>
      </c>
      <c r="H993">
        <f t="shared" si="15"/>
        <v>123000</v>
      </c>
    </row>
    <row r="994" spans="1:8" x14ac:dyDescent="0.3">
      <c r="A994" t="s">
        <v>81</v>
      </c>
      <c r="B994" t="s">
        <v>8</v>
      </c>
      <c r="C994" t="s">
        <v>14</v>
      </c>
      <c r="D994">
        <v>544625</v>
      </c>
      <c r="E994" t="s">
        <v>68</v>
      </c>
      <c r="F994" t="s">
        <v>38</v>
      </c>
      <c r="G994" t="s">
        <v>37</v>
      </c>
      <c r="H994">
        <f t="shared" si="15"/>
        <v>545000</v>
      </c>
    </row>
    <row r="995" spans="1:8" x14ac:dyDescent="0.3">
      <c r="A995" t="s">
        <v>81</v>
      </c>
      <c r="B995" t="s">
        <v>8</v>
      </c>
      <c r="C995" t="s">
        <v>15</v>
      </c>
      <c r="D995">
        <v>305900</v>
      </c>
      <c r="E995" t="s">
        <v>68</v>
      </c>
      <c r="F995" t="s">
        <v>38</v>
      </c>
      <c r="G995" t="s">
        <v>37</v>
      </c>
      <c r="H995">
        <f t="shared" si="15"/>
        <v>306000</v>
      </c>
    </row>
    <row r="996" spans="1:8" x14ac:dyDescent="0.3">
      <c r="A996" t="s">
        <v>81</v>
      </c>
      <c r="B996" t="s">
        <v>8</v>
      </c>
      <c r="C996" t="s">
        <v>16</v>
      </c>
      <c r="D996">
        <v>472704</v>
      </c>
      <c r="E996" t="s">
        <v>68</v>
      </c>
      <c r="F996" t="s">
        <v>38</v>
      </c>
      <c r="G996" t="s">
        <v>37</v>
      </c>
      <c r="H996">
        <f t="shared" si="15"/>
        <v>473000</v>
      </c>
    </row>
    <row r="997" spans="1:8" x14ac:dyDescent="0.3">
      <c r="A997" t="s">
        <v>81</v>
      </c>
      <c r="B997" t="s">
        <v>8</v>
      </c>
      <c r="C997" t="s">
        <v>17</v>
      </c>
      <c r="D997">
        <v>313</v>
      </c>
      <c r="E997" t="s">
        <v>68</v>
      </c>
      <c r="F997" t="s">
        <v>38</v>
      </c>
      <c r="G997" t="s">
        <v>37</v>
      </c>
      <c r="H997">
        <f t="shared" si="15"/>
        <v>313</v>
      </c>
    </row>
    <row r="998" spans="1:8" x14ac:dyDescent="0.3">
      <c r="A998" t="s">
        <v>81</v>
      </c>
      <c r="B998" t="s">
        <v>8</v>
      </c>
      <c r="C998" t="s">
        <v>18</v>
      </c>
      <c r="D998">
        <v>0</v>
      </c>
      <c r="E998" t="s">
        <v>68</v>
      </c>
      <c r="F998" t="s">
        <v>38</v>
      </c>
      <c r="G998" t="s">
        <v>37</v>
      </c>
      <c r="H998">
        <f t="shared" si="15"/>
        <v>0</v>
      </c>
    </row>
    <row r="999" spans="1:8" x14ac:dyDescent="0.3">
      <c r="A999" t="s">
        <v>81</v>
      </c>
      <c r="B999" t="s">
        <v>8</v>
      </c>
      <c r="C999" t="s">
        <v>19</v>
      </c>
      <c r="D999">
        <v>406933</v>
      </c>
      <c r="E999" t="s">
        <v>68</v>
      </c>
      <c r="F999" t="s">
        <v>38</v>
      </c>
      <c r="G999" t="s">
        <v>37</v>
      </c>
      <c r="H999">
        <f t="shared" si="15"/>
        <v>407000</v>
      </c>
    </row>
    <row r="1000" spans="1:8" x14ac:dyDescent="0.3">
      <c r="A1000" t="s">
        <v>81</v>
      </c>
      <c r="B1000" t="s">
        <v>8</v>
      </c>
      <c r="C1000" t="s">
        <v>20</v>
      </c>
      <c r="D1000">
        <v>29</v>
      </c>
      <c r="E1000" t="s">
        <v>68</v>
      </c>
      <c r="F1000" t="s">
        <v>38</v>
      </c>
      <c r="G1000" t="s">
        <v>37</v>
      </c>
      <c r="H1000">
        <f t="shared" si="15"/>
        <v>29</v>
      </c>
    </row>
    <row r="1001" spans="1:8" x14ac:dyDescent="0.3">
      <c r="A1001" t="s">
        <v>81</v>
      </c>
      <c r="B1001" t="s">
        <v>8</v>
      </c>
      <c r="C1001" t="s">
        <v>21</v>
      </c>
      <c r="D1001">
        <v>800352</v>
      </c>
      <c r="E1001" t="s">
        <v>68</v>
      </c>
      <c r="F1001" t="s">
        <v>38</v>
      </c>
      <c r="G1001" t="s">
        <v>37</v>
      </c>
      <c r="H1001">
        <f t="shared" si="15"/>
        <v>800000</v>
      </c>
    </row>
    <row r="1002" spans="1:8" x14ac:dyDescent="0.3">
      <c r="A1002" t="s">
        <v>81</v>
      </c>
      <c r="B1002" t="s">
        <v>8</v>
      </c>
      <c r="C1002" t="s">
        <v>22</v>
      </c>
      <c r="D1002">
        <v>124214</v>
      </c>
      <c r="E1002" t="s">
        <v>68</v>
      </c>
      <c r="F1002" t="s">
        <v>38</v>
      </c>
      <c r="G1002" t="s">
        <v>37</v>
      </c>
      <c r="H1002">
        <f t="shared" si="15"/>
        <v>124000</v>
      </c>
    </row>
    <row r="1003" spans="1:8" x14ac:dyDescent="0.3">
      <c r="A1003" t="s">
        <v>81</v>
      </c>
      <c r="B1003" t="s">
        <v>23</v>
      </c>
      <c r="C1003" t="s">
        <v>9</v>
      </c>
      <c r="D1003">
        <v>29059</v>
      </c>
      <c r="E1003" t="s">
        <v>68</v>
      </c>
      <c r="F1003" t="s">
        <v>38</v>
      </c>
      <c r="G1003" t="s">
        <v>37</v>
      </c>
      <c r="H1003">
        <f t="shared" si="15"/>
        <v>29100</v>
      </c>
    </row>
    <row r="1004" spans="1:8" x14ac:dyDescent="0.3">
      <c r="A1004" t="s">
        <v>81</v>
      </c>
      <c r="B1004" t="s">
        <v>23</v>
      </c>
      <c r="C1004" t="s">
        <v>13</v>
      </c>
      <c r="D1004">
        <v>618644</v>
      </c>
      <c r="E1004" t="s">
        <v>68</v>
      </c>
      <c r="F1004" t="s">
        <v>38</v>
      </c>
      <c r="G1004" t="s">
        <v>37</v>
      </c>
      <c r="H1004">
        <f t="shared" si="15"/>
        <v>619000</v>
      </c>
    </row>
    <row r="1005" spans="1:8" x14ac:dyDescent="0.3">
      <c r="A1005" t="s">
        <v>81</v>
      </c>
      <c r="B1005" t="s">
        <v>23</v>
      </c>
      <c r="C1005" t="s">
        <v>14</v>
      </c>
      <c r="D1005">
        <v>880663</v>
      </c>
      <c r="E1005" t="s">
        <v>68</v>
      </c>
      <c r="F1005" t="s">
        <v>38</v>
      </c>
      <c r="G1005" t="s">
        <v>37</v>
      </c>
      <c r="H1005">
        <f t="shared" si="15"/>
        <v>881000</v>
      </c>
    </row>
    <row r="1006" spans="1:8" x14ac:dyDescent="0.3">
      <c r="A1006" t="s">
        <v>81</v>
      </c>
      <c r="B1006" t="s">
        <v>23</v>
      </c>
      <c r="C1006" t="s">
        <v>15</v>
      </c>
      <c r="D1006">
        <v>288971</v>
      </c>
      <c r="E1006" t="s">
        <v>68</v>
      </c>
      <c r="F1006" t="s">
        <v>38</v>
      </c>
      <c r="G1006" t="s">
        <v>37</v>
      </c>
      <c r="H1006">
        <f t="shared" si="15"/>
        <v>289000</v>
      </c>
    </row>
    <row r="1007" spans="1:8" x14ac:dyDescent="0.3">
      <c r="A1007" t="s">
        <v>81</v>
      </c>
      <c r="B1007" t="s">
        <v>23</v>
      </c>
      <c r="C1007" t="s">
        <v>16</v>
      </c>
      <c r="D1007">
        <v>1097897</v>
      </c>
      <c r="E1007" t="s">
        <v>68</v>
      </c>
      <c r="F1007" t="s">
        <v>38</v>
      </c>
      <c r="G1007" t="s">
        <v>37</v>
      </c>
      <c r="H1007">
        <f t="shared" si="15"/>
        <v>1100000</v>
      </c>
    </row>
    <row r="1008" spans="1:8" x14ac:dyDescent="0.3">
      <c r="A1008" t="s">
        <v>81</v>
      </c>
      <c r="B1008" t="s">
        <v>23</v>
      </c>
      <c r="C1008" t="s">
        <v>17</v>
      </c>
      <c r="D1008">
        <v>6106</v>
      </c>
      <c r="E1008" t="s">
        <v>68</v>
      </c>
      <c r="F1008" t="s">
        <v>38</v>
      </c>
      <c r="G1008" t="s">
        <v>37</v>
      </c>
      <c r="H1008">
        <f t="shared" si="15"/>
        <v>6110</v>
      </c>
    </row>
    <row r="1009" spans="1:8" x14ac:dyDescent="0.3">
      <c r="A1009" t="s">
        <v>81</v>
      </c>
      <c r="B1009" t="s">
        <v>23</v>
      </c>
      <c r="C1009" t="s">
        <v>18</v>
      </c>
      <c r="D1009">
        <v>9</v>
      </c>
      <c r="E1009" t="s">
        <v>68</v>
      </c>
      <c r="F1009" t="s">
        <v>38</v>
      </c>
      <c r="G1009" t="s">
        <v>37</v>
      </c>
      <c r="H1009">
        <f t="shared" si="15"/>
        <v>9</v>
      </c>
    </row>
    <row r="1010" spans="1:8" x14ac:dyDescent="0.3">
      <c r="A1010" t="s">
        <v>81</v>
      </c>
      <c r="B1010" t="s">
        <v>23</v>
      </c>
      <c r="C1010" t="s">
        <v>19</v>
      </c>
      <c r="D1010">
        <v>1518629</v>
      </c>
      <c r="E1010" t="s">
        <v>68</v>
      </c>
      <c r="F1010" t="s">
        <v>38</v>
      </c>
      <c r="G1010" t="s">
        <v>37</v>
      </c>
      <c r="H1010">
        <f t="shared" si="15"/>
        <v>1520000</v>
      </c>
    </row>
    <row r="1011" spans="1:8" x14ac:dyDescent="0.3">
      <c r="A1011" t="s">
        <v>81</v>
      </c>
      <c r="B1011" t="s">
        <v>23</v>
      </c>
      <c r="C1011" t="s">
        <v>20</v>
      </c>
      <c r="D1011">
        <v>15673</v>
      </c>
      <c r="E1011" t="s">
        <v>68</v>
      </c>
      <c r="F1011" t="s">
        <v>38</v>
      </c>
      <c r="G1011" t="s">
        <v>37</v>
      </c>
      <c r="H1011">
        <f t="shared" si="15"/>
        <v>15700</v>
      </c>
    </row>
    <row r="1012" spans="1:8" x14ac:dyDescent="0.3">
      <c r="A1012" t="s">
        <v>81</v>
      </c>
      <c r="B1012" t="s">
        <v>23</v>
      </c>
      <c r="C1012" t="s">
        <v>21</v>
      </c>
      <c r="D1012">
        <v>313128</v>
      </c>
      <c r="E1012" t="s">
        <v>68</v>
      </c>
      <c r="F1012" t="s">
        <v>38</v>
      </c>
      <c r="G1012" t="s">
        <v>37</v>
      </c>
      <c r="H1012">
        <f t="shared" si="15"/>
        <v>313000</v>
      </c>
    </row>
    <row r="1013" spans="1:8" x14ac:dyDescent="0.3">
      <c r="A1013" t="s">
        <v>81</v>
      </c>
      <c r="B1013" t="s">
        <v>23</v>
      </c>
      <c r="C1013" t="s">
        <v>22</v>
      </c>
      <c r="D1013">
        <v>357295</v>
      </c>
      <c r="E1013" t="s">
        <v>68</v>
      </c>
      <c r="F1013" t="s">
        <v>38</v>
      </c>
      <c r="G1013" t="s">
        <v>37</v>
      </c>
      <c r="H1013">
        <f t="shared" si="15"/>
        <v>357000</v>
      </c>
    </row>
    <row r="1014" spans="1:8" x14ac:dyDescent="0.3">
      <c r="A1014" t="s">
        <v>82</v>
      </c>
      <c r="B1014" t="s">
        <v>8</v>
      </c>
      <c r="C1014" t="s">
        <v>9</v>
      </c>
      <c r="D1014">
        <v>514</v>
      </c>
      <c r="E1014" t="s">
        <v>68</v>
      </c>
      <c r="F1014" t="s">
        <v>38</v>
      </c>
      <c r="G1014" t="s">
        <v>37</v>
      </c>
      <c r="H1014">
        <f t="shared" si="15"/>
        <v>514</v>
      </c>
    </row>
    <row r="1015" spans="1:8" x14ac:dyDescent="0.3">
      <c r="A1015" t="s">
        <v>82</v>
      </c>
      <c r="B1015" t="s">
        <v>8</v>
      </c>
      <c r="C1015" t="s">
        <v>13</v>
      </c>
      <c r="D1015">
        <v>7</v>
      </c>
      <c r="E1015" t="s">
        <v>68</v>
      </c>
      <c r="F1015" t="s">
        <v>38</v>
      </c>
      <c r="G1015" t="s">
        <v>37</v>
      </c>
      <c r="H1015">
        <f t="shared" si="15"/>
        <v>7</v>
      </c>
    </row>
    <row r="1016" spans="1:8" x14ac:dyDescent="0.3">
      <c r="A1016" t="s">
        <v>82</v>
      </c>
      <c r="B1016" t="s">
        <v>8</v>
      </c>
      <c r="C1016" t="s">
        <v>14</v>
      </c>
      <c r="D1016">
        <v>3499</v>
      </c>
      <c r="E1016" t="s">
        <v>68</v>
      </c>
      <c r="F1016" t="s">
        <v>38</v>
      </c>
      <c r="G1016" t="s">
        <v>37</v>
      </c>
      <c r="H1016">
        <f t="shared" si="15"/>
        <v>3500</v>
      </c>
    </row>
    <row r="1017" spans="1:8" x14ac:dyDescent="0.3">
      <c r="A1017" t="s">
        <v>82</v>
      </c>
      <c r="B1017" t="s">
        <v>8</v>
      </c>
      <c r="C1017" t="s">
        <v>15</v>
      </c>
      <c r="D1017">
        <v>9</v>
      </c>
      <c r="E1017" t="s">
        <v>68</v>
      </c>
      <c r="F1017" t="s">
        <v>38</v>
      </c>
      <c r="G1017" t="s">
        <v>37</v>
      </c>
      <c r="H1017">
        <f t="shared" si="15"/>
        <v>9</v>
      </c>
    </row>
    <row r="1018" spans="1:8" x14ac:dyDescent="0.3">
      <c r="A1018" t="s">
        <v>82</v>
      </c>
      <c r="B1018" t="s">
        <v>8</v>
      </c>
      <c r="C1018" t="s">
        <v>16</v>
      </c>
      <c r="D1018">
        <v>1634754</v>
      </c>
      <c r="E1018" t="s">
        <v>68</v>
      </c>
      <c r="F1018" t="s">
        <v>38</v>
      </c>
      <c r="G1018" t="s">
        <v>37</v>
      </c>
      <c r="H1018">
        <f t="shared" si="15"/>
        <v>1630000</v>
      </c>
    </row>
    <row r="1019" spans="1:8" x14ac:dyDescent="0.3">
      <c r="A1019" t="s">
        <v>82</v>
      </c>
      <c r="B1019" t="s">
        <v>8</v>
      </c>
      <c r="C1019" t="s">
        <v>17</v>
      </c>
      <c r="D1019">
        <v>896</v>
      </c>
      <c r="E1019" t="s">
        <v>68</v>
      </c>
      <c r="F1019" t="s">
        <v>38</v>
      </c>
      <c r="G1019" t="s">
        <v>37</v>
      </c>
      <c r="H1019">
        <f t="shared" si="15"/>
        <v>896</v>
      </c>
    </row>
    <row r="1020" spans="1:8" x14ac:dyDescent="0.3">
      <c r="A1020" t="s">
        <v>82</v>
      </c>
      <c r="B1020" t="s">
        <v>8</v>
      </c>
      <c r="C1020" t="s">
        <v>18</v>
      </c>
      <c r="D1020">
        <v>0</v>
      </c>
      <c r="E1020" t="s">
        <v>68</v>
      </c>
      <c r="F1020" t="s">
        <v>38</v>
      </c>
      <c r="G1020" t="s">
        <v>37</v>
      </c>
      <c r="H1020">
        <f t="shared" si="15"/>
        <v>0</v>
      </c>
    </row>
    <row r="1021" spans="1:8" x14ac:dyDescent="0.3">
      <c r="A1021" t="s">
        <v>82</v>
      </c>
      <c r="B1021" t="s">
        <v>8</v>
      </c>
      <c r="C1021" t="s">
        <v>19</v>
      </c>
      <c r="D1021">
        <v>0</v>
      </c>
      <c r="E1021" t="s">
        <v>68</v>
      </c>
      <c r="F1021" t="s">
        <v>38</v>
      </c>
      <c r="G1021" t="s">
        <v>37</v>
      </c>
      <c r="H1021">
        <f t="shared" si="15"/>
        <v>0</v>
      </c>
    </row>
    <row r="1022" spans="1:8" x14ac:dyDescent="0.3">
      <c r="A1022" t="s">
        <v>82</v>
      </c>
      <c r="B1022" t="s">
        <v>8</v>
      </c>
      <c r="C1022" t="s">
        <v>20</v>
      </c>
      <c r="D1022">
        <v>69</v>
      </c>
      <c r="E1022" t="s">
        <v>68</v>
      </c>
      <c r="F1022" t="s">
        <v>38</v>
      </c>
      <c r="G1022" t="s">
        <v>37</v>
      </c>
      <c r="H1022">
        <f t="shared" si="15"/>
        <v>69</v>
      </c>
    </row>
    <row r="1023" spans="1:8" x14ac:dyDescent="0.3">
      <c r="A1023" t="s">
        <v>82</v>
      </c>
      <c r="B1023" t="s">
        <v>8</v>
      </c>
      <c r="C1023" t="s">
        <v>21</v>
      </c>
      <c r="D1023">
        <v>11</v>
      </c>
      <c r="E1023" t="s">
        <v>68</v>
      </c>
      <c r="F1023" t="s">
        <v>38</v>
      </c>
      <c r="G1023" t="s">
        <v>37</v>
      </c>
      <c r="H1023">
        <f t="shared" si="15"/>
        <v>11</v>
      </c>
    </row>
    <row r="1024" spans="1:8" x14ac:dyDescent="0.3">
      <c r="A1024" t="s">
        <v>82</v>
      </c>
      <c r="B1024" t="s">
        <v>8</v>
      </c>
      <c r="C1024" t="s">
        <v>22</v>
      </c>
      <c r="D1024">
        <v>92</v>
      </c>
      <c r="E1024" t="s">
        <v>68</v>
      </c>
      <c r="F1024" t="s">
        <v>38</v>
      </c>
      <c r="G1024" t="s">
        <v>37</v>
      </c>
      <c r="H1024">
        <f t="shared" si="15"/>
        <v>92</v>
      </c>
    </row>
    <row r="1025" spans="1:8" x14ac:dyDescent="0.3">
      <c r="A1025" t="s">
        <v>82</v>
      </c>
      <c r="B1025" t="s">
        <v>23</v>
      </c>
      <c r="C1025" t="s">
        <v>9</v>
      </c>
      <c r="D1025">
        <v>2091</v>
      </c>
      <c r="E1025" t="s">
        <v>68</v>
      </c>
      <c r="F1025" t="s">
        <v>38</v>
      </c>
      <c r="G1025" t="s">
        <v>37</v>
      </c>
      <c r="H1025">
        <f t="shared" si="15"/>
        <v>2090</v>
      </c>
    </row>
    <row r="1026" spans="1:8" x14ac:dyDescent="0.3">
      <c r="A1026" t="s">
        <v>82</v>
      </c>
      <c r="B1026" t="s">
        <v>23</v>
      </c>
      <c r="C1026" t="s">
        <v>13</v>
      </c>
      <c r="D1026">
        <v>2652</v>
      </c>
      <c r="E1026" t="s">
        <v>68</v>
      </c>
      <c r="F1026" t="s">
        <v>38</v>
      </c>
      <c r="G1026" t="s">
        <v>37</v>
      </c>
      <c r="H1026">
        <f t="shared" si="15"/>
        <v>2650</v>
      </c>
    </row>
    <row r="1027" spans="1:8" x14ac:dyDescent="0.3">
      <c r="A1027" t="s">
        <v>82</v>
      </c>
      <c r="B1027" t="s">
        <v>23</v>
      </c>
      <c r="C1027" t="s">
        <v>14</v>
      </c>
      <c r="D1027">
        <v>10457</v>
      </c>
      <c r="E1027" t="s">
        <v>68</v>
      </c>
      <c r="F1027" t="s">
        <v>38</v>
      </c>
      <c r="G1027" t="s">
        <v>37</v>
      </c>
      <c r="H1027">
        <f t="shared" ref="H1027:H1090" si="16">ROUND(D1027, 3 - LEN(INT(ABS(D1027))))</f>
        <v>10500</v>
      </c>
    </row>
    <row r="1028" spans="1:8" x14ac:dyDescent="0.3">
      <c r="A1028" t="s">
        <v>82</v>
      </c>
      <c r="B1028" t="s">
        <v>23</v>
      </c>
      <c r="C1028" t="s">
        <v>15</v>
      </c>
      <c r="D1028">
        <v>362</v>
      </c>
      <c r="E1028" t="s">
        <v>68</v>
      </c>
      <c r="F1028" t="s">
        <v>38</v>
      </c>
      <c r="G1028" t="s">
        <v>37</v>
      </c>
      <c r="H1028">
        <f t="shared" si="16"/>
        <v>362</v>
      </c>
    </row>
    <row r="1029" spans="1:8" x14ac:dyDescent="0.3">
      <c r="A1029" t="s">
        <v>82</v>
      </c>
      <c r="B1029" t="s">
        <v>23</v>
      </c>
      <c r="C1029" t="s">
        <v>16</v>
      </c>
      <c r="D1029">
        <v>3288441</v>
      </c>
      <c r="E1029" t="s">
        <v>68</v>
      </c>
      <c r="F1029" t="s">
        <v>38</v>
      </c>
      <c r="G1029" t="s">
        <v>37</v>
      </c>
      <c r="H1029">
        <f t="shared" si="16"/>
        <v>3290000</v>
      </c>
    </row>
    <row r="1030" spans="1:8" x14ac:dyDescent="0.3">
      <c r="A1030" t="s">
        <v>82</v>
      </c>
      <c r="B1030" t="s">
        <v>23</v>
      </c>
      <c r="C1030" t="s">
        <v>17</v>
      </c>
      <c r="D1030">
        <v>473</v>
      </c>
      <c r="E1030" t="s">
        <v>68</v>
      </c>
      <c r="F1030" t="s">
        <v>38</v>
      </c>
      <c r="G1030" t="s">
        <v>37</v>
      </c>
      <c r="H1030">
        <f t="shared" si="16"/>
        <v>473</v>
      </c>
    </row>
    <row r="1031" spans="1:8" x14ac:dyDescent="0.3">
      <c r="A1031" t="s">
        <v>82</v>
      </c>
      <c r="B1031" t="s">
        <v>23</v>
      </c>
      <c r="C1031" t="s">
        <v>18</v>
      </c>
      <c r="D1031">
        <v>20</v>
      </c>
      <c r="E1031" t="s">
        <v>68</v>
      </c>
      <c r="F1031" t="s">
        <v>38</v>
      </c>
      <c r="G1031" t="s">
        <v>37</v>
      </c>
      <c r="H1031">
        <f t="shared" si="16"/>
        <v>20</v>
      </c>
    </row>
    <row r="1032" spans="1:8" x14ac:dyDescent="0.3">
      <c r="A1032" t="s">
        <v>82</v>
      </c>
      <c r="B1032" t="s">
        <v>23</v>
      </c>
      <c r="C1032" t="s">
        <v>19</v>
      </c>
      <c r="D1032">
        <v>630</v>
      </c>
      <c r="E1032" t="s">
        <v>68</v>
      </c>
      <c r="F1032" t="s">
        <v>38</v>
      </c>
      <c r="G1032" t="s">
        <v>37</v>
      </c>
      <c r="H1032">
        <f t="shared" si="16"/>
        <v>630</v>
      </c>
    </row>
    <row r="1033" spans="1:8" x14ac:dyDescent="0.3">
      <c r="A1033" t="s">
        <v>82</v>
      </c>
      <c r="B1033" t="s">
        <v>23</v>
      </c>
      <c r="C1033" t="s">
        <v>20</v>
      </c>
      <c r="D1033">
        <v>19546</v>
      </c>
      <c r="E1033" t="s">
        <v>68</v>
      </c>
      <c r="F1033" t="s">
        <v>38</v>
      </c>
      <c r="G1033" t="s">
        <v>37</v>
      </c>
      <c r="H1033">
        <f t="shared" si="16"/>
        <v>19500</v>
      </c>
    </row>
    <row r="1034" spans="1:8" x14ac:dyDescent="0.3">
      <c r="A1034" t="s">
        <v>82</v>
      </c>
      <c r="B1034" t="s">
        <v>23</v>
      </c>
      <c r="C1034" t="s">
        <v>21</v>
      </c>
      <c r="D1034">
        <v>833</v>
      </c>
      <c r="E1034" t="s">
        <v>68</v>
      </c>
      <c r="F1034" t="s">
        <v>38</v>
      </c>
      <c r="G1034" t="s">
        <v>37</v>
      </c>
      <c r="H1034">
        <f t="shared" si="16"/>
        <v>833</v>
      </c>
    </row>
    <row r="1035" spans="1:8" x14ac:dyDescent="0.3">
      <c r="A1035" t="s">
        <v>82</v>
      </c>
      <c r="B1035" t="s">
        <v>23</v>
      </c>
      <c r="C1035" t="s">
        <v>22</v>
      </c>
      <c r="D1035">
        <v>1665</v>
      </c>
      <c r="E1035" t="s">
        <v>68</v>
      </c>
      <c r="F1035" t="s">
        <v>38</v>
      </c>
      <c r="G1035" t="s">
        <v>37</v>
      </c>
      <c r="H1035">
        <f t="shared" si="16"/>
        <v>1670</v>
      </c>
    </row>
    <row r="1036" spans="1:8" x14ac:dyDescent="0.3">
      <c r="A1036" t="s">
        <v>83</v>
      </c>
      <c r="B1036" t="s">
        <v>8</v>
      </c>
      <c r="C1036" t="s">
        <v>9</v>
      </c>
      <c r="D1036">
        <v>43</v>
      </c>
      <c r="E1036" t="s">
        <v>68</v>
      </c>
      <c r="F1036" t="s">
        <v>38</v>
      </c>
      <c r="G1036" t="s">
        <v>37</v>
      </c>
      <c r="H1036">
        <f t="shared" si="16"/>
        <v>43</v>
      </c>
    </row>
    <row r="1037" spans="1:8" x14ac:dyDescent="0.3">
      <c r="A1037" t="s">
        <v>83</v>
      </c>
      <c r="B1037" t="s">
        <v>8</v>
      </c>
      <c r="C1037" t="s">
        <v>13</v>
      </c>
      <c r="D1037">
        <v>83</v>
      </c>
      <c r="E1037" t="s">
        <v>68</v>
      </c>
      <c r="F1037" t="s">
        <v>38</v>
      </c>
      <c r="G1037" t="s">
        <v>37</v>
      </c>
      <c r="H1037">
        <f t="shared" si="16"/>
        <v>83</v>
      </c>
    </row>
    <row r="1038" spans="1:8" x14ac:dyDescent="0.3">
      <c r="A1038" t="s">
        <v>83</v>
      </c>
      <c r="B1038" t="s">
        <v>8</v>
      </c>
      <c r="C1038" t="s">
        <v>14</v>
      </c>
      <c r="D1038">
        <v>76</v>
      </c>
      <c r="E1038" t="s">
        <v>68</v>
      </c>
      <c r="F1038" t="s">
        <v>38</v>
      </c>
      <c r="G1038" t="s">
        <v>37</v>
      </c>
      <c r="H1038">
        <f t="shared" si="16"/>
        <v>76</v>
      </c>
    </row>
    <row r="1039" spans="1:8" x14ac:dyDescent="0.3">
      <c r="A1039" t="s">
        <v>83</v>
      </c>
      <c r="B1039" t="s">
        <v>8</v>
      </c>
      <c r="C1039" t="s">
        <v>15</v>
      </c>
      <c r="D1039">
        <v>10</v>
      </c>
      <c r="E1039" t="s">
        <v>68</v>
      </c>
      <c r="F1039" t="s">
        <v>38</v>
      </c>
      <c r="G1039" t="s">
        <v>37</v>
      </c>
      <c r="H1039">
        <f t="shared" si="16"/>
        <v>10</v>
      </c>
    </row>
    <row r="1040" spans="1:8" x14ac:dyDescent="0.3">
      <c r="A1040" t="s">
        <v>83</v>
      </c>
      <c r="B1040" t="s">
        <v>8</v>
      </c>
      <c r="C1040" t="s">
        <v>16</v>
      </c>
      <c r="D1040">
        <v>166</v>
      </c>
      <c r="E1040" t="s">
        <v>68</v>
      </c>
      <c r="F1040" t="s">
        <v>38</v>
      </c>
      <c r="G1040" t="s">
        <v>37</v>
      </c>
      <c r="H1040">
        <f t="shared" si="16"/>
        <v>166</v>
      </c>
    </row>
    <row r="1041" spans="1:8" x14ac:dyDescent="0.3">
      <c r="A1041" t="s">
        <v>83</v>
      </c>
      <c r="B1041" t="s">
        <v>8</v>
      </c>
      <c r="C1041" t="s">
        <v>17</v>
      </c>
      <c r="D1041">
        <v>0</v>
      </c>
      <c r="E1041" t="s">
        <v>68</v>
      </c>
      <c r="F1041" t="s">
        <v>38</v>
      </c>
      <c r="G1041" t="s">
        <v>37</v>
      </c>
      <c r="H1041">
        <f t="shared" si="16"/>
        <v>0</v>
      </c>
    </row>
    <row r="1042" spans="1:8" x14ac:dyDescent="0.3">
      <c r="A1042" t="s">
        <v>83</v>
      </c>
      <c r="B1042" t="s">
        <v>8</v>
      </c>
      <c r="C1042" t="s">
        <v>18</v>
      </c>
      <c r="D1042">
        <v>0</v>
      </c>
      <c r="E1042" t="s">
        <v>68</v>
      </c>
      <c r="F1042" t="s">
        <v>38</v>
      </c>
      <c r="G1042" t="s">
        <v>37</v>
      </c>
      <c r="H1042">
        <f t="shared" si="16"/>
        <v>0</v>
      </c>
    </row>
    <row r="1043" spans="1:8" x14ac:dyDescent="0.3">
      <c r="A1043" t="s">
        <v>83</v>
      </c>
      <c r="B1043" t="s">
        <v>8</v>
      </c>
      <c r="C1043" t="s">
        <v>19</v>
      </c>
      <c r="D1043">
        <v>0</v>
      </c>
      <c r="E1043" t="s">
        <v>68</v>
      </c>
      <c r="F1043" t="s">
        <v>38</v>
      </c>
      <c r="G1043" t="s">
        <v>37</v>
      </c>
      <c r="H1043">
        <f t="shared" si="16"/>
        <v>0</v>
      </c>
    </row>
    <row r="1044" spans="1:8" x14ac:dyDescent="0.3">
      <c r="A1044" t="s">
        <v>83</v>
      </c>
      <c r="B1044" t="s">
        <v>8</v>
      </c>
      <c r="C1044" t="s">
        <v>20</v>
      </c>
      <c r="D1044">
        <v>14</v>
      </c>
      <c r="E1044" t="s">
        <v>68</v>
      </c>
      <c r="F1044" t="s">
        <v>38</v>
      </c>
      <c r="G1044" t="s">
        <v>37</v>
      </c>
      <c r="H1044">
        <f t="shared" si="16"/>
        <v>14</v>
      </c>
    </row>
    <row r="1045" spans="1:8" x14ac:dyDescent="0.3">
      <c r="A1045" t="s">
        <v>83</v>
      </c>
      <c r="B1045" t="s">
        <v>8</v>
      </c>
      <c r="C1045" t="s">
        <v>21</v>
      </c>
      <c r="D1045">
        <v>66</v>
      </c>
      <c r="E1045" t="s">
        <v>68</v>
      </c>
      <c r="F1045" t="s">
        <v>38</v>
      </c>
      <c r="G1045" t="s">
        <v>37</v>
      </c>
      <c r="H1045">
        <f t="shared" si="16"/>
        <v>66</v>
      </c>
    </row>
    <row r="1046" spans="1:8" x14ac:dyDescent="0.3">
      <c r="A1046" t="s">
        <v>83</v>
      </c>
      <c r="B1046" t="s">
        <v>8</v>
      </c>
      <c r="C1046" t="s">
        <v>22</v>
      </c>
      <c r="D1046">
        <v>638224</v>
      </c>
      <c r="E1046" t="s">
        <v>68</v>
      </c>
      <c r="F1046" t="s">
        <v>38</v>
      </c>
      <c r="G1046" t="s">
        <v>37</v>
      </c>
      <c r="H1046">
        <f t="shared" si="16"/>
        <v>638000</v>
      </c>
    </row>
    <row r="1047" spans="1:8" x14ac:dyDescent="0.3">
      <c r="A1047" t="s">
        <v>83</v>
      </c>
      <c r="B1047" t="s">
        <v>23</v>
      </c>
      <c r="C1047" t="s">
        <v>9</v>
      </c>
      <c r="D1047">
        <v>94797</v>
      </c>
      <c r="E1047" t="s">
        <v>68</v>
      </c>
      <c r="F1047" t="s">
        <v>38</v>
      </c>
      <c r="G1047" t="s">
        <v>37</v>
      </c>
      <c r="H1047">
        <f t="shared" si="16"/>
        <v>94800</v>
      </c>
    </row>
    <row r="1048" spans="1:8" x14ac:dyDescent="0.3">
      <c r="A1048" t="s">
        <v>83</v>
      </c>
      <c r="B1048" t="s">
        <v>23</v>
      </c>
      <c r="C1048" t="s">
        <v>13</v>
      </c>
      <c r="D1048">
        <v>372075</v>
      </c>
      <c r="E1048" t="s">
        <v>68</v>
      </c>
      <c r="F1048" t="s">
        <v>38</v>
      </c>
      <c r="G1048" t="s">
        <v>37</v>
      </c>
      <c r="H1048">
        <f t="shared" si="16"/>
        <v>372000</v>
      </c>
    </row>
    <row r="1049" spans="1:8" x14ac:dyDescent="0.3">
      <c r="A1049" t="s">
        <v>83</v>
      </c>
      <c r="B1049" t="s">
        <v>23</v>
      </c>
      <c r="C1049" t="s">
        <v>14</v>
      </c>
      <c r="D1049">
        <v>541883</v>
      </c>
      <c r="E1049" t="s">
        <v>68</v>
      </c>
      <c r="F1049" t="s">
        <v>38</v>
      </c>
      <c r="G1049" t="s">
        <v>37</v>
      </c>
      <c r="H1049">
        <f t="shared" si="16"/>
        <v>542000</v>
      </c>
    </row>
    <row r="1050" spans="1:8" x14ac:dyDescent="0.3">
      <c r="A1050" t="s">
        <v>83</v>
      </c>
      <c r="B1050" t="s">
        <v>23</v>
      </c>
      <c r="C1050" t="s">
        <v>15</v>
      </c>
      <c r="D1050">
        <v>9614</v>
      </c>
      <c r="E1050" t="s">
        <v>68</v>
      </c>
      <c r="F1050" t="s">
        <v>38</v>
      </c>
      <c r="G1050" t="s">
        <v>37</v>
      </c>
      <c r="H1050">
        <f t="shared" si="16"/>
        <v>9610</v>
      </c>
    </row>
    <row r="1051" spans="1:8" x14ac:dyDescent="0.3">
      <c r="A1051" t="s">
        <v>83</v>
      </c>
      <c r="B1051" t="s">
        <v>23</v>
      </c>
      <c r="C1051" t="s">
        <v>16</v>
      </c>
      <c r="D1051">
        <v>190976</v>
      </c>
      <c r="E1051" t="s">
        <v>68</v>
      </c>
      <c r="F1051" t="s">
        <v>38</v>
      </c>
      <c r="G1051" t="s">
        <v>37</v>
      </c>
      <c r="H1051">
        <f t="shared" si="16"/>
        <v>191000</v>
      </c>
    </row>
    <row r="1052" spans="1:8" x14ac:dyDescent="0.3">
      <c r="A1052" t="s">
        <v>83</v>
      </c>
      <c r="B1052" t="s">
        <v>23</v>
      </c>
      <c r="C1052" t="s">
        <v>17</v>
      </c>
      <c r="D1052">
        <v>22897</v>
      </c>
      <c r="E1052" t="s">
        <v>68</v>
      </c>
      <c r="F1052" t="s">
        <v>38</v>
      </c>
      <c r="G1052" t="s">
        <v>37</v>
      </c>
      <c r="H1052">
        <f t="shared" si="16"/>
        <v>22900</v>
      </c>
    </row>
    <row r="1053" spans="1:8" x14ac:dyDescent="0.3">
      <c r="A1053" t="s">
        <v>83</v>
      </c>
      <c r="B1053" t="s">
        <v>23</v>
      </c>
      <c r="C1053" t="s">
        <v>18</v>
      </c>
      <c r="D1053">
        <v>0</v>
      </c>
      <c r="E1053" t="s">
        <v>68</v>
      </c>
      <c r="F1053" t="s">
        <v>38</v>
      </c>
      <c r="G1053" t="s">
        <v>37</v>
      </c>
      <c r="H1053">
        <f t="shared" si="16"/>
        <v>0</v>
      </c>
    </row>
    <row r="1054" spans="1:8" x14ac:dyDescent="0.3">
      <c r="A1054" t="s">
        <v>83</v>
      </c>
      <c r="B1054" t="s">
        <v>23</v>
      </c>
      <c r="C1054" t="s">
        <v>19</v>
      </c>
      <c r="D1054">
        <v>86002</v>
      </c>
      <c r="E1054" t="s">
        <v>68</v>
      </c>
      <c r="F1054" t="s">
        <v>38</v>
      </c>
      <c r="G1054" t="s">
        <v>37</v>
      </c>
      <c r="H1054">
        <f t="shared" si="16"/>
        <v>86000</v>
      </c>
    </row>
    <row r="1055" spans="1:8" x14ac:dyDescent="0.3">
      <c r="A1055" t="s">
        <v>83</v>
      </c>
      <c r="B1055" t="s">
        <v>23</v>
      </c>
      <c r="C1055" t="s">
        <v>20</v>
      </c>
      <c r="D1055">
        <v>23951</v>
      </c>
      <c r="E1055" t="s">
        <v>68</v>
      </c>
      <c r="F1055" t="s">
        <v>38</v>
      </c>
      <c r="G1055" t="s">
        <v>37</v>
      </c>
      <c r="H1055">
        <f t="shared" si="16"/>
        <v>24000</v>
      </c>
    </row>
    <row r="1056" spans="1:8" x14ac:dyDescent="0.3">
      <c r="A1056" t="s">
        <v>83</v>
      </c>
      <c r="B1056" t="s">
        <v>23</v>
      </c>
      <c r="C1056" t="s">
        <v>21</v>
      </c>
      <c r="D1056">
        <v>11434</v>
      </c>
      <c r="E1056" t="s">
        <v>68</v>
      </c>
      <c r="F1056" t="s">
        <v>38</v>
      </c>
      <c r="G1056" t="s">
        <v>37</v>
      </c>
      <c r="H1056">
        <f t="shared" si="16"/>
        <v>11400</v>
      </c>
    </row>
    <row r="1057" spans="1:8" x14ac:dyDescent="0.3">
      <c r="A1057" t="s">
        <v>83</v>
      </c>
      <c r="B1057" t="s">
        <v>23</v>
      </c>
      <c r="C1057" t="s">
        <v>22</v>
      </c>
      <c r="D1057">
        <v>1751652</v>
      </c>
      <c r="E1057" t="s">
        <v>68</v>
      </c>
      <c r="F1057" t="s">
        <v>38</v>
      </c>
      <c r="G1057" t="s">
        <v>37</v>
      </c>
      <c r="H1057">
        <f t="shared" si="16"/>
        <v>1750000</v>
      </c>
    </row>
    <row r="1058" spans="1:8" x14ac:dyDescent="0.3">
      <c r="A1058" t="s">
        <v>67</v>
      </c>
      <c r="B1058" t="s">
        <v>8</v>
      </c>
      <c r="C1058" t="s">
        <v>9</v>
      </c>
      <c r="D1058">
        <v>2</v>
      </c>
      <c r="E1058" t="s">
        <v>68</v>
      </c>
      <c r="F1058" t="s">
        <v>39</v>
      </c>
      <c r="G1058" t="s">
        <v>40</v>
      </c>
      <c r="H1058">
        <f t="shared" si="16"/>
        <v>2</v>
      </c>
    </row>
    <row r="1059" spans="1:8" x14ac:dyDescent="0.3">
      <c r="A1059" t="s">
        <v>67</v>
      </c>
      <c r="B1059" t="s">
        <v>8</v>
      </c>
      <c r="C1059" t="s">
        <v>13</v>
      </c>
      <c r="D1059">
        <v>0</v>
      </c>
      <c r="E1059" t="s">
        <v>68</v>
      </c>
      <c r="F1059" t="s">
        <v>39</v>
      </c>
      <c r="G1059" t="s">
        <v>40</v>
      </c>
      <c r="H1059">
        <f t="shared" si="16"/>
        <v>0</v>
      </c>
    </row>
    <row r="1060" spans="1:8" x14ac:dyDescent="0.3">
      <c r="A1060" t="s">
        <v>67</v>
      </c>
      <c r="B1060" t="s">
        <v>8</v>
      </c>
      <c r="C1060" t="s">
        <v>14</v>
      </c>
      <c r="D1060">
        <v>2</v>
      </c>
      <c r="E1060" t="s">
        <v>68</v>
      </c>
      <c r="F1060" t="s">
        <v>39</v>
      </c>
      <c r="G1060" t="s">
        <v>40</v>
      </c>
      <c r="H1060">
        <f t="shared" si="16"/>
        <v>2</v>
      </c>
    </row>
    <row r="1061" spans="1:8" x14ac:dyDescent="0.3">
      <c r="A1061" t="s">
        <v>67</v>
      </c>
      <c r="B1061" t="s">
        <v>8</v>
      </c>
      <c r="C1061" t="s">
        <v>15</v>
      </c>
      <c r="D1061">
        <v>0</v>
      </c>
      <c r="E1061" t="s">
        <v>68</v>
      </c>
      <c r="F1061" t="s">
        <v>39</v>
      </c>
      <c r="G1061" t="s">
        <v>40</v>
      </c>
      <c r="H1061">
        <f t="shared" si="16"/>
        <v>0</v>
      </c>
    </row>
    <row r="1062" spans="1:8" x14ac:dyDescent="0.3">
      <c r="A1062" t="s">
        <v>67</v>
      </c>
      <c r="B1062" t="s">
        <v>8</v>
      </c>
      <c r="C1062" t="s">
        <v>16</v>
      </c>
      <c r="D1062">
        <v>29715</v>
      </c>
      <c r="E1062" t="s">
        <v>68</v>
      </c>
      <c r="F1062" t="s">
        <v>39</v>
      </c>
      <c r="G1062" t="s">
        <v>40</v>
      </c>
      <c r="H1062">
        <f t="shared" si="16"/>
        <v>29700</v>
      </c>
    </row>
    <row r="1063" spans="1:8" x14ac:dyDescent="0.3">
      <c r="A1063" t="s">
        <v>67</v>
      </c>
      <c r="B1063" t="s">
        <v>8</v>
      </c>
      <c r="C1063" t="s">
        <v>17</v>
      </c>
      <c r="D1063">
        <v>4</v>
      </c>
      <c r="E1063" t="s">
        <v>68</v>
      </c>
      <c r="F1063" t="s">
        <v>39</v>
      </c>
      <c r="G1063" t="s">
        <v>40</v>
      </c>
      <c r="H1063">
        <f t="shared" si="16"/>
        <v>4</v>
      </c>
    </row>
    <row r="1064" spans="1:8" x14ac:dyDescent="0.3">
      <c r="A1064" t="s">
        <v>67</v>
      </c>
      <c r="B1064" t="s">
        <v>8</v>
      </c>
      <c r="C1064" t="s">
        <v>18</v>
      </c>
      <c r="D1064">
        <v>0</v>
      </c>
      <c r="E1064" t="s">
        <v>68</v>
      </c>
      <c r="F1064" t="s">
        <v>39</v>
      </c>
      <c r="G1064" t="s">
        <v>40</v>
      </c>
      <c r="H1064">
        <f t="shared" si="16"/>
        <v>0</v>
      </c>
    </row>
    <row r="1065" spans="1:8" x14ac:dyDescent="0.3">
      <c r="A1065" t="s">
        <v>67</v>
      </c>
      <c r="B1065" t="s">
        <v>8</v>
      </c>
      <c r="C1065" t="s">
        <v>19</v>
      </c>
      <c r="D1065">
        <v>0</v>
      </c>
      <c r="E1065" t="s">
        <v>68</v>
      </c>
      <c r="F1065" t="s">
        <v>39</v>
      </c>
      <c r="G1065" t="s">
        <v>40</v>
      </c>
      <c r="H1065">
        <f t="shared" si="16"/>
        <v>0</v>
      </c>
    </row>
    <row r="1066" spans="1:8" x14ac:dyDescent="0.3">
      <c r="A1066" t="s">
        <v>67</v>
      </c>
      <c r="B1066" t="s">
        <v>8</v>
      </c>
      <c r="C1066" t="s">
        <v>20</v>
      </c>
      <c r="D1066">
        <v>0</v>
      </c>
      <c r="E1066" t="s">
        <v>68</v>
      </c>
      <c r="F1066" t="s">
        <v>39</v>
      </c>
      <c r="G1066" t="s">
        <v>40</v>
      </c>
      <c r="H1066">
        <f t="shared" si="16"/>
        <v>0</v>
      </c>
    </row>
    <row r="1067" spans="1:8" x14ac:dyDescent="0.3">
      <c r="A1067" t="s">
        <v>67</v>
      </c>
      <c r="B1067" t="s">
        <v>8</v>
      </c>
      <c r="C1067" t="s">
        <v>21</v>
      </c>
      <c r="D1067">
        <v>0</v>
      </c>
      <c r="E1067" t="s">
        <v>68</v>
      </c>
      <c r="F1067" t="s">
        <v>39</v>
      </c>
      <c r="G1067" t="s">
        <v>40</v>
      </c>
      <c r="H1067">
        <f t="shared" si="16"/>
        <v>0</v>
      </c>
    </row>
    <row r="1068" spans="1:8" x14ac:dyDescent="0.3">
      <c r="A1068" t="s">
        <v>67</v>
      </c>
      <c r="B1068" t="s">
        <v>8</v>
      </c>
      <c r="C1068" t="s">
        <v>22</v>
      </c>
      <c r="D1068">
        <v>17</v>
      </c>
      <c r="E1068" t="s">
        <v>68</v>
      </c>
      <c r="F1068" t="s">
        <v>39</v>
      </c>
      <c r="G1068" t="s">
        <v>40</v>
      </c>
      <c r="H1068">
        <f t="shared" si="16"/>
        <v>17</v>
      </c>
    </row>
    <row r="1069" spans="1:8" x14ac:dyDescent="0.3">
      <c r="A1069" t="s">
        <v>67</v>
      </c>
      <c r="B1069" t="s">
        <v>23</v>
      </c>
      <c r="C1069" t="s">
        <v>9</v>
      </c>
      <c r="D1069">
        <v>96</v>
      </c>
      <c r="E1069" t="s">
        <v>68</v>
      </c>
      <c r="F1069" t="s">
        <v>39</v>
      </c>
      <c r="G1069" t="s">
        <v>40</v>
      </c>
      <c r="H1069">
        <f t="shared" si="16"/>
        <v>96</v>
      </c>
    </row>
    <row r="1070" spans="1:8" x14ac:dyDescent="0.3">
      <c r="A1070" t="s">
        <v>67</v>
      </c>
      <c r="B1070" t="s">
        <v>23</v>
      </c>
      <c r="C1070" t="s">
        <v>13</v>
      </c>
      <c r="D1070">
        <v>96</v>
      </c>
      <c r="E1070" t="s">
        <v>68</v>
      </c>
      <c r="F1070" t="s">
        <v>39</v>
      </c>
      <c r="G1070" t="s">
        <v>40</v>
      </c>
      <c r="H1070">
        <f t="shared" si="16"/>
        <v>96</v>
      </c>
    </row>
    <row r="1071" spans="1:8" x14ac:dyDescent="0.3">
      <c r="A1071" t="s">
        <v>67</v>
      </c>
      <c r="B1071" t="s">
        <v>23</v>
      </c>
      <c r="C1071" t="s">
        <v>14</v>
      </c>
      <c r="D1071">
        <v>254</v>
      </c>
      <c r="E1071" t="s">
        <v>68</v>
      </c>
      <c r="F1071" t="s">
        <v>39</v>
      </c>
      <c r="G1071" t="s">
        <v>40</v>
      </c>
      <c r="H1071">
        <f t="shared" si="16"/>
        <v>254</v>
      </c>
    </row>
    <row r="1072" spans="1:8" x14ac:dyDescent="0.3">
      <c r="A1072" t="s">
        <v>67</v>
      </c>
      <c r="B1072" t="s">
        <v>23</v>
      </c>
      <c r="C1072" t="s">
        <v>15</v>
      </c>
      <c r="D1072">
        <v>21</v>
      </c>
      <c r="E1072" t="s">
        <v>68</v>
      </c>
      <c r="F1072" t="s">
        <v>39</v>
      </c>
      <c r="G1072" t="s">
        <v>40</v>
      </c>
      <c r="H1072">
        <f t="shared" si="16"/>
        <v>21</v>
      </c>
    </row>
    <row r="1073" spans="1:8" x14ac:dyDescent="0.3">
      <c r="A1073" t="s">
        <v>67</v>
      </c>
      <c r="B1073" t="s">
        <v>23</v>
      </c>
      <c r="C1073" t="s">
        <v>16</v>
      </c>
      <c r="D1073">
        <v>201194</v>
      </c>
      <c r="E1073" t="s">
        <v>68</v>
      </c>
      <c r="F1073" t="s">
        <v>39</v>
      </c>
      <c r="G1073" t="s">
        <v>40</v>
      </c>
      <c r="H1073">
        <f t="shared" si="16"/>
        <v>201000</v>
      </c>
    </row>
    <row r="1074" spans="1:8" x14ac:dyDescent="0.3">
      <c r="A1074" t="s">
        <v>67</v>
      </c>
      <c r="B1074" t="s">
        <v>23</v>
      </c>
      <c r="C1074" t="s">
        <v>17</v>
      </c>
      <c r="D1074">
        <v>22</v>
      </c>
      <c r="E1074" t="s">
        <v>68</v>
      </c>
      <c r="F1074" t="s">
        <v>39</v>
      </c>
      <c r="G1074" t="s">
        <v>40</v>
      </c>
      <c r="H1074">
        <f t="shared" si="16"/>
        <v>22</v>
      </c>
    </row>
    <row r="1075" spans="1:8" x14ac:dyDescent="0.3">
      <c r="A1075" t="s">
        <v>67</v>
      </c>
      <c r="B1075" t="s">
        <v>23</v>
      </c>
      <c r="C1075" t="s">
        <v>18</v>
      </c>
      <c r="D1075">
        <v>0</v>
      </c>
      <c r="E1075" t="s">
        <v>68</v>
      </c>
      <c r="F1075" t="s">
        <v>39</v>
      </c>
      <c r="G1075" t="s">
        <v>40</v>
      </c>
      <c r="H1075">
        <f t="shared" si="16"/>
        <v>0</v>
      </c>
    </row>
    <row r="1076" spans="1:8" x14ac:dyDescent="0.3">
      <c r="A1076" t="s">
        <v>67</v>
      </c>
      <c r="B1076" t="s">
        <v>23</v>
      </c>
      <c r="C1076" t="s">
        <v>19</v>
      </c>
      <c r="D1076">
        <v>5</v>
      </c>
      <c r="E1076" t="s">
        <v>68</v>
      </c>
      <c r="F1076" t="s">
        <v>39</v>
      </c>
      <c r="G1076" t="s">
        <v>40</v>
      </c>
      <c r="H1076">
        <f t="shared" si="16"/>
        <v>5</v>
      </c>
    </row>
    <row r="1077" spans="1:8" x14ac:dyDescent="0.3">
      <c r="A1077" t="s">
        <v>67</v>
      </c>
      <c r="B1077" t="s">
        <v>23</v>
      </c>
      <c r="C1077" t="s">
        <v>20</v>
      </c>
      <c r="D1077">
        <v>800</v>
      </c>
      <c r="E1077" t="s">
        <v>68</v>
      </c>
      <c r="F1077" t="s">
        <v>39</v>
      </c>
      <c r="G1077" t="s">
        <v>40</v>
      </c>
      <c r="H1077">
        <f t="shared" si="16"/>
        <v>800</v>
      </c>
    </row>
    <row r="1078" spans="1:8" x14ac:dyDescent="0.3">
      <c r="A1078" t="s">
        <v>67</v>
      </c>
      <c r="B1078" t="s">
        <v>23</v>
      </c>
      <c r="C1078" t="s">
        <v>21</v>
      </c>
      <c r="D1078">
        <v>6</v>
      </c>
      <c r="E1078" t="s">
        <v>68</v>
      </c>
      <c r="F1078" t="s">
        <v>39</v>
      </c>
      <c r="G1078" t="s">
        <v>40</v>
      </c>
      <c r="H1078">
        <f t="shared" si="16"/>
        <v>6</v>
      </c>
    </row>
    <row r="1079" spans="1:8" x14ac:dyDescent="0.3">
      <c r="A1079" t="s">
        <v>67</v>
      </c>
      <c r="B1079" t="s">
        <v>23</v>
      </c>
      <c r="C1079" t="s">
        <v>22</v>
      </c>
      <c r="D1079">
        <v>220</v>
      </c>
      <c r="E1079" t="s">
        <v>68</v>
      </c>
      <c r="F1079" t="s">
        <v>39</v>
      </c>
      <c r="G1079" t="s">
        <v>40</v>
      </c>
      <c r="H1079">
        <f t="shared" si="16"/>
        <v>220</v>
      </c>
    </row>
    <row r="1080" spans="1:8" x14ac:dyDescent="0.3">
      <c r="A1080" t="s">
        <v>69</v>
      </c>
      <c r="B1080" t="s">
        <v>8</v>
      </c>
      <c r="C1080" t="s">
        <v>9</v>
      </c>
      <c r="D1080">
        <v>0</v>
      </c>
      <c r="E1080" t="s">
        <v>68</v>
      </c>
      <c r="F1080" t="s">
        <v>39</v>
      </c>
      <c r="G1080" t="s">
        <v>40</v>
      </c>
      <c r="H1080">
        <f t="shared" si="16"/>
        <v>0</v>
      </c>
    </row>
    <row r="1081" spans="1:8" x14ac:dyDescent="0.3">
      <c r="A1081" t="s">
        <v>69</v>
      </c>
      <c r="B1081" t="s">
        <v>8</v>
      </c>
      <c r="C1081" t="s">
        <v>13</v>
      </c>
      <c r="D1081">
        <v>1</v>
      </c>
      <c r="E1081" t="s">
        <v>68</v>
      </c>
      <c r="F1081" t="s">
        <v>39</v>
      </c>
      <c r="G1081" t="s">
        <v>40</v>
      </c>
      <c r="H1081">
        <f t="shared" si="16"/>
        <v>1</v>
      </c>
    </row>
    <row r="1082" spans="1:8" x14ac:dyDescent="0.3">
      <c r="A1082" t="s">
        <v>69</v>
      </c>
      <c r="B1082" t="s">
        <v>8</v>
      </c>
      <c r="C1082" t="s">
        <v>14</v>
      </c>
      <c r="D1082">
        <v>0</v>
      </c>
      <c r="E1082" t="s">
        <v>68</v>
      </c>
      <c r="F1082" t="s">
        <v>39</v>
      </c>
      <c r="G1082" t="s">
        <v>40</v>
      </c>
      <c r="H1082">
        <f t="shared" si="16"/>
        <v>0</v>
      </c>
    </row>
    <row r="1083" spans="1:8" x14ac:dyDescent="0.3">
      <c r="A1083" t="s">
        <v>69</v>
      </c>
      <c r="B1083" t="s">
        <v>8</v>
      </c>
      <c r="C1083" t="s">
        <v>15</v>
      </c>
      <c r="D1083">
        <v>0</v>
      </c>
      <c r="E1083" t="s">
        <v>68</v>
      </c>
      <c r="F1083" t="s">
        <v>39</v>
      </c>
      <c r="G1083" t="s">
        <v>40</v>
      </c>
      <c r="H1083">
        <f t="shared" si="16"/>
        <v>0</v>
      </c>
    </row>
    <row r="1084" spans="1:8" x14ac:dyDescent="0.3">
      <c r="A1084" t="s">
        <v>69</v>
      </c>
      <c r="B1084" t="s">
        <v>8</v>
      </c>
      <c r="C1084" t="s">
        <v>16</v>
      </c>
      <c r="D1084">
        <v>3</v>
      </c>
      <c r="E1084" t="s">
        <v>68</v>
      </c>
      <c r="F1084" t="s">
        <v>39</v>
      </c>
      <c r="G1084" t="s">
        <v>40</v>
      </c>
      <c r="H1084">
        <f t="shared" si="16"/>
        <v>3</v>
      </c>
    </row>
    <row r="1085" spans="1:8" x14ac:dyDescent="0.3">
      <c r="A1085" t="s">
        <v>69</v>
      </c>
      <c r="B1085" t="s">
        <v>8</v>
      </c>
      <c r="C1085" t="s">
        <v>17</v>
      </c>
      <c r="D1085">
        <v>0</v>
      </c>
      <c r="E1085" t="s">
        <v>68</v>
      </c>
      <c r="F1085" t="s">
        <v>39</v>
      </c>
      <c r="G1085" t="s">
        <v>40</v>
      </c>
      <c r="H1085">
        <f t="shared" si="16"/>
        <v>0</v>
      </c>
    </row>
    <row r="1086" spans="1:8" x14ac:dyDescent="0.3">
      <c r="A1086" t="s">
        <v>69</v>
      </c>
      <c r="B1086" t="s">
        <v>8</v>
      </c>
      <c r="C1086" t="s">
        <v>18</v>
      </c>
      <c r="D1086">
        <v>0</v>
      </c>
      <c r="E1086" t="s">
        <v>68</v>
      </c>
      <c r="F1086" t="s">
        <v>39</v>
      </c>
      <c r="G1086" t="s">
        <v>40</v>
      </c>
      <c r="H1086">
        <f t="shared" si="16"/>
        <v>0</v>
      </c>
    </row>
    <row r="1087" spans="1:8" x14ac:dyDescent="0.3">
      <c r="A1087" t="s">
        <v>69</v>
      </c>
      <c r="B1087" t="s">
        <v>8</v>
      </c>
      <c r="C1087" t="s">
        <v>19</v>
      </c>
      <c r="D1087">
        <v>0</v>
      </c>
      <c r="E1087" t="s">
        <v>68</v>
      </c>
      <c r="F1087" t="s">
        <v>39</v>
      </c>
      <c r="G1087" t="s">
        <v>40</v>
      </c>
      <c r="H1087">
        <f t="shared" si="16"/>
        <v>0</v>
      </c>
    </row>
    <row r="1088" spans="1:8" x14ac:dyDescent="0.3">
      <c r="A1088" t="s">
        <v>69</v>
      </c>
      <c r="B1088" t="s">
        <v>8</v>
      </c>
      <c r="C1088" t="s">
        <v>20</v>
      </c>
      <c r="D1088">
        <v>0</v>
      </c>
      <c r="E1088" t="s">
        <v>68</v>
      </c>
      <c r="F1088" t="s">
        <v>39</v>
      </c>
      <c r="G1088" t="s">
        <v>40</v>
      </c>
      <c r="H1088">
        <f t="shared" si="16"/>
        <v>0</v>
      </c>
    </row>
    <row r="1089" spans="1:8" x14ac:dyDescent="0.3">
      <c r="A1089" t="s">
        <v>69</v>
      </c>
      <c r="B1089" t="s">
        <v>8</v>
      </c>
      <c r="C1089" t="s">
        <v>21</v>
      </c>
      <c r="D1089">
        <v>0</v>
      </c>
      <c r="E1089" t="s">
        <v>68</v>
      </c>
      <c r="F1089" t="s">
        <v>39</v>
      </c>
      <c r="G1089" t="s">
        <v>40</v>
      </c>
      <c r="H1089">
        <f t="shared" si="16"/>
        <v>0</v>
      </c>
    </row>
    <row r="1090" spans="1:8" x14ac:dyDescent="0.3">
      <c r="A1090" t="s">
        <v>69</v>
      </c>
      <c r="B1090" t="s">
        <v>8</v>
      </c>
      <c r="C1090" t="s">
        <v>22</v>
      </c>
      <c r="D1090">
        <v>121828</v>
      </c>
      <c r="E1090" t="s">
        <v>68</v>
      </c>
      <c r="F1090" t="s">
        <v>39</v>
      </c>
      <c r="G1090" t="s">
        <v>40</v>
      </c>
      <c r="H1090">
        <f t="shared" si="16"/>
        <v>122000</v>
      </c>
    </row>
    <row r="1091" spans="1:8" x14ac:dyDescent="0.3">
      <c r="A1091" t="s">
        <v>69</v>
      </c>
      <c r="B1091" t="s">
        <v>23</v>
      </c>
      <c r="C1091" t="s">
        <v>9</v>
      </c>
      <c r="D1091">
        <v>2023</v>
      </c>
      <c r="E1091" t="s">
        <v>68</v>
      </c>
      <c r="F1091" t="s">
        <v>39</v>
      </c>
      <c r="G1091" t="s">
        <v>40</v>
      </c>
      <c r="H1091">
        <f t="shared" ref="H1091:H1154" si="17">ROUND(D1091, 3 - LEN(INT(ABS(D1091))))</f>
        <v>2020</v>
      </c>
    </row>
    <row r="1092" spans="1:8" x14ac:dyDescent="0.3">
      <c r="A1092" t="s">
        <v>69</v>
      </c>
      <c r="B1092" t="s">
        <v>23</v>
      </c>
      <c r="C1092" t="s">
        <v>13</v>
      </c>
      <c r="D1092">
        <v>11597</v>
      </c>
      <c r="E1092" t="s">
        <v>68</v>
      </c>
      <c r="F1092" t="s">
        <v>39</v>
      </c>
      <c r="G1092" t="s">
        <v>40</v>
      </c>
      <c r="H1092">
        <f t="shared" si="17"/>
        <v>11600</v>
      </c>
    </row>
    <row r="1093" spans="1:8" x14ac:dyDescent="0.3">
      <c r="A1093" t="s">
        <v>69</v>
      </c>
      <c r="B1093" t="s">
        <v>23</v>
      </c>
      <c r="C1093" t="s">
        <v>14</v>
      </c>
      <c r="D1093">
        <v>2591</v>
      </c>
      <c r="E1093" t="s">
        <v>68</v>
      </c>
      <c r="F1093" t="s">
        <v>39</v>
      </c>
      <c r="G1093" t="s">
        <v>40</v>
      </c>
      <c r="H1093">
        <f t="shared" si="17"/>
        <v>2590</v>
      </c>
    </row>
    <row r="1094" spans="1:8" x14ac:dyDescent="0.3">
      <c r="A1094" t="s">
        <v>69</v>
      </c>
      <c r="B1094" t="s">
        <v>23</v>
      </c>
      <c r="C1094" t="s">
        <v>15</v>
      </c>
      <c r="D1094">
        <v>157</v>
      </c>
      <c r="E1094" t="s">
        <v>68</v>
      </c>
      <c r="F1094" t="s">
        <v>39</v>
      </c>
      <c r="G1094" t="s">
        <v>40</v>
      </c>
      <c r="H1094">
        <f t="shared" si="17"/>
        <v>157</v>
      </c>
    </row>
    <row r="1095" spans="1:8" x14ac:dyDescent="0.3">
      <c r="A1095" t="s">
        <v>69</v>
      </c>
      <c r="B1095" t="s">
        <v>23</v>
      </c>
      <c r="C1095" t="s">
        <v>16</v>
      </c>
      <c r="D1095">
        <v>6364</v>
      </c>
      <c r="E1095" t="s">
        <v>68</v>
      </c>
      <c r="F1095" t="s">
        <v>39</v>
      </c>
      <c r="G1095" t="s">
        <v>40</v>
      </c>
      <c r="H1095">
        <f t="shared" si="17"/>
        <v>6360</v>
      </c>
    </row>
    <row r="1096" spans="1:8" x14ac:dyDescent="0.3">
      <c r="A1096" t="s">
        <v>69</v>
      </c>
      <c r="B1096" t="s">
        <v>23</v>
      </c>
      <c r="C1096" t="s">
        <v>17</v>
      </c>
      <c r="D1096">
        <v>487</v>
      </c>
      <c r="E1096" t="s">
        <v>68</v>
      </c>
      <c r="F1096" t="s">
        <v>39</v>
      </c>
      <c r="G1096" t="s">
        <v>40</v>
      </c>
      <c r="H1096">
        <f t="shared" si="17"/>
        <v>487</v>
      </c>
    </row>
    <row r="1097" spans="1:8" x14ac:dyDescent="0.3">
      <c r="A1097" t="s">
        <v>69</v>
      </c>
      <c r="B1097" t="s">
        <v>23</v>
      </c>
      <c r="C1097" t="s">
        <v>18</v>
      </c>
      <c r="D1097">
        <v>0</v>
      </c>
      <c r="E1097" t="s">
        <v>68</v>
      </c>
      <c r="F1097" t="s">
        <v>39</v>
      </c>
      <c r="G1097" t="s">
        <v>40</v>
      </c>
      <c r="H1097">
        <f t="shared" si="17"/>
        <v>0</v>
      </c>
    </row>
    <row r="1098" spans="1:8" x14ac:dyDescent="0.3">
      <c r="A1098" t="s">
        <v>69</v>
      </c>
      <c r="B1098" t="s">
        <v>23</v>
      </c>
      <c r="C1098" t="s">
        <v>19</v>
      </c>
      <c r="D1098">
        <v>406</v>
      </c>
      <c r="E1098" t="s">
        <v>68</v>
      </c>
      <c r="F1098" t="s">
        <v>39</v>
      </c>
      <c r="G1098" t="s">
        <v>40</v>
      </c>
      <c r="H1098">
        <f t="shared" si="17"/>
        <v>406</v>
      </c>
    </row>
    <row r="1099" spans="1:8" x14ac:dyDescent="0.3">
      <c r="A1099" t="s">
        <v>69</v>
      </c>
      <c r="B1099" t="s">
        <v>23</v>
      </c>
      <c r="C1099" t="s">
        <v>20</v>
      </c>
      <c r="D1099">
        <v>984</v>
      </c>
      <c r="E1099" t="s">
        <v>68</v>
      </c>
      <c r="F1099" t="s">
        <v>39</v>
      </c>
      <c r="G1099" t="s">
        <v>40</v>
      </c>
      <c r="H1099">
        <f t="shared" si="17"/>
        <v>984</v>
      </c>
    </row>
    <row r="1100" spans="1:8" x14ac:dyDescent="0.3">
      <c r="A1100" t="s">
        <v>69</v>
      </c>
      <c r="B1100" t="s">
        <v>23</v>
      </c>
      <c r="C1100" t="s">
        <v>21</v>
      </c>
      <c r="D1100">
        <v>51</v>
      </c>
      <c r="E1100" t="s">
        <v>68</v>
      </c>
      <c r="F1100" t="s">
        <v>39</v>
      </c>
      <c r="G1100" t="s">
        <v>40</v>
      </c>
      <c r="H1100">
        <f t="shared" si="17"/>
        <v>51</v>
      </c>
    </row>
    <row r="1101" spans="1:8" x14ac:dyDescent="0.3">
      <c r="A1101" t="s">
        <v>69</v>
      </c>
      <c r="B1101" t="s">
        <v>23</v>
      </c>
      <c r="C1101" t="s">
        <v>22</v>
      </c>
      <c r="D1101">
        <v>102402</v>
      </c>
      <c r="E1101" t="s">
        <v>68</v>
      </c>
      <c r="F1101" t="s">
        <v>39</v>
      </c>
      <c r="G1101" t="s">
        <v>40</v>
      </c>
      <c r="H1101">
        <f t="shared" si="17"/>
        <v>102000</v>
      </c>
    </row>
    <row r="1102" spans="1:8" x14ac:dyDescent="0.3">
      <c r="A1102" t="s">
        <v>70</v>
      </c>
      <c r="B1102" t="s">
        <v>8</v>
      </c>
      <c r="C1102" t="s">
        <v>9</v>
      </c>
      <c r="D1102">
        <v>0</v>
      </c>
      <c r="E1102" t="s">
        <v>68</v>
      </c>
      <c r="F1102" t="s">
        <v>39</v>
      </c>
      <c r="G1102" t="s">
        <v>40</v>
      </c>
      <c r="H1102">
        <f t="shared" si="17"/>
        <v>0</v>
      </c>
    </row>
    <row r="1103" spans="1:8" x14ac:dyDescent="0.3">
      <c r="A1103" t="s">
        <v>70</v>
      </c>
      <c r="B1103" t="s">
        <v>8</v>
      </c>
      <c r="C1103" t="s">
        <v>13</v>
      </c>
      <c r="D1103">
        <v>0</v>
      </c>
      <c r="E1103" t="s">
        <v>68</v>
      </c>
      <c r="F1103" t="s">
        <v>39</v>
      </c>
      <c r="G1103" t="s">
        <v>40</v>
      </c>
      <c r="H1103">
        <f t="shared" si="17"/>
        <v>0</v>
      </c>
    </row>
    <row r="1104" spans="1:8" x14ac:dyDescent="0.3">
      <c r="A1104" t="s">
        <v>70</v>
      </c>
      <c r="B1104" t="s">
        <v>8</v>
      </c>
      <c r="C1104" t="s">
        <v>14</v>
      </c>
      <c r="D1104">
        <v>0</v>
      </c>
      <c r="E1104" t="s">
        <v>68</v>
      </c>
      <c r="F1104" t="s">
        <v>39</v>
      </c>
      <c r="G1104" t="s">
        <v>40</v>
      </c>
      <c r="H1104">
        <f t="shared" si="17"/>
        <v>0</v>
      </c>
    </row>
    <row r="1105" spans="1:8" x14ac:dyDescent="0.3">
      <c r="A1105" t="s">
        <v>70</v>
      </c>
      <c r="B1105" t="s">
        <v>8</v>
      </c>
      <c r="C1105" t="s">
        <v>15</v>
      </c>
      <c r="D1105">
        <v>0</v>
      </c>
      <c r="E1105" t="s">
        <v>68</v>
      </c>
      <c r="F1105" t="s">
        <v>39</v>
      </c>
      <c r="G1105" t="s">
        <v>40</v>
      </c>
      <c r="H1105">
        <f t="shared" si="17"/>
        <v>0</v>
      </c>
    </row>
    <row r="1106" spans="1:8" x14ac:dyDescent="0.3">
      <c r="A1106" t="s">
        <v>70</v>
      </c>
      <c r="B1106" t="s">
        <v>8</v>
      </c>
      <c r="C1106" t="s">
        <v>16</v>
      </c>
      <c r="D1106">
        <v>0</v>
      </c>
      <c r="E1106" t="s">
        <v>68</v>
      </c>
      <c r="F1106" t="s">
        <v>39</v>
      </c>
      <c r="G1106" t="s">
        <v>40</v>
      </c>
      <c r="H1106">
        <f t="shared" si="17"/>
        <v>0</v>
      </c>
    </row>
    <row r="1107" spans="1:8" x14ac:dyDescent="0.3">
      <c r="A1107" t="s">
        <v>70</v>
      </c>
      <c r="B1107" t="s">
        <v>8</v>
      </c>
      <c r="C1107" t="s">
        <v>17</v>
      </c>
      <c r="D1107">
        <v>13014</v>
      </c>
      <c r="E1107" t="s">
        <v>68</v>
      </c>
      <c r="F1107" t="s">
        <v>39</v>
      </c>
      <c r="G1107" t="s">
        <v>40</v>
      </c>
      <c r="H1107">
        <f t="shared" si="17"/>
        <v>13000</v>
      </c>
    </row>
    <row r="1108" spans="1:8" x14ac:dyDescent="0.3">
      <c r="A1108" t="s">
        <v>70</v>
      </c>
      <c r="B1108" t="s">
        <v>8</v>
      </c>
      <c r="C1108" t="s">
        <v>18</v>
      </c>
      <c r="D1108">
        <v>0</v>
      </c>
      <c r="E1108" t="s">
        <v>68</v>
      </c>
      <c r="F1108" t="s">
        <v>39</v>
      </c>
      <c r="G1108" t="s">
        <v>40</v>
      </c>
      <c r="H1108">
        <f t="shared" si="17"/>
        <v>0</v>
      </c>
    </row>
    <row r="1109" spans="1:8" x14ac:dyDescent="0.3">
      <c r="A1109" t="s">
        <v>70</v>
      </c>
      <c r="B1109" t="s">
        <v>8</v>
      </c>
      <c r="C1109" t="s">
        <v>19</v>
      </c>
      <c r="D1109">
        <v>0</v>
      </c>
      <c r="E1109" t="s">
        <v>68</v>
      </c>
      <c r="F1109" t="s">
        <v>39</v>
      </c>
      <c r="G1109" t="s">
        <v>40</v>
      </c>
      <c r="H1109">
        <f t="shared" si="17"/>
        <v>0</v>
      </c>
    </row>
    <row r="1110" spans="1:8" x14ac:dyDescent="0.3">
      <c r="A1110" t="s">
        <v>70</v>
      </c>
      <c r="B1110" t="s">
        <v>8</v>
      </c>
      <c r="C1110" t="s">
        <v>20</v>
      </c>
      <c r="D1110">
        <v>0</v>
      </c>
      <c r="E1110" t="s">
        <v>68</v>
      </c>
      <c r="F1110" t="s">
        <v>39</v>
      </c>
      <c r="G1110" t="s">
        <v>40</v>
      </c>
      <c r="H1110">
        <f t="shared" si="17"/>
        <v>0</v>
      </c>
    </row>
    <row r="1111" spans="1:8" x14ac:dyDescent="0.3">
      <c r="A1111" t="s">
        <v>70</v>
      </c>
      <c r="B1111" t="s">
        <v>8</v>
      </c>
      <c r="C1111" t="s">
        <v>21</v>
      </c>
      <c r="D1111">
        <v>0</v>
      </c>
      <c r="E1111" t="s">
        <v>68</v>
      </c>
      <c r="F1111" t="s">
        <v>39</v>
      </c>
      <c r="G1111" t="s">
        <v>40</v>
      </c>
      <c r="H1111">
        <f t="shared" si="17"/>
        <v>0</v>
      </c>
    </row>
    <row r="1112" spans="1:8" x14ac:dyDescent="0.3">
      <c r="A1112" t="s">
        <v>70</v>
      </c>
      <c r="B1112" t="s">
        <v>8</v>
      </c>
      <c r="C1112" t="s">
        <v>22</v>
      </c>
      <c r="D1112">
        <v>18</v>
      </c>
      <c r="E1112" t="s">
        <v>68</v>
      </c>
      <c r="F1112" t="s">
        <v>39</v>
      </c>
      <c r="G1112" t="s">
        <v>40</v>
      </c>
      <c r="H1112">
        <f t="shared" si="17"/>
        <v>18</v>
      </c>
    </row>
    <row r="1113" spans="1:8" x14ac:dyDescent="0.3">
      <c r="A1113" t="s">
        <v>70</v>
      </c>
      <c r="B1113" t="s">
        <v>23</v>
      </c>
      <c r="C1113" t="s">
        <v>9</v>
      </c>
      <c r="D1113">
        <v>10737</v>
      </c>
      <c r="E1113" t="s">
        <v>68</v>
      </c>
      <c r="F1113" t="s">
        <v>39</v>
      </c>
      <c r="G1113" t="s">
        <v>40</v>
      </c>
      <c r="H1113">
        <f t="shared" si="17"/>
        <v>10700</v>
      </c>
    </row>
    <row r="1114" spans="1:8" x14ac:dyDescent="0.3">
      <c r="A1114" t="s">
        <v>70</v>
      </c>
      <c r="B1114" t="s">
        <v>23</v>
      </c>
      <c r="C1114" t="s">
        <v>13</v>
      </c>
      <c r="D1114">
        <v>187</v>
      </c>
      <c r="E1114" t="s">
        <v>68</v>
      </c>
      <c r="F1114" t="s">
        <v>39</v>
      </c>
      <c r="G1114" t="s">
        <v>40</v>
      </c>
      <c r="H1114">
        <f t="shared" si="17"/>
        <v>187</v>
      </c>
    </row>
    <row r="1115" spans="1:8" x14ac:dyDescent="0.3">
      <c r="A1115" t="s">
        <v>70</v>
      </c>
      <c r="B1115" t="s">
        <v>23</v>
      </c>
      <c r="C1115" t="s">
        <v>14</v>
      </c>
      <c r="D1115">
        <v>569</v>
      </c>
      <c r="E1115" t="s">
        <v>68</v>
      </c>
      <c r="F1115" t="s">
        <v>39</v>
      </c>
      <c r="G1115" t="s">
        <v>40</v>
      </c>
      <c r="H1115">
        <f t="shared" si="17"/>
        <v>569</v>
      </c>
    </row>
    <row r="1116" spans="1:8" x14ac:dyDescent="0.3">
      <c r="A1116" t="s">
        <v>70</v>
      </c>
      <c r="B1116" t="s">
        <v>23</v>
      </c>
      <c r="C1116" t="s">
        <v>15</v>
      </c>
      <c r="D1116">
        <v>6</v>
      </c>
      <c r="E1116" t="s">
        <v>68</v>
      </c>
      <c r="F1116" t="s">
        <v>39</v>
      </c>
      <c r="G1116" t="s">
        <v>40</v>
      </c>
      <c r="H1116">
        <f t="shared" si="17"/>
        <v>6</v>
      </c>
    </row>
    <row r="1117" spans="1:8" x14ac:dyDescent="0.3">
      <c r="A1117" t="s">
        <v>70</v>
      </c>
      <c r="B1117" t="s">
        <v>23</v>
      </c>
      <c r="C1117" t="s">
        <v>16</v>
      </c>
      <c r="D1117">
        <v>393</v>
      </c>
      <c r="E1117" t="s">
        <v>68</v>
      </c>
      <c r="F1117" t="s">
        <v>39</v>
      </c>
      <c r="G1117" t="s">
        <v>40</v>
      </c>
      <c r="H1117">
        <f t="shared" si="17"/>
        <v>393</v>
      </c>
    </row>
    <row r="1118" spans="1:8" x14ac:dyDescent="0.3">
      <c r="A1118" t="s">
        <v>70</v>
      </c>
      <c r="B1118" t="s">
        <v>23</v>
      </c>
      <c r="C1118" t="s">
        <v>17</v>
      </c>
      <c r="D1118">
        <v>20229</v>
      </c>
      <c r="E1118" t="s">
        <v>68</v>
      </c>
      <c r="F1118" t="s">
        <v>39</v>
      </c>
      <c r="G1118" t="s">
        <v>40</v>
      </c>
      <c r="H1118">
        <f t="shared" si="17"/>
        <v>20200</v>
      </c>
    </row>
    <row r="1119" spans="1:8" x14ac:dyDescent="0.3">
      <c r="A1119" t="s">
        <v>70</v>
      </c>
      <c r="B1119" t="s">
        <v>23</v>
      </c>
      <c r="C1119" t="s">
        <v>18</v>
      </c>
      <c r="D1119">
        <v>0</v>
      </c>
      <c r="E1119" t="s">
        <v>68</v>
      </c>
      <c r="F1119" t="s">
        <v>39</v>
      </c>
      <c r="G1119" t="s">
        <v>40</v>
      </c>
      <c r="H1119">
        <f t="shared" si="17"/>
        <v>0</v>
      </c>
    </row>
    <row r="1120" spans="1:8" x14ac:dyDescent="0.3">
      <c r="A1120" t="s">
        <v>70</v>
      </c>
      <c r="B1120" t="s">
        <v>23</v>
      </c>
      <c r="C1120" t="s">
        <v>19</v>
      </c>
      <c r="D1120">
        <v>2</v>
      </c>
      <c r="E1120" t="s">
        <v>68</v>
      </c>
      <c r="F1120" t="s">
        <v>39</v>
      </c>
      <c r="G1120" t="s">
        <v>40</v>
      </c>
      <c r="H1120">
        <f t="shared" si="17"/>
        <v>2</v>
      </c>
    </row>
    <row r="1121" spans="1:8" x14ac:dyDescent="0.3">
      <c r="A1121" t="s">
        <v>70</v>
      </c>
      <c r="B1121" t="s">
        <v>23</v>
      </c>
      <c r="C1121" t="s">
        <v>20</v>
      </c>
      <c r="D1121">
        <v>155</v>
      </c>
      <c r="E1121" t="s">
        <v>68</v>
      </c>
      <c r="F1121" t="s">
        <v>39</v>
      </c>
      <c r="G1121" t="s">
        <v>40</v>
      </c>
      <c r="H1121">
        <f t="shared" si="17"/>
        <v>155</v>
      </c>
    </row>
    <row r="1122" spans="1:8" x14ac:dyDescent="0.3">
      <c r="A1122" t="s">
        <v>70</v>
      </c>
      <c r="B1122" t="s">
        <v>23</v>
      </c>
      <c r="C1122" t="s">
        <v>21</v>
      </c>
      <c r="D1122">
        <v>2</v>
      </c>
      <c r="E1122" t="s">
        <v>68</v>
      </c>
      <c r="F1122" t="s">
        <v>39</v>
      </c>
      <c r="G1122" t="s">
        <v>40</v>
      </c>
      <c r="H1122">
        <f t="shared" si="17"/>
        <v>2</v>
      </c>
    </row>
    <row r="1123" spans="1:8" x14ac:dyDescent="0.3">
      <c r="A1123" t="s">
        <v>70</v>
      </c>
      <c r="B1123" t="s">
        <v>23</v>
      </c>
      <c r="C1123" t="s">
        <v>22</v>
      </c>
      <c r="D1123">
        <v>91</v>
      </c>
      <c r="E1123" t="s">
        <v>68</v>
      </c>
      <c r="F1123" t="s">
        <v>39</v>
      </c>
      <c r="G1123" t="s">
        <v>40</v>
      </c>
      <c r="H1123">
        <f t="shared" si="17"/>
        <v>91</v>
      </c>
    </row>
    <row r="1124" spans="1:8" x14ac:dyDescent="0.3">
      <c r="A1124" t="s">
        <v>71</v>
      </c>
      <c r="B1124" t="s">
        <v>8</v>
      </c>
      <c r="C1124" t="s">
        <v>9</v>
      </c>
      <c r="D1124">
        <v>0</v>
      </c>
      <c r="E1124" t="s">
        <v>68</v>
      </c>
      <c r="F1124" t="s">
        <v>39</v>
      </c>
      <c r="G1124" t="s">
        <v>40</v>
      </c>
      <c r="H1124">
        <f t="shared" si="17"/>
        <v>0</v>
      </c>
    </row>
    <row r="1125" spans="1:8" x14ac:dyDescent="0.3">
      <c r="A1125" t="s">
        <v>71</v>
      </c>
      <c r="B1125" t="s">
        <v>8</v>
      </c>
      <c r="C1125" t="s">
        <v>13</v>
      </c>
      <c r="D1125">
        <v>0</v>
      </c>
      <c r="E1125" t="s">
        <v>68</v>
      </c>
      <c r="F1125" t="s">
        <v>39</v>
      </c>
      <c r="G1125" t="s">
        <v>40</v>
      </c>
      <c r="H1125">
        <f t="shared" si="17"/>
        <v>0</v>
      </c>
    </row>
    <row r="1126" spans="1:8" x14ac:dyDescent="0.3">
      <c r="A1126" t="s">
        <v>71</v>
      </c>
      <c r="B1126" t="s">
        <v>8</v>
      </c>
      <c r="C1126" t="s">
        <v>14</v>
      </c>
      <c r="D1126">
        <v>0</v>
      </c>
      <c r="E1126" t="s">
        <v>68</v>
      </c>
      <c r="F1126" t="s">
        <v>39</v>
      </c>
      <c r="G1126" t="s">
        <v>40</v>
      </c>
      <c r="H1126">
        <f t="shared" si="17"/>
        <v>0</v>
      </c>
    </row>
    <row r="1127" spans="1:8" x14ac:dyDescent="0.3">
      <c r="A1127" t="s">
        <v>71</v>
      </c>
      <c r="B1127" t="s">
        <v>8</v>
      </c>
      <c r="C1127" t="s">
        <v>15</v>
      </c>
      <c r="D1127">
        <v>0</v>
      </c>
      <c r="E1127" t="s">
        <v>68</v>
      </c>
      <c r="F1127" t="s">
        <v>39</v>
      </c>
      <c r="G1127" t="s">
        <v>40</v>
      </c>
      <c r="H1127">
        <f t="shared" si="17"/>
        <v>0</v>
      </c>
    </row>
    <row r="1128" spans="1:8" x14ac:dyDescent="0.3">
      <c r="A1128" t="s">
        <v>71</v>
      </c>
      <c r="B1128" t="s">
        <v>8</v>
      </c>
      <c r="C1128" t="s">
        <v>16</v>
      </c>
      <c r="D1128">
        <v>2</v>
      </c>
      <c r="E1128" t="s">
        <v>68</v>
      </c>
      <c r="F1128" t="s">
        <v>39</v>
      </c>
      <c r="G1128" t="s">
        <v>40</v>
      </c>
      <c r="H1128">
        <f t="shared" si="17"/>
        <v>2</v>
      </c>
    </row>
    <row r="1129" spans="1:8" x14ac:dyDescent="0.3">
      <c r="A1129" t="s">
        <v>71</v>
      </c>
      <c r="B1129" t="s">
        <v>8</v>
      </c>
      <c r="C1129" t="s">
        <v>17</v>
      </c>
      <c r="D1129">
        <v>0</v>
      </c>
      <c r="E1129" t="s">
        <v>68</v>
      </c>
      <c r="F1129" t="s">
        <v>39</v>
      </c>
      <c r="G1129" t="s">
        <v>40</v>
      </c>
      <c r="H1129">
        <f t="shared" si="17"/>
        <v>0</v>
      </c>
    </row>
    <row r="1130" spans="1:8" x14ac:dyDescent="0.3">
      <c r="A1130" t="s">
        <v>71</v>
      </c>
      <c r="B1130" t="s">
        <v>8</v>
      </c>
      <c r="C1130" t="s">
        <v>18</v>
      </c>
      <c r="D1130">
        <v>0</v>
      </c>
      <c r="E1130" t="s">
        <v>68</v>
      </c>
      <c r="F1130" t="s">
        <v>39</v>
      </c>
      <c r="G1130" t="s">
        <v>40</v>
      </c>
      <c r="H1130">
        <f t="shared" si="17"/>
        <v>0</v>
      </c>
    </row>
    <row r="1131" spans="1:8" x14ac:dyDescent="0.3">
      <c r="A1131" t="s">
        <v>71</v>
      </c>
      <c r="B1131" t="s">
        <v>8</v>
      </c>
      <c r="C1131" t="s">
        <v>19</v>
      </c>
      <c r="D1131">
        <v>0</v>
      </c>
      <c r="E1131" t="s">
        <v>68</v>
      </c>
      <c r="F1131" t="s">
        <v>39</v>
      </c>
      <c r="G1131" t="s">
        <v>40</v>
      </c>
      <c r="H1131">
        <f t="shared" si="17"/>
        <v>0</v>
      </c>
    </row>
    <row r="1132" spans="1:8" x14ac:dyDescent="0.3">
      <c r="A1132" t="s">
        <v>71</v>
      </c>
      <c r="B1132" t="s">
        <v>8</v>
      </c>
      <c r="C1132" t="s">
        <v>20</v>
      </c>
      <c r="D1132">
        <v>0</v>
      </c>
      <c r="E1132" t="s">
        <v>68</v>
      </c>
      <c r="F1132" t="s">
        <v>39</v>
      </c>
      <c r="G1132" t="s">
        <v>40</v>
      </c>
      <c r="H1132">
        <f t="shared" si="17"/>
        <v>0</v>
      </c>
    </row>
    <row r="1133" spans="1:8" x14ac:dyDescent="0.3">
      <c r="A1133" t="s">
        <v>71</v>
      </c>
      <c r="B1133" t="s">
        <v>8</v>
      </c>
      <c r="C1133" t="s">
        <v>21</v>
      </c>
      <c r="D1133">
        <v>0</v>
      </c>
      <c r="E1133" t="s">
        <v>68</v>
      </c>
      <c r="F1133" t="s">
        <v>39</v>
      </c>
      <c r="G1133" t="s">
        <v>40</v>
      </c>
      <c r="H1133">
        <f t="shared" si="17"/>
        <v>0</v>
      </c>
    </row>
    <row r="1134" spans="1:8" x14ac:dyDescent="0.3">
      <c r="A1134" t="s">
        <v>71</v>
      </c>
      <c r="B1134" t="s">
        <v>8</v>
      </c>
      <c r="C1134" t="s">
        <v>22</v>
      </c>
      <c r="D1134">
        <v>72774</v>
      </c>
      <c r="E1134" t="s">
        <v>68</v>
      </c>
      <c r="F1134" t="s">
        <v>39</v>
      </c>
      <c r="G1134" t="s">
        <v>40</v>
      </c>
      <c r="H1134">
        <f t="shared" si="17"/>
        <v>72800</v>
      </c>
    </row>
    <row r="1135" spans="1:8" x14ac:dyDescent="0.3">
      <c r="A1135" t="s">
        <v>71</v>
      </c>
      <c r="B1135" t="s">
        <v>23</v>
      </c>
      <c r="C1135" t="s">
        <v>9</v>
      </c>
      <c r="D1135">
        <v>1209</v>
      </c>
      <c r="E1135" t="s">
        <v>68</v>
      </c>
      <c r="F1135" t="s">
        <v>39</v>
      </c>
      <c r="G1135" t="s">
        <v>40</v>
      </c>
      <c r="H1135">
        <f t="shared" si="17"/>
        <v>1210</v>
      </c>
    </row>
    <row r="1136" spans="1:8" x14ac:dyDescent="0.3">
      <c r="A1136" t="s">
        <v>71</v>
      </c>
      <c r="B1136" t="s">
        <v>23</v>
      </c>
      <c r="C1136" t="s">
        <v>13</v>
      </c>
      <c r="D1136">
        <v>6927</v>
      </c>
      <c r="E1136" t="s">
        <v>68</v>
      </c>
      <c r="F1136" t="s">
        <v>39</v>
      </c>
      <c r="G1136" t="s">
        <v>40</v>
      </c>
      <c r="H1136">
        <f t="shared" si="17"/>
        <v>6930</v>
      </c>
    </row>
    <row r="1137" spans="1:8" x14ac:dyDescent="0.3">
      <c r="A1137" t="s">
        <v>71</v>
      </c>
      <c r="B1137" t="s">
        <v>23</v>
      </c>
      <c r="C1137" t="s">
        <v>14</v>
      </c>
      <c r="D1137">
        <v>1548</v>
      </c>
      <c r="E1137" t="s">
        <v>68</v>
      </c>
      <c r="F1137" t="s">
        <v>39</v>
      </c>
      <c r="G1137" t="s">
        <v>40</v>
      </c>
      <c r="H1137">
        <f t="shared" si="17"/>
        <v>1550</v>
      </c>
    </row>
    <row r="1138" spans="1:8" x14ac:dyDescent="0.3">
      <c r="A1138" t="s">
        <v>71</v>
      </c>
      <c r="B1138" t="s">
        <v>23</v>
      </c>
      <c r="C1138" t="s">
        <v>15</v>
      </c>
      <c r="D1138">
        <v>94</v>
      </c>
      <c r="E1138" t="s">
        <v>68</v>
      </c>
      <c r="F1138" t="s">
        <v>39</v>
      </c>
      <c r="G1138" t="s">
        <v>40</v>
      </c>
      <c r="H1138">
        <f t="shared" si="17"/>
        <v>94</v>
      </c>
    </row>
    <row r="1139" spans="1:8" x14ac:dyDescent="0.3">
      <c r="A1139" t="s">
        <v>71</v>
      </c>
      <c r="B1139" t="s">
        <v>23</v>
      </c>
      <c r="C1139" t="s">
        <v>16</v>
      </c>
      <c r="D1139">
        <v>3801</v>
      </c>
      <c r="E1139" t="s">
        <v>68</v>
      </c>
      <c r="F1139" t="s">
        <v>39</v>
      </c>
      <c r="G1139" t="s">
        <v>40</v>
      </c>
      <c r="H1139">
        <f t="shared" si="17"/>
        <v>3800</v>
      </c>
    </row>
    <row r="1140" spans="1:8" x14ac:dyDescent="0.3">
      <c r="A1140" t="s">
        <v>71</v>
      </c>
      <c r="B1140" t="s">
        <v>23</v>
      </c>
      <c r="C1140" t="s">
        <v>17</v>
      </c>
      <c r="D1140">
        <v>291</v>
      </c>
      <c r="E1140" t="s">
        <v>68</v>
      </c>
      <c r="F1140" t="s">
        <v>39</v>
      </c>
      <c r="G1140" t="s">
        <v>40</v>
      </c>
      <c r="H1140">
        <f t="shared" si="17"/>
        <v>291</v>
      </c>
    </row>
    <row r="1141" spans="1:8" x14ac:dyDescent="0.3">
      <c r="A1141" t="s">
        <v>71</v>
      </c>
      <c r="B1141" t="s">
        <v>23</v>
      </c>
      <c r="C1141" t="s">
        <v>18</v>
      </c>
      <c r="D1141">
        <v>0</v>
      </c>
      <c r="E1141" t="s">
        <v>68</v>
      </c>
      <c r="F1141" t="s">
        <v>39</v>
      </c>
      <c r="G1141" t="s">
        <v>40</v>
      </c>
      <c r="H1141">
        <f t="shared" si="17"/>
        <v>0</v>
      </c>
    </row>
    <row r="1142" spans="1:8" x14ac:dyDescent="0.3">
      <c r="A1142" t="s">
        <v>71</v>
      </c>
      <c r="B1142" t="s">
        <v>23</v>
      </c>
      <c r="C1142" t="s">
        <v>19</v>
      </c>
      <c r="D1142">
        <v>243</v>
      </c>
      <c r="E1142" t="s">
        <v>68</v>
      </c>
      <c r="F1142" t="s">
        <v>39</v>
      </c>
      <c r="G1142" t="s">
        <v>40</v>
      </c>
      <c r="H1142">
        <f t="shared" si="17"/>
        <v>243</v>
      </c>
    </row>
    <row r="1143" spans="1:8" x14ac:dyDescent="0.3">
      <c r="A1143" t="s">
        <v>71</v>
      </c>
      <c r="B1143" t="s">
        <v>23</v>
      </c>
      <c r="C1143" t="s">
        <v>20</v>
      </c>
      <c r="D1143">
        <v>588</v>
      </c>
      <c r="E1143" t="s">
        <v>68</v>
      </c>
      <c r="F1143" t="s">
        <v>39</v>
      </c>
      <c r="G1143" t="s">
        <v>40</v>
      </c>
      <c r="H1143">
        <f t="shared" si="17"/>
        <v>588</v>
      </c>
    </row>
    <row r="1144" spans="1:8" x14ac:dyDescent="0.3">
      <c r="A1144" t="s">
        <v>71</v>
      </c>
      <c r="B1144" t="s">
        <v>23</v>
      </c>
      <c r="C1144" t="s">
        <v>21</v>
      </c>
      <c r="D1144">
        <v>31</v>
      </c>
      <c r="E1144" t="s">
        <v>68</v>
      </c>
      <c r="F1144" t="s">
        <v>39</v>
      </c>
      <c r="G1144" t="s">
        <v>40</v>
      </c>
      <c r="H1144">
        <f t="shared" si="17"/>
        <v>31</v>
      </c>
    </row>
    <row r="1145" spans="1:8" x14ac:dyDescent="0.3">
      <c r="A1145" t="s">
        <v>71</v>
      </c>
      <c r="B1145" t="s">
        <v>23</v>
      </c>
      <c r="C1145" t="s">
        <v>22</v>
      </c>
      <c r="D1145">
        <v>61169</v>
      </c>
      <c r="E1145" t="s">
        <v>68</v>
      </c>
      <c r="F1145" t="s">
        <v>39</v>
      </c>
      <c r="G1145" t="s">
        <v>40</v>
      </c>
      <c r="H1145">
        <f t="shared" si="17"/>
        <v>61200</v>
      </c>
    </row>
    <row r="1146" spans="1:8" x14ac:dyDescent="0.3">
      <c r="A1146" t="s">
        <v>72</v>
      </c>
      <c r="B1146" t="s">
        <v>8</v>
      </c>
      <c r="C1146" t="s">
        <v>9</v>
      </c>
      <c r="D1146">
        <v>0</v>
      </c>
      <c r="E1146" t="s">
        <v>68</v>
      </c>
      <c r="F1146" t="s">
        <v>39</v>
      </c>
      <c r="G1146" t="s">
        <v>40</v>
      </c>
      <c r="H1146">
        <f t="shared" si="17"/>
        <v>0</v>
      </c>
    </row>
    <row r="1147" spans="1:8" x14ac:dyDescent="0.3">
      <c r="A1147" t="s">
        <v>72</v>
      </c>
      <c r="B1147" t="s">
        <v>8</v>
      </c>
      <c r="C1147" t="s">
        <v>13</v>
      </c>
      <c r="D1147">
        <v>0</v>
      </c>
      <c r="E1147" t="s">
        <v>68</v>
      </c>
      <c r="F1147" t="s">
        <v>39</v>
      </c>
      <c r="G1147" t="s">
        <v>40</v>
      </c>
      <c r="H1147">
        <f t="shared" si="17"/>
        <v>0</v>
      </c>
    </row>
    <row r="1148" spans="1:8" x14ac:dyDescent="0.3">
      <c r="A1148" t="s">
        <v>72</v>
      </c>
      <c r="B1148" t="s">
        <v>8</v>
      </c>
      <c r="C1148" t="s">
        <v>14</v>
      </c>
      <c r="D1148">
        <v>0</v>
      </c>
      <c r="E1148" t="s">
        <v>68</v>
      </c>
      <c r="F1148" t="s">
        <v>39</v>
      </c>
      <c r="G1148" t="s">
        <v>40</v>
      </c>
      <c r="H1148">
        <f t="shared" si="17"/>
        <v>0</v>
      </c>
    </row>
    <row r="1149" spans="1:8" x14ac:dyDescent="0.3">
      <c r="A1149" t="s">
        <v>72</v>
      </c>
      <c r="B1149" t="s">
        <v>8</v>
      </c>
      <c r="C1149" t="s">
        <v>15</v>
      </c>
      <c r="D1149">
        <v>0</v>
      </c>
      <c r="E1149" t="s">
        <v>68</v>
      </c>
      <c r="F1149" t="s">
        <v>39</v>
      </c>
      <c r="G1149" t="s">
        <v>40</v>
      </c>
      <c r="H1149">
        <f t="shared" si="17"/>
        <v>0</v>
      </c>
    </row>
    <row r="1150" spans="1:8" x14ac:dyDescent="0.3">
      <c r="A1150" t="s">
        <v>72</v>
      </c>
      <c r="B1150" t="s">
        <v>8</v>
      </c>
      <c r="C1150" t="s">
        <v>16</v>
      </c>
      <c r="D1150">
        <v>2</v>
      </c>
      <c r="E1150" t="s">
        <v>68</v>
      </c>
      <c r="F1150" t="s">
        <v>39</v>
      </c>
      <c r="G1150" t="s">
        <v>40</v>
      </c>
      <c r="H1150">
        <f t="shared" si="17"/>
        <v>2</v>
      </c>
    </row>
    <row r="1151" spans="1:8" x14ac:dyDescent="0.3">
      <c r="A1151" t="s">
        <v>72</v>
      </c>
      <c r="B1151" t="s">
        <v>8</v>
      </c>
      <c r="C1151" t="s">
        <v>17</v>
      </c>
      <c r="D1151">
        <v>0</v>
      </c>
      <c r="E1151" t="s">
        <v>68</v>
      </c>
      <c r="F1151" t="s">
        <v>39</v>
      </c>
      <c r="G1151" t="s">
        <v>40</v>
      </c>
      <c r="H1151">
        <f t="shared" si="17"/>
        <v>0</v>
      </c>
    </row>
    <row r="1152" spans="1:8" x14ac:dyDescent="0.3">
      <c r="A1152" t="s">
        <v>72</v>
      </c>
      <c r="B1152" t="s">
        <v>8</v>
      </c>
      <c r="C1152" t="s">
        <v>18</v>
      </c>
      <c r="D1152">
        <v>0</v>
      </c>
      <c r="E1152" t="s">
        <v>68</v>
      </c>
      <c r="F1152" t="s">
        <v>39</v>
      </c>
      <c r="G1152" t="s">
        <v>40</v>
      </c>
      <c r="H1152">
        <f t="shared" si="17"/>
        <v>0</v>
      </c>
    </row>
    <row r="1153" spans="1:8" x14ac:dyDescent="0.3">
      <c r="A1153" t="s">
        <v>72</v>
      </c>
      <c r="B1153" t="s">
        <v>8</v>
      </c>
      <c r="C1153" t="s">
        <v>19</v>
      </c>
      <c r="D1153">
        <v>0</v>
      </c>
      <c r="E1153" t="s">
        <v>68</v>
      </c>
      <c r="F1153" t="s">
        <v>39</v>
      </c>
      <c r="G1153" t="s">
        <v>40</v>
      </c>
      <c r="H1153">
        <f t="shared" si="17"/>
        <v>0</v>
      </c>
    </row>
    <row r="1154" spans="1:8" x14ac:dyDescent="0.3">
      <c r="A1154" t="s">
        <v>72</v>
      </c>
      <c r="B1154" t="s">
        <v>8</v>
      </c>
      <c r="C1154" t="s">
        <v>20</v>
      </c>
      <c r="D1154">
        <v>0</v>
      </c>
      <c r="E1154" t="s">
        <v>68</v>
      </c>
      <c r="F1154" t="s">
        <v>39</v>
      </c>
      <c r="G1154" t="s">
        <v>40</v>
      </c>
      <c r="H1154">
        <f t="shared" si="17"/>
        <v>0</v>
      </c>
    </row>
    <row r="1155" spans="1:8" x14ac:dyDescent="0.3">
      <c r="A1155" t="s">
        <v>72</v>
      </c>
      <c r="B1155" t="s">
        <v>8</v>
      </c>
      <c r="C1155" t="s">
        <v>21</v>
      </c>
      <c r="D1155">
        <v>0</v>
      </c>
      <c r="E1155" t="s">
        <v>68</v>
      </c>
      <c r="F1155" t="s">
        <v>39</v>
      </c>
      <c r="G1155" t="s">
        <v>40</v>
      </c>
      <c r="H1155">
        <f t="shared" ref="H1155:H1218" si="18">ROUND(D1155, 3 - LEN(INT(ABS(D1155))))</f>
        <v>0</v>
      </c>
    </row>
    <row r="1156" spans="1:8" x14ac:dyDescent="0.3">
      <c r="A1156" t="s">
        <v>72</v>
      </c>
      <c r="B1156" t="s">
        <v>8</v>
      </c>
      <c r="C1156" t="s">
        <v>22</v>
      </c>
      <c r="D1156">
        <v>72774</v>
      </c>
      <c r="E1156" t="s">
        <v>68</v>
      </c>
      <c r="F1156" t="s">
        <v>39</v>
      </c>
      <c r="G1156" t="s">
        <v>40</v>
      </c>
      <c r="H1156">
        <f t="shared" si="18"/>
        <v>72800</v>
      </c>
    </row>
    <row r="1157" spans="1:8" x14ac:dyDescent="0.3">
      <c r="A1157" t="s">
        <v>72</v>
      </c>
      <c r="B1157" t="s">
        <v>23</v>
      </c>
      <c r="C1157" t="s">
        <v>9</v>
      </c>
      <c r="D1157">
        <v>1209</v>
      </c>
      <c r="E1157" t="s">
        <v>68</v>
      </c>
      <c r="F1157" t="s">
        <v>39</v>
      </c>
      <c r="G1157" t="s">
        <v>40</v>
      </c>
      <c r="H1157">
        <f t="shared" si="18"/>
        <v>1210</v>
      </c>
    </row>
    <row r="1158" spans="1:8" x14ac:dyDescent="0.3">
      <c r="A1158" t="s">
        <v>72</v>
      </c>
      <c r="B1158" t="s">
        <v>23</v>
      </c>
      <c r="C1158" t="s">
        <v>13</v>
      </c>
      <c r="D1158">
        <v>6927</v>
      </c>
      <c r="E1158" t="s">
        <v>68</v>
      </c>
      <c r="F1158" t="s">
        <v>39</v>
      </c>
      <c r="G1158" t="s">
        <v>40</v>
      </c>
      <c r="H1158">
        <f t="shared" si="18"/>
        <v>6930</v>
      </c>
    </row>
    <row r="1159" spans="1:8" x14ac:dyDescent="0.3">
      <c r="A1159" t="s">
        <v>72</v>
      </c>
      <c r="B1159" t="s">
        <v>23</v>
      </c>
      <c r="C1159" t="s">
        <v>14</v>
      </c>
      <c r="D1159">
        <v>1548</v>
      </c>
      <c r="E1159" t="s">
        <v>68</v>
      </c>
      <c r="F1159" t="s">
        <v>39</v>
      </c>
      <c r="G1159" t="s">
        <v>40</v>
      </c>
      <c r="H1159">
        <f t="shared" si="18"/>
        <v>1550</v>
      </c>
    </row>
    <row r="1160" spans="1:8" x14ac:dyDescent="0.3">
      <c r="A1160" t="s">
        <v>72</v>
      </c>
      <c r="B1160" t="s">
        <v>23</v>
      </c>
      <c r="C1160" t="s">
        <v>15</v>
      </c>
      <c r="D1160">
        <v>94</v>
      </c>
      <c r="E1160" t="s">
        <v>68</v>
      </c>
      <c r="F1160" t="s">
        <v>39</v>
      </c>
      <c r="G1160" t="s">
        <v>40</v>
      </c>
      <c r="H1160">
        <f t="shared" si="18"/>
        <v>94</v>
      </c>
    </row>
    <row r="1161" spans="1:8" x14ac:dyDescent="0.3">
      <c r="A1161" t="s">
        <v>72</v>
      </c>
      <c r="B1161" t="s">
        <v>23</v>
      </c>
      <c r="C1161" t="s">
        <v>16</v>
      </c>
      <c r="D1161">
        <v>3801</v>
      </c>
      <c r="E1161" t="s">
        <v>68</v>
      </c>
      <c r="F1161" t="s">
        <v>39</v>
      </c>
      <c r="G1161" t="s">
        <v>40</v>
      </c>
      <c r="H1161">
        <f t="shared" si="18"/>
        <v>3800</v>
      </c>
    </row>
    <row r="1162" spans="1:8" x14ac:dyDescent="0.3">
      <c r="A1162" t="s">
        <v>72</v>
      </c>
      <c r="B1162" t="s">
        <v>23</v>
      </c>
      <c r="C1162" t="s">
        <v>17</v>
      </c>
      <c r="D1162">
        <v>291</v>
      </c>
      <c r="E1162" t="s">
        <v>68</v>
      </c>
      <c r="F1162" t="s">
        <v>39</v>
      </c>
      <c r="G1162" t="s">
        <v>40</v>
      </c>
      <c r="H1162">
        <f t="shared" si="18"/>
        <v>291</v>
      </c>
    </row>
    <row r="1163" spans="1:8" x14ac:dyDescent="0.3">
      <c r="A1163" t="s">
        <v>72</v>
      </c>
      <c r="B1163" t="s">
        <v>23</v>
      </c>
      <c r="C1163" t="s">
        <v>18</v>
      </c>
      <c r="D1163">
        <v>0</v>
      </c>
      <c r="E1163" t="s">
        <v>68</v>
      </c>
      <c r="F1163" t="s">
        <v>39</v>
      </c>
      <c r="G1163" t="s">
        <v>40</v>
      </c>
      <c r="H1163">
        <f t="shared" si="18"/>
        <v>0</v>
      </c>
    </row>
    <row r="1164" spans="1:8" x14ac:dyDescent="0.3">
      <c r="A1164" t="s">
        <v>72</v>
      </c>
      <c r="B1164" t="s">
        <v>23</v>
      </c>
      <c r="C1164" t="s">
        <v>19</v>
      </c>
      <c r="D1164">
        <v>243</v>
      </c>
      <c r="E1164" t="s">
        <v>68</v>
      </c>
      <c r="F1164" t="s">
        <v>39</v>
      </c>
      <c r="G1164" t="s">
        <v>40</v>
      </c>
      <c r="H1164">
        <f t="shared" si="18"/>
        <v>243</v>
      </c>
    </row>
    <row r="1165" spans="1:8" x14ac:dyDescent="0.3">
      <c r="A1165" t="s">
        <v>72</v>
      </c>
      <c r="B1165" t="s">
        <v>23</v>
      </c>
      <c r="C1165" t="s">
        <v>20</v>
      </c>
      <c r="D1165">
        <v>588</v>
      </c>
      <c r="E1165" t="s">
        <v>68</v>
      </c>
      <c r="F1165" t="s">
        <v>39</v>
      </c>
      <c r="G1165" t="s">
        <v>40</v>
      </c>
      <c r="H1165">
        <f t="shared" si="18"/>
        <v>588</v>
      </c>
    </row>
    <row r="1166" spans="1:8" x14ac:dyDescent="0.3">
      <c r="A1166" t="s">
        <v>72</v>
      </c>
      <c r="B1166" t="s">
        <v>23</v>
      </c>
      <c r="C1166" t="s">
        <v>21</v>
      </c>
      <c r="D1166">
        <v>31</v>
      </c>
      <c r="E1166" t="s">
        <v>68</v>
      </c>
      <c r="F1166" t="s">
        <v>39</v>
      </c>
      <c r="G1166" t="s">
        <v>40</v>
      </c>
      <c r="H1166">
        <f t="shared" si="18"/>
        <v>31</v>
      </c>
    </row>
    <row r="1167" spans="1:8" x14ac:dyDescent="0.3">
      <c r="A1167" t="s">
        <v>72</v>
      </c>
      <c r="B1167" t="s">
        <v>23</v>
      </c>
      <c r="C1167" t="s">
        <v>22</v>
      </c>
      <c r="D1167">
        <v>61169</v>
      </c>
      <c r="E1167" t="s">
        <v>68</v>
      </c>
      <c r="F1167" t="s">
        <v>39</v>
      </c>
      <c r="G1167" t="s">
        <v>40</v>
      </c>
      <c r="H1167">
        <f t="shared" si="18"/>
        <v>61200</v>
      </c>
    </row>
    <row r="1168" spans="1:8" x14ac:dyDescent="0.3">
      <c r="A1168" t="s">
        <v>73</v>
      </c>
      <c r="B1168" t="s">
        <v>8</v>
      </c>
      <c r="C1168" t="s">
        <v>9</v>
      </c>
      <c r="D1168">
        <v>0</v>
      </c>
      <c r="E1168" t="s">
        <v>68</v>
      </c>
      <c r="F1168" t="s">
        <v>39</v>
      </c>
      <c r="G1168" t="s">
        <v>40</v>
      </c>
      <c r="H1168">
        <f t="shared" si="18"/>
        <v>0</v>
      </c>
    </row>
    <row r="1169" spans="1:8" x14ac:dyDescent="0.3">
      <c r="A1169" t="s">
        <v>73</v>
      </c>
      <c r="B1169" t="s">
        <v>8</v>
      </c>
      <c r="C1169" t="s">
        <v>13</v>
      </c>
      <c r="D1169">
        <v>0</v>
      </c>
      <c r="E1169" t="s">
        <v>68</v>
      </c>
      <c r="F1169" t="s">
        <v>39</v>
      </c>
      <c r="G1169" t="s">
        <v>40</v>
      </c>
      <c r="H1169">
        <f t="shared" si="18"/>
        <v>0</v>
      </c>
    </row>
    <row r="1170" spans="1:8" x14ac:dyDescent="0.3">
      <c r="A1170" t="s">
        <v>73</v>
      </c>
      <c r="B1170" t="s">
        <v>8</v>
      </c>
      <c r="C1170" t="s">
        <v>14</v>
      </c>
      <c r="D1170">
        <v>0</v>
      </c>
      <c r="E1170" t="s">
        <v>68</v>
      </c>
      <c r="F1170" t="s">
        <v>39</v>
      </c>
      <c r="G1170" t="s">
        <v>40</v>
      </c>
      <c r="H1170">
        <f t="shared" si="18"/>
        <v>0</v>
      </c>
    </row>
    <row r="1171" spans="1:8" x14ac:dyDescent="0.3">
      <c r="A1171" t="s">
        <v>73</v>
      </c>
      <c r="B1171" t="s">
        <v>8</v>
      </c>
      <c r="C1171" t="s">
        <v>15</v>
      </c>
      <c r="D1171">
        <v>0</v>
      </c>
      <c r="E1171" t="s">
        <v>68</v>
      </c>
      <c r="F1171" t="s">
        <v>39</v>
      </c>
      <c r="G1171" t="s">
        <v>40</v>
      </c>
      <c r="H1171">
        <f t="shared" si="18"/>
        <v>0</v>
      </c>
    </row>
    <row r="1172" spans="1:8" x14ac:dyDescent="0.3">
      <c r="A1172" t="s">
        <v>73</v>
      </c>
      <c r="B1172" t="s">
        <v>8</v>
      </c>
      <c r="C1172" t="s">
        <v>16</v>
      </c>
      <c r="D1172">
        <v>11006</v>
      </c>
      <c r="E1172" t="s">
        <v>68</v>
      </c>
      <c r="F1172" t="s">
        <v>39</v>
      </c>
      <c r="G1172" t="s">
        <v>40</v>
      </c>
      <c r="H1172">
        <f t="shared" si="18"/>
        <v>11000</v>
      </c>
    </row>
    <row r="1173" spans="1:8" x14ac:dyDescent="0.3">
      <c r="A1173" t="s">
        <v>73</v>
      </c>
      <c r="B1173" t="s">
        <v>8</v>
      </c>
      <c r="C1173" t="s">
        <v>17</v>
      </c>
      <c r="D1173">
        <v>2</v>
      </c>
      <c r="E1173" t="s">
        <v>68</v>
      </c>
      <c r="F1173" t="s">
        <v>39</v>
      </c>
      <c r="G1173" t="s">
        <v>40</v>
      </c>
      <c r="H1173">
        <f t="shared" si="18"/>
        <v>2</v>
      </c>
    </row>
    <row r="1174" spans="1:8" x14ac:dyDescent="0.3">
      <c r="A1174" t="s">
        <v>73</v>
      </c>
      <c r="B1174" t="s">
        <v>8</v>
      </c>
      <c r="C1174" t="s">
        <v>18</v>
      </c>
      <c r="D1174">
        <v>0</v>
      </c>
      <c r="E1174" t="s">
        <v>68</v>
      </c>
      <c r="F1174" t="s">
        <v>39</v>
      </c>
      <c r="G1174" t="s">
        <v>40</v>
      </c>
      <c r="H1174">
        <f t="shared" si="18"/>
        <v>0</v>
      </c>
    </row>
    <row r="1175" spans="1:8" x14ac:dyDescent="0.3">
      <c r="A1175" t="s">
        <v>73</v>
      </c>
      <c r="B1175" t="s">
        <v>8</v>
      </c>
      <c r="C1175" t="s">
        <v>19</v>
      </c>
      <c r="D1175">
        <v>0</v>
      </c>
      <c r="E1175" t="s">
        <v>68</v>
      </c>
      <c r="F1175" t="s">
        <v>39</v>
      </c>
      <c r="G1175" t="s">
        <v>40</v>
      </c>
      <c r="H1175">
        <f t="shared" si="18"/>
        <v>0</v>
      </c>
    </row>
    <row r="1176" spans="1:8" x14ac:dyDescent="0.3">
      <c r="A1176" t="s">
        <v>73</v>
      </c>
      <c r="B1176" t="s">
        <v>8</v>
      </c>
      <c r="C1176" t="s">
        <v>20</v>
      </c>
      <c r="D1176">
        <v>0</v>
      </c>
      <c r="E1176" t="s">
        <v>68</v>
      </c>
      <c r="F1176" t="s">
        <v>39</v>
      </c>
      <c r="G1176" t="s">
        <v>40</v>
      </c>
      <c r="H1176">
        <f t="shared" si="18"/>
        <v>0</v>
      </c>
    </row>
    <row r="1177" spans="1:8" x14ac:dyDescent="0.3">
      <c r="A1177" t="s">
        <v>73</v>
      </c>
      <c r="B1177" t="s">
        <v>8</v>
      </c>
      <c r="C1177" t="s">
        <v>21</v>
      </c>
      <c r="D1177">
        <v>0</v>
      </c>
      <c r="E1177" t="s">
        <v>68</v>
      </c>
      <c r="F1177" t="s">
        <v>39</v>
      </c>
      <c r="G1177" t="s">
        <v>40</v>
      </c>
      <c r="H1177">
        <f t="shared" si="18"/>
        <v>0</v>
      </c>
    </row>
    <row r="1178" spans="1:8" x14ac:dyDescent="0.3">
      <c r="A1178" t="s">
        <v>73</v>
      </c>
      <c r="B1178" t="s">
        <v>8</v>
      </c>
      <c r="C1178" t="s">
        <v>22</v>
      </c>
      <c r="D1178">
        <v>6</v>
      </c>
      <c r="E1178" t="s">
        <v>68</v>
      </c>
      <c r="F1178" t="s">
        <v>39</v>
      </c>
      <c r="G1178" t="s">
        <v>40</v>
      </c>
      <c r="H1178">
        <f t="shared" si="18"/>
        <v>6</v>
      </c>
    </row>
    <row r="1179" spans="1:8" x14ac:dyDescent="0.3">
      <c r="A1179" t="s">
        <v>73</v>
      </c>
      <c r="B1179" t="s">
        <v>23</v>
      </c>
      <c r="C1179" t="s">
        <v>9</v>
      </c>
      <c r="D1179">
        <v>36</v>
      </c>
      <c r="E1179" t="s">
        <v>68</v>
      </c>
      <c r="F1179" t="s">
        <v>39</v>
      </c>
      <c r="G1179" t="s">
        <v>40</v>
      </c>
      <c r="H1179">
        <f t="shared" si="18"/>
        <v>36</v>
      </c>
    </row>
    <row r="1180" spans="1:8" x14ac:dyDescent="0.3">
      <c r="A1180" t="s">
        <v>73</v>
      </c>
      <c r="B1180" t="s">
        <v>23</v>
      </c>
      <c r="C1180" t="s">
        <v>13</v>
      </c>
      <c r="D1180">
        <v>35</v>
      </c>
      <c r="E1180" t="s">
        <v>68</v>
      </c>
      <c r="F1180" t="s">
        <v>39</v>
      </c>
      <c r="G1180" t="s">
        <v>40</v>
      </c>
      <c r="H1180">
        <f t="shared" si="18"/>
        <v>35</v>
      </c>
    </row>
    <row r="1181" spans="1:8" x14ac:dyDescent="0.3">
      <c r="A1181" t="s">
        <v>73</v>
      </c>
      <c r="B1181" t="s">
        <v>23</v>
      </c>
      <c r="C1181" t="s">
        <v>14</v>
      </c>
      <c r="D1181">
        <v>94</v>
      </c>
      <c r="E1181" t="s">
        <v>68</v>
      </c>
      <c r="F1181" t="s">
        <v>39</v>
      </c>
      <c r="G1181" t="s">
        <v>40</v>
      </c>
      <c r="H1181">
        <f t="shared" si="18"/>
        <v>94</v>
      </c>
    </row>
    <row r="1182" spans="1:8" x14ac:dyDescent="0.3">
      <c r="A1182" t="s">
        <v>73</v>
      </c>
      <c r="B1182" t="s">
        <v>23</v>
      </c>
      <c r="C1182" t="s">
        <v>15</v>
      </c>
      <c r="D1182">
        <v>8</v>
      </c>
      <c r="E1182" t="s">
        <v>68</v>
      </c>
      <c r="F1182" t="s">
        <v>39</v>
      </c>
      <c r="G1182" t="s">
        <v>40</v>
      </c>
      <c r="H1182">
        <f t="shared" si="18"/>
        <v>8</v>
      </c>
    </row>
    <row r="1183" spans="1:8" x14ac:dyDescent="0.3">
      <c r="A1183" t="s">
        <v>73</v>
      </c>
      <c r="B1183" t="s">
        <v>23</v>
      </c>
      <c r="C1183" t="s">
        <v>16</v>
      </c>
      <c r="D1183">
        <v>74516</v>
      </c>
      <c r="E1183" t="s">
        <v>68</v>
      </c>
      <c r="F1183" t="s">
        <v>39</v>
      </c>
      <c r="G1183" t="s">
        <v>40</v>
      </c>
      <c r="H1183">
        <f t="shared" si="18"/>
        <v>74500</v>
      </c>
    </row>
    <row r="1184" spans="1:8" x14ac:dyDescent="0.3">
      <c r="A1184" t="s">
        <v>73</v>
      </c>
      <c r="B1184" t="s">
        <v>23</v>
      </c>
      <c r="C1184" t="s">
        <v>17</v>
      </c>
      <c r="D1184">
        <v>8</v>
      </c>
      <c r="E1184" t="s">
        <v>68</v>
      </c>
      <c r="F1184" t="s">
        <v>39</v>
      </c>
      <c r="G1184" t="s">
        <v>40</v>
      </c>
      <c r="H1184">
        <f t="shared" si="18"/>
        <v>8</v>
      </c>
    </row>
    <row r="1185" spans="1:8" x14ac:dyDescent="0.3">
      <c r="A1185" t="s">
        <v>73</v>
      </c>
      <c r="B1185" t="s">
        <v>23</v>
      </c>
      <c r="C1185" t="s">
        <v>18</v>
      </c>
      <c r="D1185">
        <v>0</v>
      </c>
      <c r="E1185" t="s">
        <v>68</v>
      </c>
      <c r="F1185" t="s">
        <v>39</v>
      </c>
      <c r="G1185" t="s">
        <v>40</v>
      </c>
      <c r="H1185">
        <f t="shared" si="18"/>
        <v>0</v>
      </c>
    </row>
    <row r="1186" spans="1:8" x14ac:dyDescent="0.3">
      <c r="A1186" t="s">
        <v>73</v>
      </c>
      <c r="B1186" t="s">
        <v>23</v>
      </c>
      <c r="C1186" t="s">
        <v>19</v>
      </c>
      <c r="D1186">
        <v>2</v>
      </c>
      <c r="E1186" t="s">
        <v>68</v>
      </c>
      <c r="F1186" t="s">
        <v>39</v>
      </c>
      <c r="G1186" t="s">
        <v>40</v>
      </c>
      <c r="H1186">
        <f t="shared" si="18"/>
        <v>2</v>
      </c>
    </row>
    <row r="1187" spans="1:8" x14ac:dyDescent="0.3">
      <c r="A1187" t="s">
        <v>73</v>
      </c>
      <c r="B1187" t="s">
        <v>23</v>
      </c>
      <c r="C1187" t="s">
        <v>20</v>
      </c>
      <c r="D1187">
        <v>296</v>
      </c>
      <c r="E1187" t="s">
        <v>68</v>
      </c>
      <c r="F1187" t="s">
        <v>39</v>
      </c>
      <c r="G1187" t="s">
        <v>40</v>
      </c>
      <c r="H1187">
        <f t="shared" si="18"/>
        <v>296</v>
      </c>
    </row>
    <row r="1188" spans="1:8" x14ac:dyDescent="0.3">
      <c r="A1188" t="s">
        <v>73</v>
      </c>
      <c r="B1188" t="s">
        <v>23</v>
      </c>
      <c r="C1188" t="s">
        <v>21</v>
      </c>
      <c r="D1188">
        <v>2</v>
      </c>
      <c r="E1188" t="s">
        <v>68</v>
      </c>
      <c r="F1188" t="s">
        <v>39</v>
      </c>
      <c r="G1188" t="s">
        <v>40</v>
      </c>
      <c r="H1188">
        <f t="shared" si="18"/>
        <v>2</v>
      </c>
    </row>
    <row r="1189" spans="1:8" x14ac:dyDescent="0.3">
      <c r="A1189" t="s">
        <v>73</v>
      </c>
      <c r="B1189" t="s">
        <v>23</v>
      </c>
      <c r="C1189" t="s">
        <v>22</v>
      </c>
      <c r="D1189">
        <v>82</v>
      </c>
      <c r="E1189" t="s">
        <v>68</v>
      </c>
      <c r="F1189" t="s">
        <v>39</v>
      </c>
      <c r="G1189" t="s">
        <v>40</v>
      </c>
      <c r="H1189">
        <f t="shared" si="18"/>
        <v>82</v>
      </c>
    </row>
    <row r="1190" spans="1:8" x14ac:dyDescent="0.3">
      <c r="A1190" t="s">
        <v>74</v>
      </c>
      <c r="B1190" t="s">
        <v>8</v>
      </c>
      <c r="C1190" t="s">
        <v>9</v>
      </c>
      <c r="D1190">
        <v>0</v>
      </c>
      <c r="E1190" t="s">
        <v>68</v>
      </c>
      <c r="F1190" t="s">
        <v>39</v>
      </c>
      <c r="G1190" t="s">
        <v>40</v>
      </c>
      <c r="H1190">
        <f t="shared" si="18"/>
        <v>0</v>
      </c>
    </row>
    <row r="1191" spans="1:8" x14ac:dyDescent="0.3">
      <c r="A1191" t="s">
        <v>74</v>
      </c>
      <c r="B1191" t="s">
        <v>8</v>
      </c>
      <c r="C1191" t="s">
        <v>13</v>
      </c>
      <c r="D1191">
        <v>0</v>
      </c>
      <c r="E1191" t="s">
        <v>68</v>
      </c>
      <c r="F1191" t="s">
        <v>39</v>
      </c>
      <c r="G1191" t="s">
        <v>40</v>
      </c>
      <c r="H1191">
        <f t="shared" si="18"/>
        <v>0</v>
      </c>
    </row>
    <row r="1192" spans="1:8" x14ac:dyDescent="0.3">
      <c r="A1192" t="s">
        <v>74</v>
      </c>
      <c r="B1192" t="s">
        <v>8</v>
      </c>
      <c r="C1192" t="s">
        <v>14</v>
      </c>
      <c r="D1192">
        <v>0</v>
      </c>
      <c r="E1192" t="s">
        <v>68</v>
      </c>
      <c r="F1192" t="s">
        <v>39</v>
      </c>
      <c r="G1192" t="s">
        <v>40</v>
      </c>
      <c r="H1192">
        <f t="shared" si="18"/>
        <v>0</v>
      </c>
    </row>
    <row r="1193" spans="1:8" x14ac:dyDescent="0.3">
      <c r="A1193" t="s">
        <v>74</v>
      </c>
      <c r="B1193" t="s">
        <v>8</v>
      </c>
      <c r="C1193" t="s">
        <v>15</v>
      </c>
      <c r="D1193">
        <v>0</v>
      </c>
      <c r="E1193" t="s">
        <v>68</v>
      </c>
      <c r="F1193" t="s">
        <v>39</v>
      </c>
      <c r="G1193" t="s">
        <v>40</v>
      </c>
      <c r="H1193">
        <f t="shared" si="18"/>
        <v>0</v>
      </c>
    </row>
    <row r="1194" spans="1:8" x14ac:dyDescent="0.3">
      <c r="A1194" t="s">
        <v>74</v>
      </c>
      <c r="B1194" t="s">
        <v>8</v>
      </c>
      <c r="C1194" t="s">
        <v>16</v>
      </c>
      <c r="D1194">
        <v>1</v>
      </c>
      <c r="E1194" t="s">
        <v>68</v>
      </c>
      <c r="F1194" t="s">
        <v>39</v>
      </c>
      <c r="G1194" t="s">
        <v>40</v>
      </c>
      <c r="H1194">
        <f t="shared" si="18"/>
        <v>1</v>
      </c>
    </row>
    <row r="1195" spans="1:8" x14ac:dyDescent="0.3">
      <c r="A1195" t="s">
        <v>74</v>
      </c>
      <c r="B1195" t="s">
        <v>8</v>
      </c>
      <c r="C1195" t="s">
        <v>17</v>
      </c>
      <c r="D1195">
        <v>0</v>
      </c>
      <c r="E1195" t="s">
        <v>68</v>
      </c>
      <c r="F1195" t="s">
        <v>39</v>
      </c>
      <c r="G1195" t="s">
        <v>40</v>
      </c>
      <c r="H1195">
        <f t="shared" si="18"/>
        <v>0</v>
      </c>
    </row>
    <row r="1196" spans="1:8" x14ac:dyDescent="0.3">
      <c r="A1196" t="s">
        <v>74</v>
      </c>
      <c r="B1196" t="s">
        <v>8</v>
      </c>
      <c r="C1196" t="s">
        <v>18</v>
      </c>
      <c r="D1196">
        <v>0</v>
      </c>
      <c r="E1196" t="s">
        <v>68</v>
      </c>
      <c r="F1196" t="s">
        <v>39</v>
      </c>
      <c r="G1196" t="s">
        <v>40</v>
      </c>
      <c r="H1196">
        <f t="shared" si="18"/>
        <v>0</v>
      </c>
    </row>
    <row r="1197" spans="1:8" x14ac:dyDescent="0.3">
      <c r="A1197" t="s">
        <v>74</v>
      </c>
      <c r="B1197" t="s">
        <v>8</v>
      </c>
      <c r="C1197" t="s">
        <v>19</v>
      </c>
      <c r="D1197">
        <v>0</v>
      </c>
      <c r="E1197" t="s">
        <v>68</v>
      </c>
      <c r="F1197" t="s">
        <v>39</v>
      </c>
      <c r="G1197" t="s">
        <v>40</v>
      </c>
      <c r="H1197">
        <f t="shared" si="18"/>
        <v>0</v>
      </c>
    </row>
    <row r="1198" spans="1:8" x14ac:dyDescent="0.3">
      <c r="A1198" t="s">
        <v>74</v>
      </c>
      <c r="B1198" t="s">
        <v>8</v>
      </c>
      <c r="C1198" t="s">
        <v>20</v>
      </c>
      <c r="D1198">
        <v>0</v>
      </c>
      <c r="E1198" t="s">
        <v>68</v>
      </c>
      <c r="F1198" t="s">
        <v>39</v>
      </c>
      <c r="G1198" t="s">
        <v>40</v>
      </c>
      <c r="H1198">
        <f t="shared" si="18"/>
        <v>0</v>
      </c>
    </row>
    <row r="1199" spans="1:8" x14ac:dyDescent="0.3">
      <c r="A1199" t="s">
        <v>74</v>
      </c>
      <c r="B1199" t="s">
        <v>8</v>
      </c>
      <c r="C1199" t="s">
        <v>21</v>
      </c>
      <c r="D1199">
        <v>0</v>
      </c>
      <c r="E1199" t="s">
        <v>68</v>
      </c>
      <c r="F1199" t="s">
        <v>39</v>
      </c>
      <c r="G1199" t="s">
        <v>40</v>
      </c>
      <c r="H1199">
        <f t="shared" si="18"/>
        <v>0</v>
      </c>
    </row>
    <row r="1200" spans="1:8" x14ac:dyDescent="0.3">
      <c r="A1200" t="s">
        <v>74</v>
      </c>
      <c r="B1200" t="s">
        <v>8</v>
      </c>
      <c r="C1200" t="s">
        <v>22</v>
      </c>
      <c r="D1200">
        <v>57680</v>
      </c>
      <c r="E1200" t="s">
        <v>68</v>
      </c>
      <c r="F1200" t="s">
        <v>39</v>
      </c>
      <c r="G1200" t="s">
        <v>40</v>
      </c>
      <c r="H1200">
        <f t="shared" si="18"/>
        <v>57700</v>
      </c>
    </row>
    <row r="1201" spans="1:8" x14ac:dyDescent="0.3">
      <c r="A1201" t="s">
        <v>74</v>
      </c>
      <c r="B1201" t="s">
        <v>23</v>
      </c>
      <c r="C1201" t="s">
        <v>9</v>
      </c>
      <c r="D1201">
        <v>958</v>
      </c>
      <c r="E1201" t="s">
        <v>68</v>
      </c>
      <c r="F1201" t="s">
        <v>39</v>
      </c>
      <c r="G1201" t="s">
        <v>40</v>
      </c>
      <c r="H1201">
        <f t="shared" si="18"/>
        <v>958</v>
      </c>
    </row>
    <row r="1202" spans="1:8" x14ac:dyDescent="0.3">
      <c r="A1202" t="s">
        <v>74</v>
      </c>
      <c r="B1202" t="s">
        <v>23</v>
      </c>
      <c r="C1202" t="s">
        <v>13</v>
      </c>
      <c r="D1202">
        <v>5491</v>
      </c>
      <c r="E1202" t="s">
        <v>68</v>
      </c>
      <c r="F1202" t="s">
        <v>39</v>
      </c>
      <c r="G1202" t="s">
        <v>40</v>
      </c>
      <c r="H1202">
        <f t="shared" si="18"/>
        <v>5490</v>
      </c>
    </row>
    <row r="1203" spans="1:8" x14ac:dyDescent="0.3">
      <c r="A1203" t="s">
        <v>74</v>
      </c>
      <c r="B1203" t="s">
        <v>23</v>
      </c>
      <c r="C1203" t="s">
        <v>14</v>
      </c>
      <c r="D1203">
        <v>1227</v>
      </c>
      <c r="E1203" t="s">
        <v>68</v>
      </c>
      <c r="F1203" t="s">
        <v>39</v>
      </c>
      <c r="G1203" t="s">
        <v>40</v>
      </c>
      <c r="H1203">
        <f t="shared" si="18"/>
        <v>1230</v>
      </c>
    </row>
    <row r="1204" spans="1:8" x14ac:dyDescent="0.3">
      <c r="A1204" t="s">
        <v>74</v>
      </c>
      <c r="B1204" t="s">
        <v>23</v>
      </c>
      <c r="C1204" t="s">
        <v>15</v>
      </c>
      <c r="D1204">
        <v>75</v>
      </c>
      <c r="E1204" t="s">
        <v>68</v>
      </c>
      <c r="F1204" t="s">
        <v>39</v>
      </c>
      <c r="G1204" t="s">
        <v>40</v>
      </c>
      <c r="H1204">
        <f t="shared" si="18"/>
        <v>75</v>
      </c>
    </row>
    <row r="1205" spans="1:8" x14ac:dyDescent="0.3">
      <c r="A1205" t="s">
        <v>74</v>
      </c>
      <c r="B1205" t="s">
        <v>23</v>
      </c>
      <c r="C1205" t="s">
        <v>16</v>
      </c>
      <c r="D1205">
        <v>3013</v>
      </c>
      <c r="E1205" t="s">
        <v>68</v>
      </c>
      <c r="F1205" t="s">
        <v>39</v>
      </c>
      <c r="G1205" t="s">
        <v>40</v>
      </c>
      <c r="H1205">
        <f t="shared" si="18"/>
        <v>3010</v>
      </c>
    </row>
    <row r="1206" spans="1:8" x14ac:dyDescent="0.3">
      <c r="A1206" t="s">
        <v>74</v>
      </c>
      <c r="B1206" t="s">
        <v>23</v>
      </c>
      <c r="C1206" t="s">
        <v>17</v>
      </c>
      <c r="D1206">
        <v>231</v>
      </c>
      <c r="E1206" t="s">
        <v>68</v>
      </c>
      <c r="F1206" t="s">
        <v>39</v>
      </c>
      <c r="G1206" t="s">
        <v>40</v>
      </c>
      <c r="H1206">
        <f t="shared" si="18"/>
        <v>231</v>
      </c>
    </row>
    <row r="1207" spans="1:8" x14ac:dyDescent="0.3">
      <c r="A1207" t="s">
        <v>74</v>
      </c>
      <c r="B1207" t="s">
        <v>23</v>
      </c>
      <c r="C1207" t="s">
        <v>18</v>
      </c>
      <c r="D1207">
        <v>0</v>
      </c>
      <c r="E1207" t="s">
        <v>68</v>
      </c>
      <c r="F1207" t="s">
        <v>39</v>
      </c>
      <c r="G1207" t="s">
        <v>40</v>
      </c>
      <c r="H1207">
        <f t="shared" si="18"/>
        <v>0</v>
      </c>
    </row>
    <row r="1208" spans="1:8" x14ac:dyDescent="0.3">
      <c r="A1208" t="s">
        <v>74</v>
      </c>
      <c r="B1208" t="s">
        <v>23</v>
      </c>
      <c r="C1208" t="s">
        <v>19</v>
      </c>
      <c r="D1208">
        <v>192</v>
      </c>
      <c r="E1208" t="s">
        <v>68</v>
      </c>
      <c r="F1208" t="s">
        <v>39</v>
      </c>
      <c r="G1208" t="s">
        <v>40</v>
      </c>
      <c r="H1208">
        <f t="shared" si="18"/>
        <v>192</v>
      </c>
    </row>
    <row r="1209" spans="1:8" x14ac:dyDescent="0.3">
      <c r="A1209" t="s">
        <v>74</v>
      </c>
      <c r="B1209" t="s">
        <v>23</v>
      </c>
      <c r="C1209" t="s">
        <v>20</v>
      </c>
      <c r="D1209">
        <v>466</v>
      </c>
      <c r="E1209" t="s">
        <v>68</v>
      </c>
      <c r="F1209" t="s">
        <v>39</v>
      </c>
      <c r="G1209" t="s">
        <v>40</v>
      </c>
      <c r="H1209">
        <f t="shared" si="18"/>
        <v>466</v>
      </c>
    </row>
    <row r="1210" spans="1:8" x14ac:dyDescent="0.3">
      <c r="A1210" t="s">
        <v>74</v>
      </c>
      <c r="B1210" t="s">
        <v>23</v>
      </c>
      <c r="C1210" t="s">
        <v>21</v>
      </c>
      <c r="D1210">
        <v>24</v>
      </c>
      <c r="E1210" t="s">
        <v>68</v>
      </c>
      <c r="F1210" t="s">
        <v>39</v>
      </c>
      <c r="G1210" t="s">
        <v>40</v>
      </c>
      <c r="H1210">
        <f t="shared" si="18"/>
        <v>24</v>
      </c>
    </row>
    <row r="1211" spans="1:8" x14ac:dyDescent="0.3">
      <c r="A1211" t="s">
        <v>74</v>
      </c>
      <c r="B1211" t="s">
        <v>23</v>
      </c>
      <c r="C1211" t="s">
        <v>22</v>
      </c>
      <c r="D1211">
        <v>48482</v>
      </c>
      <c r="E1211" t="s">
        <v>68</v>
      </c>
      <c r="F1211" t="s">
        <v>39</v>
      </c>
      <c r="G1211" t="s">
        <v>40</v>
      </c>
      <c r="H1211">
        <f t="shared" si="18"/>
        <v>48500</v>
      </c>
    </row>
    <row r="1212" spans="1:8" x14ac:dyDescent="0.3">
      <c r="A1212" t="s">
        <v>75</v>
      </c>
      <c r="B1212" t="s">
        <v>8</v>
      </c>
      <c r="C1212" t="s">
        <v>9</v>
      </c>
      <c r="D1212">
        <v>19844</v>
      </c>
      <c r="E1212" t="s">
        <v>68</v>
      </c>
      <c r="F1212" t="s">
        <v>39</v>
      </c>
      <c r="G1212" t="s">
        <v>40</v>
      </c>
      <c r="H1212">
        <f t="shared" si="18"/>
        <v>19800</v>
      </c>
    </row>
    <row r="1213" spans="1:8" x14ac:dyDescent="0.3">
      <c r="A1213" t="s">
        <v>75</v>
      </c>
      <c r="B1213" t="s">
        <v>8</v>
      </c>
      <c r="C1213" t="s">
        <v>13</v>
      </c>
      <c r="D1213">
        <v>4</v>
      </c>
      <c r="E1213" t="s">
        <v>68</v>
      </c>
      <c r="F1213" t="s">
        <v>39</v>
      </c>
      <c r="G1213" t="s">
        <v>40</v>
      </c>
      <c r="H1213">
        <f t="shared" si="18"/>
        <v>4</v>
      </c>
    </row>
    <row r="1214" spans="1:8" x14ac:dyDescent="0.3">
      <c r="A1214" t="s">
        <v>75</v>
      </c>
      <c r="B1214" t="s">
        <v>8</v>
      </c>
      <c r="C1214" t="s">
        <v>14</v>
      </c>
      <c r="D1214">
        <v>2</v>
      </c>
      <c r="E1214" t="s">
        <v>68</v>
      </c>
      <c r="F1214" t="s">
        <v>39</v>
      </c>
      <c r="G1214" t="s">
        <v>40</v>
      </c>
      <c r="H1214">
        <f t="shared" si="18"/>
        <v>2</v>
      </c>
    </row>
    <row r="1215" spans="1:8" x14ac:dyDescent="0.3">
      <c r="A1215" t="s">
        <v>75</v>
      </c>
      <c r="B1215" t="s">
        <v>8</v>
      </c>
      <c r="C1215" t="s">
        <v>15</v>
      </c>
      <c r="D1215">
        <v>0</v>
      </c>
      <c r="E1215" t="s">
        <v>68</v>
      </c>
      <c r="F1215" t="s">
        <v>39</v>
      </c>
      <c r="G1215" t="s">
        <v>40</v>
      </c>
      <c r="H1215">
        <f t="shared" si="18"/>
        <v>0</v>
      </c>
    </row>
    <row r="1216" spans="1:8" x14ac:dyDescent="0.3">
      <c r="A1216" t="s">
        <v>75</v>
      </c>
      <c r="B1216" t="s">
        <v>8</v>
      </c>
      <c r="C1216" t="s">
        <v>16</v>
      </c>
      <c r="D1216">
        <v>0</v>
      </c>
      <c r="E1216" t="s">
        <v>68</v>
      </c>
      <c r="F1216" t="s">
        <v>39</v>
      </c>
      <c r="G1216" t="s">
        <v>40</v>
      </c>
      <c r="H1216">
        <f t="shared" si="18"/>
        <v>0</v>
      </c>
    </row>
    <row r="1217" spans="1:8" x14ac:dyDescent="0.3">
      <c r="A1217" t="s">
        <v>75</v>
      </c>
      <c r="B1217" t="s">
        <v>8</v>
      </c>
      <c r="C1217" t="s">
        <v>17</v>
      </c>
      <c r="D1217">
        <v>10</v>
      </c>
      <c r="E1217" t="s">
        <v>68</v>
      </c>
      <c r="F1217" t="s">
        <v>39</v>
      </c>
      <c r="G1217" t="s">
        <v>40</v>
      </c>
      <c r="H1217">
        <f t="shared" si="18"/>
        <v>10</v>
      </c>
    </row>
    <row r="1218" spans="1:8" x14ac:dyDescent="0.3">
      <c r="A1218" t="s">
        <v>75</v>
      </c>
      <c r="B1218" t="s">
        <v>8</v>
      </c>
      <c r="C1218" t="s">
        <v>18</v>
      </c>
      <c r="D1218">
        <v>0</v>
      </c>
      <c r="E1218" t="s">
        <v>68</v>
      </c>
      <c r="F1218" t="s">
        <v>39</v>
      </c>
      <c r="G1218" t="s">
        <v>40</v>
      </c>
      <c r="H1218">
        <f t="shared" si="18"/>
        <v>0</v>
      </c>
    </row>
    <row r="1219" spans="1:8" x14ac:dyDescent="0.3">
      <c r="A1219" t="s">
        <v>75</v>
      </c>
      <c r="B1219" t="s">
        <v>8</v>
      </c>
      <c r="C1219" t="s">
        <v>19</v>
      </c>
      <c r="D1219">
        <v>0</v>
      </c>
      <c r="E1219" t="s">
        <v>68</v>
      </c>
      <c r="F1219" t="s">
        <v>39</v>
      </c>
      <c r="G1219" t="s">
        <v>40</v>
      </c>
      <c r="H1219">
        <f t="shared" ref="H1219:H1282" si="19">ROUND(D1219, 3 - LEN(INT(ABS(D1219))))</f>
        <v>0</v>
      </c>
    </row>
    <row r="1220" spans="1:8" x14ac:dyDescent="0.3">
      <c r="A1220" t="s">
        <v>75</v>
      </c>
      <c r="B1220" t="s">
        <v>8</v>
      </c>
      <c r="C1220" t="s">
        <v>20</v>
      </c>
      <c r="D1220">
        <v>0</v>
      </c>
      <c r="E1220" t="s">
        <v>68</v>
      </c>
      <c r="F1220" t="s">
        <v>39</v>
      </c>
      <c r="G1220" t="s">
        <v>40</v>
      </c>
      <c r="H1220">
        <f t="shared" si="19"/>
        <v>0</v>
      </c>
    </row>
    <row r="1221" spans="1:8" x14ac:dyDescent="0.3">
      <c r="A1221" t="s">
        <v>75</v>
      </c>
      <c r="B1221" t="s">
        <v>8</v>
      </c>
      <c r="C1221" t="s">
        <v>21</v>
      </c>
      <c r="D1221">
        <v>0</v>
      </c>
      <c r="E1221" t="s">
        <v>68</v>
      </c>
      <c r="F1221" t="s">
        <v>39</v>
      </c>
      <c r="G1221" t="s">
        <v>40</v>
      </c>
      <c r="H1221">
        <f t="shared" si="19"/>
        <v>0</v>
      </c>
    </row>
    <row r="1222" spans="1:8" x14ac:dyDescent="0.3">
      <c r="A1222" t="s">
        <v>75</v>
      </c>
      <c r="B1222" t="s">
        <v>8</v>
      </c>
      <c r="C1222" t="s">
        <v>22</v>
      </c>
      <c r="D1222">
        <v>66</v>
      </c>
      <c r="E1222" t="s">
        <v>68</v>
      </c>
      <c r="F1222" t="s">
        <v>39</v>
      </c>
      <c r="G1222" t="s">
        <v>40</v>
      </c>
      <c r="H1222">
        <f t="shared" si="19"/>
        <v>66</v>
      </c>
    </row>
    <row r="1223" spans="1:8" x14ac:dyDescent="0.3">
      <c r="A1223" t="s">
        <v>75</v>
      </c>
      <c r="B1223" t="s">
        <v>23</v>
      </c>
      <c r="C1223" t="s">
        <v>9</v>
      </c>
      <c r="D1223">
        <v>107617</v>
      </c>
      <c r="E1223" t="s">
        <v>68</v>
      </c>
      <c r="F1223" t="s">
        <v>39</v>
      </c>
      <c r="G1223" t="s">
        <v>40</v>
      </c>
      <c r="H1223">
        <f t="shared" si="19"/>
        <v>108000</v>
      </c>
    </row>
    <row r="1224" spans="1:8" x14ac:dyDescent="0.3">
      <c r="A1224" t="s">
        <v>75</v>
      </c>
      <c r="B1224" t="s">
        <v>23</v>
      </c>
      <c r="C1224" t="s">
        <v>13</v>
      </c>
      <c r="D1224">
        <v>609</v>
      </c>
      <c r="E1224" t="s">
        <v>68</v>
      </c>
      <c r="F1224" t="s">
        <v>39</v>
      </c>
      <c r="G1224" t="s">
        <v>40</v>
      </c>
      <c r="H1224">
        <f t="shared" si="19"/>
        <v>609</v>
      </c>
    </row>
    <row r="1225" spans="1:8" x14ac:dyDescent="0.3">
      <c r="A1225" t="s">
        <v>75</v>
      </c>
      <c r="B1225" t="s">
        <v>23</v>
      </c>
      <c r="C1225" t="s">
        <v>14</v>
      </c>
      <c r="D1225">
        <v>3549</v>
      </c>
      <c r="E1225" t="s">
        <v>68</v>
      </c>
      <c r="F1225" t="s">
        <v>39</v>
      </c>
      <c r="G1225" t="s">
        <v>40</v>
      </c>
      <c r="H1225">
        <f t="shared" si="19"/>
        <v>3550</v>
      </c>
    </row>
    <row r="1226" spans="1:8" x14ac:dyDescent="0.3">
      <c r="A1226" t="s">
        <v>75</v>
      </c>
      <c r="B1226" t="s">
        <v>23</v>
      </c>
      <c r="C1226" t="s">
        <v>15</v>
      </c>
      <c r="D1226">
        <v>90</v>
      </c>
      <c r="E1226" t="s">
        <v>68</v>
      </c>
      <c r="F1226" t="s">
        <v>39</v>
      </c>
      <c r="G1226" t="s">
        <v>40</v>
      </c>
      <c r="H1226">
        <f t="shared" si="19"/>
        <v>90</v>
      </c>
    </row>
    <row r="1227" spans="1:8" x14ac:dyDescent="0.3">
      <c r="A1227" t="s">
        <v>75</v>
      </c>
      <c r="B1227" t="s">
        <v>23</v>
      </c>
      <c r="C1227" t="s">
        <v>16</v>
      </c>
      <c r="D1227">
        <v>16054</v>
      </c>
      <c r="E1227" t="s">
        <v>68</v>
      </c>
      <c r="F1227" t="s">
        <v>39</v>
      </c>
      <c r="G1227" t="s">
        <v>40</v>
      </c>
      <c r="H1227">
        <f t="shared" si="19"/>
        <v>16100</v>
      </c>
    </row>
    <row r="1228" spans="1:8" x14ac:dyDescent="0.3">
      <c r="A1228" t="s">
        <v>75</v>
      </c>
      <c r="B1228" t="s">
        <v>23</v>
      </c>
      <c r="C1228" t="s">
        <v>17</v>
      </c>
      <c r="D1228">
        <v>1239</v>
      </c>
      <c r="E1228" t="s">
        <v>68</v>
      </c>
      <c r="F1228" t="s">
        <v>39</v>
      </c>
      <c r="G1228" t="s">
        <v>40</v>
      </c>
      <c r="H1228">
        <f t="shared" si="19"/>
        <v>1240</v>
      </c>
    </row>
    <row r="1229" spans="1:8" x14ac:dyDescent="0.3">
      <c r="A1229" t="s">
        <v>75</v>
      </c>
      <c r="B1229" t="s">
        <v>23</v>
      </c>
      <c r="C1229" t="s">
        <v>18</v>
      </c>
      <c r="D1229">
        <v>0</v>
      </c>
      <c r="E1229" t="s">
        <v>68</v>
      </c>
      <c r="F1229" t="s">
        <v>39</v>
      </c>
      <c r="G1229" t="s">
        <v>40</v>
      </c>
      <c r="H1229">
        <f t="shared" si="19"/>
        <v>0</v>
      </c>
    </row>
    <row r="1230" spans="1:8" x14ac:dyDescent="0.3">
      <c r="A1230" t="s">
        <v>75</v>
      </c>
      <c r="B1230" t="s">
        <v>23</v>
      </c>
      <c r="C1230" t="s">
        <v>19</v>
      </c>
      <c r="D1230">
        <v>76</v>
      </c>
      <c r="E1230" t="s">
        <v>68</v>
      </c>
      <c r="F1230" t="s">
        <v>39</v>
      </c>
      <c r="G1230" t="s">
        <v>40</v>
      </c>
      <c r="H1230">
        <f t="shared" si="19"/>
        <v>76</v>
      </c>
    </row>
    <row r="1231" spans="1:8" x14ac:dyDescent="0.3">
      <c r="A1231" t="s">
        <v>75</v>
      </c>
      <c r="B1231" t="s">
        <v>23</v>
      </c>
      <c r="C1231" t="s">
        <v>20</v>
      </c>
      <c r="D1231">
        <v>803</v>
      </c>
      <c r="E1231" t="s">
        <v>68</v>
      </c>
      <c r="F1231" t="s">
        <v>39</v>
      </c>
      <c r="G1231" t="s">
        <v>40</v>
      </c>
      <c r="H1231">
        <f t="shared" si="19"/>
        <v>803</v>
      </c>
    </row>
    <row r="1232" spans="1:8" x14ac:dyDescent="0.3">
      <c r="A1232" t="s">
        <v>75</v>
      </c>
      <c r="B1232" t="s">
        <v>23</v>
      </c>
      <c r="C1232" t="s">
        <v>21</v>
      </c>
      <c r="D1232">
        <v>163</v>
      </c>
      <c r="E1232" t="s">
        <v>68</v>
      </c>
      <c r="F1232" t="s">
        <v>39</v>
      </c>
      <c r="G1232" t="s">
        <v>40</v>
      </c>
      <c r="H1232">
        <f t="shared" si="19"/>
        <v>163</v>
      </c>
    </row>
    <row r="1233" spans="1:8" x14ac:dyDescent="0.3">
      <c r="A1233" t="s">
        <v>75</v>
      </c>
      <c r="B1233" t="s">
        <v>23</v>
      </c>
      <c r="C1233" t="s">
        <v>22</v>
      </c>
      <c r="D1233">
        <v>473</v>
      </c>
      <c r="E1233" t="s">
        <v>68</v>
      </c>
      <c r="F1233" t="s">
        <v>39</v>
      </c>
      <c r="G1233" t="s">
        <v>40</v>
      </c>
      <c r="H1233">
        <f t="shared" si="19"/>
        <v>473</v>
      </c>
    </row>
    <row r="1234" spans="1:8" x14ac:dyDescent="0.3">
      <c r="A1234" t="s">
        <v>76</v>
      </c>
      <c r="B1234" t="s">
        <v>8</v>
      </c>
      <c r="C1234" t="s">
        <v>9</v>
      </c>
      <c r="D1234">
        <v>19248</v>
      </c>
      <c r="E1234" t="s">
        <v>68</v>
      </c>
      <c r="F1234" t="s">
        <v>39</v>
      </c>
      <c r="G1234" t="s">
        <v>40</v>
      </c>
      <c r="H1234">
        <f t="shared" si="19"/>
        <v>19200</v>
      </c>
    </row>
    <row r="1235" spans="1:8" x14ac:dyDescent="0.3">
      <c r="A1235" t="s">
        <v>76</v>
      </c>
      <c r="B1235" t="s">
        <v>8</v>
      </c>
      <c r="C1235" t="s">
        <v>13</v>
      </c>
      <c r="D1235">
        <v>4</v>
      </c>
      <c r="E1235" t="s">
        <v>68</v>
      </c>
      <c r="F1235" t="s">
        <v>39</v>
      </c>
      <c r="G1235" t="s">
        <v>40</v>
      </c>
      <c r="H1235">
        <f t="shared" si="19"/>
        <v>4</v>
      </c>
    </row>
    <row r="1236" spans="1:8" x14ac:dyDescent="0.3">
      <c r="A1236" t="s">
        <v>76</v>
      </c>
      <c r="B1236" t="s">
        <v>8</v>
      </c>
      <c r="C1236" t="s">
        <v>14</v>
      </c>
      <c r="D1236">
        <v>1</v>
      </c>
      <c r="E1236" t="s">
        <v>68</v>
      </c>
      <c r="F1236" t="s">
        <v>39</v>
      </c>
      <c r="G1236" t="s">
        <v>40</v>
      </c>
      <c r="H1236">
        <f t="shared" si="19"/>
        <v>1</v>
      </c>
    </row>
    <row r="1237" spans="1:8" x14ac:dyDescent="0.3">
      <c r="A1237" t="s">
        <v>76</v>
      </c>
      <c r="B1237" t="s">
        <v>8</v>
      </c>
      <c r="C1237" t="s">
        <v>15</v>
      </c>
      <c r="D1237">
        <v>0</v>
      </c>
      <c r="E1237" t="s">
        <v>68</v>
      </c>
      <c r="F1237" t="s">
        <v>39</v>
      </c>
      <c r="G1237" t="s">
        <v>40</v>
      </c>
      <c r="H1237">
        <f t="shared" si="19"/>
        <v>0</v>
      </c>
    </row>
    <row r="1238" spans="1:8" x14ac:dyDescent="0.3">
      <c r="A1238" t="s">
        <v>76</v>
      </c>
      <c r="B1238" t="s">
        <v>8</v>
      </c>
      <c r="C1238" t="s">
        <v>16</v>
      </c>
      <c r="D1238">
        <v>0</v>
      </c>
      <c r="E1238" t="s">
        <v>68</v>
      </c>
      <c r="F1238" t="s">
        <v>39</v>
      </c>
      <c r="G1238" t="s">
        <v>40</v>
      </c>
      <c r="H1238">
        <f t="shared" si="19"/>
        <v>0</v>
      </c>
    </row>
    <row r="1239" spans="1:8" x14ac:dyDescent="0.3">
      <c r="A1239" t="s">
        <v>76</v>
      </c>
      <c r="B1239" t="s">
        <v>8</v>
      </c>
      <c r="C1239" t="s">
        <v>17</v>
      </c>
      <c r="D1239">
        <v>10</v>
      </c>
      <c r="E1239" t="s">
        <v>68</v>
      </c>
      <c r="F1239" t="s">
        <v>39</v>
      </c>
      <c r="G1239" t="s">
        <v>40</v>
      </c>
      <c r="H1239">
        <f t="shared" si="19"/>
        <v>10</v>
      </c>
    </row>
    <row r="1240" spans="1:8" x14ac:dyDescent="0.3">
      <c r="A1240" t="s">
        <v>76</v>
      </c>
      <c r="B1240" t="s">
        <v>8</v>
      </c>
      <c r="C1240" t="s">
        <v>18</v>
      </c>
      <c r="D1240">
        <v>0</v>
      </c>
      <c r="E1240" t="s">
        <v>68</v>
      </c>
      <c r="F1240" t="s">
        <v>39</v>
      </c>
      <c r="G1240" t="s">
        <v>40</v>
      </c>
      <c r="H1240">
        <f t="shared" si="19"/>
        <v>0</v>
      </c>
    </row>
    <row r="1241" spans="1:8" x14ac:dyDescent="0.3">
      <c r="A1241" t="s">
        <v>76</v>
      </c>
      <c r="B1241" t="s">
        <v>8</v>
      </c>
      <c r="C1241" t="s">
        <v>19</v>
      </c>
      <c r="D1241">
        <v>0</v>
      </c>
      <c r="E1241" t="s">
        <v>68</v>
      </c>
      <c r="F1241" t="s">
        <v>39</v>
      </c>
      <c r="G1241" t="s">
        <v>40</v>
      </c>
      <c r="H1241">
        <f t="shared" si="19"/>
        <v>0</v>
      </c>
    </row>
    <row r="1242" spans="1:8" x14ac:dyDescent="0.3">
      <c r="A1242" t="s">
        <v>76</v>
      </c>
      <c r="B1242" t="s">
        <v>8</v>
      </c>
      <c r="C1242" t="s">
        <v>20</v>
      </c>
      <c r="D1242">
        <v>0</v>
      </c>
      <c r="E1242" t="s">
        <v>68</v>
      </c>
      <c r="F1242" t="s">
        <v>39</v>
      </c>
      <c r="G1242" t="s">
        <v>40</v>
      </c>
      <c r="H1242">
        <f t="shared" si="19"/>
        <v>0</v>
      </c>
    </row>
    <row r="1243" spans="1:8" x14ac:dyDescent="0.3">
      <c r="A1243" t="s">
        <v>76</v>
      </c>
      <c r="B1243" t="s">
        <v>8</v>
      </c>
      <c r="C1243" t="s">
        <v>21</v>
      </c>
      <c r="D1243">
        <v>0</v>
      </c>
      <c r="E1243" t="s">
        <v>68</v>
      </c>
      <c r="F1243" t="s">
        <v>39</v>
      </c>
      <c r="G1243" t="s">
        <v>40</v>
      </c>
      <c r="H1243">
        <f t="shared" si="19"/>
        <v>0</v>
      </c>
    </row>
    <row r="1244" spans="1:8" x14ac:dyDescent="0.3">
      <c r="A1244" t="s">
        <v>76</v>
      </c>
      <c r="B1244" t="s">
        <v>8</v>
      </c>
      <c r="C1244" t="s">
        <v>22</v>
      </c>
      <c r="D1244">
        <v>64</v>
      </c>
      <c r="E1244" t="s">
        <v>68</v>
      </c>
      <c r="F1244" t="s">
        <v>39</v>
      </c>
      <c r="G1244" t="s">
        <v>40</v>
      </c>
      <c r="H1244">
        <f t="shared" si="19"/>
        <v>64</v>
      </c>
    </row>
    <row r="1245" spans="1:8" x14ac:dyDescent="0.3">
      <c r="A1245" t="s">
        <v>76</v>
      </c>
      <c r="B1245" t="s">
        <v>23</v>
      </c>
      <c r="C1245" t="s">
        <v>9</v>
      </c>
      <c r="D1245">
        <v>104389</v>
      </c>
      <c r="E1245" t="s">
        <v>68</v>
      </c>
      <c r="F1245" t="s">
        <v>39</v>
      </c>
      <c r="G1245" t="s">
        <v>40</v>
      </c>
      <c r="H1245">
        <f t="shared" si="19"/>
        <v>104000</v>
      </c>
    </row>
    <row r="1246" spans="1:8" x14ac:dyDescent="0.3">
      <c r="A1246" t="s">
        <v>76</v>
      </c>
      <c r="B1246" t="s">
        <v>23</v>
      </c>
      <c r="C1246" t="s">
        <v>13</v>
      </c>
      <c r="D1246">
        <v>591</v>
      </c>
      <c r="E1246" t="s">
        <v>68</v>
      </c>
      <c r="F1246" t="s">
        <v>39</v>
      </c>
      <c r="G1246" t="s">
        <v>40</v>
      </c>
      <c r="H1246">
        <f t="shared" si="19"/>
        <v>591</v>
      </c>
    </row>
    <row r="1247" spans="1:8" x14ac:dyDescent="0.3">
      <c r="A1247" t="s">
        <v>76</v>
      </c>
      <c r="B1247" t="s">
        <v>23</v>
      </c>
      <c r="C1247" t="s">
        <v>14</v>
      </c>
      <c r="D1247">
        <v>3442</v>
      </c>
      <c r="E1247" t="s">
        <v>68</v>
      </c>
      <c r="F1247" t="s">
        <v>39</v>
      </c>
      <c r="G1247" t="s">
        <v>40</v>
      </c>
      <c r="H1247">
        <f t="shared" si="19"/>
        <v>3440</v>
      </c>
    </row>
    <row r="1248" spans="1:8" x14ac:dyDescent="0.3">
      <c r="A1248" t="s">
        <v>76</v>
      </c>
      <c r="B1248" t="s">
        <v>23</v>
      </c>
      <c r="C1248" t="s">
        <v>15</v>
      </c>
      <c r="D1248">
        <v>87</v>
      </c>
      <c r="E1248" t="s">
        <v>68</v>
      </c>
      <c r="F1248" t="s">
        <v>39</v>
      </c>
      <c r="G1248" t="s">
        <v>40</v>
      </c>
      <c r="H1248">
        <f t="shared" si="19"/>
        <v>87</v>
      </c>
    </row>
    <row r="1249" spans="1:8" x14ac:dyDescent="0.3">
      <c r="A1249" t="s">
        <v>76</v>
      </c>
      <c r="B1249" t="s">
        <v>23</v>
      </c>
      <c r="C1249" t="s">
        <v>16</v>
      </c>
      <c r="D1249">
        <v>15572</v>
      </c>
      <c r="E1249" t="s">
        <v>68</v>
      </c>
      <c r="F1249" t="s">
        <v>39</v>
      </c>
      <c r="G1249" t="s">
        <v>40</v>
      </c>
      <c r="H1249">
        <f t="shared" si="19"/>
        <v>15600</v>
      </c>
    </row>
    <row r="1250" spans="1:8" x14ac:dyDescent="0.3">
      <c r="A1250" t="s">
        <v>76</v>
      </c>
      <c r="B1250" t="s">
        <v>23</v>
      </c>
      <c r="C1250" t="s">
        <v>17</v>
      </c>
      <c r="D1250">
        <v>1202</v>
      </c>
      <c r="E1250" t="s">
        <v>68</v>
      </c>
      <c r="F1250" t="s">
        <v>39</v>
      </c>
      <c r="G1250" t="s">
        <v>40</v>
      </c>
      <c r="H1250">
        <f t="shared" si="19"/>
        <v>1200</v>
      </c>
    </row>
    <row r="1251" spans="1:8" x14ac:dyDescent="0.3">
      <c r="A1251" t="s">
        <v>76</v>
      </c>
      <c r="B1251" t="s">
        <v>23</v>
      </c>
      <c r="C1251" t="s">
        <v>18</v>
      </c>
      <c r="D1251">
        <v>0</v>
      </c>
      <c r="E1251" t="s">
        <v>68</v>
      </c>
      <c r="F1251" t="s">
        <v>39</v>
      </c>
      <c r="G1251" t="s">
        <v>40</v>
      </c>
      <c r="H1251">
        <f t="shared" si="19"/>
        <v>0</v>
      </c>
    </row>
    <row r="1252" spans="1:8" x14ac:dyDescent="0.3">
      <c r="A1252" t="s">
        <v>76</v>
      </c>
      <c r="B1252" t="s">
        <v>23</v>
      </c>
      <c r="C1252" t="s">
        <v>19</v>
      </c>
      <c r="D1252">
        <v>73</v>
      </c>
      <c r="E1252" t="s">
        <v>68</v>
      </c>
      <c r="F1252" t="s">
        <v>39</v>
      </c>
      <c r="G1252" t="s">
        <v>40</v>
      </c>
      <c r="H1252">
        <f t="shared" si="19"/>
        <v>73</v>
      </c>
    </row>
    <row r="1253" spans="1:8" x14ac:dyDescent="0.3">
      <c r="A1253" t="s">
        <v>76</v>
      </c>
      <c r="B1253" t="s">
        <v>23</v>
      </c>
      <c r="C1253" t="s">
        <v>20</v>
      </c>
      <c r="D1253">
        <v>779</v>
      </c>
      <c r="E1253" t="s">
        <v>68</v>
      </c>
      <c r="F1253" t="s">
        <v>39</v>
      </c>
      <c r="G1253" t="s">
        <v>40</v>
      </c>
      <c r="H1253">
        <f t="shared" si="19"/>
        <v>779</v>
      </c>
    </row>
    <row r="1254" spans="1:8" x14ac:dyDescent="0.3">
      <c r="A1254" t="s">
        <v>76</v>
      </c>
      <c r="B1254" t="s">
        <v>23</v>
      </c>
      <c r="C1254" t="s">
        <v>21</v>
      </c>
      <c r="D1254">
        <v>158</v>
      </c>
      <c r="E1254" t="s">
        <v>68</v>
      </c>
      <c r="F1254" t="s">
        <v>39</v>
      </c>
      <c r="G1254" t="s">
        <v>40</v>
      </c>
      <c r="H1254">
        <f t="shared" si="19"/>
        <v>158</v>
      </c>
    </row>
    <row r="1255" spans="1:8" x14ac:dyDescent="0.3">
      <c r="A1255" t="s">
        <v>76</v>
      </c>
      <c r="B1255" t="s">
        <v>23</v>
      </c>
      <c r="C1255" t="s">
        <v>22</v>
      </c>
      <c r="D1255">
        <v>459</v>
      </c>
      <c r="E1255" t="s">
        <v>68</v>
      </c>
      <c r="F1255" t="s">
        <v>39</v>
      </c>
      <c r="G1255" t="s">
        <v>40</v>
      </c>
      <c r="H1255">
        <f t="shared" si="19"/>
        <v>459</v>
      </c>
    </row>
    <row r="1256" spans="1:8" x14ac:dyDescent="0.3">
      <c r="A1256" t="s">
        <v>77</v>
      </c>
      <c r="B1256" t="s">
        <v>8</v>
      </c>
      <c r="C1256" t="s">
        <v>9</v>
      </c>
      <c r="D1256">
        <v>0</v>
      </c>
      <c r="E1256" t="s">
        <v>68</v>
      </c>
      <c r="F1256" t="s">
        <v>39</v>
      </c>
      <c r="G1256" t="s">
        <v>40</v>
      </c>
      <c r="H1256">
        <f t="shared" si="19"/>
        <v>0</v>
      </c>
    </row>
    <row r="1257" spans="1:8" x14ac:dyDescent="0.3">
      <c r="A1257" t="s">
        <v>77</v>
      </c>
      <c r="B1257" t="s">
        <v>8</v>
      </c>
      <c r="C1257" t="s">
        <v>13</v>
      </c>
      <c r="D1257">
        <v>0</v>
      </c>
      <c r="E1257" t="s">
        <v>68</v>
      </c>
      <c r="F1257" t="s">
        <v>39</v>
      </c>
      <c r="G1257" t="s">
        <v>40</v>
      </c>
      <c r="H1257">
        <f t="shared" si="19"/>
        <v>0</v>
      </c>
    </row>
    <row r="1258" spans="1:8" x14ac:dyDescent="0.3">
      <c r="A1258" t="s">
        <v>77</v>
      </c>
      <c r="B1258" t="s">
        <v>8</v>
      </c>
      <c r="C1258" t="s">
        <v>14</v>
      </c>
      <c r="D1258">
        <v>0</v>
      </c>
      <c r="E1258" t="s">
        <v>68</v>
      </c>
      <c r="F1258" t="s">
        <v>39</v>
      </c>
      <c r="G1258" t="s">
        <v>40</v>
      </c>
      <c r="H1258">
        <f t="shared" si="19"/>
        <v>0</v>
      </c>
    </row>
    <row r="1259" spans="1:8" x14ac:dyDescent="0.3">
      <c r="A1259" t="s">
        <v>77</v>
      </c>
      <c r="B1259" t="s">
        <v>8</v>
      </c>
      <c r="C1259" t="s">
        <v>15</v>
      </c>
      <c r="D1259">
        <v>3</v>
      </c>
      <c r="E1259" t="s">
        <v>68</v>
      </c>
      <c r="F1259" t="s">
        <v>39</v>
      </c>
      <c r="G1259" t="s">
        <v>40</v>
      </c>
      <c r="H1259">
        <f t="shared" si="19"/>
        <v>3</v>
      </c>
    </row>
    <row r="1260" spans="1:8" x14ac:dyDescent="0.3">
      <c r="A1260" t="s">
        <v>77</v>
      </c>
      <c r="B1260" t="s">
        <v>8</v>
      </c>
      <c r="C1260" t="s">
        <v>16</v>
      </c>
      <c r="D1260">
        <v>0</v>
      </c>
      <c r="E1260" t="s">
        <v>68</v>
      </c>
      <c r="F1260" t="s">
        <v>39</v>
      </c>
      <c r="G1260" t="s">
        <v>40</v>
      </c>
      <c r="H1260">
        <f t="shared" si="19"/>
        <v>0</v>
      </c>
    </row>
    <row r="1261" spans="1:8" x14ac:dyDescent="0.3">
      <c r="A1261" t="s">
        <v>77</v>
      </c>
      <c r="B1261" t="s">
        <v>8</v>
      </c>
      <c r="C1261" t="s">
        <v>17</v>
      </c>
      <c r="D1261">
        <v>1</v>
      </c>
      <c r="E1261" t="s">
        <v>68</v>
      </c>
      <c r="F1261" t="s">
        <v>39</v>
      </c>
      <c r="G1261" t="s">
        <v>40</v>
      </c>
      <c r="H1261">
        <f t="shared" si="19"/>
        <v>1</v>
      </c>
    </row>
    <row r="1262" spans="1:8" x14ac:dyDescent="0.3">
      <c r="A1262" t="s">
        <v>77</v>
      </c>
      <c r="B1262" t="s">
        <v>8</v>
      </c>
      <c r="C1262" t="s">
        <v>18</v>
      </c>
      <c r="D1262">
        <v>0</v>
      </c>
      <c r="E1262" t="s">
        <v>68</v>
      </c>
      <c r="F1262" t="s">
        <v>39</v>
      </c>
      <c r="G1262" t="s">
        <v>40</v>
      </c>
      <c r="H1262">
        <f t="shared" si="19"/>
        <v>0</v>
      </c>
    </row>
    <row r="1263" spans="1:8" x14ac:dyDescent="0.3">
      <c r="A1263" t="s">
        <v>77</v>
      </c>
      <c r="B1263" t="s">
        <v>8</v>
      </c>
      <c r="C1263" t="s">
        <v>19</v>
      </c>
      <c r="D1263">
        <v>0</v>
      </c>
      <c r="E1263" t="s">
        <v>68</v>
      </c>
      <c r="F1263" t="s">
        <v>39</v>
      </c>
      <c r="G1263" t="s">
        <v>40</v>
      </c>
      <c r="H1263">
        <f t="shared" si="19"/>
        <v>0</v>
      </c>
    </row>
    <row r="1264" spans="1:8" x14ac:dyDescent="0.3">
      <c r="A1264" t="s">
        <v>77</v>
      </c>
      <c r="B1264" t="s">
        <v>8</v>
      </c>
      <c r="C1264" t="s">
        <v>20</v>
      </c>
      <c r="D1264">
        <v>4008</v>
      </c>
      <c r="E1264" t="s">
        <v>68</v>
      </c>
      <c r="F1264" t="s">
        <v>39</v>
      </c>
      <c r="G1264" t="s">
        <v>40</v>
      </c>
      <c r="H1264">
        <f t="shared" si="19"/>
        <v>4010</v>
      </c>
    </row>
    <row r="1265" spans="1:8" x14ac:dyDescent="0.3">
      <c r="A1265" t="s">
        <v>77</v>
      </c>
      <c r="B1265" t="s">
        <v>8</v>
      </c>
      <c r="C1265" t="s">
        <v>21</v>
      </c>
      <c r="D1265">
        <v>0</v>
      </c>
      <c r="E1265" t="s">
        <v>68</v>
      </c>
      <c r="F1265" t="s">
        <v>39</v>
      </c>
      <c r="G1265" t="s">
        <v>40</v>
      </c>
      <c r="H1265">
        <f t="shared" si="19"/>
        <v>0</v>
      </c>
    </row>
    <row r="1266" spans="1:8" x14ac:dyDescent="0.3">
      <c r="A1266" t="s">
        <v>77</v>
      </c>
      <c r="B1266" t="s">
        <v>8</v>
      </c>
      <c r="C1266" t="s">
        <v>22</v>
      </c>
      <c r="D1266">
        <v>9</v>
      </c>
      <c r="E1266" t="s">
        <v>68</v>
      </c>
      <c r="F1266" t="s">
        <v>39</v>
      </c>
      <c r="G1266" t="s">
        <v>40</v>
      </c>
      <c r="H1266">
        <f t="shared" si="19"/>
        <v>9</v>
      </c>
    </row>
    <row r="1267" spans="1:8" x14ac:dyDescent="0.3">
      <c r="A1267" t="s">
        <v>77</v>
      </c>
      <c r="B1267" t="s">
        <v>23</v>
      </c>
      <c r="C1267" t="s">
        <v>9</v>
      </c>
      <c r="D1267">
        <v>215</v>
      </c>
      <c r="E1267" t="s">
        <v>68</v>
      </c>
      <c r="F1267" t="s">
        <v>39</v>
      </c>
      <c r="G1267" t="s">
        <v>40</v>
      </c>
      <c r="H1267">
        <f t="shared" si="19"/>
        <v>215</v>
      </c>
    </row>
    <row r="1268" spans="1:8" x14ac:dyDescent="0.3">
      <c r="A1268" t="s">
        <v>77</v>
      </c>
      <c r="B1268" t="s">
        <v>23</v>
      </c>
      <c r="C1268" t="s">
        <v>13</v>
      </c>
      <c r="D1268">
        <v>181</v>
      </c>
      <c r="E1268" t="s">
        <v>68</v>
      </c>
      <c r="F1268" t="s">
        <v>39</v>
      </c>
      <c r="G1268" t="s">
        <v>40</v>
      </c>
      <c r="H1268">
        <f t="shared" si="19"/>
        <v>181</v>
      </c>
    </row>
    <row r="1269" spans="1:8" x14ac:dyDescent="0.3">
      <c r="A1269" t="s">
        <v>77</v>
      </c>
      <c r="B1269" t="s">
        <v>23</v>
      </c>
      <c r="C1269" t="s">
        <v>14</v>
      </c>
      <c r="D1269">
        <v>672</v>
      </c>
      <c r="E1269" t="s">
        <v>68</v>
      </c>
      <c r="F1269" t="s">
        <v>39</v>
      </c>
      <c r="G1269" t="s">
        <v>40</v>
      </c>
      <c r="H1269">
        <f t="shared" si="19"/>
        <v>672</v>
      </c>
    </row>
    <row r="1270" spans="1:8" x14ac:dyDescent="0.3">
      <c r="A1270" t="s">
        <v>77</v>
      </c>
      <c r="B1270" t="s">
        <v>23</v>
      </c>
      <c r="C1270" t="s">
        <v>15</v>
      </c>
      <c r="D1270">
        <v>37</v>
      </c>
      <c r="E1270" t="s">
        <v>68</v>
      </c>
      <c r="F1270" t="s">
        <v>39</v>
      </c>
      <c r="G1270" t="s">
        <v>40</v>
      </c>
      <c r="H1270">
        <f t="shared" si="19"/>
        <v>37</v>
      </c>
    </row>
    <row r="1271" spans="1:8" x14ac:dyDescent="0.3">
      <c r="A1271" t="s">
        <v>77</v>
      </c>
      <c r="B1271" t="s">
        <v>23</v>
      </c>
      <c r="C1271" t="s">
        <v>16</v>
      </c>
      <c r="D1271">
        <v>1189</v>
      </c>
      <c r="E1271" t="s">
        <v>68</v>
      </c>
      <c r="F1271" t="s">
        <v>39</v>
      </c>
      <c r="G1271" t="s">
        <v>40</v>
      </c>
      <c r="H1271">
        <f t="shared" si="19"/>
        <v>1190</v>
      </c>
    </row>
    <row r="1272" spans="1:8" x14ac:dyDescent="0.3">
      <c r="A1272" t="s">
        <v>77</v>
      </c>
      <c r="B1272" t="s">
        <v>23</v>
      </c>
      <c r="C1272" t="s">
        <v>17</v>
      </c>
      <c r="D1272">
        <v>17</v>
      </c>
      <c r="E1272" t="s">
        <v>68</v>
      </c>
      <c r="F1272" t="s">
        <v>39</v>
      </c>
      <c r="G1272" t="s">
        <v>40</v>
      </c>
      <c r="H1272">
        <f t="shared" si="19"/>
        <v>17</v>
      </c>
    </row>
    <row r="1273" spans="1:8" x14ac:dyDescent="0.3">
      <c r="A1273" t="s">
        <v>77</v>
      </c>
      <c r="B1273" t="s">
        <v>23</v>
      </c>
      <c r="C1273" t="s">
        <v>18</v>
      </c>
      <c r="D1273">
        <v>0</v>
      </c>
      <c r="E1273" t="s">
        <v>68</v>
      </c>
      <c r="F1273" t="s">
        <v>39</v>
      </c>
      <c r="G1273" t="s">
        <v>40</v>
      </c>
      <c r="H1273">
        <f t="shared" si="19"/>
        <v>0</v>
      </c>
    </row>
    <row r="1274" spans="1:8" x14ac:dyDescent="0.3">
      <c r="A1274" t="s">
        <v>77</v>
      </c>
      <c r="B1274" t="s">
        <v>23</v>
      </c>
      <c r="C1274" t="s">
        <v>19</v>
      </c>
      <c r="D1274">
        <v>25</v>
      </c>
      <c r="E1274" t="s">
        <v>68</v>
      </c>
      <c r="F1274" t="s">
        <v>39</v>
      </c>
      <c r="G1274" t="s">
        <v>40</v>
      </c>
      <c r="H1274">
        <f t="shared" si="19"/>
        <v>25</v>
      </c>
    </row>
    <row r="1275" spans="1:8" x14ac:dyDescent="0.3">
      <c r="A1275" t="s">
        <v>77</v>
      </c>
      <c r="B1275" t="s">
        <v>23</v>
      </c>
      <c r="C1275" t="s">
        <v>20</v>
      </c>
      <c r="D1275">
        <v>61898</v>
      </c>
      <c r="E1275" t="s">
        <v>68</v>
      </c>
      <c r="F1275" t="s">
        <v>39</v>
      </c>
      <c r="G1275" t="s">
        <v>40</v>
      </c>
      <c r="H1275">
        <f t="shared" si="19"/>
        <v>61900</v>
      </c>
    </row>
    <row r="1276" spans="1:8" x14ac:dyDescent="0.3">
      <c r="A1276" t="s">
        <v>77</v>
      </c>
      <c r="B1276" t="s">
        <v>23</v>
      </c>
      <c r="C1276" t="s">
        <v>21</v>
      </c>
      <c r="D1276">
        <v>33</v>
      </c>
      <c r="E1276" t="s">
        <v>68</v>
      </c>
      <c r="F1276" t="s">
        <v>39</v>
      </c>
      <c r="G1276" t="s">
        <v>40</v>
      </c>
      <c r="H1276">
        <f t="shared" si="19"/>
        <v>33</v>
      </c>
    </row>
    <row r="1277" spans="1:8" x14ac:dyDescent="0.3">
      <c r="A1277" t="s">
        <v>77</v>
      </c>
      <c r="B1277" t="s">
        <v>23</v>
      </c>
      <c r="C1277" t="s">
        <v>22</v>
      </c>
      <c r="D1277">
        <v>248</v>
      </c>
      <c r="E1277" t="s">
        <v>68</v>
      </c>
      <c r="F1277" t="s">
        <v>39</v>
      </c>
      <c r="G1277" t="s">
        <v>40</v>
      </c>
      <c r="H1277">
        <f t="shared" si="19"/>
        <v>248</v>
      </c>
    </row>
    <row r="1278" spans="1:8" x14ac:dyDescent="0.3">
      <c r="A1278" t="s">
        <v>78</v>
      </c>
      <c r="B1278" t="s">
        <v>8</v>
      </c>
      <c r="C1278" t="s">
        <v>9</v>
      </c>
      <c r="D1278">
        <v>0</v>
      </c>
      <c r="E1278" t="s">
        <v>68</v>
      </c>
      <c r="F1278" t="s">
        <v>39</v>
      </c>
      <c r="G1278" t="s">
        <v>40</v>
      </c>
      <c r="H1278">
        <f t="shared" si="19"/>
        <v>0</v>
      </c>
    </row>
    <row r="1279" spans="1:8" x14ac:dyDescent="0.3">
      <c r="A1279" t="s">
        <v>78</v>
      </c>
      <c r="B1279" t="s">
        <v>8</v>
      </c>
      <c r="C1279" t="s">
        <v>13</v>
      </c>
      <c r="D1279">
        <v>0</v>
      </c>
      <c r="E1279" t="s">
        <v>68</v>
      </c>
      <c r="F1279" t="s">
        <v>39</v>
      </c>
      <c r="G1279" t="s">
        <v>40</v>
      </c>
      <c r="H1279">
        <f t="shared" si="19"/>
        <v>0</v>
      </c>
    </row>
    <row r="1280" spans="1:8" x14ac:dyDescent="0.3">
      <c r="A1280" t="s">
        <v>78</v>
      </c>
      <c r="B1280" t="s">
        <v>8</v>
      </c>
      <c r="C1280" t="s">
        <v>14</v>
      </c>
      <c r="D1280">
        <v>0</v>
      </c>
      <c r="E1280" t="s">
        <v>68</v>
      </c>
      <c r="F1280" t="s">
        <v>39</v>
      </c>
      <c r="G1280" t="s">
        <v>40</v>
      </c>
      <c r="H1280">
        <f t="shared" si="19"/>
        <v>0</v>
      </c>
    </row>
    <row r="1281" spans="1:8" x14ac:dyDescent="0.3">
      <c r="A1281" t="s">
        <v>78</v>
      </c>
      <c r="B1281" t="s">
        <v>8</v>
      </c>
      <c r="C1281" t="s">
        <v>15</v>
      </c>
      <c r="D1281">
        <v>0</v>
      </c>
      <c r="E1281" t="s">
        <v>68</v>
      </c>
      <c r="F1281" t="s">
        <v>39</v>
      </c>
      <c r="G1281" t="s">
        <v>40</v>
      </c>
      <c r="H1281">
        <f t="shared" si="19"/>
        <v>0</v>
      </c>
    </row>
    <row r="1282" spans="1:8" x14ac:dyDescent="0.3">
      <c r="A1282" t="s">
        <v>78</v>
      </c>
      <c r="B1282" t="s">
        <v>8</v>
      </c>
      <c r="C1282" t="s">
        <v>16</v>
      </c>
      <c r="D1282">
        <v>9005</v>
      </c>
      <c r="E1282" t="s">
        <v>68</v>
      </c>
      <c r="F1282" t="s">
        <v>39</v>
      </c>
      <c r="G1282" t="s">
        <v>40</v>
      </c>
      <c r="H1282">
        <f t="shared" si="19"/>
        <v>9010</v>
      </c>
    </row>
    <row r="1283" spans="1:8" x14ac:dyDescent="0.3">
      <c r="A1283" t="s">
        <v>78</v>
      </c>
      <c r="B1283" t="s">
        <v>8</v>
      </c>
      <c r="C1283" t="s">
        <v>17</v>
      </c>
      <c r="D1283">
        <v>1</v>
      </c>
      <c r="E1283" t="s">
        <v>68</v>
      </c>
      <c r="F1283" t="s">
        <v>39</v>
      </c>
      <c r="G1283" t="s">
        <v>40</v>
      </c>
      <c r="H1283">
        <f t="shared" ref="H1283:H1346" si="20">ROUND(D1283, 3 - LEN(INT(ABS(D1283))))</f>
        <v>1</v>
      </c>
    </row>
    <row r="1284" spans="1:8" x14ac:dyDescent="0.3">
      <c r="A1284" t="s">
        <v>78</v>
      </c>
      <c r="B1284" t="s">
        <v>8</v>
      </c>
      <c r="C1284" t="s">
        <v>18</v>
      </c>
      <c r="D1284">
        <v>0</v>
      </c>
      <c r="E1284" t="s">
        <v>68</v>
      </c>
      <c r="F1284" t="s">
        <v>39</v>
      </c>
      <c r="G1284" t="s">
        <v>40</v>
      </c>
      <c r="H1284">
        <f t="shared" si="20"/>
        <v>0</v>
      </c>
    </row>
    <row r="1285" spans="1:8" x14ac:dyDescent="0.3">
      <c r="A1285" t="s">
        <v>78</v>
      </c>
      <c r="B1285" t="s">
        <v>8</v>
      </c>
      <c r="C1285" t="s">
        <v>19</v>
      </c>
      <c r="D1285">
        <v>0</v>
      </c>
      <c r="E1285" t="s">
        <v>68</v>
      </c>
      <c r="F1285" t="s">
        <v>39</v>
      </c>
      <c r="G1285" t="s">
        <v>40</v>
      </c>
      <c r="H1285">
        <f t="shared" si="20"/>
        <v>0</v>
      </c>
    </row>
    <row r="1286" spans="1:8" x14ac:dyDescent="0.3">
      <c r="A1286" t="s">
        <v>78</v>
      </c>
      <c r="B1286" t="s">
        <v>8</v>
      </c>
      <c r="C1286" t="s">
        <v>20</v>
      </c>
      <c r="D1286">
        <v>0</v>
      </c>
      <c r="E1286" t="s">
        <v>68</v>
      </c>
      <c r="F1286" t="s">
        <v>39</v>
      </c>
      <c r="G1286" t="s">
        <v>40</v>
      </c>
      <c r="H1286">
        <f t="shared" si="20"/>
        <v>0</v>
      </c>
    </row>
    <row r="1287" spans="1:8" x14ac:dyDescent="0.3">
      <c r="A1287" t="s">
        <v>78</v>
      </c>
      <c r="B1287" t="s">
        <v>8</v>
      </c>
      <c r="C1287" t="s">
        <v>21</v>
      </c>
      <c r="D1287">
        <v>0</v>
      </c>
      <c r="E1287" t="s">
        <v>68</v>
      </c>
      <c r="F1287" t="s">
        <v>39</v>
      </c>
      <c r="G1287" t="s">
        <v>40</v>
      </c>
      <c r="H1287">
        <f t="shared" si="20"/>
        <v>0</v>
      </c>
    </row>
    <row r="1288" spans="1:8" x14ac:dyDescent="0.3">
      <c r="A1288" t="s">
        <v>78</v>
      </c>
      <c r="B1288" t="s">
        <v>8</v>
      </c>
      <c r="C1288" t="s">
        <v>22</v>
      </c>
      <c r="D1288">
        <v>5</v>
      </c>
      <c r="E1288" t="s">
        <v>68</v>
      </c>
      <c r="F1288" t="s">
        <v>39</v>
      </c>
      <c r="G1288" t="s">
        <v>40</v>
      </c>
      <c r="H1288">
        <f t="shared" si="20"/>
        <v>5</v>
      </c>
    </row>
    <row r="1289" spans="1:8" x14ac:dyDescent="0.3">
      <c r="A1289" t="s">
        <v>78</v>
      </c>
      <c r="B1289" t="s">
        <v>23</v>
      </c>
      <c r="C1289" t="s">
        <v>9</v>
      </c>
      <c r="D1289">
        <v>29</v>
      </c>
      <c r="E1289" t="s">
        <v>68</v>
      </c>
      <c r="F1289" t="s">
        <v>39</v>
      </c>
      <c r="G1289" t="s">
        <v>40</v>
      </c>
      <c r="H1289">
        <f t="shared" si="20"/>
        <v>29</v>
      </c>
    </row>
    <row r="1290" spans="1:8" x14ac:dyDescent="0.3">
      <c r="A1290" t="s">
        <v>78</v>
      </c>
      <c r="B1290" t="s">
        <v>23</v>
      </c>
      <c r="C1290" t="s">
        <v>13</v>
      </c>
      <c r="D1290">
        <v>29</v>
      </c>
      <c r="E1290" t="s">
        <v>68</v>
      </c>
      <c r="F1290" t="s">
        <v>39</v>
      </c>
      <c r="G1290" t="s">
        <v>40</v>
      </c>
      <c r="H1290">
        <f t="shared" si="20"/>
        <v>29</v>
      </c>
    </row>
    <row r="1291" spans="1:8" x14ac:dyDescent="0.3">
      <c r="A1291" t="s">
        <v>78</v>
      </c>
      <c r="B1291" t="s">
        <v>23</v>
      </c>
      <c r="C1291" t="s">
        <v>14</v>
      </c>
      <c r="D1291">
        <v>77</v>
      </c>
      <c r="E1291" t="s">
        <v>68</v>
      </c>
      <c r="F1291" t="s">
        <v>39</v>
      </c>
      <c r="G1291" t="s">
        <v>40</v>
      </c>
      <c r="H1291">
        <f t="shared" si="20"/>
        <v>77</v>
      </c>
    </row>
    <row r="1292" spans="1:8" x14ac:dyDescent="0.3">
      <c r="A1292" t="s">
        <v>78</v>
      </c>
      <c r="B1292" t="s">
        <v>23</v>
      </c>
      <c r="C1292" t="s">
        <v>15</v>
      </c>
      <c r="D1292">
        <v>6</v>
      </c>
      <c r="E1292" t="s">
        <v>68</v>
      </c>
      <c r="F1292" t="s">
        <v>39</v>
      </c>
      <c r="G1292" t="s">
        <v>40</v>
      </c>
      <c r="H1292">
        <f t="shared" si="20"/>
        <v>6</v>
      </c>
    </row>
    <row r="1293" spans="1:8" x14ac:dyDescent="0.3">
      <c r="A1293" t="s">
        <v>78</v>
      </c>
      <c r="B1293" t="s">
        <v>23</v>
      </c>
      <c r="C1293" t="s">
        <v>16</v>
      </c>
      <c r="D1293">
        <v>60968</v>
      </c>
      <c r="E1293" t="s">
        <v>68</v>
      </c>
      <c r="F1293" t="s">
        <v>39</v>
      </c>
      <c r="G1293" t="s">
        <v>40</v>
      </c>
      <c r="H1293">
        <f t="shared" si="20"/>
        <v>61000</v>
      </c>
    </row>
    <row r="1294" spans="1:8" x14ac:dyDescent="0.3">
      <c r="A1294" t="s">
        <v>78</v>
      </c>
      <c r="B1294" t="s">
        <v>23</v>
      </c>
      <c r="C1294" t="s">
        <v>17</v>
      </c>
      <c r="D1294">
        <v>7</v>
      </c>
      <c r="E1294" t="s">
        <v>68</v>
      </c>
      <c r="F1294" t="s">
        <v>39</v>
      </c>
      <c r="G1294" t="s">
        <v>40</v>
      </c>
      <c r="H1294">
        <f t="shared" si="20"/>
        <v>7</v>
      </c>
    </row>
    <row r="1295" spans="1:8" x14ac:dyDescent="0.3">
      <c r="A1295" t="s">
        <v>78</v>
      </c>
      <c r="B1295" t="s">
        <v>23</v>
      </c>
      <c r="C1295" t="s">
        <v>18</v>
      </c>
      <c r="D1295">
        <v>0</v>
      </c>
      <c r="E1295" t="s">
        <v>68</v>
      </c>
      <c r="F1295" t="s">
        <v>39</v>
      </c>
      <c r="G1295" t="s">
        <v>40</v>
      </c>
      <c r="H1295">
        <f t="shared" si="20"/>
        <v>0</v>
      </c>
    </row>
    <row r="1296" spans="1:8" x14ac:dyDescent="0.3">
      <c r="A1296" t="s">
        <v>78</v>
      </c>
      <c r="B1296" t="s">
        <v>23</v>
      </c>
      <c r="C1296" t="s">
        <v>19</v>
      </c>
      <c r="D1296">
        <v>2</v>
      </c>
      <c r="E1296" t="s">
        <v>68</v>
      </c>
      <c r="F1296" t="s">
        <v>39</v>
      </c>
      <c r="G1296" t="s">
        <v>40</v>
      </c>
      <c r="H1296">
        <f t="shared" si="20"/>
        <v>2</v>
      </c>
    </row>
    <row r="1297" spans="1:8" x14ac:dyDescent="0.3">
      <c r="A1297" t="s">
        <v>78</v>
      </c>
      <c r="B1297" t="s">
        <v>23</v>
      </c>
      <c r="C1297" t="s">
        <v>20</v>
      </c>
      <c r="D1297">
        <v>243</v>
      </c>
      <c r="E1297" t="s">
        <v>68</v>
      </c>
      <c r="F1297" t="s">
        <v>39</v>
      </c>
      <c r="G1297" t="s">
        <v>40</v>
      </c>
      <c r="H1297">
        <f t="shared" si="20"/>
        <v>243</v>
      </c>
    </row>
    <row r="1298" spans="1:8" x14ac:dyDescent="0.3">
      <c r="A1298" t="s">
        <v>78</v>
      </c>
      <c r="B1298" t="s">
        <v>23</v>
      </c>
      <c r="C1298" t="s">
        <v>21</v>
      </c>
      <c r="D1298">
        <v>2</v>
      </c>
      <c r="E1298" t="s">
        <v>68</v>
      </c>
      <c r="F1298" t="s">
        <v>39</v>
      </c>
      <c r="G1298" t="s">
        <v>40</v>
      </c>
      <c r="H1298">
        <f t="shared" si="20"/>
        <v>2</v>
      </c>
    </row>
    <row r="1299" spans="1:8" x14ac:dyDescent="0.3">
      <c r="A1299" t="s">
        <v>78</v>
      </c>
      <c r="B1299" t="s">
        <v>23</v>
      </c>
      <c r="C1299" t="s">
        <v>22</v>
      </c>
      <c r="D1299">
        <v>67</v>
      </c>
      <c r="E1299" t="s">
        <v>68</v>
      </c>
      <c r="F1299" t="s">
        <v>39</v>
      </c>
      <c r="G1299" t="s">
        <v>40</v>
      </c>
      <c r="H1299">
        <f t="shared" si="20"/>
        <v>67</v>
      </c>
    </row>
    <row r="1300" spans="1:8" x14ac:dyDescent="0.3">
      <c r="A1300" t="s">
        <v>79</v>
      </c>
      <c r="B1300" t="s">
        <v>8</v>
      </c>
      <c r="C1300" t="s">
        <v>9</v>
      </c>
      <c r="D1300">
        <v>0</v>
      </c>
      <c r="E1300" t="s">
        <v>68</v>
      </c>
      <c r="F1300" t="s">
        <v>39</v>
      </c>
      <c r="G1300" t="s">
        <v>40</v>
      </c>
      <c r="H1300">
        <f t="shared" si="20"/>
        <v>0</v>
      </c>
    </row>
    <row r="1301" spans="1:8" x14ac:dyDescent="0.3">
      <c r="A1301" t="s">
        <v>79</v>
      </c>
      <c r="B1301" t="s">
        <v>8</v>
      </c>
      <c r="C1301" t="s">
        <v>13</v>
      </c>
      <c r="D1301">
        <v>0</v>
      </c>
      <c r="E1301" t="s">
        <v>68</v>
      </c>
      <c r="F1301" t="s">
        <v>39</v>
      </c>
      <c r="G1301" t="s">
        <v>40</v>
      </c>
      <c r="H1301">
        <f t="shared" si="20"/>
        <v>0</v>
      </c>
    </row>
    <row r="1302" spans="1:8" x14ac:dyDescent="0.3">
      <c r="A1302" t="s">
        <v>79</v>
      </c>
      <c r="B1302" t="s">
        <v>8</v>
      </c>
      <c r="C1302" t="s">
        <v>14</v>
      </c>
      <c r="D1302">
        <v>0</v>
      </c>
      <c r="E1302" t="s">
        <v>68</v>
      </c>
      <c r="F1302" t="s">
        <v>39</v>
      </c>
      <c r="G1302" t="s">
        <v>40</v>
      </c>
      <c r="H1302">
        <f t="shared" si="20"/>
        <v>0</v>
      </c>
    </row>
    <row r="1303" spans="1:8" x14ac:dyDescent="0.3">
      <c r="A1303" t="s">
        <v>79</v>
      </c>
      <c r="B1303" t="s">
        <v>8</v>
      </c>
      <c r="C1303" t="s">
        <v>15</v>
      </c>
      <c r="D1303">
        <v>0</v>
      </c>
      <c r="E1303" t="s">
        <v>68</v>
      </c>
      <c r="F1303" t="s">
        <v>39</v>
      </c>
      <c r="G1303" t="s">
        <v>40</v>
      </c>
      <c r="H1303">
        <f t="shared" si="20"/>
        <v>0</v>
      </c>
    </row>
    <row r="1304" spans="1:8" x14ac:dyDescent="0.3">
      <c r="A1304" t="s">
        <v>79</v>
      </c>
      <c r="B1304" t="s">
        <v>8</v>
      </c>
      <c r="C1304" t="s">
        <v>16</v>
      </c>
      <c r="D1304">
        <v>7704</v>
      </c>
      <c r="E1304" t="s">
        <v>68</v>
      </c>
      <c r="F1304" t="s">
        <v>39</v>
      </c>
      <c r="G1304" t="s">
        <v>40</v>
      </c>
      <c r="H1304">
        <f t="shared" si="20"/>
        <v>7700</v>
      </c>
    </row>
    <row r="1305" spans="1:8" x14ac:dyDescent="0.3">
      <c r="A1305" t="s">
        <v>79</v>
      </c>
      <c r="B1305" t="s">
        <v>8</v>
      </c>
      <c r="C1305" t="s">
        <v>17</v>
      </c>
      <c r="D1305">
        <v>1</v>
      </c>
      <c r="E1305" t="s">
        <v>68</v>
      </c>
      <c r="F1305" t="s">
        <v>39</v>
      </c>
      <c r="G1305" t="s">
        <v>40</v>
      </c>
      <c r="H1305">
        <f t="shared" si="20"/>
        <v>1</v>
      </c>
    </row>
    <row r="1306" spans="1:8" x14ac:dyDescent="0.3">
      <c r="A1306" t="s">
        <v>79</v>
      </c>
      <c r="B1306" t="s">
        <v>8</v>
      </c>
      <c r="C1306" t="s">
        <v>18</v>
      </c>
      <c r="D1306">
        <v>0</v>
      </c>
      <c r="E1306" t="s">
        <v>68</v>
      </c>
      <c r="F1306" t="s">
        <v>39</v>
      </c>
      <c r="G1306" t="s">
        <v>40</v>
      </c>
      <c r="H1306">
        <f t="shared" si="20"/>
        <v>0</v>
      </c>
    </row>
    <row r="1307" spans="1:8" x14ac:dyDescent="0.3">
      <c r="A1307" t="s">
        <v>79</v>
      </c>
      <c r="B1307" t="s">
        <v>8</v>
      </c>
      <c r="C1307" t="s">
        <v>19</v>
      </c>
      <c r="D1307">
        <v>0</v>
      </c>
      <c r="E1307" t="s">
        <v>68</v>
      </c>
      <c r="F1307" t="s">
        <v>39</v>
      </c>
      <c r="G1307" t="s">
        <v>40</v>
      </c>
      <c r="H1307">
        <f t="shared" si="20"/>
        <v>0</v>
      </c>
    </row>
    <row r="1308" spans="1:8" x14ac:dyDescent="0.3">
      <c r="A1308" t="s">
        <v>79</v>
      </c>
      <c r="B1308" t="s">
        <v>8</v>
      </c>
      <c r="C1308" t="s">
        <v>20</v>
      </c>
      <c r="D1308">
        <v>0</v>
      </c>
      <c r="E1308" t="s">
        <v>68</v>
      </c>
      <c r="F1308" t="s">
        <v>39</v>
      </c>
      <c r="G1308" t="s">
        <v>40</v>
      </c>
      <c r="H1308">
        <f t="shared" si="20"/>
        <v>0</v>
      </c>
    </row>
    <row r="1309" spans="1:8" x14ac:dyDescent="0.3">
      <c r="A1309" t="s">
        <v>79</v>
      </c>
      <c r="B1309" t="s">
        <v>8</v>
      </c>
      <c r="C1309" t="s">
        <v>21</v>
      </c>
      <c r="D1309">
        <v>0</v>
      </c>
      <c r="E1309" t="s">
        <v>68</v>
      </c>
      <c r="F1309" t="s">
        <v>39</v>
      </c>
      <c r="G1309" t="s">
        <v>40</v>
      </c>
      <c r="H1309">
        <f t="shared" si="20"/>
        <v>0</v>
      </c>
    </row>
    <row r="1310" spans="1:8" x14ac:dyDescent="0.3">
      <c r="A1310" t="s">
        <v>79</v>
      </c>
      <c r="B1310" t="s">
        <v>8</v>
      </c>
      <c r="C1310" t="s">
        <v>22</v>
      </c>
      <c r="D1310">
        <v>4</v>
      </c>
      <c r="E1310" t="s">
        <v>68</v>
      </c>
      <c r="F1310" t="s">
        <v>39</v>
      </c>
      <c r="G1310" t="s">
        <v>40</v>
      </c>
      <c r="H1310">
        <f t="shared" si="20"/>
        <v>4</v>
      </c>
    </row>
    <row r="1311" spans="1:8" x14ac:dyDescent="0.3">
      <c r="A1311" t="s">
        <v>79</v>
      </c>
      <c r="B1311" t="s">
        <v>23</v>
      </c>
      <c r="C1311" t="s">
        <v>9</v>
      </c>
      <c r="D1311">
        <v>25</v>
      </c>
      <c r="E1311" t="s">
        <v>68</v>
      </c>
      <c r="F1311" t="s">
        <v>39</v>
      </c>
      <c r="G1311" t="s">
        <v>40</v>
      </c>
      <c r="H1311">
        <f t="shared" si="20"/>
        <v>25</v>
      </c>
    </row>
    <row r="1312" spans="1:8" x14ac:dyDescent="0.3">
      <c r="A1312" t="s">
        <v>79</v>
      </c>
      <c r="B1312" t="s">
        <v>23</v>
      </c>
      <c r="C1312" t="s">
        <v>13</v>
      </c>
      <c r="D1312">
        <v>25</v>
      </c>
      <c r="E1312" t="s">
        <v>68</v>
      </c>
      <c r="F1312" t="s">
        <v>39</v>
      </c>
      <c r="G1312" t="s">
        <v>40</v>
      </c>
      <c r="H1312">
        <f t="shared" si="20"/>
        <v>25</v>
      </c>
    </row>
    <row r="1313" spans="1:8" x14ac:dyDescent="0.3">
      <c r="A1313" t="s">
        <v>79</v>
      </c>
      <c r="B1313" t="s">
        <v>23</v>
      </c>
      <c r="C1313" t="s">
        <v>14</v>
      </c>
      <c r="D1313">
        <v>66</v>
      </c>
      <c r="E1313" t="s">
        <v>68</v>
      </c>
      <c r="F1313" t="s">
        <v>39</v>
      </c>
      <c r="G1313" t="s">
        <v>40</v>
      </c>
      <c r="H1313">
        <f t="shared" si="20"/>
        <v>66</v>
      </c>
    </row>
    <row r="1314" spans="1:8" x14ac:dyDescent="0.3">
      <c r="A1314" t="s">
        <v>79</v>
      </c>
      <c r="B1314" t="s">
        <v>23</v>
      </c>
      <c r="C1314" t="s">
        <v>15</v>
      </c>
      <c r="D1314">
        <v>6</v>
      </c>
      <c r="E1314" t="s">
        <v>68</v>
      </c>
      <c r="F1314" t="s">
        <v>39</v>
      </c>
      <c r="G1314" t="s">
        <v>40</v>
      </c>
      <c r="H1314">
        <f t="shared" si="20"/>
        <v>6</v>
      </c>
    </row>
    <row r="1315" spans="1:8" x14ac:dyDescent="0.3">
      <c r="A1315" t="s">
        <v>79</v>
      </c>
      <c r="B1315" t="s">
        <v>23</v>
      </c>
      <c r="C1315" t="s">
        <v>16</v>
      </c>
      <c r="D1315">
        <v>52161</v>
      </c>
      <c r="E1315" t="s">
        <v>68</v>
      </c>
      <c r="F1315" t="s">
        <v>39</v>
      </c>
      <c r="G1315" t="s">
        <v>40</v>
      </c>
      <c r="H1315">
        <f t="shared" si="20"/>
        <v>52200</v>
      </c>
    </row>
    <row r="1316" spans="1:8" x14ac:dyDescent="0.3">
      <c r="A1316" t="s">
        <v>79</v>
      </c>
      <c r="B1316" t="s">
        <v>23</v>
      </c>
      <c r="C1316" t="s">
        <v>17</v>
      </c>
      <c r="D1316">
        <v>6</v>
      </c>
      <c r="E1316" t="s">
        <v>68</v>
      </c>
      <c r="F1316" t="s">
        <v>39</v>
      </c>
      <c r="G1316" t="s">
        <v>40</v>
      </c>
      <c r="H1316">
        <f t="shared" si="20"/>
        <v>6</v>
      </c>
    </row>
    <row r="1317" spans="1:8" x14ac:dyDescent="0.3">
      <c r="A1317" t="s">
        <v>79</v>
      </c>
      <c r="B1317" t="s">
        <v>23</v>
      </c>
      <c r="C1317" t="s">
        <v>18</v>
      </c>
      <c r="D1317">
        <v>0</v>
      </c>
      <c r="E1317" t="s">
        <v>68</v>
      </c>
      <c r="F1317" t="s">
        <v>39</v>
      </c>
      <c r="G1317" t="s">
        <v>40</v>
      </c>
      <c r="H1317">
        <f t="shared" si="20"/>
        <v>0</v>
      </c>
    </row>
    <row r="1318" spans="1:8" x14ac:dyDescent="0.3">
      <c r="A1318" t="s">
        <v>79</v>
      </c>
      <c r="B1318" t="s">
        <v>23</v>
      </c>
      <c r="C1318" t="s">
        <v>19</v>
      </c>
      <c r="D1318">
        <v>1</v>
      </c>
      <c r="E1318" t="s">
        <v>68</v>
      </c>
      <c r="F1318" t="s">
        <v>39</v>
      </c>
      <c r="G1318" t="s">
        <v>40</v>
      </c>
      <c r="H1318">
        <f t="shared" si="20"/>
        <v>1</v>
      </c>
    </row>
    <row r="1319" spans="1:8" x14ac:dyDescent="0.3">
      <c r="A1319" t="s">
        <v>79</v>
      </c>
      <c r="B1319" t="s">
        <v>23</v>
      </c>
      <c r="C1319" t="s">
        <v>20</v>
      </c>
      <c r="D1319">
        <v>208</v>
      </c>
      <c r="E1319" t="s">
        <v>68</v>
      </c>
      <c r="F1319" t="s">
        <v>39</v>
      </c>
      <c r="G1319" t="s">
        <v>40</v>
      </c>
      <c r="H1319">
        <f t="shared" si="20"/>
        <v>208</v>
      </c>
    </row>
    <row r="1320" spans="1:8" x14ac:dyDescent="0.3">
      <c r="A1320" t="s">
        <v>79</v>
      </c>
      <c r="B1320" t="s">
        <v>23</v>
      </c>
      <c r="C1320" t="s">
        <v>21</v>
      </c>
      <c r="D1320">
        <v>2</v>
      </c>
      <c r="E1320" t="s">
        <v>68</v>
      </c>
      <c r="F1320" t="s">
        <v>39</v>
      </c>
      <c r="G1320" t="s">
        <v>40</v>
      </c>
      <c r="H1320">
        <f t="shared" si="20"/>
        <v>2</v>
      </c>
    </row>
    <row r="1321" spans="1:8" x14ac:dyDescent="0.3">
      <c r="A1321" t="s">
        <v>79</v>
      </c>
      <c r="B1321" t="s">
        <v>23</v>
      </c>
      <c r="C1321" t="s">
        <v>22</v>
      </c>
      <c r="D1321">
        <v>57</v>
      </c>
      <c r="E1321" t="s">
        <v>68</v>
      </c>
      <c r="F1321" t="s">
        <v>39</v>
      </c>
      <c r="G1321" t="s">
        <v>40</v>
      </c>
      <c r="H1321">
        <f t="shared" si="20"/>
        <v>57</v>
      </c>
    </row>
    <row r="1322" spans="1:8" x14ac:dyDescent="0.3">
      <c r="A1322" t="s">
        <v>80</v>
      </c>
      <c r="B1322" t="s">
        <v>8</v>
      </c>
      <c r="C1322" t="s">
        <v>9</v>
      </c>
      <c r="D1322">
        <v>0</v>
      </c>
      <c r="E1322" t="s">
        <v>68</v>
      </c>
      <c r="F1322" t="s">
        <v>39</v>
      </c>
      <c r="G1322" t="s">
        <v>40</v>
      </c>
      <c r="H1322">
        <f t="shared" si="20"/>
        <v>0</v>
      </c>
    </row>
    <row r="1323" spans="1:8" x14ac:dyDescent="0.3">
      <c r="A1323" t="s">
        <v>80</v>
      </c>
      <c r="B1323" t="s">
        <v>8</v>
      </c>
      <c r="C1323" t="s">
        <v>13</v>
      </c>
      <c r="D1323">
        <v>0</v>
      </c>
      <c r="E1323" t="s">
        <v>68</v>
      </c>
      <c r="F1323" t="s">
        <v>39</v>
      </c>
      <c r="G1323" t="s">
        <v>40</v>
      </c>
      <c r="H1323">
        <f t="shared" si="20"/>
        <v>0</v>
      </c>
    </row>
    <row r="1324" spans="1:8" x14ac:dyDescent="0.3">
      <c r="A1324" t="s">
        <v>80</v>
      </c>
      <c r="B1324" t="s">
        <v>8</v>
      </c>
      <c r="C1324" t="s">
        <v>14</v>
      </c>
      <c r="D1324">
        <v>0</v>
      </c>
      <c r="E1324" t="s">
        <v>68</v>
      </c>
      <c r="F1324" t="s">
        <v>39</v>
      </c>
      <c r="G1324" t="s">
        <v>40</v>
      </c>
      <c r="H1324">
        <f t="shared" si="20"/>
        <v>0</v>
      </c>
    </row>
    <row r="1325" spans="1:8" x14ac:dyDescent="0.3">
      <c r="A1325" t="s">
        <v>80</v>
      </c>
      <c r="B1325" t="s">
        <v>8</v>
      </c>
      <c r="C1325" t="s">
        <v>15</v>
      </c>
      <c r="D1325">
        <v>0</v>
      </c>
      <c r="E1325" t="s">
        <v>68</v>
      </c>
      <c r="F1325" t="s">
        <v>39</v>
      </c>
      <c r="G1325" t="s">
        <v>40</v>
      </c>
      <c r="H1325">
        <f t="shared" si="20"/>
        <v>0</v>
      </c>
    </row>
    <row r="1326" spans="1:8" x14ac:dyDescent="0.3">
      <c r="A1326" t="s">
        <v>80</v>
      </c>
      <c r="B1326" t="s">
        <v>8</v>
      </c>
      <c r="C1326" t="s">
        <v>16</v>
      </c>
      <c r="D1326">
        <v>0</v>
      </c>
      <c r="E1326" t="s">
        <v>68</v>
      </c>
      <c r="F1326" t="s">
        <v>39</v>
      </c>
      <c r="G1326" t="s">
        <v>40</v>
      </c>
      <c r="H1326">
        <f t="shared" si="20"/>
        <v>0</v>
      </c>
    </row>
    <row r="1327" spans="1:8" x14ac:dyDescent="0.3">
      <c r="A1327" t="s">
        <v>80</v>
      </c>
      <c r="B1327" t="s">
        <v>8</v>
      </c>
      <c r="C1327" t="s">
        <v>17</v>
      </c>
      <c r="D1327">
        <v>0</v>
      </c>
      <c r="E1327" t="s">
        <v>68</v>
      </c>
      <c r="F1327" t="s">
        <v>39</v>
      </c>
      <c r="G1327" t="s">
        <v>40</v>
      </c>
      <c r="H1327">
        <f t="shared" si="20"/>
        <v>0</v>
      </c>
    </row>
    <row r="1328" spans="1:8" x14ac:dyDescent="0.3">
      <c r="A1328" t="s">
        <v>80</v>
      </c>
      <c r="B1328" t="s">
        <v>8</v>
      </c>
      <c r="C1328" t="s">
        <v>18</v>
      </c>
      <c r="D1328">
        <v>0</v>
      </c>
      <c r="E1328" t="s">
        <v>68</v>
      </c>
      <c r="F1328" t="s">
        <v>39</v>
      </c>
      <c r="G1328" t="s">
        <v>40</v>
      </c>
      <c r="H1328">
        <f t="shared" si="20"/>
        <v>0</v>
      </c>
    </row>
    <row r="1329" spans="1:8" x14ac:dyDescent="0.3">
      <c r="A1329" t="s">
        <v>80</v>
      </c>
      <c r="B1329" t="s">
        <v>8</v>
      </c>
      <c r="C1329" t="s">
        <v>19</v>
      </c>
      <c r="D1329">
        <v>0</v>
      </c>
      <c r="E1329" t="s">
        <v>68</v>
      </c>
      <c r="F1329" t="s">
        <v>39</v>
      </c>
      <c r="G1329" t="s">
        <v>40</v>
      </c>
      <c r="H1329">
        <f t="shared" si="20"/>
        <v>0</v>
      </c>
    </row>
    <row r="1330" spans="1:8" x14ac:dyDescent="0.3">
      <c r="A1330" t="s">
        <v>80</v>
      </c>
      <c r="B1330" t="s">
        <v>8</v>
      </c>
      <c r="C1330" t="s">
        <v>20</v>
      </c>
      <c r="D1330">
        <v>0</v>
      </c>
      <c r="E1330" t="s">
        <v>68</v>
      </c>
      <c r="F1330" t="s">
        <v>39</v>
      </c>
      <c r="G1330" t="s">
        <v>40</v>
      </c>
      <c r="H1330">
        <f t="shared" si="20"/>
        <v>0</v>
      </c>
    </row>
    <row r="1331" spans="1:8" x14ac:dyDescent="0.3">
      <c r="A1331" t="s">
        <v>80</v>
      </c>
      <c r="B1331" t="s">
        <v>8</v>
      </c>
      <c r="C1331" t="s">
        <v>21</v>
      </c>
      <c r="D1331">
        <v>0</v>
      </c>
      <c r="E1331" t="s">
        <v>68</v>
      </c>
      <c r="F1331" t="s">
        <v>39</v>
      </c>
      <c r="G1331" t="s">
        <v>40</v>
      </c>
      <c r="H1331">
        <f t="shared" si="20"/>
        <v>0</v>
      </c>
    </row>
    <row r="1332" spans="1:8" x14ac:dyDescent="0.3">
      <c r="A1332" t="s">
        <v>80</v>
      </c>
      <c r="B1332" t="s">
        <v>8</v>
      </c>
      <c r="C1332" t="s">
        <v>22</v>
      </c>
      <c r="D1332">
        <v>36117</v>
      </c>
      <c r="E1332" t="s">
        <v>68</v>
      </c>
      <c r="F1332" t="s">
        <v>39</v>
      </c>
      <c r="G1332" t="s">
        <v>40</v>
      </c>
      <c r="H1332">
        <f t="shared" si="20"/>
        <v>36100</v>
      </c>
    </row>
    <row r="1333" spans="1:8" x14ac:dyDescent="0.3">
      <c r="A1333" t="s">
        <v>80</v>
      </c>
      <c r="B1333" t="s">
        <v>23</v>
      </c>
      <c r="C1333" t="s">
        <v>9</v>
      </c>
      <c r="D1333">
        <v>600</v>
      </c>
      <c r="E1333" t="s">
        <v>68</v>
      </c>
      <c r="F1333" t="s">
        <v>39</v>
      </c>
      <c r="G1333" t="s">
        <v>40</v>
      </c>
      <c r="H1333">
        <f t="shared" si="20"/>
        <v>600</v>
      </c>
    </row>
    <row r="1334" spans="1:8" x14ac:dyDescent="0.3">
      <c r="A1334" t="s">
        <v>80</v>
      </c>
      <c r="B1334" t="s">
        <v>23</v>
      </c>
      <c r="C1334" t="s">
        <v>13</v>
      </c>
      <c r="D1334">
        <v>3438</v>
      </c>
      <c r="E1334" t="s">
        <v>68</v>
      </c>
      <c r="F1334" t="s">
        <v>39</v>
      </c>
      <c r="G1334" t="s">
        <v>40</v>
      </c>
      <c r="H1334">
        <f t="shared" si="20"/>
        <v>3440</v>
      </c>
    </row>
    <row r="1335" spans="1:8" x14ac:dyDescent="0.3">
      <c r="A1335" t="s">
        <v>80</v>
      </c>
      <c r="B1335" t="s">
        <v>23</v>
      </c>
      <c r="C1335" t="s">
        <v>14</v>
      </c>
      <c r="D1335">
        <v>768</v>
      </c>
      <c r="E1335" t="s">
        <v>68</v>
      </c>
      <c r="F1335" t="s">
        <v>39</v>
      </c>
      <c r="G1335" t="s">
        <v>40</v>
      </c>
      <c r="H1335">
        <f t="shared" si="20"/>
        <v>768</v>
      </c>
    </row>
    <row r="1336" spans="1:8" x14ac:dyDescent="0.3">
      <c r="A1336" t="s">
        <v>80</v>
      </c>
      <c r="B1336" t="s">
        <v>23</v>
      </c>
      <c r="C1336" t="s">
        <v>15</v>
      </c>
      <c r="D1336">
        <v>47</v>
      </c>
      <c r="E1336" t="s">
        <v>68</v>
      </c>
      <c r="F1336" t="s">
        <v>39</v>
      </c>
      <c r="G1336" t="s">
        <v>40</v>
      </c>
      <c r="H1336">
        <f t="shared" si="20"/>
        <v>47</v>
      </c>
    </row>
    <row r="1337" spans="1:8" x14ac:dyDescent="0.3">
      <c r="A1337" t="s">
        <v>80</v>
      </c>
      <c r="B1337" t="s">
        <v>23</v>
      </c>
      <c r="C1337" t="s">
        <v>16</v>
      </c>
      <c r="D1337">
        <v>1887</v>
      </c>
      <c r="E1337" t="s">
        <v>68</v>
      </c>
      <c r="F1337" t="s">
        <v>39</v>
      </c>
      <c r="G1337" t="s">
        <v>40</v>
      </c>
      <c r="H1337">
        <f t="shared" si="20"/>
        <v>1890</v>
      </c>
    </row>
    <row r="1338" spans="1:8" x14ac:dyDescent="0.3">
      <c r="A1338" t="s">
        <v>80</v>
      </c>
      <c r="B1338" t="s">
        <v>23</v>
      </c>
      <c r="C1338" t="s">
        <v>17</v>
      </c>
      <c r="D1338">
        <v>145</v>
      </c>
      <c r="E1338" t="s">
        <v>68</v>
      </c>
      <c r="F1338" t="s">
        <v>39</v>
      </c>
      <c r="G1338" t="s">
        <v>40</v>
      </c>
      <c r="H1338">
        <f t="shared" si="20"/>
        <v>145</v>
      </c>
    </row>
    <row r="1339" spans="1:8" x14ac:dyDescent="0.3">
      <c r="A1339" t="s">
        <v>80</v>
      </c>
      <c r="B1339" t="s">
        <v>23</v>
      </c>
      <c r="C1339" t="s">
        <v>18</v>
      </c>
      <c r="D1339">
        <v>0</v>
      </c>
      <c r="E1339" t="s">
        <v>68</v>
      </c>
      <c r="F1339" t="s">
        <v>39</v>
      </c>
      <c r="G1339" t="s">
        <v>40</v>
      </c>
      <c r="H1339">
        <f t="shared" si="20"/>
        <v>0</v>
      </c>
    </row>
    <row r="1340" spans="1:8" x14ac:dyDescent="0.3">
      <c r="A1340" t="s">
        <v>80</v>
      </c>
      <c r="B1340" t="s">
        <v>23</v>
      </c>
      <c r="C1340" t="s">
        <v>19</v>
      </c>
      <c r="D1340">
        <v>120</v>
      </c>
      <c r="E1340" t="s">
        <v>68</v>
      </c>
      <c r="F1340" t="s">
        <v>39</v>
      </c>
      <c r="G1340" t="s">
        <v>40</v>
      </c>
      <c r="H1340">
        <f t="shared" si="20"/>
        <v>120</v>
      </c>
    </row>
    <row r="1341" spans="1:8" x14ac:dyDescent="0.3">
      <c r="A1341" t="s">
        <v>80</v>
      </c>
      <c r="B1341" t="s">
        <v>23</v>
      </c>
      <c r="C1341" t="s">
        <v>20</v>
      </c>
      <c r="D1341">
        <v>292</v>
      </c>
      <c r="E1341" t="s">
        <v>68</v>
      </c>
      <c r="F1341" t="s">
        <v>39</v>
      </c>
      <c r="G1341" t="s">
        <v>40</v>
      </c>
      <c r="H1341">
        <f t="shared" si="20"/>
        <v>292</v>
      </c>
    </row>
    <row r="1342" spans="1:8" x14ac:dyDescent="0.3">
      <c r="A1342" t="s">
        <v>80</v>
      </c>
      <c r="B1342" t="s">
        <v>23</v>
      </c>
      <c r="C1342" t="s">
        <v>21</v>
      </c>
      <c r="D1342">
        <v>15</v>
      </c>
      <c r="E1342" t="s">
        <v>68</v>
      </c>
      <c r="F1342" t="s">
        <v>39</v>
      </c>
      <c r="G1342" t="s">
        <v>40</v>
      </c>
      <c r="H1342">
        <f t="shared" si="20"/>
        <v>15</v>
      </c>
    </row>
    <row r="1343" spans="1:8" x14ac:dyDescent="0.3">
      <c r="A1343" t="s">
        <v>80</v>
      </c>
      <c r="B1343" t="s">
        <v>23</v>
      </c>
      <c r="C1343" t="s">
        <v>22</v>
      </c>
      <c r="D1343">
        <v>30358</v>
      </c>
      <c r="E1343" t="s">
        <v>68</v>
      </c>
      <c r="F1343" t="s">
        <v>39</v>
      </c>
      <c r="G1343" t="s">
        <v>40</v>
      </c>
      <c r="H1343">
        <f t="shared" si="20"/>
        <v>30400</v>
      </c>
    </row>
    <row r="1344" spans="1:8" x14ac:dyDescent="0.3">
      <c r="A1344" t="s">
        <v>81</v>
      </c>
      <c r="B1344" t="s">
        <v>8</v>
      </c>
      <c r="C1344" t="s">
        <v>9</v>
      </c>
      <c r="D1344">
        <v>0</v>
      </c>
      <c r="E1344" t="s">
        <v>68</v>
      </c>
      <c r="F1344" t="s">
        <v>39</v>
      </c>
      <c r="G1344" t="s">
        <v>40</v>
      </c>
      <c r="H1344">
        <f t="shared" si="20"/>
        <v>0</v>
      </c>
    </row>
    <row r="1345" spans="1:8" x14ac:dyDescent="0.3">
      <c r="A1345" t="s">
        <v>81</v>
      </c>
      <c r="B1345" t="s">
        <v>8</v>
      </c>
      <c r="C1345" t="s">
        <v>13</v>
      </c>
      <c r="D1345">
        <v>796</v>
      </c>
      <c r="E1345" t="s">
        <v>68</v>
      </c>
      <c r="F1345" t="s">
        <v>39</v>
      </c>
      <c r="G1345" t="s">
        <v>40</v>
      </c>
      <c r="H1345">
        <f t="shared" si="20"/>
        <v>796</v>
      </c>
    </row>
    <row r="1346" spans="1:8" x14ac:dyDescent="0.3">
      <c r="A1346" t="s">
        <v>81</v>
      </c>
      <c r="B1346" t="s">
        <v>8</v>
      </c>
      <c r="C1346" t="s">
        <v>14</v>
      </c>
      <c r="D1346">
        <v>243</v>
      </c>
      <c r="E1346" t="s">
        <v>68</v>
      </c>
      <c r="F1346" t="s">
        <v>39</v>
      </c>
      <c r="G1346" t="s">
        <v>40</v>
      </c>
      <c r="H1346">
        <f t="shared" si="20"/>
        <v>243</v>
      </c>
    </row>
    <row r="1347" spans="1:8" x14ac:dyDescent="0.3">
      <c r="A1347" t="s">
        <v>81</v>
      </c>
      <c r="B1347" t="s">
        <v>8</v>
      </c>
      <c r="C1347" t="s">
        <v>15</v>
      </c>
      <c r="D1347">
        <v>2356</v>
      </c>
      <c r="E1347" t="s">
        <v>68</v>
      </c>
      <c r="F1347" t="s">
        <v>39</v>
      </c>
      <c r="G1347" t="s">
        <v>40</v>
      </c>
      <c r="H1347">
        <f t="shared" ref="H1347:H1409" si="21">ROUND(D1347, 3 - LEN(INT(ABS(D1347))))</f>
        <v>2360</v>
      </c>
    </row>
    <row r="1348" spans="1:8" x14ac:dyDescent="0.3">
      <c r="A1348" t="s">
        <v>81</v>
      </c>
      <c r="B1348" t="s">
        <v>8</v>
      </c>
      <c r="C1348" t="s">
        <v>16</v>
      </c>
      <c r="D1348">
        <v>1938</v>
      </c>
      <c r="E1348" t="s">
        <v>68</v>
      </c>
      <c r="F1348" t="s">
        <v>39</v>
      </c>
      <c r="G1348" t="s">
        <v>40</v>
      </c>
      <c r="H1348">
        <f t="shared" si="21"/>
        <v>1940</v>
      </c>
    </row>
    <row r="1349" spans="1:8" x14ac:dyDescent="0.3">
      <c r="A1349" t="s">
        <v>81</v>
      </c>
      <c r="B1349" t="s">
        <v>8</v>
      </c>
      <c r="C1349" t="s">
        <v>17</v>
      </c>
      <c r="D1349">
        <v>0</v>
      </c>
      <c r="E1349" t="s">
        <v>68</v>
      </c>
      <c r="F1349" t="s">
        <v>39</v>
      </c>
      <c r="G1349" t="s">
        <v>40</v>
      </c>
      <c r="H1349">
        <f t="shared" si="21"/>
        <v>0</v>
      </c>
    </row>
    <row r="1350" spans="1:8" x14ac:dyDescent="0.3">
      <c r="A1350" t="s">
        <v>81</v>
      </c>
      <c r="B1350" t="s">
        <v>8</v>
      </c>
      <c r="C1350" t="s">
        <v>18</v>
      </c>
      <c r="D1350">
        <v>0</v>
      </c>
      <c r="E1350" t="s">
        <v>68</v>
      </c>
      <c r="F1350" t="s">
        <v>39</v>
      </c>
      <c r="G1350" t="s">
        <v>40</v>
      </c>
      <c r="H1350">
        <f t="shared" si="21"/>
        <v>0</v>
      </c>
    </row>
    <row r="1351" spans="1:8" x14ac:dyDescent="0.3">
      <c r="A1351" t="s">
        <v>81</v>
      </c>
      <c r="B1351" t="s">
        <v>8</v>
      </c>
      <c r="C1351" t="s">
        <v>19</v>
      </c>
      <c r="D1351">
        <v>112</v>
      </c>
      <c r="E1351" t="s">
        <v>68</v>
      </c>
      <c r="F1351" t="s">
        <v>39</v>
      </c>
      <c r="G1351" t="s">
        <v>40</v>
      </c>
      <c r="H1351">
        <f t="shared" si="21"/>
        <v>112</v>
      </c>
    </row>
    <row r="1352" spans="1:8" x14ac:dyDescent="0.3">
      <c r="A1352" t="s">
        <v>81</v>
      </c>
      <c r="B1352" t="s">
        <v>8</v>
      </c>
      <c r="C1352" t="s">
        <v>20</v>
      </c>
      <c r="D1352">
        <v>0</v>
      </c>
      <c r="E1352" t="s">
        <v>68</v>
      </c>
      <c r="F1352" t="s">
        <v>39</v>
      </c>
      <c r="G1352" t="s">
        <v>40</v>
      </c>
      <c r="H1352">
        <f t="shared" si="21"/>
        <v>0</v>
      </c>
    </row>
    <row r="1353" spans="1:8" x14ac:dyDescent="0.3">
      <c r="A1353" t="s">
        <v>81</v>
      </c>
      <c r="B1353" t="s">
        <v>8</v>
      </c>
      <c r="C1353" t="s">
        <v>21</v>
      </c>
      <c r="D1353">
        <v>228</v>
      </c>
      <c r="E1353" t="s">
        <v>68</v>
      </c>
      <c r="F1353" t="s">
        <v>39</v>
      </c>
      <c r="G1353" t="s">
        <v>40</v>
      </c>
      <c r="H1353">
        <f t="shared" si="21"/>
        <v>228</v>
      </c>
    </row>
    <row r="1354" spans="1:8" x14ac:dyDescent="0.3">
      <c r="A1354" t="s">
        <v>81</v>
      </c>
      <c r="B1354" t="s">
        <v>8</v>
      </c>
      <c r="C1354" t="s">
        <v>22</v>
      </c>
      <c r="D1354">
        <v>5771</v>
      </c>
      <c r="E1354" t="s">
        <v>68</v>
      </c>
      <c r="F1354" t="s">
        <v>39</v>
      </c>
      <c r="G1354" t="s">
        <v>40</v>
      </c>
      <c r="H1354">
        <f t="shared" si="21"/>
        <v>5770</v>
      </c>
    </row>
    <row r="1355" spans="1:8" x14ac:dyDescent="0.3">
      <c r="A1355" t="s">
        <v>81</v>
      </c>
      <c r="B1355" t="s">
        <v>23</v>
      </c>
      <c r="C1355" t="s">
        <v>9</v>
      </c>
      <c r="D1355">
        <v>188</v>
      </c>
      <c r="E1355" t="s">
        <v>68</v>
      </c>
      <c r="F1355" t="s">
        <v>39</v>
      </c>
      <c r="G1355" t="s">
        <v>40</v>
      </c>
      <c r="H1355">
        <f t="shared" si="21"/>
        <v>188</v>
      </c>
    </row>
    <row r="1356" spans="1:8" x14ac:dyDescent="0.3">
      <c r="A1356" t="s">
        <v>81</v>
      </c>
      <c r="B1356" t="s">
        <v>23</v>
      </c>
      <c r="C1356" t="s">
        <v>13</v>
      </c>
      <c r="D1356">
        <v>6596</v>
      </c>
      <c r="E1356" t="s">
        <v>68</v>
      </c>
      <c r="F1356" t="s">
        <v>39</v>
      </c>
      <c r="G1356" t="s">
        <v>40</v>
      </c>
      <c r="H1356">
        <f t="shared" si="21"/>
        <v>6600</v>
      </c>
    </row>
    <row r="1357" spans="1:8" x14ac:dyDescent="0.3">
      <c r="A1357" t="s">
        <v>81</v>
      </c>
      <c r="B1357" t="s">
        <v>23</v>
      </c>
      <c r="C1357" t="s">
        <v>14</v>
      </c>
      <c r="D1357">
        <v>2270</v>
      </c>
      <c r="E1357" t="s">
        <v>68</v>
      </c>
      <c r="F1357" t="s">
        <v>39</v>
      </c>
      <c r="G1357" t="s">
        <v>40</v>
      </c>
      <c r="H1357">
        <f t="shared" si="21"/>
        <v>2270</v>
      </c>
    </row>
    <row r="1358" spans="1:8" x14ac:dyDescent="0.3">
      <c r="A1358" t="s">
        <v>81</v>
      </c>
      <c r="B1358" t="s">
        <v>23</v>
      </c>
      <c r="C1358" t="s">
        <v>15</v>
      </c>
      <c r="D1358">
        <v>3267</v>
      </c>
      <c r="E1358" t="s">
        <v>68</v>
      </c>
      <c r="F1358" t="s">
        <v>39</v>
      </c>
      <c r="G1358" t="s">
        <v>40</v>
      </c>
      <c r="H1358">
        <f t="shared" si="21"/>
        <v>3270</v>
      </c>
    </row>
    <row r="1359" spans="1:8" x14ac:dyDescent="0.3">
      <c r="A1359" t="s">
        <v>81</v>
      </c>
      <c r="B1359" t="s">
        <v>23</v>
      </c>
      <c r="C1359" t="s">
        <v>16</v>
      </c>
      <c r="D1359">
        <v>14328</v>
      </c>
      <c r="E1359" t="s">
        <v>68</v>
      </c>
      <c r="F1359" t="s">
        <v>39</v>
      </c>
      <c r="G1359" t="s">
        <v>40</v>
      </c>
      <c r="H1359">
        <f t="shared" si="21"/>
        <v>14300</v>
      </c>
    </row>
    <row r="1360" spans="1:8" x14ac:dyDescent="0.3">
      <c r="A1360" t="s">
        <v>81</v>
      </c>
      <c r="B1360" t="s">
        <v>23</v>
      </c>
      <c r="C1360" t="s">
        <v>17</v>
      </c>
      <c r="D1360">
        <v>42</v>
      </c>
      <c r="E1360" t="s">
        <v>68</v>
      </c>
      <c r="F1360" t="s">
        <v>39</v>
      </c>
      <c r="G1360" t="s">
        <v>40</v>
      </c>
      <c r="H1360">
        <f t="shared" si="21"/>
        <v>42</v>
      </c>
    </row>
    <row r="1361" spans="1:8" x14ac:dyDescent="0.3">
      <c r="A1361" t="s">
        <v>81</v>
      </c>
      <c r="B1361" t="s">
        <v>23</v>
      </c>
      <c r="C1361" t="s">
        <v>18</v>
      </c>
      <c r="D1361">
        <v>0</v>
      </c>
      <c r="E1361" t="s">
        <v>68</v>
      </c>
      <c r="F1361" t="s">
        <v>39</v>
      </c>
      <c r="G1361" t="s">
        <v>40</v>
      </c>
      <c r="H1361">
        <f t="shared" si="21"/>
        <v>0</v>
      </c>
    </row>
    <row r="1362" spans="1:8" x14ac:dyDescent="0.3">
      <c r="A1362" t="s">
        <v>81</v>
      </c>
      <c r="B1362" t="s">
        <v>23</v>
      </c>
      <c r="C1362" t="s">
        <v>19</v>
      </c>
      <c r="D1362">
        <v>2790</v>
      </c>
      <c r="E1362" t="s">
        <v>68</v>
      </c>
      <c r="F1362" t="s">
        <v>39</v>
      </c>
      <c r="G1362" t="s">
        <v>40</v>
      </c>
      <c r="H1362">
        <f t="shared" si="21"/>
        <v>2790</v>
      </c>
    </row>
    <row r="1363" spans="1:8" x14ac:dyDescent="0.3">
      <c r="A1363" t="s">
        <v>81</v>
      </c>
      <c r="B1363" t="s">
        <v>23</v>
      </c>
      <c r="C1363" t="s">
        <v>20</v>
      </c>
      <c r="D1363">
        <v>162</v>
      </c>
      <c r="E1363" t="s">
        <v>68</v>
      </c>
      <c r="F1363" t="s">
        <v>39</v>
      </c>
      <c r="G1363" t="s">
        <v>40</v>
      </c>
      <c r="H1363">
        <f t="shared" si="21"/>
        <v>162</v>
      </c>
    </row>
    <row r="1364" spans="1:8" x14ac:dyDescent="0.3">
      <c r="A1364" t="s">
        <v>81</v>
      </c>
      <c r="B1364" t="s">
        <v>23</v>
      </c>
      <c r="C1364" t="s">
        <v>21</v>
      </c>
      <c r="D1364">
        <v>267</v>
      </c>
      <c r="E1364" t="s">
        <v>68</v>
      </c>
      <c r="F1364" t="s">
        <v>39</v>
      </c>
      <c r="G1364" t="s">
        <v>40</v>
      </c>
      <c r="H1364">
        <f t="shared" si="21"/>
        <v>267</v>
      </c>
    </row>
    <row r="1365" spans="1:8" x14ac:dyDescent="0.3">
      <c r="A1365" t="s">
        <v>81</v>
      </c>
      <c r="B1365" t="s">
        <v>23</v>
      </c>
      <c r="C1365" t="s">
        <v>22</v>
      </c>
      <c r="D1365">
        <v>5155</v>
      </c>
      <c r="E1365" t="s">
        <v>68</v>
      </c>
      <c r="F1365" t="s">
        <v>39</v>
      </c>
      <c r="G1365" t="s">
        <v>40</v>
      </c>
      <c r="H1365">
        <f t="shared" si="21"/>
        <v>5160</v>
      </c>
    </row>
    <row r="1366" spans="1:8" x14ac:dyDescent="0.3">
      <c r="A1366" t="s">
        <v>82</v>
      </c>
      <c r="B1366" t="s">
        <v>8</v>
      </c>
      <c r="C1366" t="s">
        <v>9</v>
      </c>
      <c r="D1366">
        <v>0</v>
      </c>
      <c r="E1366" t="s">
        <v>68</v>
      </c>
      <c r="F1366" t="s">
        <v>39</v>
      </c>
      <c r="G1366" t="s">
        <v>40</v>
      </c>
      <c r="H1366">
        <f t="shared" si="21"/>
        <v>0</v>
      </c>
    </row>
    <row r="1367" spans="1:8" x14ac:dyDescent="0.3">
      <c r="A1367" t="s">
        <v>82</v>
      </c>
      <c r="B1367" t="s">
        <v>8</v>
      </c>
      <c r="C1367" t="s">
        <v>13</v>
      </c>
      <c r="D1367">
        <v>0</v>
      </c>
      <c r="E1367" t="s">
        <v>68</v>
      </c>
      <c r="F1367" t="s">
        <v>39</v>
      </c>
      <c r="G1367" t="s">
        <v>40</v>
      </c>
      <c r="H1367">
        <f t="shared" si="21"/>
        <v>0</v>
      </c>
    </row>
    <row r="1368" spans="1:8" x14ac:dyDescent="0.3">
      <c r="A1368" t="s">
        <v>82</v>
      </c>
      <c r="B1368" t="s">
        <v>8</v>
      </c>
      <c r="C1368" t="s">
        <v>14</v>
      </c>
      <c r="D1368">
        <v>0</v>
      </c>
      <c r="E1368" t="s">
        <v>68</v>
      </c>
      <c r="F1368" t="s">
        <v>39</v>
      </c>
      <c r="G1368" t="s">
        <v>40</v>
      </c>
      <c r="H1368">
        <f t="shared" si="21"/>
        <v>0</v>
      </c>
    </row>
    <row r="1369" spans="1:8" x14ac:dyDescent="0.3">
      <c r="A1369" t="s">
        <v>82</v>
      </c>
      <c r="B1369" t="s">
        <v>8</v>
      </c>
      <c r="C1369" t="s">
        <v>15</v>
      </c>
      <c r="D1369">
        <v>0</v>
      </c>
      <c r="E1369" t="s">
        <v>68</v>
      </c>
      <c r="F1369" t="s">
        <v>39</v>
      </c>
      <c r="G1369" t="s">
        <v>40</v>
      </c>
      <c r="H1369">
        <f t="shared" si="21"/>
        <v>0</v>
      </c>
    </row>
    <row r="1370" spans="1:8" x14ac:dyDescent="0.3">
      <c r="A1370" t="s">
        <v>82</v>
      </c>
      <c r="B1370" t="s">
        <v>8</v>
      </c>
      <c r="C1370" t="s">
        <v>16</v>
      </c>
      <c r="D1370">
        <v>6703</v>
      </c>
      <c r="E1370" t="s">
        <v>68</v>
      </c>
      <c r="F1370" t="s">
        <v>39</v>
      </c>
      <c r="G1370" t="s">
        <v>40</v>
      </c>
      <c r="H1370">
        <f t="shared" si="21"/>
        <v>6700</v>
      </c>
    </row>
    <row r="1371" spans="1:8" x14ac:dyDescent="0.3">
      <c r="A1371" t="s">
        <v>82</v>
      </c>
      <c r="B1371" t="s">
        <v>8</v>
      </c>
      <c r="C1371" t="s">
        <v>17</v>
      </c>
      <c r="D1371">
        <v>0</v>
      </c>
      <c r="E1371" t="s">
        <v>68</v>
      </c>
      <c r="F1371" t="s">
        <v>39</v>
      </c>
      <c r="G1371" t="s">
        <v>40</v>
      </c>
      <c r="H1371">
        <f t="shared" si="21"/>
        <v>0</v>
      </c>
    </row>
    <row r="1372" spans="1:8" x14ac:dyDescent="0.3">
      <c r="A1372" t="s">
        <v>82</v>
      </c>
      <c r="B1372" t="s">
        <v>8</v>
      </c>
      <c r="C1372" t="s">
        <v>18</v>
      </c>
      <c r="D1372">
        <v>0</v>
      </c>
      <c r="E1372" t="s">
        <v>68</v>
      </c>
      <c r="F1372" t="s">
        <v>39</v>
      </c>
      <c r="G1372" t="s">
        <v>40</v>
      </c>
      <c r="H1372">
        <f t="shared" si="21"/>
        <v>0</v>
      </c>
    </row>
    <row r="1373" spans="1:8" x14ac:dyDescent="0.3">
      <c r="A1373" t="s">
        <v>82</v>
      </c>
      <c r="B1373" t="s">
        <v>8</v>
      </c>
      <c r="C1373" t="s">
        <v>19</v>
      </c>
      <c r="D1373">
        <v>0</v>
      </c>
      <c r="E1373" t="s">
        <v>68</v>
      </c>
      <c r="F1373" t="s">
        <v>39</v>
      </c>
      <c r="G1373" t="s">
        <v>40</v>
      </c>
      <c r="H1373">
        <f t="shared" si="21"/>
        <v>0</v>
      </c>
    </row>
    <row r="1374" spans="1:8" x14ac:dyDescent="0.3">
      <c r="A1374" t="s">
        <v>82</v>
      </c>
      <c r="B1374" t="s">
        <v>8</v>
      </c>
      <c r="C1374" t="s">
        <v>20</v>
      </c>
      <c r="D1374">
        <v>0</v>
      </c>
      <c r="E1374" t="s">
        <v>68</v>
      </c>
      <c r="F1374" t="s">
        <v>39</v>
      </c>
      <c r="G1374" t="s">
        <v>40</v>
      </c>
      <c r="H1374">
        <f t="shared" si="21"/>
        <v>0</v>
      </c>
    </row>
    <row r="1375" spans="1:8" x14ac:dyDescent="0.3">
      <c r="A1375" t="s">
        <v>82</v>
      </c>
      <c r="B1375" t="s">
        <v>8</v>
      </c>
      <c r="C1375" t="s">
        <v>21</v>
      </c>
      <c r="D1375">
        <v>0</v>
      </c>
      <c r="E1375" t="s">
        <v>68</v>
      </c>
      <c r="F1375" t="s">
        <v>39</v>
      </c>
      <c r="G1375" t="s">
        <v>40</v>
      </c>
      <c r="H1375">
        <f t="shared" si="21"/>
        <v>0</v>
      </c>
    </row>
    <row r="1376" spans="1:8" x14ac:dyDescent="0.3">
      <c r="A1376" t="s">
        <v>82</v>
      </c>
      <c r="B1376" t="s">
        <v>8</v>
      </c>
      <c r="C1376" t="s">
        <v>22</v>
      </c>
      <c r="D1376">
        <v>4</v>
      </c>
      <c r="E1376" t="s">
        <v>68</v>
      </c>
      <c r="F1376" t="s">
        <v>39</v>
      </c>
      <c r="G1376" t="s">
        <v>40</v>
      </c>
      <c r="H1376">
        <f t="shared" si="21"/>
        <v>4</v>
      </c>
    </row>
    <row r="1377" spans="1:8" x14ac:dyDescent="0.3">
      <c r="A1377" t="s">
        <v>82</v>
      </c>
      <c r="B1377" t="s">
        <v>23</v>
      </c>
      <c r="C1377" t="s">
        <v>9</v>
      </c>
      <c r="D1377">
        <v>22</v>
      </c>
      <c r="E1377" t="s">
        <v>68</v>
      </c>
      <c r="F1377" t="s">
        <v>39</v>
      </c>
      <c r="G1377" t="s">
        <v>40</v>
      </c>
      <c r="H1377">
        <f t="shared" si="21"/>
        <v>22</v>
      </c>
    </row>
    <row r="1378" spans="1:8" x14ac:dyDescent="0.3">
      <c r="A1378" t="s">
        <v>82</v>
      </c>
      <c r="B1378" t="s">
        <v>23</v>
      </c>
      <c r="C1378" t="s">
        <v>13</v>
      </c>
      <c r="D1378">
        <v>22</v>
      </c>
      <c r="E1378" t="s">
        <v>68</v>
      </c>
      <c r="F1378" t="s">
        <v>39</v>
      </c>
      <c r="G1378" t="s">
        <v>40</v>
      </c>
      <c r="H1378">
        <f t="shared" si="21"/>
        <v>22</v>
      </c>
    </row>
    <row r="1379" spans="1:8" x14ac:dyDescent="0.3">
      <c r="A1379" t="s">
        <v>82</v>
      </c>
      <c r="B1379" t="s">
        <v>23</v>
      </c>
      <c r="C1379" t="s">
        <v>14</v>
      </c>
      <c r="D1379">
        <v>57</v>
      </c>
      <c r="E1379" t="s">
        <v>68</v>
      </c>
      <c r="F1379" t="s">
        <v>39</v>
      </c>
      <c r="G1379" t="s">
        <v>40</v>
      </c>
      <c r="H1379">
        <f t="shared" si="21"/>
        <v>57</v>
      </c>
    </row>
    <row r="1380" spans="1:8" x14ac:dyDescent="0.3">
      <c r="A1380" t="s">
        <v>82</v>
      </c>
      <c r="B1380" t="s">
        <v>23</v>
      </c>
      <c r="C1380" t="s">
        <v>15</v>
      </c>
      <c r="D1380">
        <v>5</v>
      </c>
      <c r="E1380" t="s">
        <v>68</v>
      </c>
      <c r="F1380" t="s">
        <v>39</v>
      </c>
      <c r="G1380" t="s">
        <v>40</v>
      </c>
      <c r="H1380">
        <f t="shared" si="21"/>
        <v>5</v>
      </c>
    </row>
    <row r="1381" spans="1:8" x14ac:dyDescent="0.3">
      <c r="A1381" t="s">
        <v>82</v>
      </c>
      <c r="B1381" t="s">
        <v>23</v>
      </c>
      <c r="C1381" t="s">
        <v>16</v>
      </c>
      <c r="D1381">
        <v>45387</v>
      </c>
      <c r="E1381" t="s">
        <v>68</v>
      </c>
      <c r="F1381" t="s">
        <v>39</v>
      </c>
      <c r="G1381" t="s">
        <v>40</v>
      </c>
      <c r="H1381">
        <f t="shared" si="21"/>
        <v>45400</v>
      </c>
    </row>
    <row r="1382" spans="1:8" x14ac:dyDescent="0.3">
      <c r="A1382" t="s">
        <v>82</v>
      </c>
      <c r="B1382" t="s">
        <v>23</v>
      </c>
      <c r="C1382" t="s">
        <v>17</v>
      </c>
      <c r="D1382">
        <v>5</v>
      </c>
      <c r="E1382" t="s">
        <v>68</v>
      </c>
      <c r="F1382" t="s">
        <v>39</v>
      </c>
      <c r="G1382" t="s">
        <v>40</v>
      </c>
      <c r="H1382">
        <f t="shared" si="21"/>
        <v>5</v>
      </c>
    </row>
    <row r="1383" spans="1:8" x14ac:dyDescent="0.3">
      <c r="A1383" t="s">
        <v>82</v>
      </c>
      <c r="B1383" t="s">
        <v>23</v>
      </c>
      <c r="C1383" t="s">
        <v>18</v>
      </c>
      <c r="D1383">
        <v>0</v>
      </c>
      <c r="E1383" t="s">
        <v>68</v>
      </c>
      <c r="F1383" t="s">
        <v>39</v>
      </c>
      <c r="G1383" t="s">
        <v>40</v>
      </c>
      <c r="H1383">
        <f t="shared" si="21"/>
        <v>0</v>
      </c>
    </row>
    <row r="1384" spans="1:8" x14ac:dyDescent="0.3">
      <c r="A1384" t="s">
        <v>82</v>
      </c>
      <c r="B1384" t="s">
        <v>23</v>
      </c>
      <c r="C1384" t="s">
        <v>19</v>
      </c>
      <c r="D1384">
        <v>1</v>
      </c>
      <c r="E1384" t="s">
        <v>68</v>
      </c>
      <c r="F1384" t="s">
        <v>39</v>
      </c>
      <c r="G1384" t="s">
        <v>40</v>
      </c>
      <c r="H1384">
        <f t="shared" si="21"/>
        <v>1</v>
      </c>
    </row>
    <row r="1385" spans="1:8" x14ac:dyDescent="0.3">
      <c r="A1385" t="s">
        <v>82</v>
      </c>
      <c r="B1385" t="s">
        <v>23</v>
      </c>
      <c r="C1385" t="s">
        <v>20</v>
      </c>
      <c r="D1385">
        <v>181</v>
      </c>
      <c r="E1385" t="s">
        <v>68</v>
      </c>
      <c r="F1385" t="s">
        <v>39</v>
      </c>
      <c r="G1385" t="s">
        <v>40</v>
      </c>
      <c r="H1385">
        <f t="shared" si="21"/>
        <v>181</v>
      </c>
    </row>
    <row r="1386" spans="1:8" x14ac:dyDescent="0.3">
      <c r="A1386" t="s">
        <v>82</v>
      </c>
      <c r="B1386" t="s">
        <v>23</v>
      </c>
      <c r="C1386" t="s">
        <v>21</v>
      </c>
      <c r="D1386">
        <v>1</v>
      </c>
      <c r="E1386" t="s">
        <v>68</v>
      </c>
      <c r="F1386" t="s">
        <v>39</v>
      </c>
      <c r="G1386" t="s">
        <v>40</v>
      </c>
      <c r="H1386">
        <f t="shared" si="21"/>
        <v>1</v>
      </c>
    </row>
    <row r="1387" spans="1:8" x14ac:dyDescent="0.3">
      <c r="A1387" t="s">
        <v>82</v>
      </c>
      <c r="B1387" t="s">
        <v>23</v>
      </c>
      <c r="C1387" t="s">
        <v>22</v>
      </c>
      <c r="D1387">
        <v>50</v>
      </c>
      <c r="E1387" t="s">
        <v>68</v>
      </c>
      <c r="F1387" t="s">
        <v>39</v>
      </c>
      <c r="G1387" t="s">
        <v>40</v>
      </c>
      <c r="H1387">
        <f t="shared" si="21"/>
        <v>50</v>
      </c>
    </row>
    <row r="1388" spans="1:8" x14ac:dyDescent="0.3">
      <c r="A1388" t="s">
        <v>83</v>
      </c>
      <c r="B1388" t="s">
        <v>8</v>
      </c>
      <c r="C1388" t="s">
        <v>9</v>
      </c>
      <c r="D1388">
        <v>0</v>
      </c>
      <c r="E1388" t="s">
        <v>68</v>
      </c>
      <c r="F1388" t="s">
        <v>39</v>
      </c>
      <c r="G1388" t="s">
        <v>40</v>
      </c>
      <c r="H1388">
        <f t="shared" si="21"/>
        <v>0</v>
      </c>
    </row>
    <row r="1389" spans="1:8" x14ac:dyDescent="0.3">
      <c r="A1389" t="s">
        <v>83</v>
      </c>
      <c r="B1389" t="s">
        <v>8</v>
      </c>
      <c r="C1389" t="s">
        <v>13</v>
      </c>
      <c r="D1389">
        <v>0</v>
      </c>
      <c r="E1389" t="s">
        <v>68</v>
      </c>
      <c r="F1389" t="s">
        <v>39</v>
      </c>
      <c r="G1389" t="s">
        <v>40</v>
      </c>
      <c r="H1389">
        <f t="shared" si="21"/>
        <v>0</v>
      </c>
    </row>
    <row r="1390" spans="1:8" x14ac:dyDescent="0.3">
      <c r="A1390" t="s">
        <v>83</v>
      </c>
      <c r="B1390" t="s">
        <v>8</v>
      </c>
      <c r="C1390" t="s">
        <v>14</v>
      </c>
      <c r="D1390">
        <v>0</v>
      </c>
      <c r="E1390" t="s">
        <v>68</v>
      </c>
      <c r="F1390" t="s">
        <v>39</v>
      </c>
      <c r="G1390" t="s">
        <v>40</v>
      </c>
      <c r="H1390">
        <f t="shared" si="21"/>
        <v>0</v>
      </c>
    </row>
    <row r="1391" spans="1:8" x14ac:dyDescent="0.3">
      <c r="A1391" t="s">
        <v>83</v>
      </c>
      <c r="B1391" t="s">
        <v>8</v>
      </c>
      <c r="C1391" t="s">
        <v>15</v>
      </c>
      <c r="D1391">
        <v>0</v>
      </c>
      <c r="E1391" t="s">
        <v>68</v>
      </c>
      <c r="F1391" t="s">
        <v>39</v>
      </c>
      <c r="G1391" t="s">
        <v>40</v>
      </c>
      <c r="H1391">
        <f t="shared" si="21"/>
        <v>0</v>
      </c>
    </row>
    <row r="1392" spans="1:8" x14ac:dyDescent="0.3">
      <c r="A1392" t="s">
        <v>83</v>
      </c>
      <c r="B1392" t="s">
        <v>8</v>
      </c>
      <c r="C1392" t="s">
        <v>16</v>
      </c>
      <c r="D1392">
        <v>0</v>
      </c>
      <c r="E1392" t="s">
        <v>68</v>
      </c>
      <c r="F1392" t="s">
        <v>39</v>
      </c>
      <c r="G1392" t="s">
        <v>40</v>
      </c>
      <c r="H1392">
        <f t="shared" si="21"/>
        <v>0</v>
      </c>
    </row>
    <row r="1393" spans="1:8" x14ac:dyDescent="0.3">
      <c r="A1393" t="s">
        <v>83</v>
      </c>
      <c r="B1393" t="s">
        <v>8</v>
      </c>
      <c r="C1393" t="s">
        <v>17</v>
      </c>
      <c r="D1393">
        <v>0</v>
      </c>
      <c r="E1393" t="s">
        <v>68</v>
      </c>
      <c r="F1393" t="s">
        <v>39</v>
      </c>
      <c r="G1393" t="s">
        <v>40</v>
      </c>
      <c r="H1393">
        <f t="shared" si="21"/>
        <v>0</v>
      </c>
    </row>
    <row r="1394" spans="1:8" x14ac:dyDescent="0.3">
      <c r="A1394" t="s">
        <v>83</v>
      </c>
      <c r="B1394" t="s">
        <v>8</v>
      </c>
      <c r="C1394" t="s">
        <v>18</v>
      </c>
      <c r="D1394">
        <v>0</v>
      </c>
      <c r="E1394" t="s">
        <v>68</v>
      </c>
      <c r="F1394" t="s">
        <v>39</v>
      </c>
      <c r="G1394" t="s">
        <v>40</v>
      </c>
      <c r="H1394">
        <f t="shared" si="21"/>
        <v>0</v>
      </c>
    </row>
    <row r="1395" spans="1:8" x14ac:dyDescent="0.3">
      <c r="A1395" t="s">
        <v>83</v>
      </c>
      <c r="B1395" t="s">
        <v>8</v>
      </c>
      <c r="C1395" t="s">
        <v>19</v>
      </c>
      <c r="D1395">
        <v>0</v>
      </c>
      <c r="E1395" t="s">
        <v>68</v>
      </c>
      <c r="F1395" t="s">
        <v>39</v>
      </c>
      <c r="G1395" t="s">
        <v>40</v>
      </c>
      <c r="H1395">
        <f t="shared" si="21"/>
        <v>0</v>
      </c>
    </row>
    <row r="1396" spans="1:8" x14ac:dyDescent="0.3">
      <c r="A1396" t="s">
        <v>83</v>
      </c>
      <c r="B1396" t="s">
        <v>8</v>
      </c>
      <c r="C1396" t="s">
        <v>20</v>
      </c>
      <c r="D1396">
        <v>0</v>
      </c>
      <c r="E1396" t="s">
        <v>68</v>
      </c>
      <c r="F1396" t="s">
        <v>39</v>
      </c>
      <c r="G1396" t="s">
        <v>40</v>
      </c>
      <c r="H1396">
        <f t="shared" si="21"/>
        <v>0</v>
      </c>
    </row>
    <row r="1397" spans="1:8" x14ac:dyDescent="0.3">
      <c r="A1397" t="s">
        <v>83</v>
      </c>
      <c r="B1397" t="s">
        <v>8</v>
      </c>
      <c r="C1397" t="s">
        <v>21</v>
      </c>
      <c r="D1397">
        <v>0</v>
      </c>
      <c r="E1397" t="s">
        <v>68</v>
      </c>
      <c r="F1397" t="s">
        <v>39</v>
      </c>
      <c r="G1397" t="s">
        <v>40</v>
      </c>
      <c r="H1397">
        <f t="shared" si="21"/>
        <v>0</v>
      </c>
    </row>
    <row r="1398" spans="1:8" x14ac:dyDescent="0.3">
      <c r="A1398" t="s">
        <v>83</v>
      </c>
      <c r="B1398" t="s">
        <v>8</v>
      </c>
      <c r="C1398" t="s">
        <v>22</v>
      </c>
      <c r="D1398">
        <v>29648</v>
      </c>
      <c r="E1398" t="s">
        <v>68</v>
      </c>
      <c r="F1398" t="s">
        <v>39</v>
      </c>
      <c r="G1398" t="s">
        <v>40</v>
      </c>
      <c r="H1398">
        <f t="shared" si="21"/>
        <v>29600</v>
      </c>
    </row>
    <row r="1399" spans="1:8" x14ac:dyDescent="0.3">
      <c r="A1399" t="s">
        <v>83</v>
      </c>
      <c r="B1399" t="s">
        <v>23</v>
      </c>
      <c r="C1399" t="s">
        <v>9</v>
      </c>
      <c r="D1399">
        <v>492</v>
      </c>
      <c r="E1399" t="s">
        <v>68</v>
      </c>
      <c r="F1399" t="s">
        <v>39</v>
      </c>
      <c r="G1399" t="s">
        <v>40</v>
      </c>
      <c r="H1399">
        <f t="shared" si="21"/>
        <v>492</v>
      </c>
    </row>
    <row r="1400" spans="1:8" x14ac:dyDescent="0.3">
      <c r="A1400" t="s">
        <v>83</v>
      </c>
      <c r="B1400" t="s">
        <v>23</v>
      </c>
      <c r="C1400" t="s">
        <v>13</v>
      </c>
      <c r="D1400">
        <v>2822</v>
      </c>
      <c r="E1400" t="s">
        <v>68</v>
      </c>
      <c r="F1400" t="s">
        <v>39</v>
      </c>
      <c r="G1400" t="s">
        <v>40</v>
      </c>
      <c r="H1400">
        <f t="shared" si="21"/>
        <v>2820</v>
      </c>
    </row>
    <row r="1401" spans="1:8" x14ac:dyDescent="0.3">
      <c r="A1401" t="s">
        <v>83</v>
      </c>
      <c r="B1401" t="s">
        <v>23</v>
      </c>
      <c r="C1401" t="s">
        <v>14</v>
      </c>
      <c r="D1401">
        <v>631</v>
      </c>
      <c r="E1401" t="s">
        <v>68</v>
      </c>
      <c r="F1401" t="s">
        <v>39</v>
      </c>
      <c r="G1401" t="s">
        <v>40</v>
      </c>
      <c r="H1401">
        <f t="shared" si="21"/>
        <v>631</v>
      </c>
    </row>
    <row r="1402" spans="1:8" x14ac:dyDescent="0.3">
      <c r="A1402" t="s">
        <v>83</v>
      </c>
      <c r="B1402" t="s">
        <v>23</v>
      </c>
      <c r="C1402" t="s">
        <v>15</v>
      </c>
      <c r="D1402">
        <v>38</v>
      </c>
      <c r="E1402" t="s">
        <v>68</v>
      </c>
      <c r="F1402" t="s">
        <v>39</v>
      </c>
      <c r="G1402" t="s">
        <v>40</v>
      </c>
      <c r="H1402">
        <f t="shared" si="21"/>
        <v>38</v>
      </c>
    </row>
    <row r="1403" spans="1:8" x14ac:dyDescent="0.3">
      <c r="A1403" t="s">
        <v>83</v>
      </c>
      <c r="B1403" t="s">
        <v>23</v>
      </c>
      <c r="C1403" t="s">
        <v>16</v>
      </c>
      <c r="D1403">
        <v>1549</v>
      </c>
      <c r="E1403" t="s">
        <v>68</v>
      </c>
      <c r="F1403" t="s">
        <v>39</v>
      </c>
      <c r="G1403" t="s">
        <v>40</v>
      </c>
      <c r="H1403">
        <f t="shared" si="21"/>
        <v>1550</v>
      </c>
    </row>
    <row r="1404" spans="1:8" x14ac:dyDescent="0.3">
      <c r="A1404" t="s">
        <v>83</v>
      </c>
      <c r="B1404" t="s">
        <v>23</v>
      </c>
      <c r="C1404" t="s">
        <v>17</v>
      </c>
      <c r="D1404">
        <v>119</v>
      </c>
      <c r="E1404" t="s">
        <v>68</v>
      </c>
      <c r="F1404" t="s">
        <v>39</v>
      </c>
      <c r="G1404" t="s">
        <v>40</v>
      </c>
      <c r="H1404">
        <f t="shared" si="21"/>
        <v>119</v>
      </c>
    </row>
    <row r="1405" spans="1:8" x14ac:dyDescent="0.3">
      <c r="A1405" t="s">
        <v>83</v>
      </c>
      <c r="B1405" t="s">
        <v>23</v>
      </c>
      <c r="C1405" t="s">
        <v>18</v>
      </c>
      <c r="D1405">
        <v>0</v>
      </c>
      <c r="E1405" t="s">
        <v>68</v>
      </c>
      <c r="F1405" t="s">
        <v>39</v>
      </c>
      <c r="G1405" t="s">
        <v>40</v>
      </c>
      <c r="H1405">
        <f t="shared" si="21"/>
        <v>0</v>
      </c>
    </row>
    <row r="1406" spans="1:8" x14ac:dyDescent="0.3">
      <c r="A1406" t="s">
        <v>83</v>
      </c>
      <c r="B1406" t="s">
        <v>23</v>
      </c>
      <c r="C1406" t="s">
        <v>19</v>
      </c>
      <c r="D1406">
        <v>99</v>
      </c>
      <c r="E1406" t="s">
        <v>68</v>
      </c>
      <c r="F1406" t="s">
        <v>39</v>
      </c>
      <c r="G1406" t="s">
        <v>40</v>
      </c>
      <c r="H1406">
        <f t="shared" si="21"/>
        <v>99</v>
      </c>
    </row>
    <row r="1407" spans="1:8" x14ac:dyDescent="0.3">
      <c r="A1407" t="s">
        <v>83</v>
      </c>
      <c r="B1407" t="s">
        <v>23</v>
      </c>
      <c r="C1407" t="s">
        <v>20</v>
      </c>
      <c r="D1407">
        <v>240</v>
      </c>
      <c r="E1407" t="s">
        <v>68</v>
      </c>
      <c r="F1407" t="s">
        <v>39</v>
      </c>
      <c r="G1407" t="s">
        <v>40</v>
      </c>
      <c r="H1407">
        <f t="shared" si="21"/>
        <v>240</v>
      </c>
    </row>
    <row r="1408" spans="1:8" x14ac:dyDescent="0.3">
      <c r="A1408" t="s">
        <v>83</v>
      </c>
      <c r="B1408" t="s">
        <v>23</v>
      </c>
      <c r="C1408" t="s">
        <v>21</v>
      </c>
      <c r="D1408">
        <v>13</v>
      </c>
      <c r="E1408" t="s">
        <v>68</v>
      </c>
      <c r="F1408" t="s">
        <v>39</v>
      </c>
      <c r="G1408" t="s">
        <v>40</v>
      </c>
      <c r="H1408">
        <f t="shared" si="21"/>
        <v>13</v>
      </c>
    </row>
    <row r="1409" spans="1:8" x14ac:dyDescent="0.3">
      <c r="A1409" t="s">
        <v>83</v>
      </c>
      <c r="B1409" t="s">
        <v>23</v>
      </c>
      <c r="C1409" t="s">
        <v>22</v>
      </c>
      <c r="D1409">
        <v>24921</v>
      </c>
      <c r="E1409" t="s">
        <v>68</v>
      </c>
      <c r="F1409" t="s">
        <v>39</v>
      </c>
      <c r="G1409" t="s">
        <v>40</v>
      </c>
      <c r="H1409">
        <f t="shared" si="21"/>
        <v>24900</v>
      </c>
    </row>
  </sheetData>
  <pageMargins left="0.75" right="0.75" top="1" bottom="1" header="0.5" footer="0.5"/>
  <legacyDrawing r:id="rId1"/>
</worksheet>
</file>

<file path=docMetadata/LabelInfo.xml><?xml version="1.0" encoding="utf-8"?>
<clbl:labelList xmlns:clbl="http://schemas.microsoft.com/office/2020/mipLabelMetadata">
  <clbl:label id="{d465f887-04a9-4c17-8b62-103eddccf68b}" enabled="1" method="Standard" siteId="{ca2a7f76-dbd7-4ec0-9108-6b3d524fb7c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Overview</vt:lpstr>
      <vt:lpstr>Summary for Figures</vt:lpstr>
      <vt:lpstr>Relative Processing</vt:lpstr>
      <vt:lpstr>Relative Impacts</vt:lpstr>
      <vt:lpstr>Global Impacts</vt:lpstr>
      <vt:lpstr>All TNC Impacts</vt:lpstr>
      <vt:lpstr>Bovine Meat</vt:lpstr>
      <vt:lpstr>Poultry Meat</vt:lpstr>
      <vt:lpstr>Pigmeat</vt:lpstr>
      <vt:lpstr>Milk - Excluding Butter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Drotenko, C. (Christina)</cp:lastModifiedBy>
  <dcterms:created xsi:type="dcterms:W3CDTF">2025-11-03T10:05:14Z</dcterms:created>
  <dcterms:modified xsi:type="dcterms:W3CDTF">2026-09-18T13:05:00Z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465f887-04a9-4c17-8b62-103eddccf68b_Enabled">
    <vt:lpwstr>true</vt:lpwstr>
  </property>
  <property fmtid="{D5CDD505-2E9C-101B-9397-08002B2CF9AE}" pid="3" name="MSIP_Label_d465f887-04a9-4c17-8b62-103eddccf68b_SetDate">
    <vt:lpwstr>2025-11-03T10:52:17Z</vt:lpwstr>
  </property>
  <property fmtid="{D5CDD505-2E9C-101B-9397-08002B2CF9AE}" pid="4" name="MSIP_Label_d465f887-04a9-4c17-8b62-103eddccf68b_Method">
    <vt:lpwstr>Standard</vt:lpwstr>
  </property>
  <property fmtid="{D5CDD505-2E9C-101B-9397-08002B2CF9AE}" pid="5" name="MSIP_Label_d465f887-04a9-4c17-8b62-103eddccf68b_Name">
    <vt:lpwstr>Internal - Intern</vt:lpwstr>
  </property>
  <property fmtid="{D5CDD505-2E9C-101B-9397-08002B2CF9AE}" pid="6" name="MSIP_Label_d465f887-04a9-4c17-8b62-103eddccf68b_SiteId">
    <vt:lpwstr>ca2a7f76-dbd7-4ec0-9108-6b3d524fb7c8</vt:lpwstr>
  </property>
  <property fmtid="{D5CDD505-2E9C-101B-9397-08002B2CF9AE}" pid="7" name="MSIP_Label_d465f887-04a9-4c17-8b62-103eddccf68b_ActionId">
    <vt:lpwstr>e85f5798-15c5-4cfb-a8d8-5a27d11701d6</vt:lpwstr>
  </property>
  <property fmtid="{D5CDD505-2E9C-101B-9397-08002B2CF9AE}" pid="8" name="MSIP_Label_d465f887-04a9-4c17-8b62-103eddccf68b_ContentBits">
    <vt:lpwstr>2</vt:lpwstr>
  </property>
  <property fmtid="{D5CDD505-2E9C-101B-9397-08002B2CF9AE}" pid="9" name="MSIP_Label_d465f887-04a9-4c17-8b62-103eddccf68b_Tag">
    <vt:lpwstr>10, 3, 0, 1</vt:lpwstr>
  </property>
</Properties>
</file>