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leidenuniv1-my.sharepoint.com/personal/drotenkocd2_vuw_leidenuniv_nl/Documents/Documents/Paper 1/Supplementary Data/data/2 - processed data/"/>
    </mc:Choice>
  </mc:AlternateContent>
  <xr:revisionPtr revIDLastSave="71" documentId="8_{4E0E1D2F-BD17-41A5-AFEA-167D8AEFB828}" xr6:coauthVersionLast="47" xr6:coauthVersionMax="47" xr10:uidLastSave="{440E112D-7283-4137-BF5F-3CAD8954C7A8}"/>
  <bookViews>
    <workbookView xWindow="2040" yWindow="3600" windowWidth="17280" windowHeight="9960" tabRatio="918" xr2:uid="{53F815E4-884A-4E43-A77D-B6740444A146}"/>
  </bookViews>
  <sheets>
    <sheet name="Overview" sheetId="52" r:id="rId1"/>
    <sheet name="Production by region" sheetId="38" r:id="rId2"/>
    <sheet name="Dairy" sheetId="44" r:id="rId3"/>
    <sheet name="Cattle weight" sheetId="45" r:id="rId4"/>
    <sheet name="Chickens weight" sheetId="46" r:id="rId5"/>
    <sheet name="Pigs weight" sheetId="47" r:id="rId6"/>
    <sheet name="Production data" sheetId="13" r:id="rId7"/>
    <sheet name="Additional company data" sheetId="20" r:id="rId8"/>
    <sheet name="Additional data sources" sheetId="7" r:id="rId9"/>
  </sheets>
  <externalReferences>
    <externalReference r:id="rId10"/>
  </externalReferences>
  <definedNames>
    <definedName name="_xlnm._FilterDatabase" localSheetId="6" hidden="1">'Production data'!$B$5:$N$83</definedName>
    <definedName name="Axis_CO2">#REF!</definedName>
    <definedName name="Axis_methane">#REF!</definedName>
    <definedName name="BB_Ticker">#REF!</definedName>
    <definedName name="BDP_Func" localSheetId="1">_xll.BDP([0]!BB_Ticker,[0]!ROW_2)</definedName>
    <definedName name="BDP_Func">_xll.BDP(BB_Ticker,ROW_2)</definedName>
    <definedName name="BDP_Funx" localSheetId="1">IF(LEFT([0]!BB_Ticker,1)="!",".",IF(LEFT('Production by region'!BDP_Func,1)="#","-",'Production by region'!BDP_Func))</definedName>
    <definedName name="BDP_Funx">IF(LEFT(BB_Ticker,1)="!",".",IF(LEFT(BDP_Func,1)="#","-",BDP_Func))</definedName>
    <definedName name="BFM_protein_table">'Additional data sources'!$C$3:$E$6</definedName>
    <definedName name="Cap_cattle">'Additional data sources'!$D$26</definedName>
    <definedName name="Cap_pigs">'Additional data sources'!$D$27</definedName>
    <definedName name="Cap_pigs_Pilgrims">'Additional company data'!$X$39</definedName>
    <definedName name="Cap_poultry">'Additional data sources'!$D$28</definedName>
    <definedName name="COL_LET">SUBSTITUTE(ADDRESS(1,COLUMN(),4),"1","")</definedName>
    <definedName name="Danone_intake">'Additional company data'!$G$8</definedName>
    <definedName name="days_per_year">'Additional data sources'!$D$23</definedName>
    <definedName name="Dressing_perc">'Additional data sources'!$C$16:$O$19</definedName>
    <definedName name="Emissions_results">#REF!</definedName>
    <definedName name="GLEAM_column_index">#REF!</definedName>
    <definedName name="GLEAM_GWP100_AR6">#REF!</definedName>
    <definedName name="GLEAM_GWP100_UPDATED_w_GLEAM_v3">#REF!</definedName>
    <definedName name="GLEAM_GWP20_AR6">#REF!</definedName>
    <definedName name="GLEAM_regions">'Additional data sources'!#REF!</definedName>
    <definedName name="GLEAM_row_index">#REF!</definedName>
    <definedName name="GWP">'Additional data sources'!#REF!</definedName>
    <definedName name="Milk_prod">'Production data'!$B$86:$D$114</definedName>
    <definedName name="Milk_protein">#REF!</definedName>
    <definedName name="Production_systems">'Additional data sources'!#REF!</definedName>
    <definedName name="RF_Company_Name">#REF!</definedName>
    <definedName name="RF_Issuer_Ticker_Code">#REF!</definedName>
    <definedName name="RF_PermID">#REF!</definedName>
    <definedName name="RF_Primary_Equity_ISIN">#REF!</definedName>
    <definedName name="RF_Primary_RIC">#REF!</definedName>
    <definedName name="ROW_2">INDIRECT(COL_LET&amp;"2")</definedName>
    <definedName name="Slaughter_mass">'Additional data sources'!$C$10:$O$13</definedName>
    <definedName name="TermEndDate">'[1]Creditor data'!$AX$1</definedName>
    <definedName name="Tot_CH4_GWP100">#REF!</definedName>
    <definedName name="Tot_CH4_GWP20">#REF!</definedName>
    <definedName name="Tot_GHG_GWP100">#REF!</definedName>
    <definedName name="Tot_GHG_GWP20">#REF!</definedName>
    <definedName name="TR_Func" localSheetId="1">_xll.TR([0]!RF_PermID,[0]!ROW_2,"NULL=-")</definedName>
    <definedName name="TR_Func">_xll.TR(RF_PermID,ROW_2,"NULL=-")</definedName>
    <definedName name="TR_FUNC_on_ISIN1" localSheetId="1">_xll.TR([0]!RF_Primary_Equity_ISIN,[0]!ROW_2,"NULL=-")</definedName>
    <definedName name="TR_FUNC_on_ISIN1">_xll.TR(RF_Primary_Equity_ISIN,ROW_2,"NULL=-")</definedName>
    <definedName name="TR_Funx" localSheetId="1">IF(LEFT([0]!RF_PermID,1)="!",".",IF(LEFT('Production by region'!TR_Func,1)="#","-",'Production by region'!TR_Func))</definedName>
    <definedName name="TR_Funx">IF(LEFT(RF_PermID,1)="!",".",IF(LEFT(TR_Func,1)="#","-",TR_Func))</definedName>
  </definedNames>
  <calcPr calcId="191029"/>
  <pivotCaches>
    <pivotCache cacheId="22" r:id="rId11"/>
    <pivotCache cacheId="2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5" l="1"/>
  <c r="A1" i="44"/>
  <c r="B1" i="44"/>
  <c r="C1" i="44"/>
  <c r="A2" i="44"/>
  <c r="B2" i="44"/>
  <c r="C2" i="44"/>
  <c r="A3" i="44"/>
  <c r="B3" i="44"/>
  <c r="C3" i="44"/>
  <c r="A4" i="44"/>
  <c r="B4" i="44"/>
  <c r="C4" i="44"/>
  <c r="A5" i="44"/>
  <c r="B5" i="44"/>
  <c r="C5" i="44"/>
  <c r="A6" i="44"/>
  <c r="B6" i="44"/>
  <c r="C6" i="44"/>
  <c r="A7" i="44"/>
  <c r="B7" i="44"/>
  <c r="C7" i="44"/>
  <c r="A8" i="44"/>
  <c r="B8" i="44"/>
  <c r="C8" i="44"/>
  <c r="A9" i="44"/>
  <c r="B9" i="44"/>
  <c r="C9" i="44"/>
  <c r="A10" i="44"/>
  <c r="C10" i="44"/>
  <c r="A11" i="44"/>
  <c r="C11" i="44"/>
  <c r="A12" i="44"/>
  <c r="B12" i="44"/>
  <c r="C12" i="44"/>
  <c r="A13" i="44"/>
  <c r="B13" i="44"/>
  <c r="C13" i="44"/>
  <c r="A14" i="44"/>
  <c r="B14" i="44"/>
  <c r="C14" i="44"/>
  <c r="A15" i="44"/>
  <c r="B15" i="44"/>
  <c r="C15" i="44"/>
  <c r="A16" i="44"/>
  <c r="B16" i="44"/>
  <c r="C16" i="44"/>
  <c r="A17" i="44"/>
  <c r="B17" i="44"/>
  <c r="C17" i="44"/>
  <c r="A18" i="44"/>
  <c r="B18" i="44"/>
  <c r="C18" i="44"/>
  <c r="A19" i="44"/>
  <c r="B19" i="44"/>
  <c r="C19" i="44"/>
  <c r="A20" i="44"/>
  <c r="B20" i="44"/>
  <c r="C20" i="44"/>
  <c r="A21" i="44"/>
  <c r="B21" i="44"/>
  <c r="C21" i="44"/>
  <c r="A22" i="44"/>
  <c r="B22" i="44"/>
  <c r="C22" i="44"/>
  <c r="A23" i="44"/>
  <c r="B23" i="44"/>
  <c r="C23" i="44"/>
  <c r="B5" i="46" l="1"/>
  <c r="E2" i="47"/>
  <c r="D2" i="45"/>
  <c r="D61" i="20"/>
  <c r="E61" i="20" s="1"/>
  <c r="D32" i="20"/>
  <c r="E4" i="47"/>
  <c r="E3" i="46"/>
  <c r="E4" i="46"/>
  <c r="E6" i="46"/>
  <c r="D32" i="47" l="1"/>
  <c r="B32" i="47"/>
  <c r="E32" i="47" s="1"/>
  <c r="C32" i="47" s="1"/>
  <c r="A32" i="47"/>
  <c r="D31" i="47"/>
  <c r="B31" i="47"/>
  <c r="E31" i="47" s="1"/>
  <c r="A31" i="47"/>
  <c r="D30" i="47"/>
  <c r="B30" i="47"/>
  <c r="E30" i="47" s="1"/>
  <c r="C30" i="47" s="1"/>
  <c r="A30" i="47"/>
  <c r="D29" i="47"/>
  <c r="B29" i="47"/>
  <c r="E29" i="47" s="1"/>
  <c r="A29" i="47"/>
  <c r="D28" i="47"/>
  <c r="B28" i="47"/>
  <c r="E28" i="47" s="1"/>
  <c r="A28" i="47"/>
  <c r="D27" i="47"/>
  <c r="B27" i="47"/>
  <c r="E27" i="47" s="1"/>
  <c r="A27" i="47"/>
  <c r="D26" i="47"/>
  <c r="B26" i="47"/>
  <c r="E26" i="47" s="1"/>
  <c r="A26" i="47"/>
  <c r="D25" i="47"/>
  <c r="B25" i="47"/>
  <c r="E25" i="47" s="1"/>
  <c r="A25" i="47"/>
  <c r="D24" i="47"/>
  <c r="B24" i="47"/>
  <c r="E24" i="47" s="1"/>
  <c r="A24" i="47"/>
  <c r="D23" i="47"/>
  <c r="B23" i="47"/>
  <c r="E23" i="47" s="1"/>
  <c r="C23" i="47" s="1"/>
  <c r="A23" i="47"/>
  <c r="D22" i="47"/>
  <c r="B22" i="47"/>
  <c r="E22" i="47" s="1"/>
  <c r="C22" i="47" s="1"/>
  <c r="A22" i="47"/>
  <c r="D21" i="47"/>
  <c r="B21" i="47"/>
  <c r="E21" i="47" s="1"/>
  <c r="C21" i="47" s="1"/>
  <c r="A21" i="47"/>
  <c r="D20" i="47"/>
  <c r="B20" i="47"/>
  <c r="E20" i="47" s="1"/>
  <c r="C20" i="47" s="1"/>
  <c r="A20" i="47"/>
  <c r="D19" i="47"/>
  <c r="B19" i="47"/>
  <c r="E19" i="47" s="1"/>
  <c r="C19" i="47" s="1"/>
  <c r="A19" i="47"/>
  <c r="D18" i="47"/>
  <c r="B18" i="47"/>
  <c r="E18" i="47" s="1"/>
  <c r="C18" i="47" s="1"/>
  <c r="A18" i="47"/>
  <c r="D17" i="47"/>
  <c r="B17" i="47"/>
  <c r="E17" i="47" s="1"/>
  <c r="C17" i="47" s="1"/>
  <c r="A17" i="47"/>
  <c r="D16" i="47"/>
  <c r="B16" i="47"/>
  <c r="E16" i="47" s="1"/>
  <c r="A16" i="47"/>
  <c r="D15" i="47"/>
  <c r="B15" i="47"/>
  <c r="E15" i="47" s="1"/>
  <c r="A15" i="47"/>
  <c r="D14" i="47"/>
  <c r="B14" i="47"/>
  <c r="E14" i="47" s="1"/>
  <c r="C14" i="47" s="1"/>
  <c r="A14" i="47"/>
  <c r="D13" i="47"/>
  <c r="B13" i="47"/>
  <c r="E13" i="47" s="1"/>
  <c r="A13" i="47"/>
  <c r="D12" i="47"/>
  <c r="B12" i="47"/>
  <c r="E12" i="47" s="1"/>
  <c r="A12" i="47"/>
  <c r="D11" i="47"/>
  <c r="B11" i="47"/>
  <c r="E11" i="47" s="1"/>
  <c r="A11" i="47"/>
  <c r="D10" i="47"/>
  <c r="B10" i="47"/>
  <c r="E10" i="47" s="1"/>
  <c r="C10" i="47" s="1"/>
  <c r="A10" i="47"/>
  <c r="D9" i="47"/>
  <c r="B9" i="47"/>
  <c r="E9" i="47" s="1"/>
  <c r="A9" i="47"/>
  <c r="D8" i="47"/>
  <c r="B8" i="47"/>
  <c r="E8" i="47" s="1"/>
  <c r="A8" i="47"/>
  <c r="D7" i="47"/>
  <c r="B7" i="47"/>
  <c r="E7" i="47" s="1"/>
  <c r="A7" i="47"/>
  <c r="D6" i="47"/>
  <c r="B6" i="47"/>
  <c r="E6" i="47" s="1"/>
  <c r="A6" i="47"/>
  <c r="D5" i="47"/>
  <c r="B5" i="47"/>
  <c r="E5" i="47" s="1"/>
  <c r="A5" i="47"/>
  <c r="D4" i="47"/>
  <c r="A4" i="47"/>
  <c r="D3" i="47"/>
  <c r="B3" i="47"/>
  <c r="E3" i="47" s="1"/>
  <c r="A3" i="47"/>
  <c r="D2" i="47"/>
  <c r="A2" i="47"/>
  <c r="B1" i="47"/>
  <c r="A1" i="47"/>
  <c r="D28" i="46"/>
  <c r="B28" i="46"/>
  <c r="E28" i="46" s="1"/>
  <c r="C28" i="46" s="1"/>
  <c r="A28" i="46"/>
  <c r="D27" i="46"/>
  <c r="B27" i="46"/>
  <c r="E27" i="46" s="1"/>
  <c r="A27" i="46"/>
  <c r="D26" i="46"/>
  <c r="B26" i="46"/>
  <c r="E26" i="46" s="1"/>
  <c r="A26" i="46"/>
  <c r="D25" i="46"/>
  <c r="B25" i="46"/>
  <c r="E25" i="46" s="1"/>
  <c r="C25" i="46" s="1"/>
  <c r="A25" i="46"/>
  <c r="D24" i="46"/>
  <c r="B24" i="46"/>
  <c r="E24" i="46" s="1"/>
  <c r="C24" i="46" s="1"/>
  <c r="A24" i="46"/>
  <c r="D23" i="46"/>
  <c r="B23" i="46"/>
  <c r="E23" i="46" s="1"/>
  <c r="C23" i="46" s="1"/>
  <c r="A23" i="46"/>
  <c r="D22" i="46"/>
  <c r="B22" i="46"/>
  <c r="E22" i="46" s="1"/>
  <c r="C22" i="46" s="1"/>
  <c r="A22" i="46"/>
  <c r="D21" i="46"/>
  <c r="B21" i="46"/>
  <c r="E21" i="46" s="1"/>
  <c r="A21" i="46"/>
  <c r="D20" i="46"/>
  <c r="B20" i="46"/>
  <c r="E20" i="46" s="1"/>
  <c r="A20" i="46"/>
  <c r="D19" i="46"/>
  <c r="B19" i="46"/>
  <c r="E19" i="46" s="1"/>
  <c r="C19" i="46" s="1"/>
  <c r="A19" i="46"/>
  <c r="D18" i="46"/>
  <c r="B18" i="46"/>
  <c r="E18" i="46" s="1"/>
  <c r="C18" i="46" s="1"/>
  <c r="A18" i="46"/>
  <c r="D17" i="46"/>
  <c r="B17" i="46"/>
  <c r="E17" i="46" s="1"/>
  <c r="C17" i="46" s="1"/>
  <c r="A17" i="46"/>
  <c r="D16" i="46"/>
  <c r="B16" i="46"/>
  <c r="E16" i="46" s="1"/>
  <c r="A16" i="46"/>
  <c r="D15" i="46"/>
  <c r="B15" i="46"/>
  <c r="E15" i="46" s="1"/>
  <c r="C15" i="46" s="1"/>
  <c r="A15" i="46"/>
  <c r="D14" i="46"/>
  <c r="B14" i="46"/>
  <c r="E14" i="46" s="1"/>
  <c r="A14" i="46"/>
  <c r="D13" i="46"/>
  <c r="B13" i="46"/>
  <c r="E13" i="46" s="1"/>
  <c r="C13" i="46" s="1"/>
  <c r="A13" i="46"/>
  <c r="D12" i="46"/>
  <c r="B12" i="46"/>
  <c r="E12" i="46" s="1"/>
  <c r="A12" i="46"/>
  <c r="D11" i="46"/>
  <c r="B11" i="46"/>
  <c r="E11" i="46" s="1"/>
  <c r="C11" i="46" s="1"/>
  <c r="A11" i="46"/>
  <c r="D10" i="46"/>
  <c r="B10" i="46"/>
  <c r="E10" i="46" s="1"/>
  <c r="A10" i="46"/>
  <c r="D9" i="46"/>
  <c r="B9" i="46"/>
  <c r="E9" i="46" s="1"/>
  <c r="C9" i="46" s="1"/>
  <c r="A9" i="46"/>
  <c r="D8" i="46"/>
  <c r="B8" i="46"/>
  <c r="E8" i="46" s="1"/>
  <c r="A8" i="46"/>
  <c r="D7" i="46"/>
  <c r="B7" i="46"/>
  <c r="E7" i="46" s="1"/>
  <c r="A7" i="46"/>
  <c r="D6" i="46"/>
  <c r="A6" i="46"/>
  <c r="D5" i="46"/>
  <c r="E5" i="46"/>
  <c r="A5" i="46"/>
  <c r="D4" i="46"/>
  <c r="A4" i="46"/>
  <c r="D3" i="46"/>
  <c r="A3" i="46"/>
  <c r="D2" i="46"/>
  <c r="B2" i="46"/>
  <c r="E2" i="46" s="1"/>
  <c r="A2" i="46"/>
  <c r="B1" i="46"/>
  <c r="A1" i="46"/>
  <c r="D19" i="45"/>
  <c r="B19" i="45"/>
  <c r="E19" i="45" s="1"/>
  <c r="A19" i="45"/>
  <c r="D18" i="45"/>
  <c r="B18" i="45"/>
  <c r="E18" i="45" s="1"/>
  <c r="A18" i="45"/>
  <c r="D17" i="45"/>
  <c r="B17" i="45"/>
  <c r="E17" i="45" s="1"/>
  <c r="A17" i="45"/>
  <c r="D16" i="45"/>
  <c r="B16" i="45"/>
  <c r="E16" i="45" s="1"/>
  <c r="A16" i="45"/>
  <c r="D15" i="45"/>
  <c r="B15" i="45"/>
  <c r="E15" i="45" s="1"/>
  <c r="A15" i="45"/>
  <c r="D14" i="45"/>
  <c r="B14" i="45"/>
  <c r="E14" i="45" s="1"/>
  <c r="C14" i="45" s="1"/>
  <c r="A14" i="45"/>
  <c r="D13" i="45"/>
  <c r="B13" i="45"/>
  <c r="E13" i="45" s="1"/>
  <c r="A13" i="45"/>
  <c r="D12" i="45"/>
  <c r="B12" i="45"/>
  <c r="E12" i="45" s="1"/>
  <c r="C12" i="45" s="1"/>
  <c r="A12" i="45"/>
  <c r="D11" i="45"/>
  <c r="B11" i="45"/>
  <c r="E11" i="45" s="1"/>
  <c r="A11" i="45"/>
  <c r="D10" i="45"/>
  <c r="B10" i="45"/>
  <c r="E10" i="45" s="1"/>
  <c r="A10" i="45"/>
  <c r="D9" i="45"/>
  <c r="B9" i="45"/>
  <c r="E9" i="45" s="1"/>
  <c r="C9" i="45" s="1"/>
  <c r="A9" i="45"/>
  <c r="D8" i="45"/>
  <c r="B8" i="45"/>
  <c r="E8" i="45" s="1"/>
  <c r="A8" i="45"/>
  <c r="D7" i="45"/>
  <c r="B7" i="45"/>
  <c r="E7" i="45" s="1"/>
  <c r="A7" i="45"/>
  <c r="D6" i="45"/>
  <c r="B6" i="45"/>
  <c r="E6" i="45" s="1"/>
  <c r="A6" i="45"/>
  <c r="D5" i="45"/>
  <c r="B5" i="45"/>
  <c r="E5" i="45" s="1"/>
  <c r="A5" i="45"/>
  <c r="D4" i="45"/>
  <c r="B4" i="45"/>
  <c r="E4" i="45" s="1"/>
  <c r="A4" i="45"/>
  <c r="D3" i="45"/>
  <c r="B3" i="45"/>
  <c r="E3" i="45" s="1"/>
  <c r="A3" i="45"/>
  <c r="B2" i="45"/>
  <c r="C2" i="45" s="1"/>
  <c r="A2" i="45"/>
  <c r="B1" i="45"/>
  <c r="A1" i="45"/>
  <c r="H12" i="20"/>
  <c r="C52" i="20"/>
  <c r="D52" i="20"/>
  <c r="E52" i="20" s="1"/>
  <c r="D53" i="20"/>
  <c r="G12" i="13"/>
  <c r="I12" i="13" s="1"/>
  <c r="I66" i="13"/>
  <c r="I73" i="13"/>
  <c r="I74" i="13"/>
  <c r="I75" i="13"/>
  <c r="I76" i="13"/>
  <c r="I77" i="13"/>
  <c r="I78" i="13"/>
  <c r="I72" i="13"/>
  <c r="I69" i="13"/>
  <c r="I68" i="13"/>
  <c r="I63" i="13"/>
  <c r="I50" i="13"/>
  <c r="I42" i="13"/>
  <c r="I47" i="13"/>
  <c r="I21" i="13"/>
  <c r="I23" i="13"/>
  <c r="I19" i="13"/>
  <c r="I15" i="13"/>
  <c r="I11" i="13"/>
  <c r="I29" i="13"/>
  <c r="G20" i="13"/>
  <c r="I20" i="13" s="1"/>
  <c r="G36" i="13"/>
  <c r="I36" i="13" s="1"/>
  <c r="D68" i="20"/>
  <c r="D67" i="20"/>
  <c r="D63" i="20"/>
  <c r="E63" i="20" s="1"/>
  <c r="D62" i="20"/>
  <c r="E62" i="20" s="1"/>
  <c r="F62" i="20" s="1"/>
  <c r="D57" i="20"/>
  <c r="E57" i="20" s="1"/>
  <c r="Q27" i="38"/>
  <c r="Q21" i="38"/>
  <c r="Q26" i="38"/>
  <c r="Q11" i="38"/>
  <c r="Q24" i="38"/>
  <c r="Q19" i="38"/>
  <c r="Q18" i="38"/>
  <c r="Q22" i="38"/>
  <c r="Q10" i="38"/>
  <c r="Q25" i="38"/>
  <c r="Q20" i="38"/>
  <c r="Q13" i="38"/>
  <c r="Q9" i="38"/>
  <c r="Q15" i="38"/>
  <c r="Q12" i="38"/>
  <c r="Q8" i="38"/>
  <c r="Q7" i="38"/>
  <c r="Q17" i="38"/>
  <c r="Q16" i="38"/>
  <c r="Q6" i="38"/>
  <c r="Q23" i="38"/>
  <c r="Q14" i="38"/>
  <c r="C9" i="47" l="1"/>
  <c r="C21" i="46"/>
  <c r="C16" i="47"/>
  <c r="C31" i="47"/>
  <c r="C11" i="45"/>
  <c r="C2" i="46"/>
  <c r="C14" i="46"/>
  <c r="C8" i="46"/>
  <c r="C5" i="46"/>
  <c r="C3" i="45"/>
  <c r="C18" i="45"/>
  <c r="C16" i="46"/>
  <c r="C11" i="47"/>
  <c r="C16" i="45"/>
  <c r="C2" i="47"/>
  <c r="C4" i="47"/>
  <c r="C26" i="47"/>
  <c r="C8" i="47"/>
  <c r="C13" i="45"/>
  <c r="C10" i="46"/>
  <c r="C12" i="47"/>
  <c r="C27" i="47"/>
  <c r="C6" i="45"/>
  <c r="C13" i="47"/>
  <c r="C3" i="46"/>
  <c r="C7" i="45"/>
  <c r="C5" i="45"/>
  <c r="C6" i="47"/>
  <c r="C28" i="47"/>
  <c r="C26" i="46"/>
  <c r="C4" i="46"/>
  <c r="C7" i="47"/>
  <c r="C29" i="47"/>
  <c r="C6" i="46"/>
  <c r="C8" i="45"/>
  <c r="C15" i="45"/>
  <c r="C12" i="46"/>
  <c r="C5" i="47"/>
  <c r="C20" i="46"/>
  <c r="C27" i="46"/>
  <c r="C15" i="47"/>
  <c r="C10" i="45"/>
  <c r="C17" i="45"/>
  <c r="C7" i="46"/>
  <c r="C24" i="47"/>
  <c r="C25" i="47"/>
  <c r="C4" i="45"/>
  <c r="C19" i="45"/>
  <c r="C3" i="47"/>
  <c r="F57" i="20"/>
  <c r="G65" i="13" s="1"/>
  <c r="I65" i="13" s="1"/>
  <c r="Q28" i="38"/>
  <c r="G22" i="13"/>
  <c r="I22" i="13" s="1"/>
  <c r="F63" i="20"/>
  <c r="F61" i="20"/>
  <c r="F52" i="20"/>
  <c r="G46" i="13"/>
  <c r="I46" i="13" s="1"/>
  <c r="G17" i="13" l="1"/>
  <c r="I17" i="13" s="1"/>
  <c r="G45" i="13"/>
  <c r="I45" i="13" s="1"/>
  <c r="G44" i="13"/>
  <c r="I44" i="13" s="1"/>
  <c r="G41" i="13"/>
  <c r="I41" i="13" s="1"/>
  <c r="I79" i="13"/>
  <c r="G40" i="13"/>
  <c r="I40" i="13" s="1"/>
  <c r="G39" i="13"/>
  <c r="I39" i="13" s="1"/>
  <c r="G30" i="13"/>
  <c r="I30" i="13" s="1"/>
  <c r="G35" i="13"/>
  <c r="I35" i="13" s="1"/>
  <c r="G31" i="13"/>
  <c r="I31" i="13" s="1"/>
  <c r="I64" i="13"/>
  <c r="G34" i="13"/>
  <c r="I34" i="13" s="1"/>
  <c r="G33" i="13"/>
  <c r="I33" i="13" s="1"/>
  <c r="G32" i="13"/>
  <c r="I32" i="13" s="1"/>
  <c r="G59" i="13" l="1"/>
  <c r="I59" i="13" s="1"/>
  <c r="G38" i="13"/>
  <c r="I38" i="13" s="1"/>
  <c r="G70" i="13"/>
  <c r="I70" i="13" s="1"/>
  <c r="G62" i="13"/>
  <c r="I62" i="13" s="1"/>
  <c r="G18" i="13"/>
  <c r="I18" i="13" s="1"/>
  <c r="F99" i="20" l="1"/>
  <c r="G43" i="13" s="1"/>
  <c r="I43" i="13" s="1"/>
  <c r="F93" i="20"/>
  <c r="G37" i="13" s="1"/>
  <c r="I37" i="13" s="1"/>
  <c r="E68" i="20" l="1"/>
  <c r="E67" i="20"/>
  <c r="F67" i="20" s="1"/>
  <c r="G16" i="13" s="1"/>
  <c r="I16" i="13" s="1"/>
  <c r="F68" i="20" l="1"/>
  <c r="G67" i="13" s="1"/>
  <c r="I67" i="13" s="1"/>
  <c r="G61" i="13"/>
  <c r="I61" i="13" s="1"/>
  <c r="G60" i="13"/>
  <c r="I60" i="13" s="1"/>
  <c r="G48" i="13" l="1"/>
  <c r="I48" i="13" s="1"/>
  <c r="G49" i="13"/>
  <c r="I49" i="13" s="1"/>
  <c r="D98" i="13"/>
  <c r="D99" i="13" s="1"/>
  <c r="D97" i="13"/>
  <c r="D96" i="13"/>
  <c r="D95" i="13"/>
  <c r="D94" i="13"/>
  <c r="D93" i="13"/>
  <c r="D92" i="13"/>
  <c r="D102" i="13" l="1"/>
  <c r="D103" i="13"/>
  <c r="D101" i="13"/>
  <c r="D100" i="13"/>
  <c r="E117" i="13"/>
  <c r="D105" i="13"/>
  <c r="D104" i="13"/>
  <c r="E115" i="13" l="1"/>
  <c r="G71" i="13" l="1"/>
  <c r="I71" i="13" s="1"/>
  <c r="G47" i="20"/>
  <c r="G28" i="13" s="1"/>
  <c r="I28" i="13" s="1"/>
  <c r="E47" i="20"/>
  <c r="G27" i="13" s="1"/>
  <c r="I27" i="13" s="1"/>
  <c r="F45" i="20"/>
  <c r="I14" i="13" s="1"/>
  <c r="E45" i="20"/>
  <c r="I13" i="13" s="1"/>
  <c r="I58" i="13"/>
  <c r="E53" i="20" l="1"/>
  <c r="F53" i="20" l="1"/>
  <c r="G81" i="13" s="1"/>
  <c r="I81" i="13" s="1"/>
  <c r="H15" i="20" l="1"/>
  <c r="H14" i="20"/>
  <c r="H13" i="20"/>
  <c r="H11" i="20"/>
  <c r="I53" i="13" l="1"/>
  <c r="I51" i="13"/>
  <c r="I52" i="13"/>
  <c r="D23" i="7" l="1"/>
  <c r="I25" i="13" l="1"/>
  <c r="I9" i="13"/>
  <c r="I26" i="13"/>
  <c r="I6" i="13"/>
  <c r="G80" i="13"/>
  <c r="I80" i="13" s="1"/>
  <c r="I10" i="13"/>
  <c r="I7" i="13"/>
  <c r="I24" i="13"/>
  <c r="I57" i="13"/>
  <c r="I54" i="13"/>
  <c r="I56" i="13"/>
  <c r="I55" i="13"/>
  <c r="I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Barbara Kuepper</author>
  </authors>
  <commentList>
    <comment ref="G5" authorId="0" shapeId="0" xr:uid="{6DCC1870-C636-4C82-98BD-CDD40ACE6B3A}">
      <text>
        <r>
          <rPr>
            <b/>
            <sz val="9"/>
            <color indexed="81"/>
            <rFont val="Tahoma"/>
            <family val="2"/>
          </rPr>
          <t>Barbara Kuepper:</t>
        </r>
        <r>
          <rPr>
            <sz val="9"/>
            <color indexed="81"/>
            <rFont val="Tahoma"/>
            <family val="2"/>
          </rPr>
          <t xml:space="preserve">
partly converted from daily/weekly to annually, and from weight to heads, and adjusted for regional shares</t>
        </r>
      </text>
    </comment>
    <comment ref="G31" authorId="0" shapeId="0" xr:uid="{F46793EA-C9DE-4C3F-B490-1A247E9833DE}">
      <text>
        <r>
          <rPr>
            <b/>
            <sz val="9"/>
            <color indexed="81"/>
            <rFont val="Tahoma"/>
            <family val="2"/>
          </rPr>
          <t>Barbara Kuepper:</t>
        </r>
        <r>
          <rPr>
            <sz val="9"/>
            <color indexed="81"/>
            <rFont val="Tahoma"/>
            <family val="2"/>
          </rPr>
          <t xml:space="preserve">
50% of Wayne Sanderson JV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Maik Marahrens</author>
  </authors>
  <commentList>
    <comment ref="C67" authorId="0" shapeId="0" xr:uid="{DF250AA5-629B-4A8B-A1EB-3DB1654F9936}">
      <text>
        <r>
          <rPr>
            <b/>
            <sz val="9"/>
            <color indexed="81"/>
            <rFont val="Tahoma"/>
            <family val="2"/>
          </rPr>
          <t>Maik Marahrens:</t>
        </r>
        <r>
          <rPr>
            <sz val="9"/>
            <color indexed="81"/>
            <rFont val="Tahoma"/>
            <family val="2"/>
          </rPr>
          <t xml:space="preserve">
Cattle and veal combined</t>
        </r>
      </text>
    </comment>
    <comment ref="C77" authorId="0" shapeId="0" xr:uid="{7B5281A0-DB32-44D8-942F-9050B1D89E7E}">
      <text>
        <r>
          <rPr>
            <sz val="9"/>
            <color indexed="81"/>
            <rFont val="Tahoma"/>
            <family val="2"/>
          </rPr>
          <t>assuming 150g per portion</t>
        </r>
      </text>
    </comment>
  </commentList>
</comments>
</file>

<file path=xl/sharedStrings.xml><?xml version="1.0" encoding="utf-8"?>
<sst xmlns="http://schemas.openxmlformats.org/spreadsheetml/2006/main" count="1449" uniqueCount="414">
  <si>
    <t>Region</t>
  </si>
  <si>
    <t>Cattle</t>
  </si>
  <si>
    <t>Pigs</t>
  </si>
  <si>
    <t>Chicken</t>
  </si>
  <si>
    <t>East Asia and Southeast Asia</t>
  </si>
  <si>
    <t>Eastern Europe</t>
  </si>
  <si>
    <t>Latin America and the Caribbean</t>
  </si>
  <si>
    <t>Near East and North Africa</t>
  </si>
  <si>
    <t>North America</t>
  </si>
  <si>
    <t>Oceania</t>
  </si>
  <si>
    <t>Russian Federation</t>
  </si>
  <si>
    <t>South Asia</t>
  </si>
  <si>
    <t>Sub-Saharan Africa</t>
  </si>
  <si>
    <t>Western Europe</t>
  </si>
  <si>
    <t>-</t>
  </si>
  <si>
    <t>Species</t>
  </si>
  <si>
    <t>Animal</t>
  </si>
  <si>
    <t>Mixed or Grassland</t>
  </si>
  <si>
    <t>Industrial</t>
  </si>
  <si>
    <t>Broiler</t>
  </si>
  <si>
    <t>Average on 3:2:1 slaughter assumption steers:heifers:culled cows</t>
  </si>
  <si>
    <t xml:space="preserve">Company </t>
  </si>
  <si>
    <t>Tyson</t>
  </si>
  <si>
    <t>Danish Crown</t>
  </si>
  <si>
    <t>WH Group</t>
  </si>
  <si>
    <t>JBS</t>
  </si>
  <si>
    <t>%</t>
  </si>
  <si>
    <t>Average</t>
  </si>
  <si>
    <t>Fonterra</t>
  </si>
  <si>
    <t>Dairy Farmers of America</t>
  </si>
  <si>
    <t>Lactalis</t>
  </si>
  <si>
    <t>Nestlé</t>
  </si>
  <si>
    <t>Arla</t>
  </si>
  <si>
    <t>FrieslandCampina</t>
  </si>
  <si>
    <t>Danone</t>
  </si>
  <si>
    <t>DMK</t>
  </si>
  <si>
    <t>Saputo</t>
  </si>
  <si>
    <t xml:space="preserve">Yili </t>
  </si>
  <si>
    <t xml:space="preserve"> Company</t>
  </si>
  <si>
    <t>Marfrig</t>
  </si>
  <si>
    <t>Days operational per year</t>
  </si>
  <si>
    <t>Poultry</t>
  </si>
  <si>
    <t>Data year</t>
  </si>
  <si>
    <t>Data source</t>
  </si>
  <si>
    <t>IFCN</t>
  </si>
  <si>
    <t>Company</t>
  </si>
  <si>
    <t xml:space="preserve">Production system </t>
  </si>
  <si>
    <t>Note</t>
  </si>
  <si>
    <t>Source</t>
  </si>
  <si>
    <t>GLEAM Supplement S1 Table 2.4-2.7</t>
  </si>
  <si>
    <t>Source: GLEAM 2.0 User Guide Table 9.1</t>
  </si>
  <si>
    <t>GLEAM Supplement S1 Table 2.16</t>
  </si>
  <si>
    <t>GLEAM Supplement S1 Table 2.21</t>
  </si>
  <si>
    <t>GLEAM Supplement S1 Table 9.2</t>
  </si>
  <si>
    <t>Danone:</t>
  </si>
  <si>
    <t>PROCUREMENT DATA</t>
  </si>
  <si>
    <t>*adjusted to make percentages add exactly to 100% instead of 99%</t>
  </si>
  <si>
    <t>Relationship with milk producers:</t>
  </si>
  <si>
    <t>Number of farms from which Danone sources directly or indirectly milk</t>
  </si>
  <si>
    <t>Number of farms</t>
  </si>
  <si>
    <t>Tonnage of milk directly sourced by Danone worldwide</t>
  </si>
  <si>
    <t>ktons</t>
  </si>
  <si>
    <t>(a)For 2020 and before, smallholders farms were defined as “less than 10 cows”. From 2021 onwards, it is defined as “less than 25 cows”</t>
  </si>
  <si>
    <t>Main sourcing regions:</t>
  </si>
  <si>
    <t>Europe</t>
  </si>
  <si>
    <t>CIS</t>
  </si>
  <si>
    <t>Latin America</t>
  </si>
  <si>
    <t>Other regions</t>
  </si>
  <si>
    <t>Percentage of total milk collected directly by Danone coming from producers working under CPM contract (a)</t>
  </si>
  <si>
    <t>Number of entities having deployed the Cool Farm Tool</t>
  </si>
  <si>
    <t>Number of entities</t>
  </si>
  <si>
    <t>Number of entities having implemented the Animal Welfare tool</t>
  </si>
  <si>
    <t>WH Group:</t>
  </si>
  <si>
    <t>China</t>
  </si>
  <si>
    <t xml:space="preserve">U.S. </t>
  </si>
  <si>
    <t xml:space="preserve">Capacity utilisation </t>
  </si>
  <si>
    <t xml:space="preserve">Correction factor* </t>
  </si>
  <si>
    <t>Capacity (million heads)</t>
  </si>
  <si>
    <t>*Total reported animals processed/number implied by capacity and utilisation)</t>
  </si>
  <si>
    <t xml:space="preserve">Daily capacity </t>
  </si>
  <si>
    <t>JBS Brazil</t>
  </si>
  <si>
    <t>JBS USA</t>
  </si>
  <si>
    <t>Pilgrim's Pride</t>
  </si>
  <si>
    <t>Seara</t>
  </si>
  <si>
    <t>Weekly slaughter capacity</t>
  </si>
  <si>
    <t>Capacity utilisation</t>
  </si>
  <si>
    <t>Facilities in USA</t>
  </si>
  <si>
    <t>Facilities in Oceania</t>
  </si>
  <si>
    <t>Facilities in East Asia</t>
  </si>
  <si>
    <t>Bone free meat (fraction)</t>
  </si>
  <si>
    <t>Percentage of milk collected directly by Danone in EU coming from producers working under CPM contract</t>
  </si>
  <si>
    <t>Percentage of milk collected directly by Danone in the U.S coming from producers working under CPM contract</t>
  </si>
  <si>
    <t>Number of these farms which are smallholders</t>
  </si>
  <si>
    <t>2021 adjusted*</t>
  </si>
  <si>
    <t>Used to estimate total meat production</t>
  </si>
  <si>
    <t>Used to disaggregate meat production by region</t>
  </si>
  <si>
    <t>JBS USA beef</t>
  </si>
  <si>
    <t xml:space="preserve">JBS USA pork </t>
  </si>
  <si>
    <t>JBS Canada</t>
  </si>
  <si>
    <t>JBS Australia</t>
  </si>
  <si>
    <t>Weekly capacity</t>
  </si>
  <si>
    <t>Link</t>
  </si>
  <si>
    <t>https://ifcndairy.org/top-dairy-processors-commit-to-climate-goals/</t>
  </si>
  <si>
    <t>https://www.saputo.com/-/media/ecosystem/divisions/corporate-services/sites/saputo-com/saputo-com-documents/investors/fy2023/saputo_factsheet2021_eng.ashx)</t>
  </si>
  <si>
    <t>Western Europe value is average of reported country-specific values</t>
  </si>
  <si>
    <t>Daily capacity</t>
  </si>
  <si>
    <t>Chickens</t>
  </si>
  <si>
    <t>Fresh chicken processing plants</t>
  </si>
  <si>
    <t xml:space="preserve">Used to identify capacity and capacity utilisation for Pilgrim's Pride poultry and pork </t>
  </si>
  <si>
    <t>Assumed utilisation rate</t>
  </si>
  <si>
    <t>https://www.danishcrown.com/en-gb/about-us/our-results/annual-reports/; *reporting period October 2020-September 2021</t>
  </si>
  <si>
    <t>Germany</t>
  </si>
  <si>
    <t>Ukraine</t>
  </si>
  <si>
    <t>United Kingdom</t>
  </si>
  <si>
    <t>JBS:</t>
  </si>
  <si>
    <t>Table 4.1: Production data - meat</t>
  </si>
  <si>
    <t>Table 4.2: Production data - dairy</t>
  </si>
  <si>
    <t>Table 7.1: Bone free meat weight, kg per kg carcass</t>
  </si>
  <si>
    <t>Table 7.2: Slaughter weight, kg per animal</t>
  </si>
  <si>
    <t>Table 7.3: Dressing percentage</t>
  </si>
  <si>
    <t>Table 7.4: Capacity utilisation assumptions</t>
  </si>
  <si>
    <t>Agropur</t>
  </si>
  <si>
    <t>China Mengniu Dairy</t>
  </si>
  <si>
    <t>Glanbia</t>
  </si>
  <si>
    <t>CP Group</t>
  </si>
  <si>
    <t>Koch Foods</t>
  </si>
  <si>
    <t>Wellhope Agri-Tech</t>
  </si>
  <si>
    <t>Industrias Bachoco</t>
  </si>
  <si>
    <t>Perdue Farms</t>
  </si>
  <si>
    <t>Cargill</t>
  </si>
  <si>
    <t>Muyuan Foodstuff</t>
  </si>
  <si>
    <t>Zhengbang Group</t>
  </si>
  <si>
    <t>New Hope Group</t>
  </si>
  <si>
    <t>Triumph Foods</t>
  </si>
  <si>
    <t>Seaboard</t>
  </si>
  <si>
    <t>Cooperl Arc Atlantique</t>
  </si>
  <si>
    <t>Minerva</t>
  </si>
  <si>
    <t>Vion Food Group</t>
  </si>
  <si>
    <t>NH Foods</t>
  </si>
  <si>
    <t>Grand Total</t>
  </si>
  <si>
    <t>WH Group (2023) Annual Report 2023</t>
  </si>
  <si>
    <t>Head slaughtered 2023 (million)</t>
  </si>
  <si>
    <t>JBS (2024) About our company</t>
  </si>
  <si>
    <t>Volume of meat processed (t)</t>
  </si>
  <si>
    <t>Charoen Pokphand</t>
  </si>
  <si>
    <t>https://www.agripost.cn/2021/06/04/cp-groups-feed-and-swine-business-prepares-for-a-share-listing/</t>
  </si>
  <si>
    <t>https://hylife.com/about/</t>
  </si>
  <si>
    <t>https://api.mziq.com/mzfilemanager/v2/d/b8180300-b881-4e6c-b970-12ad72a86ec8/4ec125cf-a0b8-169d-05f0-6cce9979d041?origin=1</t>
  </si>
  <si>
    <t>Milk intake (mio tonnes, 2022)</t>
  </si>
  <si>
    <t>IFCN (2023) Dairy Report 2023, via Dairy News</t>
  </si>
  <si>
    <t>Müller</t>
  </si>
  <si>
    <t>Amul</t>
  </si>
  <si>
    <t>India</t>
  </si>
  <si>
    <t>California Diaries</t>
  </si>
  <si>
    <t>Danone Exhaustive 2022 Extra Financial Data</t>
  </si>
  <si>
    <t>https://www.danone.com/content/dam/corp/global/danonecom/investors/en-sustainability/reports-and-data/cross-topic/danoneexhaustive2022extrafinancialdata.pdf</t>
  </si>
  <si>
    <t xml:space="preserve">Danish Crown Annual Report 2022-2023, Danish Crown Annual Report 2019/20 </t>
  </si>
  <si>
    <t>https://media-whgroup.todayir.com/20240415164801467011159729_en.pdf</t>
  </si>
  <si>
    <t>Danone-IFCN</t>
  </si>
  <si>
    <t>Carcass weight (t)</t>
  </si>
  <si>
    <t>Live weight (t)</t>
  </si>
  <si>
    <t>No of animals (heads)</t>
  </si>
  <si>
    <t>Bigard</t>
  </si>
  <si>
    <t>Bigard 2023 sustainability report (page 10</t>
  </si>
  <si>
    <t>Tönnies Group</t>
  </si>
  <si>
    <t>Aurora Alimentos</t>
  </si>
  <si>
    <t>South America</t>
  </si>
  <si>
    <t>Tyson Foods</t>
  </si>
  <si>
    <t>Rank</t>
  </si>
  <si>
    <t>Thailand</t>
  </si>
  <si>
    <t>United States</t>
  </si>
  <si>
    <t>Brazil</t>
  </si>
  <si>
    <t>Clemens Food Group</t>
  </si>
  <si>
    <t>Country</t>
  </si>
  <si>
    <t>JBS S.A.</t>
  </si>
  <si>
    <t>BRF</t>
  </si>
  <si>
    <t>Pilgrim's Pride Corp.</t>
  </si>
  <si>
    <t>Wen's Food Group</t>
  </si>
  <si>
    <t>Wayne-Sanderson Farms</t>
  </si>
  <si>
    <t>MHP</t>
  </si>
  <si>
    <t>Arab Company for Livestock Development (ACOLID)</t>
  </si>
  <si>
    <t>Saudi Arabia</t>
  </si>
  <si>
    <t>Japfa Ltd.</t>
  </si>
  <si>
    <t>Fujian Sunner Development Co. Ltd.</t>
  </si>
  <si>
    <t>Poultry global</t>
  </si>
  <si>
    <t>Top world broiler rankings 2024 (2023 numbers)</t>
  </si>
  <si>
    <t>heads/year</t>
  </si>
  <si>
    <t>Subsidiary</t>
  </si>
  <si>
    <t>Pilgrim's de Mexico</t>
  </si>
  <si>
    <t>Mexico</t>
  </si>
  <si>
    <t>Moy Park Ltd.</t>
  </si>
  <si>
    <t>Tyson Foods International</t>
  </si>
  <si>
    <t>Brazil, China, Korea, Mexico, Thailand</t>
  </si>
  <si>
    <t>Singapore</t>
  </si>
  <si>
    <t>CP Thailand</t>
  </si>
  <si>
    <t>CP China</t>
  </si>
  <si>
    <t>New Hope Liuhe</t>
  </si>
  <si>
    <t>OK Foods</t>
  </si>
  <si>
    <t>Perdue Foods</t>
  </si>
  <si>
    <t>https://s203.q4cdn.com/483587180/files/doc_financials/annual/2023/tsn-2023-10k-final.pdf</t>
  </si>
  <si>
    <t>COFCO Group</t>
  </si>
  <si>
    <t>WH Group (2024), 2023 Annual Report, p.23</t>
  </si>
  <si>
    <t>Comments</t>
  </si>
  <si>
    <t>https://www.poultryinternational-digital.com/poultryinternational/october_november_2024/MobilePagedArticle.action?articleId=2013060#articleId2013060</t>
  </si>
  <si>
    <t xml:space="preserve">Danish Crown Annual Report 2022-2023, p. 4; Danish Crown Annual Report 2019/20 </t>
  </si>
  <si>
    <t>Vion Food Group (n.d.), Vion beef.</t>
  </si>
  <si>
    <t>https://www.vionfoodgroup.com/en/beef</t>
  </si>
  <si>
    <t>https://www.groupebigard.fr/sites/default/files/medias/2024-07/bigard-dpef2023-pp-bd.pdf</t>
  </si>
  <si>
    <t>Vion Food Group (n.d.), Climate - Science Based Targets Initiative.</t>
  </si>
  <si>
    <t>https://www.vionfoodgroup.com/en/csr-topics/climate</t>
  </si>
  <si>
    <t>https://vetandlife.ru/sobytiya/sostavlen-top-20-rossijskih-proizvoditelej-svininy/</t>
  </si>
  <si>
    <t>Vet and Life (2023, February 8), Top 20 Russian pork producers compiled [Russian].</t>
  </si>
  <si>
    <t>https://vetandlife.ru/sobytiya/sostavlen-top-20-rossijskih-proizvoditelej-svininy/; https://agromics.ru/novosti/reyting-myaso/</t>
  </si>
  <si>
    <t>Vet and Life (2023, February 8), Top 20 Russian pork producers compiled [Russian]; Agromics (2024, October 30), Rating of the top-25 largest meat producers in the Russian Federation in 2023.</t>
  </si>
  <si>
    <t>Grupo Jorges</t>
  </si>
  <si>
    <t>Jorge SL (2024), Sustainability Report 2023, p. 8</t>
  </si>
  <si>
    <t>https://jorgesl.com/gj/sites/default/files/2024-10/2409-memoria-sostenibilidad%20GJ-EN-v3_compressed.pdf</t>
  </si>
  <si>
    <t>Tönnies</t>
  </si>
  <si>
    <t>Annual slaughter</t>
  </si>
  <si>
    <t>ISN Schlachthofranking Deutschland 2023</t>
  </si>
  <si>
    <t>Tican SB Pork (n.d.), Om is [Danish]</t>
  </si>
  <si>
    <t>started Oct. 2024</t>
  </si>
  <si>
    <t>DK</t>
  </si>
  <si>
    <t>http://static.cninfo.com.cn/finalpage/2024-04-27/1219861318.PDF</t>
  </si>
  <si>
    <t>Muyuan Foods Co. (2024), Summary of 2023 Annual Report of Muyuan Foods Co., Ltd, p. 2</t>
  </si>
  <si>
    <t>https://www.annualreports.com/HostedData/AnnualReports/PDF/AMEX_SEB_2023.pdf</t>
  </si>
  <si>
    <t xml:space="preserve">Slaughter capacity, but company states that it "generally operates at capacity with additional weekend shifts depending on market conditions". </t>
  </si>
  <si>
    <t xml:space="preserve">Seabord Corp. (2024), 2023 Annual Report, p.16 </t>
  </si>
  <si>
    <t xml:space="preserve">New Hope Liuhe Co., Ltd. (2024), 2023 Annual Rreport, p. 37 </t>
  </si>
  <si>
    <t>http://file.finance.sina.com.cn/211.154.219.97:9494/MRGG/CNSESZ_STOCK/2024/2024-7/2024-07-06/10316551.PDF</t>
  </si>
  <si>
    <t>eFeedLink (2023, August 23), "How Chinese pig producers fared in 2022?</t>
  </si>
  <si>
    <t>https://www.efeedlink.com/contents/08-23-2023/c62e246a-805b-4574-9e70-16b9003fca6e-0002.html</t>
  </si>
  <si>
    <t>no date</t>
  </si>
  <si>
    <t>Cargill (n.d.), Sustainable beef - Our presence.</t>
  </si>
  <si>
    <t>https://www.cargill.com/sustainability/sustainable-beef</t>
  </si>
  <si>
    <t>No. of beef meals per year</t>
  </si>
  <si>
    <t>Cargill Proteina Latinoamerico</t>
  </si>
  <si>
    <t>Cargill Meats Asia</t>
  </si>
  <si>
    <t>Cargill Meats Europe</t>
  </si>
  <si>
    <t>Poultry International (2024), Top world broiler and egg rankings 2024, pp. 8-10</t>
  </si>
  <si>
    <t>Marfrig (2024), Institutional Presentation 1st Quarter 2024, p.21</t>
  </si>
  <si>
    <t>Marfrig (2024), Institutional Presentation 1st Quarter 2024, p.15</t>
  </si>
  <si>
    <t>BRF (2024), Form 20-F Annual Report 2023, p. 63</t>
  </si>
  <si>
    <t>https://api.mziq.com/mzfilemanager/v2/d/4d44a134-36cc-4fea-b520-393c4aceabb2/29f6dbb8-4762-9fbf-0ea9-448dbb27a181?origin=1</t>
  </si>
  <si>
    <t>Japfa</t>
  </si>
  <si>
    <t>Wellhope Agritech</t>
  </si>
  <si>
    <t>MHP (2024), Annual Report 2023, p.82</t>
  </si>
  <si>
    <t>https://api.next.mhp.com.ua/images/51d31/2ef40/3472df60ca4e.pdf</t>
  </si>
  <si>
    <t>Fuijan Sunner Development</t>
  </si>
  <si>
    <t>Minerva (2024), Earnings Release 4Q23 &amp; 2023, p.5</t>
  </si>
  <si>
    <t>https://api.mziq.com/mzfilemanager/v2/d/7f2b381f-831b-4aed-b111-417a5585b53b/4031d53c-e227-9b02-f391-39a45b5a41a9?origin=1</t>
  </si>
  <si>
    <t>Wens Food Group (2024, March), Investor Relations Activity Record [Chinese], p.2</t>
  </si>
  <si>
    <t>https://www.wens.com.cn/uploadfiles/2024/03/20240326155350697.pdf</t>
  </si>
  <si>
    <t>Continental Grain Company</t>
  </si>
  <si>
    <t>http://img.cofcomeat.com/Uploads/Zlrs/File/2024/03/19/u65f92b6b86bb3.pdf; https://longportapp.com/en/news/200143135</t>
  </si>
  <si>
    <t>COFCO Joycome (2024, March 19), Announcement of Annual Results for the Year Ended 31 December 2023 [Chinese], p.20; Longport (2024, March 19), COFCO Joycome announced its 2023 performance.</t>
  </si>
  <si>
    <t>Cooperl (n.d.), Viandes [French].</t>
  </si>
  <si>
    <t>https://www.cooperl.com/en-savoir-plus-sur-nos-metiers/viandes</t>
  </si>
  <si>
    <t>Agencia SEBRAE (2024, April 15), Aurora Coop inaugura moderna unidade industrial em Chapecó.</t>
  </si>
  <si>
    <t>https://sc.agenciasebrae.com.br/cultura-empreendedora/aurora-coop-inaugura-moderna-unidade-industrial-em-chapeco/</t>
  </si>
  <si>
    <t>Also 0.472 mln tons of milk intake</t>
  </si>
  <si>
    <t>Westfleisch</t>
  </si>
  <si>
    <t>https://www.inalca.it/wp-content/uploads/2024/01/Integrated-and-Sustainable-Supply-chain.pdf</t>
  </si>
  <si>
    <t>Clemens Food Group (n.d.), Legacy of pork; Swineweb (2023, November 1), Clemens Food Group Gets Green Light for Parking Lot Expansion Amidst Pork Production Surge.</t>
  </si>
  <si>
    <t>https://clemensfoodgroup.com/our-company/legacy-of-pork/; https://www.swineweb.com/latest-swine-news/clemens-food-group-gets-green-light-for-parking-lot-expansion-amidst-pork-production-surge/</t>
  </si>
  <si>
    <t>Coren</t>
  </si>
  <si>
    <t>Grupo Coren (n.d.), In Figures</t>
  </si>
  <si>
    <t>NH Foods (2024), Annual Report 2023, p.54</t>
  </si>
  <si>
    <t>https://www.nipponham.co.jp/eng/ir/library/annual/pdf/2024_annual/annual2024all_e.pdf</t>
  </si>
  <si>
    <t>Süddeutsche Zeitung (2024, September 6), Tönnies macht Muh [German].</t>
  </si>
  <si>
    <t>Westfleisch (2024), Geschäftsbericht 2023 [German], p.2</t>
  </si>
  <si>
    <t>https://www.westfleisch.de/fileadmin/Bilder/02_Unternehmen/02.07_Archiv/02.07.01_Geschaeftsberichte/2023/Westfleisch_SCE_GeschBericht_2023_web.pdf</t>
  </si>
  <si>
    <t>https://www.triumphfoods.com/about/</t>
  </si>
  <si>
    <t>Triumph Foods (n.d.), About.</t>
  </si>
  <si>
    <t>US</t>
  </si>
  <si>
    <t>TH</t>
  </si>
  <si>
    <t>FR</t>
  </si>
  <si>
    <t>JP</t>
  </si>
  <si>
    <t>DE</t>
  </si>
  <si>
    <t>HQ country</t>
  </si>
  <si>
    <t>IT</t>
  </si>
  <si>
    <t>BR</t>
  </si>
  <si>
    <t>NL</t>
  </si>
  <si>
    <t>AE</t>
  </si>
  <si>
    <t>CN</t>
  </si>
  <si>
    <t>MX</t>
  </si>
  <si>
    <t>SG</t>
  </si>
  <si>
    <t>UA</t>
  </si>
  <si>
    <t>ES</t>
  </si>
  <si>
    <t>Category</t>
  </si>
  <si>
    <t>Main</t>
  </si>
  <si>
    <t>Addition</t>
  </si>
  <si>
    <t>AgriPost (2021, June 4), CP Group’s Feed and Swine Business Prepares for A-share Listing.</t>
  </si>
  <si>
    <t>50% assigned to Cargill/50% to Continental Grain</t>
  </si>
  <si>
    <t>Grupo Vall</t>
  </si>
  <si>
    <t>https://vallcompanys.es/en/pork-industry/</t>
  </si>
  <si>
    <t>Gruppo Cremonini</t>
  </si>
  <si>
    <t>EXHAUSTIVE 2021 EXTRAFINANCIAL DATA page 12</t>
  </si>
  <si>
    <t>Table 5.1 and 5.2</t>
  </si>
  <si>
    <t>Table 5.3 and 5.4</t>
  </si>
  <si>
    <t>Table 5.5</t>
  </si>
  <si>
    <t>JBS Institutional Presentation including 4Q23 and 2023 Results</t>
  </si>
  <si>
    <t>Table 5.6</t>
  </si>
  <si>
    <t xml:space="preserve">Pilgrim's Pride facilities and locations (https://sustainability.pilgrims.com/chapters/who-we-are/facilities-and-locations/) </t>
  </si>
  <si>
    <t>Table 5.7</t>
  </si>
  <si>
    <t>Table 5.8</t>
  </si>
  <si>
    <t xml:space="preserve">10-K - PILGRIMS PRIDE CORP 2023, Item 2 </t>
  </si>
  <si>
    <t>Table 5.9</t>
  </si>
  <si>
    <t xml:space="preserve">Tyson (2023) 10-k form, Nov 2023 Item 2 (utilization rates taken from  Tyson (2022) 10-k form, as those are missing from the 2023 edition </t>
  </si>
  <si>
    <t>Company communication; Inalca CSR report</t>
  </si>
  <si>
    <t>Table 5.10</t>
  </si>
  <si>
    <t>Table 5.11</t>
  </si>
  <si>
    <t>Grupo Vall website - Pork Industry</t>
  </si>
  <si>
    <t>Table 5.12</t>
  </si>
  <si>
    <t>Table 5.13</t>
  </si>
  <si>
    <t>Table 5.14</t>
  </si>
  <si>
    <t>Table 5.15</t>
  </si>
  <si>
    <t>Table 5.16</t>
  </si>
  <si>
    <t>see production table</t>
  </si>
  <si>
    <t>Cargill &amp; Continental Grain</t>
  </si>
  <si>
    <t>incl. Hanan Shuanghui Investment &amp; Dev</t>
  </si>
  <si>
    <t>https://au.teysgroup.com/wp-content/uploads/2024/05/Teys-Australia-Summary-Sustainability-Report-2023.pdf</t>
  </si>
  <si>
    <t>JV between Cargill and Teys family. Assigned 50% to each.</t>
  </si>
  <si>
    <t xml:space="preserve">Teys </t>
  </si>
  <si>
    <t>Teys (2024), Sustainability Summary Report 2023, p.4</t>
  </si>
  <si>
    <t>AU</t>
  </si>
  <si>
    <t>See Table 5.5 to 5.8 on Tab 5.1-5.16. Company data; Tyson 2023 Annual Report on Form 10-K, Item 2</t>
  </si>
  <si>
    <t>See Table 5.13 on Tab 5.1-5.16. Company data; Bigard (2024), 2023 Sustainability Rreport, p.10</t>
  </si>
  <si>
    <t>See Table 5.10 on Tab 5.1-5.16. Company data; Company communication; Inalca (2024), Sustainable Supply Chain, p.5</t>
  </si>
  <si>
    <t>Wayne Sanderson is Cargill's 50/50 JV in NA with Continental Grain. Assigned 50% to each.</t>
  </si>
  <si>
    <t>See Table 5.9 on Tab 5.1-5.16. Company data; Tyson 2023 Annual Report on Form 10-K, Item 2</t>
  </si>
  <si>
    <t>See Table 5.3 and 5.4 on Tab 5.1-5.16. Company data; WH Group (2024), 2023 Annual Report, p.23</t>
  </si>
  <si>
    <t>See Table 5.5 to 5.8 on Tab 5.1-5.16. Company data; Company reports and presentations</t>
  </si>
  <si>
    <t>See Table 5.14 on Tab 5.1-5.16. Company data; ISN (n.d.), ISN Schlachthofranking 2023: Konsolidierung in der Schlachtbranche setzt sich fort [German]; Tican SB Pork (n.d.), Om is [Danish]</t>
  </si>
  <si>
    <t>https://www.schweine.net/markt/schlachthofranking.html; https://www.tican.dk/om-os/</t>
  </si>
  <si>
    <t>Germany and Denmark; China production started Oct. 2024; Spanish dev. seems to be stalled after court ruling.</t>
  </si>
  <si>
    <t>See Table 5.11 on Tab 5.1-5.16. Company data; Grupo Vall (n.d.), Pork Industry.</t>
  </si>
  <si>
    <t>See Table 5.13 on Tab 5.1-5.16. Company data; Bigard (2024), 2023 Sustainability Report, p.10</t>
  </si>
  <si>
    <t>Hylife (n.d.), About.</t>
  </si>
  <si>
    <t>Listed subsidiary COFCO Joycome (previously COFCO Meat) engages in pig processing at four facilities in China; imports and distributes also beef and poultry.</t>
  </si>
  <si>
    <t>CP Foods produces pork and poultry in Russia. Information on combined 2022 production minus pork production used to estimate heads of chicken processed.</t>
  </si>
  <si>
    <t>GP update</t>
  </si>
  <si>
    <t>Based on reported 6.5 mln tons CO2e emissions for pigs and an intensity of 0.427 tons per pig.</t>
  </si>
  <si>
    <t xml:space="preserve">Expansion expected in 2024, as media reported in Nov 2023 about plans to increase production to 16,000 hogs per day by introducing a second shift. </t>
  </si>
  <si>
    <t>New data</t>
  </si>
  <si>
    <t>n/a</t>
  </si>
  <si>
    <t>33,545 daily</t>
  </si>
  <si>
    <t>30,400 daily</t>
  </si>
  <si>
    <t>92,600 daily</t>
  </si>
  <si>
    <t>est. daily cap.</t>
  </si>
  <si>
    <t>10,660 daily</t>
  </si>
  <si>
    <t>UK</t>
  </si>
  <si>
    <t>7,425 daily</t>
  </si>
  <si>
    <t>5.4 mln  daily</t>
  </si>
  <si>
    <t>16,900 daily</t>
  </si>
  <si>
    <t>13,100 daily</t>
  </si>
  <si>
    <t>Converted from processed meat weight</t>
  </si>
  <si>
    <t>Converted from processed meat weight; Inalca is Cremoninis beef business.</t>
  </si>
  <si>
    <t>More than 7 mln processed annually.</t>
  </si>
  <si>
    <t>Company-reported capacity use; disaggregating cross-regional production based on facility distribution.</t>
  </si>
  <si>
    <t>Converted from processed meat weight.</t>
  </si>
  <si>
    <t>Approx. 17,500 processed weekly.</t>
  </si>
  <si>
    <t xml:space="preserve">7,000 weekly. Announced in Sept. 2024 agreement in principle to take over Vion's cattle slaughter in Germany. </t>
  </si>
  <si>
    <t>Est. regional distribution based on facility numbers.</t>
  </si>
  <si>
    <t>Company-reported capacity use.</t>
  </si>
  <si>
    <t>multiple</t>
  </si>
  <si>
    <t>Company-reported processing; disaggregating cross-regional production based on facility distribution.</t>
  </si>
  <si>
    <t>25.05 mln annually</t>
  </si>
  <si>
    <t>30.09 mln annually</t>
  </si>
  <si>
    <t>5.72 mln annually</t>
  </si>
  <si>
    <t>0.47 mln weekly</t>
  </si>
  <si>
    <t>193,100 weekly</t>
  </si>
  <si>
    <t>Cargill Proteína Latinoamérico.</t>
  </si>
  <si>
    <t>Cargill Meats Asia; China operation has been sold.</t>
  </si>
  <si>
    <t>Cargill Meats Europe.</t>
  </si>
  <si>
    <t>Wayne Sanderson is Continental Grain's 50/50 JV in NA with Cargill. Assigned 50% to each.</t>
  </si>
  <si>
    <t xml:space="preserve">Converted from live weight of processed pork 2022.  </t>
  </si>
  <si>
    <t>4 mln annually</t>
  </si>
  <si>
    <t>RU</t>
  </si>
  <si>
    <t>Industry average for capacity use; disaggregating cross-regional production based on brand distribution.</t>
  </si>
  <si>
    <t>Industry average for capacity use.</t>
  </si>
  <si>
    <t>Industry average for capacity use; currently 4 slaughter facilities, 3 more under construction.</t>
  </si>
  <si>
    <t>Underlying data source</t>
  </si>
  <si>
    <t># of heads processed per annum (reported or based on capacity use)</t>
  </si>
  <si>
    <t>35.8 mln weekly</t>
  </si>
  <si>
    <t>Reported processing per annum 
(in # of heads)</t>
  </si>
  <si>
    <t>Processing capacity 
(in # of heads)</t>
  </si>
  <si>
    <t>Sum of # of heads processed per annum (reported or based on capacity use)</t>
  </si>
  <si>
    <t>Dairy</t>
  </si>
  <si>
    <t>Sum of Milk intake (mio tonnes, 2022)</t>
  </si>
  <si>
    <t>(All)</t>
  </si>
  <si>
    <t>Multiplied by 1000000</t>
  </si>
  <si>
    <t>Cattle count</t>
  </si>
  <si>
    <t>Cattle weight</t>
  </si>
  <si>
    <t>Pigs weight</t>
  </si>
  <si>
    <t>Chickens weight</t>
  </si>
  <si>
    <t>Chickens count</t>
  </si>
  <si>
    <t>Pigs count</t>
  </si>
  <si>
    <t>Tab Name</t>
  </si>
  <si>
    <t>Description</t>
  </si>
  <si>
    <t>Production data</t>
  </si>
  <si>
    <t>Production data across animal products, regions, and sources for data</t>
  </si>
  <si>
    <t>Additional company data</t>
  </si>
  <si>
    <t>Information on companies which required more assumptions and analysis</t>
  </si>
  <si>
    <t>Additional data sources</t>
  </si>
  <si>
    <t>Information on additional data sources that are required for some production data assumptions</t>
  </si>
  <si>
    <t>Data from Profundo</t>
  </si>
  <si>
    <t>Visually processed data for code</t>
  </si>
  <si>
    <t>Production by region</t>
  </si>
  <si>
    <t>Cattle unit slaughter weight (t)</t>
  </si>
  <si>
    <t>Chickens unit slaughter weight (t)</t>
  </si>
  <si>
    <t>Pigs unit slaughter weight (t)</t>
  </si>
  <si>
    <t>Weight of dairy produced by TNCs</t>
  </si>
  <si>
    <t>Conversion of heads into weight based on regional unit slaughter weights produced by TNCs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</si>
</sst>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#,##0_ ;\-#,##0\ "/>
    <numFmt numFmtId="165" formatCode="#,##0.0"/>
    <numFmt numFmtId="166" formatCode="#,##0.00_ ;\-#,##0.00\ "/>
    <numFmt numFmtId="167" formatCode="0.0%"/>
    <numFmt numFmtId="168" formatCode="#,##0.0_ ;\-#,##0.0\ "/>
    <numFmt numFmtId="169" formatCode="_-* #,##0_-;\-* #,##0_-;_-* &quot;-&quot;??_-;_-@_-"/>
    <numFmt numFmtId="170" formatCode="_-* #,##0\ _€_-;\-* #,##0\ _€_-;_-* &quot;-&quot;??\ _€_-;_-@_-"/>
    <numFmt numFmtId="171" formatCode="_-* #,##0.00\ _€_-;\-* #,##0.00\ _€_-;_-* &quot;-&quot;??\ _€_-;_-@_-"/>
    <numFmt numFmtId="172" formatCode="_-* #,##0.0_-;\-* #,##0.0_-;_-* &quot;-&quot;??_-;_-@_-"/>
    <numFmt numFmtId="173" formatCode="_-* #,##0.000_-;\-* #,##0.000_-;_-* &quot;-&quot;??_-;_-@_-"/>
  </numFmts>
  <fonts count="30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sz val="10"/>
      <color theme="2" tint="-0.89999084444715716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i/>
      <sz val="10"/>
      <color indexed="8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u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8F1A2"/>
        <bgColor indexed="64"/>
      </patternFill>
    </fill>
    <fill>
      <patternFill patternType="solid">
        <fgColor rgb="FFECF6CA"/>
        <bgColor indexed="64"/>
      </patternFill>
    </fill>
    <fill>
      <patternFill patternType="solid">
        <fgColor rgb="FF677E9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3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 style="medium">
        <color theme="9"/>
      </right>
      <top style="medium">
        <color theme="9"/>
      </top>
      <bottom/>
      <diagonal/>
    </border>
  </borders>
  <cellStyleXfs count="14">
    <xf numFmtId="0" fontId="0" fillId="2" borderId="1">
      <alignment vertical="center"/>
    </xf>
    <xf numFmtId="9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1" fillId="2" borderId="1" applyNumberForma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0" fontId="12" fillId="8" borderId="1" applyNumberFormat="0">
      <alignment vertical="center" wrapText="1"/>
    </xf>
    <xf numFmtId="9" fontId="4" fillId="0" borderId="0" applyFont="0" applyFill="0" applyBorder="0" applyAlignment="0" applyProtection="0"/>
    <xf numFmtId="3" fontId="10" fillId="4" borderId="1">
      <alignment vertical="center"/>
    </xf>
    <xf numFmtId="9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4">
    <xf numFmtId="0" fontId="0" fillId="2" borderId="1" xfId="0">
      <alignment vertical="center"/>
    </xf>
    <xf numFmtId="0" fontId="11" fillId="2" borderId="1" xfId="0" applyFont="1">
      <alignment vertical="center"/>
    </xf>
    <xf numFmtId="0" fontId="12" fillId="3" borderId="1" xfId="0" applyFont="1" applyFill="1">
      <alignment vertical="center"/>
    </xf>
    <xf numFmtId="0" fontId="13" fillId="2" borderId="1" xfId="0" applyFont="1">
      <alignment vertical="center"/>
    </xf>
    <xf numFmtId="164" fontId="0" fillId="2" borderId="1" xfId="0" applyNumberFormat="1">
      <alignment vertical="center"/>
    </xf>
    <xf numFmtId="0" fontId="0" fillId="2" borderId="1" xfId="0" applyAlignment="1">
      <alignment vertical="center" wrapText="1"/>
    </xf>
    <xf numFmtId="0" fontId="11" fillId="2" borderId="1" xfId="0" applyFont="1" applyAlignment="1">
      <alignment vertical="center" wrapText="1"/>
    </xf>
    <xf numFmtId="3" fontId="17" fillId="0" borderId="1" xfId="0" applyNumberFormat="1" applyFont="1" applyFill="1">
      <alignment vertical="center"/>
    </xf>
    <xf numFmtId="0" fontId="16" fillId="0" borderId="1" xfId="0" applyFont="1" applyFill="1">
      <alignment vertical="center"/>
    </xf>
    <xf numFmtId="0" fontId="17" fillId="0" borderId="1" xfId="0" applyFont="1" applyFill="1">
      <alignment vertical="center"/>
    </xf>
    <xf numFmtId="3" fontId="17" fillId="0" borderId="1" xfId="0" applyNumberFormat="1" applyFont="1" applyFill="1" applyAlignment="1">
      <alignment vertical="center" wrapText="1"/>
    </xf>
    <xf numFmtId="0" fontId="12" fillId="3" borderId="1" xfId="0" applyFont="1" applyFill="1" applyAlignment="1">
      <alignment vertical="center" wrapText="1"/>
    </xf>
    <xf numFmtId="0" fontId="17" fillId="6" borderId="1" xfId="0" applyFont="1" applyFill="1">
      <alignment vertical="center"/>
    </xf>
    <xf numFmtId="3" fontId="17" fillId="6" borderId="1" xfId="0" applyNumberFormat="1" applyFont="1" applyFill="1" applyAlignment="1">
      <alignment vertical="center" wrapText="1"/>
    </xf>
    <xf numFmtId="0" fontId="9" fillId="6" borderId="1" xfId="0" applyFont="1" applyFill="1">
      <alignment vertical="center"/>
    </xf>
    <xf numFmtId="0" fontId="17" fillId="9" borderId="1" xfId="0" applyFont="1" applyFill="1">
      <alignment vertical="center"/>
    </xf>
    <xf numFmtId="0" fontId="17" fillId="9" borderId="2" xfId="0" applyFont="1" applyFill="1" applyBorder="1">
      <alignment vertical="center"/>
    </xf>
    <xf numFmtId="3" fontId="17" fillId="6" borderId="2" xfId="0" applyNumberFormat="1" applyFont="1" applyFill="1" applyBorder="1" applyAlignment="1">
      <alignment vertical="center" wrapText="1"/>
    </xf>
    <xf numFmtId="0" fontId="9" fillId="6" borderId="6" xfId="0" applyFont="1" applyFill="1" applyBorder="1">
      <alignment vertical="center"/>
    </xf>
    <xf numFmtId="0" fontId="0" fillId="6" borderId="1" xfId="0" applyFill="1">
      <alignment vertical="center"/>
    </xf>
    <xf numFmtId="0" fontId="11" fillId="9" borderId="1" xfId="0" applyFont="1" applyFill="1">
      <alignment vertical="center"/>
    </xf>
    <xf numFmtId="0" fontId="0" fillId="2" borderId="3" xfId="0" applyBorder="1">
      <alignment vertical="center"/>
    </xf>
    <xf numFmtId="0" fontId="11" fillId="2" borderId="10" xfId="0" applyFont="1" applyBorder="1">
      <alignment vertical="center"/>
    </xf>
    <xf numFmtId="0" fontId="11" fillId="2" borderId="9" xfId="0" applyFont="1" applyBorder="1">
      <alignment vertical="center"/>
    </xf>
    <xf numFmtId="0" fontId="0" fillId="2" borderId="3" xfId="0" applyBorder="1" applyAlignment="1">
      <alignment vertical="center" wrapText="1"/>
    </xf>
    <xf numFmtId="0" fontId="0" fillId="6" borderId="1" xfId="0" applyFill="1" applyAlignment="1">
      <alignment vertical="center" wrapText="1"/>
    </xf>
    <xf numFmtId="0" fontId="0" fillId="2" borderId="4" xfId="0" applyBorder="1" applyAlignment="1">
      <alignment vertical="center" wrapText="1"/>
    </xf>
    <xf numFmtId="0" fontId="11" fillId="9" borderId="1" xfId="0" applyFont="1" applyFill="1" applyAlignment="1">
      <alignment vertical="center" wrapText="1"/>
    </xf>
    <xf numFmtId="164" fontId="0" fillId="6" borderId="1" xfId="0" applyNumberFormat="1" applyFill="1" applyAlignment="1">
      <alignment vertical="center" wrapText="1"/>
    </xf>
    <xf numFmtId="164" fontId="0" fillId="2" borderId="3" xfId="0" applyNumberFormat="1" applyBorder="1" applyAlignment="1">
      <alignment vertical="center" wrapText="1"/>
    </xf>
    <xf numFmtId="164" fontId="12" fillId="3" borderId="1" xfId="0" applyNumberFormat="1" applyFont="1" applyFill="1" applyAlignment="1">
      <alignment vertical="center" wrapText="1"/>
    </xf>
    <xf numFmtId="0" fontId="15" fillId="6" borderId="1" xfId="0" applyFont="1" applyFill="1">
      <alignment vertical="center"/>
    </xf>
    <xf numFmtId="165" fontId="17" fillId="6" borderId="1" xfId="0" applyNumberFormat="1" applyFont="1" applyFill="1" applyAlignment="1">
      <alignment vertical="center" wrapText="1"/>
    </xf>
    <xf numFmtId="165" fontId="17" fillId="6" borderId="2" xfId="0" applyNumberFormat="1" applyFont="1" applyFill="1" applyBorder="1" applyAlignment="1">
      <alignment vertical="center" wrapText="1"/>
    </xf>
    <xf numFmtId="9" fontId="0" fillId="6" borderId="1" xfId="1" applyFont="1" applyFill="1" applyBorder="1" applyAlignment="1">
      <alignment vertical="center"/>
    </xf>
    <xf numFmtId="164" fontId="15" fillId="5" borderId="1" xfId="0" applyNumberFormat="1" applyFont="1" applyFill="1">
      <alignment vertical="center"/>
    </xf>
    <xf numFmtId="166" fontId="15" fillId="5" borderId="1" xfId="0" applyNumberFormat="1" applyFont="1" applyFill="1">
      <alignment vertical="center"/>
    </xf>
    <xf numFmtId="164" fontId="0" fillId="6" borderId="1" xfId="0" applyNumberFormat="1" applyFill="1">
      <alignment vertical="center"/>
    </xf>
    <xf numFmtId="168" fontId="0" fillId="6" borderId="1" xfId="0" applyNumberFormat="1" applyFill="1" applyAlignment="1">
      <alignment vertical="center" wrapText="1"/>
    </xf>
    <xf numFmtId="0" fontId="12" fillId="3" borderId="10" xfId="0" applyFont="1" applyFill="1" applyBorder="1" applyAlignment="1">
      <alignment vertical="center" wrapText="1"/>
    </xf>
    <xf numFmtId="43" fontId="0" fillId="2" borderId="1" xfId="2" applyFont="1" applyFill="1" applyBorder="1" applyAlignment="1">
      <alignment vertical="center" wrapText="1"/>
    </xf>
    <xf numFmtId="2" fontId="0" fillId="2" borderId="1" xfId="0" applyNumberFormat="1">
      <alignment vertical="center"/>
    </xf>
    <xf numFmtId="0" fontId="12" fillId="3" borderId="10" xfId="0" applyFont="1" applyFill="1" applyBorder="1">
      <alignment vertical="center"/>
    </xf>
    <xf numFmtId="0" fontId="21" fillId="2" borderId="1" xfId="3">
      <alignment vertical="center"/>
    </xf>
    <xf numFmtId="11" fontId="0" fillId="2" borderId="1" xfId="0" applyNumberFormat="1">
      <alignment vertical="center"/>
    </xf>
    <xf numFmtId="167" fontId="0" fillId="6" borderId="1" xfId="1" applyNumberFormat="1" applyFont="1" applyFill="1" applyBorder="1" applyAlignment="1">
      <alignment vertical="center"/>
    </xf>
    <xf numFmtId="3" fontId="17" fillId="6" borderId="2" xfId="0" applyNumberFormat="1" applyFont="1" applyFill="1" applyBorder="1" applyAlignment="1">
      <alignment vertical="top" wrapText="1"/>
    </xf>
    <xf numFmtId="0" fontId="0" fillId="2" borderId="1" xfId="0" applyAlignment="1">
      <alignment vertical="top" wrapText="1"/>
    </xf>
    <xf numFmtId="164" fontId="0" fillId="6" borderId="1" xfId="0" applyNumberFormat="1" applyFill="1" applyAlignment="1">
      <alignment horizontal="right" vertical="center"/>
    </xf>
    <xf numFmtId="9" fontId="0" fillId="6" borderId="1" xfId="1" applyFont="1" applyFill="1" applyBorder="1" applyAlignment="1">
      <alignment horizontal="right" vertical="center"/>
    </xf>
    <xf numFmtId="0" fontId="19" fillId="6" borderId="1" xfId="0" applyFont="1" applyFill="1" applyAlignment="1">
      <alignment horizontal="left" vertical="center" wrapText="1"/>
    </xf>
    <xf numFmtId="3" fontId="19" fillId="6" borderId="1" xfId="0" applyNumberFormat="1" applyFont="1" applyFill="1" applyAlignment="1">
      <alignment horizontal="left" vertical="center" shrinkToFit="1"/>
    </xf>
    <xf numFmtId="3" fontId="18" fillId="6" borderId="1" xfId="0" applyNumberFormat="1" applyFont="1" applyFill="1" applyAlignment="1">
      <alignment horizontal="left" vertical="center" shrinkToFit="1"/>
    </xf>
    <xf numFmtId="9" fontId="19" fillId="6" borderId="1" xfId="0" applyNumberFormat="1" applyFont="1" applyFill="1" applyAlignment="1">
      <alignment horizontal="left" vertical="center" wrapText="1" shrinkToFit="1"/>
    </xf>
    <xf numFmtId="9" fontId="18" fillId="6" borderId="1" xfId="0" applyNumberFormat="1" applyFont="1" applyFill="1" applyAlignment="1">
      <alignment horizontal="left" vertical="center" wrapText="1" shrinkToFit="1"/>
    </xf>
    <xf numFmtId="3" fontId="19" fillId="6" borderId="1" xfId="0" applyNumberFormat="1" applyFont="1" applyFill="1" applyAlignment="1">
      <alignment horizontal="left" vertical="center" wrapText="1" shrinkToFit="1"/>
    </xf>
    <xf numFmtId="3" fontId="18" fillId="6" borderId="1" xfId="0" applyNumberFormat="1" applyFont="1" applyFill="1" applyAlignment="1">
      <alignment horizontal="left" vertical="center" wrapText="1" shrinkToFit="1"/>
    </xf>
    <xf numFmtId="167" fontId="18" fillId="6" borderId="1" xfId="0" applyNumberFormat="1" applyFont="1" applyFill="1" applyAlignment="1">
      <alignment horizontal="left" vertical="center" wrapText="1" shrinkToFit="1"/>
    </xf>
    <xf numFmtId="0" fontId="15" fillId="6" borderId="1" xfId="0" applyFont="1" applyFill="1" applyAlignment="1">
      <alignment horizontal="left" vertical="center" wrapText="1"/>
    </xf>
    <xf numFmtId="1" fontId="19" fillId="6" borderId="1" xfId="0" applyNumberFormat="1" applyFont="1" applyFill="1" applyAlignment="1">
      <alignment horizontal="left" vertical="center" wrapText="1" shrinkToFit="1"/>
    </xf>
    <xf numFmtId="1" fontId="18" fillId="6" borderId="1" xfId="0" applyNumberFormat="1" applyFont="1" applyFill="1" applyAlignment="1">
      <alignment horizontal="left" vertical="center" wrapText="1" shrinkToFit="1"/>
    </xf>
    <xf numFmtId="0" fontId="15" fillId="0" borderId="1" xfId="0" applyFont="1" applyFill="1">
      <alignment vertical="center"/>
    </xf>
    <xf numFmtId="164" fontId="15" fillId="0" borderId="8" xfId="0" applyNumberFormat="1" applyFont="1" applyFill="1" applyBorder="1">
      <alignment vertical="center"/>
    </xf>
    <xf numFmtId="0" fontId="0" fillId="2" borderId="1" xfId="0" pivotButton="1">
      <alignment vertical="center"/>
    </xf>
    <xf numFmtId="43" fontId="0" fillId="2" borderId="1" xfId="2" applyFont="1" applyFill="1" applyBorder="1" applyAlignment="1">
      <alignment vertical="center"/>
    </xf>
    <xf numFmtId="0" fontId="17" fillId="9" borderId="7" xfId="0" applyFont="1" applyFill="1" applyBorder="1">
      <alignment vertical="center"/>
    </xf>
    <xf numFmtId="0" fontId="20" fillId="2" borderId="1" xfId="0" applyFont="1" applyAlignment="1">
      <alignment horizontal="left" vertical="center" wrapText="1"/>
    </xf>
    <xf numFmtId="0" fontId="18" fillId="2" borderId="1" xfId="0" applyFont="1" applyAlignment="1">
      <alignment horizontal="left" vertical="center" wrapText="1"/>
    </xf>
    <xf numFmtId="0" fontId="21" fillId="2" borderId="1" xfId="3" applyAlignment="1">
      <alignment vertical="top"/>
    </xf>
    <xf numFmtId="0" fontId="11" fillId="2" borderId="1" xfId="0" applyFont="1" applyAlignment="1">
      <alignment vertical="top"/>
    </xf>
    <xf numFmtId="0" fontId="22" fillId="2" borderId="1" xfId="0" applyFont="1">
      <alignment vertical="center"/>
    </xf>
    <xf numFmtId="0" fontId="0" fillId="2" borderId="1" xfId="0" applyAlignment="1"/>
    <xf numFmtId="169" fontId="0" fillId="6" borderId="1" xfId="2" applyNumberFormat="1" applyFont="1" applyFill="1" applyBorder="1" applyAlignment="1">
      <alignment vertical="center"/>
    </xf>
    <xf numFmtId="0" fontId="17" fillId="9" borderId="10" xfId="0" applyFont="1" applyFill="1" applyBorder="1">
      <alignment vertical="center"/>
    </xf>
    <xf numFmtId="3" fontId="17" fillId="6" borderId="10" xfId="0" applyNumberFormat="1" applyFont="1" applyFill="1" applyBorder="1" applyAlignment="1">
      <alignment vertical="center" wrapText="1"/>
    </xf>
    <xf numFmtId="3" fontId="17" fillId="6" borderId="0" xfId="0" applyNumberFormat="1" applyFont="1" applyFill="1" applyBorder="1" applyAlignment="1">
      <alignment vertical="center" wrapText="1"/>
    </xf>
    <xf numFmtId="0" fontId="9" fillId="6" borderId="0" xfId="0" applyFont="1" applyFill="1" applyBorder="1" applyAlignment="1">
      <alignment vertical="top"/>
    </xf>
    <xf numFmtId="0" fontId="17" fillId="9" borderId="3" xfId="0" applyFont="1" applyFill="1" applyBorder="1">
      <alignment vertical="center"/>
    </xf>
    <xf numFmtId="165" fontId="17" fillId="6" borderId="3" xfId="0" applyNumberFormat="1" applyFont="1" applyFill="1" applyBorder="1" applyAlignment="1">
      <alignment vertical="center" wrapText="1"/>
    </xf>
    <xf numFmtId="0" fontId="17" fillId="9" borderId="12" xfId="0" applyFont="1" applyFill="1" applyBorder="1">
      <alignment vertical="center"/>
    </xf>
    <xf numFmtId="165" fontId="17" fillId="6" borderId="12" xfId="0" applyNumberFormat="1" applyFont="1" applyFill="1" applyBorder="1" applyAlignment="1">
      <alignment vertical="center" wrapText="1"/>
    </xf>
    <xf numFmtId="0" fontId="9" fillId="6" borderId="12" xfId="0" applyFont="1" applyFill="1" applyBorder="1">
      <alignment vertical="center"/>
    </xf>
    <xf numFmtId="0" fontId="9" fillId="6" borderId="12" xfId="0" applyFont="1" applyFill="1" applyBorder="1" applyAlignment="1">
      <alignment vertical="top"/>
    </xf>
    <xf numFmtId="165" fontId="17" fillId="6" borderId="10" xfId="0" applyNumberFormat="1" applyFont="1" applyFill="1" applyBorder="1" applyAlignment="1">
      <alignment vertical="center" wrapText="1"/>
    </xf>
    <xf numFmtId="3" fontId="17" fillId="6" borderId="10" xfId="0" applyNumberFormat="1" applyFont="1" applyFill="1" applyBorder="1" applyAlignment="1">
      <alignment vertical="top" wrapText="1"/>
    </xf>
    <xf numFmtId="3" fontId="17" fillId="6" borderId="12" xfId="0" applyNumberFormat="1" applyFont="1" applyFill="1" applyBorder="1" applyAlignment="1">
      <alignment vertical="center" wrapText="1"/>
    </xf>
    <xf numFmtId="0" fontId="17" fillId="9" borderId="4" xfId="0" applyFont="1" applyFill="1" applyBorder="1">
      <alignment vertical="center"/>
    </xf>
    <xf numFmtId="0" fontId="17" fillId="9" borderId="14" xfId="0" applyFont="1" applyFill="1" applyBorder="1">
      <alignment vertical="center"/>
    </xf>
    <xf numFmtId="0" fontId="9" fillId="6" borderId="1" xfId="0" applyFont="1" applyFill="1" applyAlignment="1">
      <alignment vertical="top"/>
    </xf>
    <xf numFmtId="165" fontId="0" fillId="2" borderId="1" xfId="0" applyNumberFormat="1" applyAlignment="1">
      <alignment vertical="center" wrapText="1"/>
    </xf>
    <xf numFmtId="3" fontId="17" fillId="2" borderId="1" xfId="0" applyNumberFormat="1" applyFont="1" applyAlignment="1">
      <alignment vertical="center" wrapText="1"/>
    </xf>
    <xf numFmtId="0" fontId="17" fillId="9" borderId="0" xfId="0" applyFont="1" applyFill="1" applyBorder="1">
      <alignment vertical="center"/>
    </xf>
    <xf numFmtId="0" fontId="17" fillId="9" borderId="17" xfId="0" applyFont="1" applyFill="1" applyBorder="1">
      <alignment vertical="center"/>
    </xf>
    <xf numFmtId="3" fontId="17" fillId="6" borderId="17" xfId="0" applyNumberFormat="1" applyFont="1" applyFill="1" applyBorder="1" applyAlignment="1">
      <alignment vertical="center" wrapText="1"/>
    </xf>
    <xf numFmtId="0" fontId="9" fillId="6" borderId="18" xfId="0" applyFont="1" applyFill="1" applyBorder="1" applyAlignment="1">
      <alignment vertical="top"/>
    </xf>
    <xf numFmtId="171" fontId="0" fillId="2" borderId="1" xfId="0" applyNumberFormat="1">
      <alignment vertical="center"/>
    </xf>
    <xf numFmtId="169" fontId="0" fillId="2" borderId="1" xfId="2" applyNumberFormat="1" applyFont="1" applyFill="1" applyBorder="1" applyAlignment="1">
      <alignment vertical="center"/>
    </xf>
    <xf numFmtId="169" fontId="0" fillId="2" borderId="1" xfId="0" applyNumberFormat="1">
      <alignment vertical="center"/>
    </xf>
    <xf numFmtId="0" fontId="21" fillId="2" borderId="11" xfId="3" applyBorder="1" applyAlignment="1">
      <alignment vertical="top" wrapText="1"/>
    </xf>
    <xf numFmtId="0" fontId="21" fillId="2" borderId="4" xfId="3" applyBorder="1" applyAlignment="1">
      <alignment vertical="top" wrapText="1"/>
    </xf>
    <xf numFmtId="0" fontId="21" fillId="6" borderId="1" xfId="3" applyFill="1" applyAlignment="1">
      <alignment vertical="top"/>
    </xf>
    <xf numFmtId="0" fontId="22" fillId="0" borderId="1" xfId="0" applyFont="1" applyFill="1">
      <alignment vertical="center"/>
    </xf>
    <xf numFmtId="164" fontId="0" fillId="0" borderId="1" xfId="0" applyNumberFormat="1" applyFill="1">
      <alignment vertical="center"/>
    </xf>
    <xf numFmtId="169" fontId="0" fillId="0" borderId="1" xfId="2" applyNumberFormat="1" applyFont="1" applyFill="1" applyBorder="1" applyAlignment="1">
      <alignment vertical="center"/>
    </xf>
    <xf numFmtId="170" fontId="0" fillId="0" borderId="1" xfId="0" applyNumberFormat="1" applyFill="1">
      <alignment vertical="center"/>
    </xf>
    <xf numFmtId="0" fontId="0" fillId="0" borderId="1" xfId="0" applyFill="1">
      <alignment vertical="center"/>
    </xf>
    <xf numFmtId="0" fontId="0" fillId="0" borderId="0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3" xfId="0" applyFill="1" applyBorder="1">
      <alignment vertical="center"/>
    </xf>
    <xf numFmtId="0" fontId="15" fillId="0" borderId="4" xfId="0" applyFont="1" applyFill="1" applyBorder="1">
      <alignment vertical="center"/>
    </xf>
    <xf numFmtId="0" fontId="0" fillId="0" borderId="12" xfId="0" applyFill="1" applyBorder="1">
      <alignment vertical="center"/>
    </xf>
    <xf numFmtId="0" fontId="7" fillId="2" borderId="1" xfId="0" applyFont="1">
      <alignment vertical="center"/>
    </xf>
    <xf numFmtId="0" fontId="11" fillId="0" borderId="1" xfId="0" applyFont="1" applyFill="1">
      <alignment vertical="center"/>
    </xf>
    <xf numFmtId="0" fontId="21" fillId="0" borderId="1" xfId="3" applyFill="1">
      <alignment vertical="center"/>
    </xf>
    <xf numFmtId="0" fontId="14" fillId="11" borderId="1" xfId="0" applyFont="1" applyFill="1" applyAlignment="1">
      <alignment horizontal="center" vertical="center"/>
    </xf>
    <xf numFmtId="0" fontId="14" fillId="11" borderId="1" xfId="0" applyFont="1" applyFill="1">
      <alignment vertical="center"/>
    </xf>
    <xf numFmtId="0" fontId="15" fillId="11" borderId="1" xfId="0" applyFont="1" applyFill="1">
      <alignment vertical="center"/>
    </xf>
    <xf numFmtId="3" fontId="15" fillId="11" borderId="1" xfId="0" applyNumberFormat="1" applyFont="1" applyFill="1" applyAlignment="1">
      <alignment vertical="center" wrapText="1"/>
    </xf>
    <xf numFmtId="0" fontId="15" fillId="11" borderId="1" xfId="0" applyFont="1" applyFill="1" applyAlignment="1">
      <alignment vertical="top"/>
    </xf>
    <xf numFmtId="0" fontId="15" fillId="11" borderId="1" xfId="0" applyFont="1" applyFill="1" applyAlignment="1">
      <alignment horizontal="right" vertical="center"/>
    </xf>
    <xf numFmtId="0" fontId="0" fillId="11" borderId="1" xfId="0" applyFill="1">
      <alignment vertical="center"/>
    </xf>
    <xf numFmtId="0" fontId="17" fillId="0" borderId="10" xfId="0" applyFont="1" applyFill="1" applyBorder="1">
      <alignment vertical="center"/>
    </xf>
    <xf numFmtId="0" fontId="21" fillId="0" borderId="10" xfId="3" applyFill="1" applyBorder="1">
      <alignment vertical="center"/>
    </xf>
    <xf numFmtId="0" fontId="0" fillId="2" borderId="1" xfId="0" applyAlignment="1">
      <alignment vertical="top"/>
    </xf>
    <xf numFmtId="0" fontId="21" fillId="2" borderId="8" xfId="3" applyBorder="1" applyAlignment="1">
      <alignment vertical="top"/>
    </xf>
    <xf numFmtId="0" fontId="21" fillId="2" borderId="11" xfId="3" applyBorder="1" applyAlignment="1">
      <alignment vertical="top"/>
    </xf>
    <xf numFmtId="0" fontId="21" fillId="0" borderId="1" xfId="3" applyFill="1" applyAlignment="1">
      <alignment vertical="top"/>
    </xf>
    <xf numFmtId="0" fontId="15" fillId="11" borderId="1" xfId="3" applyFont="1" applyFill="1" applyBorder="1" applyAlignment="1">
      <alignment vertical="center"/>
    </xf>
    <xf numFmtId="3" fontId="15" fillId="11" borderId="1" xfId="0" applyNumberFormat="1" applyFont="1" applyFill="1">
      <alignment vertical="center"/>
    </xf>
    <xf numFmtId="0" fontId="15" fillId="11" borderId="1" xfId="3" applyFont="1" applyFill="1" applyBorder="1" applyAlignment="1">
      <alignment vertical="center" wrapText="1"/>
    </xf>
    <xf numFmtId="0" fontId="15" fillId="11" borderId="1" xfId="0" applyFont="1" applyFill="1" applyAlignment="1">
      <alignment vertical="center" wrapText="1"/>
    </xf>
    <xf numFmtId="0" fontId="26" fillId="11" borderId="1" xfId="3" applyFont="1" applyFill="1" applyBorder="1">
      <alignment vertical="center"/>
    </xf>
    <xf numFmtId="169" fontId="10" fillId="6" borderId="1" xfId="2" applyNumberFormat="1" applyFont="1" applyFill="1" applyBorder="1" applyAlignment="1">
      <alignment vertical="center"/>
    </xf>
    <xf numFmtId="3" fontId="15" fillId="11" borderId="1" xfId="3" applyNumberFormat="1" applyFont="1" applyFill="1" applyBorder="1">
      <alignment vertical="center"/>
    </xf>
    <xf numFmtId="0" fontId="11" fillId="2" borderId="1" xfId="0" applyFont="1" applyAlignment="1">
      <alignment horizontal="left" vertical="center"/>
    </xf>
    <xf numFmtId="0" fontId="14" fillId="12" borderId="1" xfId="0" applyFont="1" applyFill="1">
      <alignment vertical="center"/>
    </xf>
    <xf numFmtId="0" fontId="14" fillId="12" borderId="1" xfId="0" applyFont="1" applyFill="1" applyAlignment="1">
      <alignment horizontal="center" vertical="center"/>
    </xf>
    <xf numFmtId="0" fontId="15" fillId="12" borderId="1" xfId="0" applyFont="1" applyFill="1">
      <alignment vertical="center"/>
    </xf>
    <xf numFmtId="3" fontId="15" fillId="12" borderId="1" xfId="0" applyNumberFormat="1" applyFont="1" applyFill="1" applyAlignment="1">
      <alignment vertical="center" wrapText="1"/>
    </xf>
    <xf numFmtId="0" fontId="15" fillId="12" borderId="1" xfId="0" applyFont="1" applyFill="1" applyAlignment="1">
      <alignment horizontal="right" vertical="center"/>
    </xf>
    <xf numFmtId="0" fontId="15" fillId="11" borderId="1" xfId="3" applyFont="1" applyFill="1" applyBorder="1" applyAlignment="1">
      <alignment vertical="top"/>
    </xf>
    <xf numFmtId="0" fontId="0" fillId="12" borderId="1" xfId="0" applyFill="1" applyAlignment="1">
      <alignment vertical="center" wrapText="1"/>
    </xf>
    <xf numFmtId="0" fontId="12" fillId="3" borderId="8" xfId="0" applyFont="1" applyFill="1" applyBorder="1">
      <alignment vertical="center"/>
    </xf>
    <xf numFmtId="0" fontId="12" fillId="3" borderId="4" xfId="0" applyFont="1" applyFill="1" applyBorder="1">
      <alignment vertical="center"/>
    </xf>
    <xf numFmtId="0" fontId="0" fillId="2" borderId="1" xfId="0" applyAlignment="1">
      <alignment horizontal="right" vertical="center"/>
    </xf>
    <xf numFmtId="3" fontId="15" fillId="12" borderId="1" xfId="0" applyNumberFormat="1" applyFont="1" applyFill="1" applyAlignment="1">
      <alignment horizontal="right" vertical="center" wrapText="1"/>
    </xf>
    <xf numFmtId="3" fontId="15" fillId="11" borderId="1" xfId="0" applyNumberFormat="1" applyFont="1" applyFill="1" applyAlignment="1">
      <alignment horizontal="right" vertical="center" wrapText="1"/>
    </xf>
    <xf numFmtId="3" fontId="17" fillId="0" borderId="1" xfId="0" applyNumberFormat="1" applyFont="1" applyFill="1" applyAlignment="1">
      <alignment horizontal="right" vertical="center"/>
    </xf>
    <xf numFmtId="0" fontId="12" fillId="3" borderId="1" xfId="0" applyFont="1" applyFill="1" applyAlignment="1">
      <alignment horizontal="right" vertical="center"/>
    </xf>
    <xf numFmtId="0" fontId="17" fillId="6" borderId="0" xfId="0" applyFont="1" applyFill="1" applyBorder="1" applyAlignment="1">
      <alignment horizontal="right" vertical="center"/>
    </xf>
    <xf numFmtId="0" fontId="17" fillId="6" borderId="12" xfId="0" applyFont="1" applyFill="1" applyBorder="1" applyAlignment="1">
      <alignment horizontal="right" vertical="center"/>
    </xf>
    <xf numFmtId="0" fontId="17" fillId="6" borderId="6" xfId="0" applyFont="1" applyFill="1" applyBorder="1" applyAlignment="1">
      <alignment horizontal="right" vertical="center"/>
    </xf>
    <xf numFmtId="0" fontId="17" fillId="6" borderId="1" xfId="0" applyFont="1" applyFill="1" applyAlignment="1">
      <alignment horizontal="right" vertical="center"/>
    </xf>
    <xf numFmtId="0" fontId="17" fillId="6" borderId="17" xfId="0" applyFont="1" applyFill="1" applyBorder="1" applyAlignment="1">
      <alignment horizontal="right" vertical="center"/>
    </xf>
    <xf numFmtId="0" fontId="17" fillId="6" borderId="10" xfId="0" applyFont="1" applyFill="1" applyBorder="1" applyAlignment="1">
      <alignment horizontal="right" vertical="center"/>
    </xf>
    <xf numFmtId="0" fontId="17" fillId="6" borderId="2" xfId="0" applyFont="1" applyFill="1" applyBorder="1" applyAlignment="1">
      <alignment horizontal="right" vertical="center"/>
    </xf>
    <xf numFmtId="165" fontId="17" fillId="6" borderId="0" xfId="0" applyNumberFormat="1" applyFont="1" applyFill="1" applyBorder="1" applyAlignment="1">
      <alignment vertical="center" wrapText="1"/>
    </xf>
    <xf numFmtId="165" fontId="17" fillId="6" borderId="17" xfId="0" applyNumberFormat="1" applyFont="1" applyFill="1" applyBorder="1" applyAlignment="1">
      <alignment vertical="center" wrapText="1"/>
    </xf>
    <xf numFmtId="0" fontId="0" fillId="0" borderId="1" xfId="0" applyFill="1" applyAlignment="1">
      <alignment vertical="center" wrapText="1"/>
    </xf>
    <xf numFmtId="0" fontId="0" fillId="2" borderId="2" xfId="0" applyBorder="1">
      <alignment vertical="center"/>
    </xf>
    <xf numFmtId="0" fontId="15" fillId="0" borderId="2" xfId="0" applyFont="1" applyFill="1" applyBorder="1">
      <alignment vertical="center"/>
    </xf>
    <xf numFmtId="0" fontId="0" fillId="2" borderId="2" xfId="0" applyBorder="1" applyAlignment="1">
      <alignment horizontal="right" vertical="center"/>
    </xf>
    <xf numFmtId="0" fontId="0" fillId="2" borderId="2" xfId="0" applyBorder="1" applyAlignment="1">
      <alignment vertical="center" wrapText="1"/>
    </xf>
    <xf numFmtId="0" fontId="12" fillId="3" borderId="3" xfId="0" applyFont="1" applyFill="1" applyBorder="1">
      <alignment vertical="center"/>
    </xf>
    <xf numFmtId="0" fontId="12" fillId="3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vertical="center" wrapText="1"/>
    </xf>
    <xf numFmtId="0" fontId="12" fillId="3" borderId="3" xfId="0" applyFont="1" applyFill="1" applyBorder="1" applyAlignment="1">
      <alignment horizontal="right" vertical="center" wrapText="1"/>
    </xf>
    <xf numFmtId="0" fontId="12" fillId="3" borderId="11" xfId="0" applyFont="1" applyFill="1" applyBorder="1">
      <alignment vertical="center"/>
    </xf>
    <xf numFmtId="0" fontId="12" fillId="3" borderId="3" xfId="0" applyFont="1" applyFill="1" applyBorder="1" applyAlignment="1">
      <alignment horizontal="right" vertical="center"/>
    </xf>
    <xf numFmtId="0" fontId="0" fillId="11" borderId="1" xfId="0" applyFill="1" applyAlignment="1">
      <alignment horizontal="right" vertical="center"/>
    </xf>
    <xf numFmtId="0" fontId="12" fillId="13" borderId="3" xfId="0" applyFont="1" applyFill="1" applyBorder="1" applyAlignment="1">
      <alignment horizontal="right" vertical="center" wrapText="1"/>
    </xf>
    <xf numFmtId="0" fontId="17" fillId="9" borderId="8" xfId="0" applyFont="1" applyFill="1" applyBorder="1">
      <alignment vertical="center"/>
    </xf>
    <xf numFmtId="0" fontId="17" fillId="9" borderId="15" xfId="0" applyFont="1" applyFill="1" applyBorder="1">
      <alignment vertical="center"/>
    </xf>
    <xf numFmtId="0" fontId="17" fillId="9" borderId="13" xfId="0" applyFont="1" applyFill="1" applyBorder="1">
      <alignment vertical="center"/>
    </xf>
    <xf numFmtId="0" fontId="17" fillId="9" borderId="9" xfId="0" applyFont="1" applyFill="1" applyBorder="1">
      <alignment vertical="center"/>
    </xf>
    <xf numFmtId="172" fontId="0" fillId="2" borderId="1" xfId="0" applyNumberFormat="1">
      <alignment vertical="center"/>
    </xf>
    <xf numFmtId="0" fontId="0" fillId="2" borderId="1" xfId="0" applyAlignment="1">
      <alignment horizontal="center" vertical="center"/>
    </xf>
    <xf numFmtId="0" fontId="0" fillId="2" borderId="2" xfId="0" applyBorder="1" applyAlignment="1">
      <alignment horizontal="center" vertical="center"/>
    </xf>
    <xf numFmtId="0" fontId="27" fillId="3" borderId="0" xfId="0" applyFont="1" applyFill="1" applyBorder="1">
      <alignment vertical="center"/>
    </xf>
    <xf numFmtId="0" fontId="27" fillId="3" borderId="3" xfId="0" applyFont="1" applyFill="1" applyBorder="1" applyAlignment="1">
      <alignment horizontal="center" vertical="center"/>
    </xf>
    <xf numFmtId="0" fontId="15" fillId="11" borderId="1" xfId="0" applyFont="1" applyFill="1" applyAlignment="1">
      <alignment horizontal="center" vertical="center"/>
    </xf>
    <xf numFmtId="0" fontId="27" fillId="3" borderId="8" xfId="0" applyFont="1" applyFill="1" applyBorder="1">
      <alignment vertical="center"/>
    </xf>
    <xf numFmtId="0" fontId="0" fillId="2" borderId="12" xfId="0" applyBorder="1" applyAlignment="1">
      <alignment horizontal="center" vertical="center"/>
    </xf>
    <xf numFmtId="0" fontId="0" fillId="2" borderId="3" xfId="0" applyBorder="1" applyAlignment="1">
      <alignment horizontal="center" vertical="center"/>
    </xf>
    <xf numFmtId="0" fontId="0" fillId="2" borderId="13" xfId="0" applyBorder="1" applyAlignment="1">
      <alignment horizontal="center" vertical="center"/>
    </xf>
    <xf numFmtId="0" fontId="0" fillId="2" borderId="8" xfId="0" applyBorder="1" applyAlignment="1">
      <alignment horizontal="center" vertical="center"/>
    </xf>
    <xf numFmtId="0" fontId="0" fillId="2" borderId="4" xfId="0" applyBorder="1">
      <alignment vertical="center"/>
    </xf>
    <xf numFmtId="0" fontId="0" fillId="2" borderId="8" xfId="0" applyBorder="1">
      <alignment vertical="center"/>
    </xf>
    <xf numFmtId="169" fontId="28" fillId="2" borderId="19" xfId="0" applyNumberFormat="1" applyFont="1" applyBorder="1">
      <alignment vertical="center"/>
    </xf>
    <xf numFmtId="172" fontId="0" fillId="2" borderId="3" xfId="0" applyNumberFormat="1" applyBorder="1">
      <alignment vertical="center"/>
    </xf>
    <xf numFmtId="0" fontId="0" fillId="2" borderId="0" xfId="0" applyBorder="1">
      <alignment vertical="center"/>
    </xf>
    <xf numFmtId="169" fontId="11" fillId="2" borderId="20" xfId="0" applyNumberFormat="1" applyFont="1" applyBorder="1">
      <alignment vertical="center"/>
    </xf>
    <xf numFmtId="0" fontId="0" fillId="14" borderId="1" xfId="0" applyFill="1">
      <alignment vertical="center"/>
    </xf>
    <xf numFmtId="169" fontId="0" fillId="14" borderId="1" xfId="2" applyNumberFormat="1" applyFont="1" applyFill="1" applyBorder="1" applyAlignment="1">
      <alignment vertical="center"/>
    </xf>
    <xf numFmtId="173" fontId="0" fillId="14" borderId="1" xfId="2" applyNumberFormat="1" applyFont="1" applyFill="1" applyBorder="1" applyAlignment="1">
      <alignment vertical="center"/>
    </xf>
    <xf numFmtId="173" fontId="0" fillId="14" borderId="1" xfId="2" applyNumberFormat="1" applyFont="1" applyFill="1" applyBorder="1" applyAlignment="1">
      <alignment horizontal="left" vertical="center" indent="1"/>
    </xf>
    <xf numFmtId="0" fontId="13" fillId="2" borderId="1" xfId="0" applyFont="1" applyAlignment="1">
      <alignment vertical="center" wrapText="1"/>
    </xf>
    <xf numFmtId="173" fontId="0" fillId="2" borderId="1" xfId="0" applyNumberFormat="1">
      <alignment vertical="center"/>
    </xf>
    <xf numFmtId="0" fontId="7" fillId="2" borderId="1" xfId="0" applyFont="1" applyAlignment="1"/>
    <xf numFmtId="0" fontId="29" fillId="2" borderId="1" xfId="0" applyFont="1">
      <alignment vertical="center"/>
    </xf>
    <xf numFmtId="0" fontId="0" fillId="15" borderId="1" xfId="0" applyFill="1" applyAlignment="1"/>
    <xf numFmtId="0" fontId="0" fillId="0" borderId="1" xfId="0" applyFill="1" applyAlignment="1"/>
    <xf numFmtId="0" fontId="0" fillId="0" borderId="10" xfId="0" applyFill="1" applyBorder="1" applyAlignment="1"/>
    <xf numFmtId="0" fontId="25" fillId="7" borderId="8" xfId="0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12" fillId="13" borderId="8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vertical="center" wrapText="1"/>
    </xf>
    <xf numFmtId="0" fontId="12" fillId="3" borderId="11" xfId="0" applyFont="1" applyFill="1" applyBorder="1" applyAlignment="1">
      <alignment vertical="center" wrapText="1"/>
    </xf>
    <xf numFmtId="0" fontId="12" fillId="3" borderId="4" xfId="0" applyFont="1" applyFill="1" applyBorder="1" applyAlignment="1">
      <alignment vertical="center" wrapText="1"/>
    </xf>
    <xf numFmtId="0" fontId="17" fillId="9" borderId="1" xfId="0" applyFont="1" applyFill="1" applyAlignment="1">
      <alignment vertical="center" wrapText="1"/>
    </xf>
    <xf numFmtId="0" fontId="20" fillId="2" borderId="1" xfId="0" applyFont="1" applyAlignment="1">
      <alignment horizontal="left" vertical="center" wrapText="1"/>
    </xf>
    <xf numFmtId="0" fontId="18" fillId="2" borderId="1" xfId="0" applyFont="1" applyAlignment="1">
      <alignment horizontal="left" vertical="center" wrapText="1"/>
    </xf>
    <xf numFmtId="0" fontId="17" fillId="9" borderId="1" xfId="0" applyFont="1" applyFill="1">
      <alignment vertical="center"/>
    </xf>
    <xf numFmtId="0" fontId="15" fillId="10" borderId="1" xfId="0" applyFont="1" applyFill="1" applyAlignment="1">
      <alignment vertical="center" wrapText="1"/>
    </xf>
    <xf numFmtId="0" fontId="0" fillId="3" borderId="1" xfId="0" applyFill="1">
      <alignment vertical="center"/>
    </xf>
    <xf numFmtId="0" fontId="17" fillId="9" borderId="8" xfId="0" applyFont="1" applyFill="1" applyBorder="1">
      <alignment vertical="center"/>
    </xf>
    <xf numFmtId="0" fontId="17" fillId="9" borderId="4" xfId="0" applyFont="1" applyFill="1" applyBorder="1">
      <alignment vertical="center"/>
    </xf>
  </cellXfs>
  <cellStyles count="14">
    <cellStyle name="Comma" xfId="2" builtinId="3"/>
    <cellStyle name="Comma 2" xfId="10" xr:uid="{739C9F52-C7D9-4156-930B-930E5CF424B8}"/>
    <cellStyle name="Comma 2 2" xfId="12" xr:uid="{902E0295-7866-469F-B046-0CF198E64CBE}"/>
    <cellStyle name="Hyperlink" xfId="3" builtinId="8"/>
    <cellStyle name="Normal" xfId="0" builtinId="0" customBuiltin="1"/>
    <cellStyle name="Normal 2" xfId="9" xr:uid="{7D61EDB1-14A9-4CDE-8C8D-28B96E72A712}"/>
    <cellStyle name="Normal 2 2" xfId="11" xr:uid="{C5F304DB-F7B7-4D4B-9E36-674CA4955A2A}"/>
    <cellStyle name="Percent" xfId="1" builtinId="5"/>
    <cellStyle name="Percent 2" xfId="4" xr:uid="{569EFCED-2ABA-45A0-B57E-38F535B1732A}"/>
    <cellStyle name="Percent 2 2" xfId="8" xr:uid="{C76D1A41-2DAD-4E15-B7A2-1098760C5661}"/>
    <cellStyle name="Percent 3" xfId="6" xr:uid="{D5C89034-6240-4188-85BB-808F9912C341}"/>
    <cellStyle name="Percent 4" xfId="13" xr:uid="{9B6C075B-DB59-42DD-90E5-989EC73BCA05}"/>
    <cellStyle name="ResultsBody" xfId="7" xr:uid="{90914D9F-B62F-486B-BD86-1D5FB17DF807}"/>
    <cellStyle name="ResultsHeader" xfId="5" xr:uid="{D0BDAA58-066E-43B3-847E-DAEC4EF91D85}"/>
  </cellStyles>
  <dxfs count="5"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72" formatCode="_-* #,##0.0_-;\-* #,##0.0_-;_-* &quot;-&quot;??_-;_-@_-"/>
    </dxf>
    <dxf>
      <numFmt numFmtId="172" formatCode="_-* #,##0.0_-;\-* #,##0.0_-;_-* &quot;-&quot;??_-;_-@_-"/>
    </dxf>
  </dxfs>
  <tableStyles count="0" defaultTableStyle="TableStyleMedium2" defaultPivotStyle="PivotStyleLight16"/>
  <colors>
    <mruColors>
      <color rgb="FF677E9D"/>
      <color rgb="FFD8F1A2"/>
      <color rgb="FFECF6CA"/>
      <color rgb="FFE7F4BE"/>
      <color rgb="FFC0E156"/>
      <color rgb="FFAED826"/>
      <color rgb="FFA0C723"/>
      <color rgb="FF64CAA6"/>
      <color rgb="FF6ACCA9"/>
      <color rgb="FF38A6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PROFUNDO-FS01\Library$\Finished%20projects\2023\2023-062%20US%20target%20bank%20industrial%20livestock%20financing%20FoE%20US\2023-062%20US%20target%20bank%20industrial%20livestock%20financing%20-%20financial%20flows%20and%20emissions%20230131%20-%20with%20NEW%20GWP20.xlsx" TargetMode="External"/><Relationship Id="rId2" Type="http://schemas.microsoft.com/office/2019/04/relationships/externalLinkLongPath" Target="file:///\\PROFUNDO-FS01\Library$\Finished%20projects\2023\2023-062%20US%20target%20bank%20industrial%20livestock%20financing%20FoE%20US\2023-062%20US%20target%20bank%20industrial%20livestock%20financing%20-%20financial%20flows%20and%20emissions%20230131%20-%20with%20NEW%20GWP20.xlsx?AC3B4C95" TargetMode="External"/><Relationship Id="rId1" Type="http://schemas.openxmlformats.org/officeDocument/2006/relationships/externalLinkPath" Target="file:///\\AC3B4C95\2023-062%20US%20target%20bank%20industrial%20livestock%20financing%20-%20financial%20flows%20and%20emissions%20230131%20-%20with%20NEW%20GWP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bout"/>
      <sheetName val="Report table &amp; charts"/>
      <sheetName val="Notes for user"/>
      <sheetName val="Company selection rankings"/>
      <sheetName val="Company selection overview"/>
      <sheetName val="Comp Selection pivt data"/>
      <sheetName val="Matching sheet"/>
      <sheetName val="Portfolio proportions analysis"/>
      <sheetName val="IATP-based portfolio proportion"/>
      <sheetName val="IATP assessed companies"/>
      <sheetName val="Creditor data"/>
      <sheetName val="Creditor analyses"/>
      <sheetName val="Creditor emissions"/>
      <sheetName val="Emissions intensity chart"/>
      <sheetName val="Investor data"/>
      <sheetName val="Investor analyses"/>
      <sheetName val="Investor emissions"/>
      <sheetName val="Company scopi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X1">
            <v>44926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bara Kuepper" refreshedDate="45608.58199027778" createdVersion="8" refreshedVersion="8" minRefreshableVersion="3" recordCount="76" xr:uid="{C1C71AF1-DB80-4677-856D-87A08E8C6003}">
  <cacheSource type="worksheet">
    <worksheetSource ref="A5:M81" sheet="Production data"/>
  </cacheSource>
  <cacheFields count="13">
    <cacheField name="Category" numFmtId="0">
      <sharedItems count="3">
        <s v="Main"/>
        <s v="Addition"/>
        <s v="Additional" u="1"/>
      </sharedItems>
    </cacheField>
    <cacheField name="Company " numFmtId="0">
      <sharedItems count="38">
        <s v="JBS"/>
        <s v="Marfrig"/>
        <s v="Cargill"/>
        <s v="Tyson"/>
        <s v="Minerva"/>
        <s v="Bigard"/>
        <s v="Gruppo Cremonini"/>
        <s v="Vion Food Group"/>
        <s v="Danish Crown"/>
        <s v="Teys "/>
        <s v="Westfleisch"/>
        <s v="Tönnies Group"/>
        <s v="NH Foods"/>
        <s v="BRF"/>
        <s v="Wen's Food Group"/>
        <s v="Japfa"/>
        <s v="Wellhope Agritech"/>
        <s v="Charoen Pokphand"/>
        <s v="Fuijan Sunner Development"/>
        <s v="Koch Foods"/>
        <s v="Arab Company for Livestock Development (ACOLID)"/>
        <s v="New Hope Group"/>
        <s v="Industrias Bachoco"/>
        <s v="Perdue Farms"/>
        <s v="Continental Grain Company"/>
        <s v="MHP"/>
        <s v="WH Group"/>
        <s v="Aurora Alimentos"/>
        <s v="Muyuan Foodstuff"/>
        <s v="Grupo Vall"/>
        <s v="Zhengbang Group"/>
        <s v="Grupo Jorges"/>
        <s v="Seaboard"/>
        <s v="COFCO Group"/>
        <s v="Triumph Foods"/>
        <s v="Cooperl Arc Atlantique"/>
        <s v="Clemens Food Group"/>
        <s v="Cremonini" u="1"/>
      </sharedItems>
    </cacheField>
    <cacheField name="HQ country" numFmtId="0">
      <sharedItems count="16">
        <s v="US"/>
        <s v="BR"/>
        <s v="FR"/>
        <s v="IT"/>
        <s v="NL"/>
        <s v="DK"/>
        <s v="AU"/>
        <s v="DE"/>
        <s v="JP"/>
        <s v="CN"/>
        <s v="SG"/>
        <s v="TH"/>
        <s v="AE"/>
        <s v="MX"/>
        <s v="UA"/>
        <s v="ES"/>
      </sharedItems>
    </cacheField>
    <cacheField name="Animal" numFmtId="0">
      <sharedItems count="3">
        <s v="Cattle"/>
        <s v="Chicken"/>
        <s v="Pigs"/>
      </sharedItems>
    </cacheField>
    <cacheField name="Region" numFmtId="0">
      <sharedItems count="10">
        <s v="Latin America and the Caribbean"/>
        <s v="North America"/>
        <s v="Oceania"/>
        <s v="Western Europe"/>
        <s v="East Asia and Southeast Asia"/>
        <s v="South America"/>
        <s v="Europe"/>
        <s v="Russian Federation"/>
        <s v="Near East and North Africa"/>
        <s v="Eastern Europe"/>
      </sharedItems>
    </cacheField>
    <cacheField name="Country" numFmtId="0">
      <sharedItems count="13">
        <s v="BR"/>
        <s v="multiple"/>
        <s v="US"/>
        <s v="AU"/>
        <s v="FR"/>
        <s v="IT"/>
        <s v="DE"/>
        <s v="UK"/>
        <s v="CN"/>
        <s v="RU"/>
        <s v="MX"/>
        <s v="UA"/>
        <s v="ES"/>
      </sharedItems>
    </cacheField>
    <cacheField name="Reported processing per annum _x000a_(in # of heads)" numFmtId="0">
      <sharedItems containsMixedTypes="1" containsNumber="1" minValue="336859" maxValue="1733361290.3225806"/>
    </cacheField>
    <cacheField name="Processing capacity _x000a_(in # of heads)" numFmtId="3">
      <sharedItems containsBlank="1"/>
    </cacheField>
    <cacheField name="# of heads processed per annum (reported or based on capacity use)" numFmtId="3">
      <sharedItems containsSemiMixedTypes="0" containsString="0" containsNumber="1" minValue="336859" maxValue="1802559015.3846154"/>
    </cacheField>
    <cacheField name="Data year" numFmtId="0">
      <sharedItems containsMixedTypes="1" containsNumber="1" containsInteger="1" minValue="2021" maxValue="2023"/>
    </cacheField>
    <cacheField name="Comments" numFmtId="0">
      <sharedItems containsBlank="1"/>
    </cacheField>
    <cacheField name="Data source" numFmtId="0">
      <sharedItems/>
    </cacheField>
    <cacheField name="Lin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bara Kuepper" refreshedDate="45608.582955787038" createdVersion="8" refreshedVersion="8" minRefreshableVersion="3" recordCount="29" xr:uid="{0D174DFF-1389-40B3-98F4-4D45DFF15191}">
  <cacheSource type="worksheet">
    <worksheetSource ref="A85:D114" sheet="Production data"/>
  </cacheSource>
  <cacheFields count="4">
    <cacheField name="Category" numFmtId="0">
      <sharedItems count="3">
        <s v="Main"/>
        <s v="Source"/>
        <s v="Addition"/>
      </sharedItems>
    </cacheField>
    <cacheField name=" Company" numFmtId="0">
      <sharedItems count="17">
        <s v="Fonterra"/>
        <s v="Dairy Farmers of America"/>
        <s v="Lactalis"/>
        <s v="Nestlé"/>
        <s v="Arla"/>
        <s v="FrieslandCampina"/>
        <s v="Danone"/>
        <s v="Danone-IFCN"/>
        <s v="DMK"/>
        <s v="Saputo"/>
        <s v="Agropur"/>
        <s v="China Mengniu Dairy"/>
        <s v="Glanbia"/>
        <s v="California Diaries"/>
        <s v="Yili "/>
        <s v="Müller"/>
        <s v="Amul"/>
      </sharedItems>
    </cacheField>
    <cacheField name="Region" numFmtId="0">
      <sharedItems count="11">
        <s v="Oceania"/>
        <s v="North America"/>
        <s v="Western Europe"/>
        <s v="Eastern Europe"/>
        <s v="Russian Federation"/>
        <s v="Latin America and the Caribbean"/>
        <s v="Near East and North Africa"/>
        <s v="Sub-Saharan Africa"/>
        <s v="China"/>
        <s v="East Asia and Southeast Asia"/>
        <s v="India"/>
      </sharedItems>
    </cacheField>
    <cacheField name="Milk intake (mio tonnes, 2022)" numFmtId="165">
      <sharedItems containsSemiMixedTypes="0" containsString="0" containsNumber="1" minValue="0.20412333333333332" maxValue="29.7" count="27">
        <n v="17.600000000000001"/>
        <n v="29.7"/>
        <n v="22.6"/>
        <n v="13.5"/>
        <n v="10.7"/>
        <n v="0.81599999999999995"/>
        <n v="0.51"/>
        <n v="1.173"/>
        <n v="1.4790000000000001"/>
        <n v="0.56100000000000005"/>
        <n v="0.37400000000000005"/>
        <n v="0.20412333333333332"/>
        <n v="1.0684127866112274"/>
        <n v="0.6677579916320171"/>
        <n v="1.5358433807536396"/>
        <n v="1.9364981757328499"/>
        <n v="0.73453379079521897"/>
        <n v="0.48968919386347931"/>
        <n v="0.26726468061156755"/>
        <n v="5.5"/>
        <n v="11"/>
        <n v="6.7"/>
        <n v="9.6999999999999993"/>
        <n v="9"/>
        <n v="7.7"/>
        <n v="10"/>
        <n v="9.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x v="0"/>
    <x v="0"/>
    <x v="0"/>
    <x v="0"/>
    <x v="0"/>
    <s v="n/a"/>
    <s v="33,545 daily"/>
    <n v="9218836.9000000004"/>
    <n v="2023"/>
    <s v="Industry average for capacity use; disaggregating cross-regional production based on brand distribution."/>
    <s v="See Table 5.5 to 5.8 on Tab 5.1-5.16. Company data; Company reports and presentations"/>
    <m/>
  </r>
  <r>
    <x v="0"/>
    <x v="0"/>
    <x v="0"/>
    <x v="0"/>
    <x v="1"/>
    <x v="1"/>
    <s v="n/a"/>
    <s v="est. daily cap."/>
    <n v="8958582.3599999994"/>
    <n v="2023"/>
    <s v="Industry average for capacity use; disaggregating cross-regional production based on brand distribution."/>
    <s v="See Table 5.5 to 5.8 on Tab 5.1-5.16. Company data; Company reports and presentations"/>
    <m/>
  </r>
  <r>
    <x v="0"/>
    <x v="0"/>
    <x v="0"/>
    <x v="0"/>
    <x v="2"/>
    <x v="1"/>
    <s v="n/a"/>
    <s v="est. daily cap."/>
    <n v="2637722.3600000003"/>
    <n v="2023"/>
    <s v="Industry average for capacity use."/>
    <s v="See Table 5.5 to 5.8 on Tab 5.1-5.16. Company data; Company reports and presentations"/>
    <m/>
  </r>
  <r>
    <x v="0"/>
    <x v="1"/>
    <x v="1"/>
    <x v="0"/>
    <x v="0"/>
    <x v="1"/>
    <s v="n/a"/>
    <s v="16,900 daily"/>
    <n v="4644458"/>
    <n v="2023"/>
    <s v="Industry average for capacity use."/>
    <s v="Marfrig (2024), Institutional Presentation 1st Quarter 2024, p.21"/>
    <s v="https://api.mziq.com/mzfilemanager/v2/d/b8180300-b881-4e6c-b970-12ad72a86ec8/4ec125cf-a0b8-169d-05f0-6cce9979d041?origin=1"/>
  </r>
  <r>
    <x v="0"/>
    <x v="1"/>
    <x v="1"/>
    <x v="0"/>
    <x v="1"/>
    <x v="2"/>
    <s v="n/a"/>
    <s v="13,100 daily"/>
    <n v="3600142"/>
    <n v="2023"/>
    <s v="Industry average for capacity use."/>
    <s v="Marfrig (2024), Institutional Presentation 1st Quarter 2024, p.15"/>
    <s v="https://api.mziq.com/mzfilemanager/v2/d/b8180300-b881-4e6c-b970-12ad72a86ec8/4ec125cf-a0b8-169d-05f0-6cce9979d041?origin=1"/>
  </r>
  <r>
    <x v="0"/>
    <x v="2"/>
    <x v="0"/>
    <x v="0"/>
    <x v="1"/>
    <x v="1"/>
    <n v="7000000"/>
    <m/>
    <n v="7000000"/>
    <s v="no date"/>
    <s v="More than 7 mln processed annually."/>
    <s v="Cargill (n.d.), Sustainable beef - Our presence."/>
    <s v="https://www.cargill.com/sustainability/sustainable-beef"/>
  </r>
  <r>
    <x v="0"/>
    <x v="2"/>
    <x v="0"/>
    <x v="0"/>
    <x v="2"/>
    <x v="3"/>
    <n v="750000"/>
    <m/>
    <n v="750000"/>
    <n v="2023"/>
    <s v="JV between Cargill and Teys family. Assigned 50% to each."/>
    <s v="Teys (2024), Sustainability Summary Report 2023, p.4"/>
    <s v="https://au.teysgroup.com/wp-content/uploads/2024/05/Teys-Australia-Summary-Sustainability-Report-2023.pdf"/>
  </r>
  <r>
    <x v="0"/>
    <x v="3"/>
    <x v="0"/>
    <x v="0"/>
    <x v="1"/>
    <x v="2"/>
    <s v="n/a"/>
    <s v="est. daily cap."/>
    <n v="5912585.7142857146"/>
    <n v="2023"/>
    <s v="Company-reported capacity use; disaggregating cross-regional production based on facility distribution."/>
    <s v="See Table 5.5 to 5.8 on Tab 5.1-5.16. Company data; Tyson 2023 Annual Report on Form 10-K, Item 2"/>
    <s v="https://s203.q4cdn.com/483587180/files/doc_financials/annual/2023/tsn-2023-10k-final.pdf"/>
  </r>
  <r>
    <x v="0"/>
    <x v="3"/>
    <x v="0"/>
    <x v="0"/>
    <x v="2"/>
    <x v="3"/>
    <s v="n/a"/>
    <s v="est. daily cap."/>
    <n v="454814.28571428568"/>
    <n v="2023"/>
    <s v="Company-reported capacity use; disaggregating cross-regional production based on facility distribution."/>
    <s v="See Table 5.5 to 5.8 on Tab 5.1-5.16. Company data; Tyson 2023 Annual Report on Form 10-K, Item 2"/>
    <s v="https://s203.q4cdn.com/483587180/files/doc_financials/annual/2023/tsn-2023-10k-final.pdf"/>
  </r>
  <r>
    <x v="0"/>
    <x v="4"/>
    <x v="1"/>
    <x v="0"/>
    <x v="0"/>
    <x v="1"/>
    <n v="3873800"/>
    <m/>
    <n v="3873800"/>
    <n v="2023"/>
    <m/>
    <s v="Minerva (2024), Earnings Release 4Q23 &amp; 2023, p.5"/>
    <s v="https://api.mziq.com/mzfilemanager/v2/d/7f2b381f-831b-4aed-b111-417a5585b53b/4031d53c-e227-9b02-f391-39a45b5a41a9?origin=1"/>
  </r>
  <r>
    <x v="0"/>
    <x v="5"/>
    <x v="2"/>
    <x v="0"/>
    <x v="3"/>
    <x v="4"/>
    <n v="1931153.0198137981"/>
    <m/>
    <n v="1931153.0198137981"/>
    <n v="2023"/>
    <s v="Converted from processed meat weight."/>
    <s v="See Table 5.13 on Tab 5.1-5.16. Company data; Bigard (2024), 2023 Sustainability Rreport, p.10"/>
    <s v="https://www.groupebigard.fr/sites/default/files/medias/2024-07/bigard-dpef2023-pp-bd.pdf"/>
  </r>
  <r>
    <x v="0"/>
    <x v="6"/>
    <x v="3"/>
    <x v="0"/>
    <x v="3"/>
    <x v="5"/>
    <n v="1864145.7786265616"/>
    <m/>
    <n v="1864145.7786265616"/>
    <n v="2022"/>
    <s v="Converted from processed meat weight; Inalca is Cremoninis beef business."/>
    <s v="See Table 5.10 on Tab 5.1-5.16. Company data; Company communication; Inalca (2024), Sustainable Supply Chain, p.5"/>
    <s v="https://www.inalca.it/wp-content/uploads/2024/01/Integrated-and-Sustainable-Supply-chain.pdf"/>
  </r>
  <r>
    <x v="0"/>
    <x v="7"/>
    <x v="4"/>
    <x v="0"/>
    <x v="3"/>
    <x v="1"/>
    <n v="910000"/>
    <m/>
    <n v="910000"/>
    <n v="2023"/>
    <s v="Approx. 17,500 processed weekly."/>
    <s v="Vion Food Group (n.d.), Vion beef."/>
    <s v="https://www.vionfoodgroup.com/en/beef"/>
  </r>
  <r>
    <x v="0"/>
    <x v="8"/>
    <x v="5"/>
    <x v="0"/>
    <x v="3"/>
    <x v="1"/>
    <n v="800000"/>
    <m/>
    <n v="800000"/>
    <n v="2023"/>
    <m/>
    <s v="Danish Crown Annual Report 2022-2023, p. 4; Danish Crown Annual Report 2019/20 "/>
    <s v="https://www.danishcrown.com/en-gb/about-us/our-results/annual-reports/; *reporting period October 2020-September 2021"/>
  </r>
  <r>
    <x v="0"/>
    <x v="9"/>
    <x v="6"/>
    <x v="0"/>
    <x v="2"/>
    <x v="1"/>
    <n v="750000"/>
    <m/>
    <n v="750000"/>
    <n v="2023"/>
    <s v="JV between Cargill and Teys family. Assigned 50% to each."/>
    <s v="Teys (2024), Sustainability Summary Report 2023, p.4"/>
    <s v="https://au.teysgroup.com/wp-content/uploads/2024/05/Teys-Australia-Summary-Sustainability-Report-2023.pdf"/>
  </r>
  <r>
    <x v="1"/>
    <x v="10"/>
    <x v="7"/>
    <x v="0"/>
    <x v="3"/>
    <x v="6"/>
    <n v="380800"/>
    <m/>
    <n v="380800"/>
    <n v="2023"/>
    <m/>
    <s v="Westfleisch (2024), Geschäftsbericht 2023 [German], p.2"/>
    <s v="https://www.westfleisch.de/fileadmin/Bilder/02_Unternehmen/02.07_Archiv/02.07.01_Geschaeftsberichte/2023/Westfleisch_SCE_GeschBericht_2023_web.pdf"/>
  </r>
  <r>
    <x v="1"/>
    <x v="11"/>
    <x v="7"/>
    <x v="0"/>
    <x v="3"/>
    <x v="1"/>
    <n v="364000"/>
    <m/>
    <n v="364000"/>
    <n v="2023"/>
    <s v="7,000 weekly. Announced in Sept. 2024 agreement in principle to take over Vion's cattle slaughter in Germany. "/>
    <s v="Süddeutsche Zeitung (2024, September 6), Tönnies macht Muh [German]."/>
    <m/>
  </r>
  <r>
    <x v="1"/>
    <x v="12"/>
    <x v="8"/>
    <x v="0"/>
    <x v="2"/>
    <x v="3"/>
    <n v="336859"/>
    <m/>
    <n v="336859"/>
    <n v="2023"/>
    <m/>
    <s v="NH Foods (2024), Annual Report 2023, p.54"/>
    <s v="https://www.nipponham.co.jp/eng/ir/library/annual/pdf/2024_annual/annual2024all_e.pdf"/>
  </r>
  <r>
    <x v="0"/>
    <x v="0"/>
    <x v="1"/>
    <x v="1"/>
    <x v="1"/>
    <x v="1"/>
    <s v="n/a"/>
    <s v="est. daily cap."/>
    <n v="1802559015.3846154"/>
    <n v="2023"/>
    <s v="Industry average for capacity use; disaggregating cross-regional production based on brand distribution."/>
    <s v="See Table 5.5 to 5.8 on Tab 5.1-5.16. Company data; Company reports and presentations"/>
    <m/>
  </r>
  <r>
    <x v="0"/>
    <x v="0"/>
    <x v="1"/>
    <x v="1"/>
    <x v="0"/>
    <x v="0"/>
    <s v="n/a"/>
    <s v="5.4 mln  daily"/>
    <n v="1412272800"/>
    <n v="2023"/>
    <s v="Industry average for capacity use."/>
    <s v="See Table 5.5 to 5.8 on Tab 5.1-5.16. Company data; Company reports and presentations"/>
    <m/>
  </r>
  <r>
    <x v="0"/>
    <x v="0"/>
    <x v="1"/>
    <x v="1"/>
    <x v="3"/>
    <x v="7"/>
    <s v="n/a"/>
    <s v="est. daily cap."/>
    <n v="394309784.61538464"/>
    <n v="2023"/>
    <s v="Industry average for capacity use; disaggregating cross-regional production based on brand distribution."/>
    <s v="See Table 5.5 to 5.8 on Tab 5.1-5.16. Company data; Company reports and presentations"/>
    <m/>
  </r>
  <r>
    <x v="0"/>
    <x v="3"/>
    <x v="0"/>
    <x v="1"/>
    <x v="1"/>
    <x v="2"/>
    <n v="1733361290.3225806"/>
    <m/>
    <n v="1733361290.3225806"/>
    <n v="2023"/>
    <s v="Company-reported capacity use; disaggregating cross-regional production based on facility distribution."/>
    <s v="See Table 5.9 on Tab 5.1-5.16. Company data; Tyson 2023 Annual Report on Form 10-K, Item 2"/>
    <s v="https://s203.q4cdn.com/483587180/files/doc_financials/annual/2023/tsn-2023-10k-final.pdf"/>
  </r>
  <r>
    <x v="0"/>
    <x v="3"/>
    <x v="0"/>
    <x v="1"/>
    <x v="4"/>
    <x v="1"/>
    <n v="208838709.67741936"/>
    <m/>
    <n v="208838709.67741936"/>
    <n v="2023"/>
    <s v="Company-reported capacity use; disaggregating cross-regional production based on facility distribution."/>
    <s v="See Table 5.9 on Tab 5.1-5.16. Company data; Tyson 2023 Annual Report on Form 10-K, Item 2"/>
    <s v="https://s203.q4cdn.com/483587180/files/doc_financials/annual/2023/tsn-2023-10k-final.pdf"/>
  </r>
  <r>
    <x v="0"/>
    <x v="13"/>
    <x v="1"/>
    <x v="1"/>
    <x v="5"/>
    <x v="0"/>
    <s v="n/a"/>
    <s v="35.8 mln weekly"/>
    <n v="1612145600"/>
    <n v="2023"/>
    <s v="Industry average for capacity use."/>
    <s v="BRF (2024), Form 20-F Annual Report 2023, p. 63"/>
    <s v="https://api.mziq.com/mzfilemanager/v2/d/4d44a134-36cc-4fea-b520-393c4aceabb2/29f6dbb8-4762-9fbf-0ea9-448dbb27a181?origin=1"/>
  </r>
  <r>
    <x v="0"/>
    <x v="14"/>
    <x v="9"/>
    <x v="1"/>
    <x v="4"/>
    <x v="8"/>
    <n v="1183000000"/>
    <m/>
    <n v="1183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"/>
    <x v="0"/>
    <x v="1"/>
    <x v="1"/>
    <x v="2"/>
    <n v="535600000"/>
    <m/>
    <n v="535600000"/>
    <n v="2023"/>
    <s v="Wayne Sanderson is Cargill's 50/50 JV in NA with Continental Grain. Assigned 50% to each."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"/>
    <x v="0"/>
    <x v="1"/>
    <x v="0"/>
    <x v="1"/>
    <n v="269000000"/>
    <m/>
    <n v="269000000"/>
    <n v="2023"/>
    <s v="Cargill Proteína Latinoamérico."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"/>
    <x v="0"/>
    <x v="1"/>
    <x v="4"/>
    <x v="1"/>
    <n v="180000000"/>
    <m/>
    <n v="180000000"/>
    <n v="2023"/>
    <s v="Cargill Meats Asia; China operation has been sold."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"/>
    <x v="0"/>
    <x v="1"/>
    <x v="6"/>
    <x v="7"/>
    <n v="144000000"/>
    <m/>
    <n v="144000000"/>
    <n v="2023"/>
    <s v="Cargill Meats Europe."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15"/>
    <x v="10"/>
    <x v="1"/>
    <x v="4"/>
    <x v="1"/>
    <n v="981000000"/>
    <m/>
    <n v="981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16"/>
    <x v="9"/>
    <x v="1"/>
    <x v="4"/>
    <x v="8"/>
    <n v="810000000"/>
    <m/>
    <n v="810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17"/>
    <x v="11"/>
    <x v="1"/>
    <x v="4"/>
    <x v="1"/>
    <n v="685000000"/>
    <m/>
    <n v="685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17"/>
    <x v="11"/>
    <x v="1"/>
    <x v="7"/>
    <x v="9"/>
    <n v="66347031.963470325"/>
    <m/>
    <n v="66347031.963470325"/>
    <n v="2022"/>
    <s v="CP Foods produces pork and poultry in Russia. Information on combined 2022 production minus pork production used to estimate heads of chicken processed."/>
    <s v="Vet and Life (2023, February 8), Top 20 Russian pork producers compiled [Russian]; Agromics (2024, October 30), Rating of the top-25 largest meat producers in the Russian Federation in 2023."/>
    <s v="https://vetandlife.ru/sobytiya/sostavlen-top-20-rossijskih-proizvoditelej-svininy/; https://agromics.ru/novosti/reyting-myaso/"/>
  </r>
  <r>
    <x v="0"/>
    <x v="18"/>
    <x v="9"/>
    <x v="1"/>
    <x v="4"/>
    <x v="8"/>
    <n v="680000000"/>
    <m/>
    <n v="680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19"/>
    <x v="0"/>
    <x v="1"/>
    <x v="1"/>
    <x v="2"/>
    <n v="670000000"/>
    <m/>
    <n v="670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0"/>
    <x v="12"/>
    <x v="1"/>
    <x v="8"/>
    <x v="1"/>
    <n v="662200000"/>
    <m/>
    <n v="6622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1"/>
    <x v="9"/>
    <x v="1"/>
    <x v="4"/>
    <x v="8"/>
    <n v="657780000"/>
    <m/>
    <n v="657780000"/>
    <n v="2023"/>
    <m/>
    <s v="New Hope Liuhe Co., Ltd. (2024), 2023 Annual Rreport, p. 37 "/>
    <s v="http://file.finance.sina.com.cn/211.154.219.97:9494/MRGG/CNSESZ_STOCK/2024/2024-7/2024-07-06/10316551.PDF"/>
  </r>
  <r>
    <x v="0"/>
    <x v="22"/>
    <x v="13"/>
    <x v="1"/>
    <x v="0"/>
    <x v="10"/>
    <n v="505000000"/>
    <m/>
    <n v="505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2"/>
    <x v="13"/>
    <x v="1"/>
    <x v="1"/>
    <x v="2"/>
    <n v="135000000"/>
    <m/>
    <n v="135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3"/>
    <x v="0"/>
    <x v="1"/>
    <x v="1"/>
    <x v="2"/>
    <n v="615000000"/>
    <m/>
    <n v="615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4"/>
    <x v="0"/>
    <x v="1"/>
    <x v="1"/>
    <x v="2"/>
    <n v="535600000"/>
    <m/>
    <n v="535600000"/>
    <n v="2023"/>
    <s v="Wayne Sanderson is Continental Grain's 50/50 JV in NA with Cargill. Assigned 50% to each."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1"/>
    <x v="25"/>
    <x v="14"/>
    <x v="1"/>
    <x v="9"/>
    <x v="11"/>
    <n v="438443556"/>
    <m/>
    <n v="438443556"/>
    <n v="2023"/>
    <m/>
    <s v="MHP (2024), Annual Report 2023, p.82"/>
    <s v="https://api.next.mhp.com.ua/images/51d31/2ef40/3472df60ca4e.pdf"/>
  </r>
  <r>
    <x v="1"/>
    <x v="26"/>
    <x v="9"/>
    <x v="1"/>
    <x v="4"/>
    <x v="8"/>
    <n v="209333333.33333334"/>
    <m/>
    <n v="209333333.33333334"/>
    <n v="2023"/>
    <s v="Company-reported processing; disaggregating cross-regional production based on facility distribution."/>
    <s v="WH Group (2024), 2023 Annual Report, p.23"/>
    <s v="https://media-whgroup.todayir.com/20240415164801467011159729_en.pdf"/>
  </r>
  <r>
    <x v="1"/>
    <x v="26"/>
    <x v="9"/>
    <x v="1"/>
    <x v="9"/>
    <x v="1"/>
    <n v="104666666.66666667"/>
    <m/>
    <n v="104666666.66666667"/>
    <n v="2023"/>
    <s v="Company-reported processing; disaggregating cross-regional production based on facility distribution."/>
    <s v="WH Group (2024), 2023 Annual Report, p.23"/>
    <s v="https://media-whgroup.todayir.com/20240415164801467011159729_en.pdf"/>
  </r>
  <r>
    <x v="1"/>
    <x v="27"/>
    <x v="1"/>
    <x v="1"/>
    <x v="5"/>
    <x v="0"/>
    <n v="320800000"/>
    <m/>
    <n v="320800000"/>
    <n v="2023"/>
    <s v="Also 0.472 mln tons of milk intake"/>
    <s v="Agencia SEBRAE (2024, April 15), Aurora Coop inaugura moderna unidade industrial em Chapecó."/>
    <s v="https://sc.agenciasebrae.com.br/cultura-empreendedora/aurora-coop-inaugura-moderna-unidade-industrial-em-chapeco/"/>
  </r>
  <r>
    <x v="0"/>
    <x v="26"/>
    <x v="9"/>
    <x v="2"/>
    <x v="1"/>
    <x v="1"/>
    <s v="n/a"/>
    <s v="30.09 mln annually"/>
    <n v="29730489.609338891"/>
    <n v="2023"/>
    <s v="Company-reported capacity use."/>
    <s v="See Table 5.3 and 5.4 on Tab 5.1-5.16. Company data; WH Group (2024), 2023 Annual Report, p.23"/>
    <s v="https://media-whgroup.todayir.com/20240415164801467011159729_en.pdf"/>
  </r>
  <r>
    <x v="0"/>
    <x v="26"/>
    <x v="9"/>
    <x v="2"/>
    <x v="4"/>
    <x v="8"/>
    <s v="n/a"/>
    <s v="25.05 mln annually"/>
    <n v="13177939.029473471"/>
    <n v="2023"/>
    <s v="Company-reported capacity use."/>
    <s v="See Table 5.3 and 5.4 on Tab 5.1-5.16. Company data; WH Group (2024), 2023 Annual Report, p.23"/>
    <s v="https://media-whgroup.todayir.com/20240415164801467011159729_en.pdf"/>
  </r>
  <r>
    <x v="0"/>
    <x v="26"/>
    <x v="9"/>
    <x v="2"/>
    <x v="9"/>
    <x v="1"/>
    <s v="n/a"/>
    <s v="5.72 mln annually"/>
    <n v="6260571.3611876406"/>
    <n v="2023"/>
    <s v="Company-reported capacity use."/>
    <s v="See Table 5.3 and 5.4 on Tab 5.1-5.16. Company data; WH Group (2024), 2023 Annual Report, p.23"/>
    <s v="https://media-whgroup.todayir.com/20240415164801467011159729_en.pdf"/>
  </r>
  <r>
    <x v="0"/>
    <x v="0"/>
    <x v="1"/>
    <x v="2"/>
    <x v="1"/>
    <x v="2"/>
    <s v="n/a"/>
    <s v="92,600 daily"/>
    <n v="26846592"/>
    <n v="2023"/>
    <s v="Industry average for capacity use."/>
    <s v="See Table 5.5 to 5.8 on Tab 5.1-5.16. Company data; Company reports and presentations"/>
    <m/>
  </r>
  <r>
    <x v="0"/>
    <x v="0"/>
    <x v="1"/>
    <x v="2"/>
    <x v="0"/>
    <x v="0"/>
    <s v="n/a"/>
    <s v="30,400 daily"/>
    <n v="8813568"/>
    <n v="2023"/>
    <s v="Industry average for capacity use."/>
    <s v="See Table 5.5 to 5.8 on Tab 5.1-5.16. Company data; Company reports and presentations"/>
    <m/>
  </r>
  <r>
    <x v="0"/>
    <x v="0"/>
    <x v="1"/>
    <x v="2"/>
    <x v="2"/>
    <x v="3"/>
    <s v="n/a"/>
    <s v="10,660 daily"/>
    <n v="3090547.1999999997"/>
    <n v="2023"/>
    <s v="Industry average for capacity use."/>
    <s v="See Table 5.5 to 5.8 on Tab 5.1-5.16. Company data; Company reports and presentations"/>
    <m/>
  </r>
  <r>
    <x v="0"/>
    <x v="0"/>
    <x v="1"/>
    <x v="2"/>
    <x v="3"/>
    <x v="7"/>
    <s v="n/a"/>
    <s v="7,425 daily"/>
    <n v="2036053.8"/>
    <n v="2023"/>
    <s v="Company-reported capacity use."/>
    <s v="See Table 5.5 to 5.8 on Tab 5.1-5.16. Company data; Company reports and presentations"/>
    <m/>
  </r>
  <r>
    <x v="0"/>
    <x v="3"/>
    <x v="0"/>
    <x v="2"/>
    <x v="1"/>
    <x v="2"/>
    <s v="n/a"/>
    <s v="0.47 mln weekly"/>
    <n v="20573280"/>
    <n v="2023"/>
    <s v="Company-reported capacity use."/>
    <s v="See Table 5.9 on Tab 5.1-5.16. Company data; Tyson 2023 Annual Report on Form 10-K, Item 2"/>
    <s v="https://s203.q4cdn.com/483587180/files/doc_financials/annual/2023/tsn-2023-10k-final.pdf"/>
  </r>
  <r>
    <x v="0"/>
    <x v="11"/>
    <x v="7"/>
    <x v="2"/>
    <x v="3"/>
    <x v="1"/>
    <n v="17790000"/>
    <m/>
    <n v="17790000"/>
    <n v="2023"/>
    <s v="Germany and Denmark; China production started Oct. 2024; Spanish dev. seems to be stalled after court ruling."/>
    <s v="See Table 5.14 on Tab 5.1-5.16. Company data; ISN (n.d.), ISN Schlachthofranking 2023: Konsolidierung in der Schlachtbranche setzt sich fort [German]; Tican SB Pork (n.d.), Om is [Danish]"/>
    <s v="https://www.schweine.net/markt/schlachthofranking.html; https://www.tican.dk/om-os/"/>
  </r>
  <r>
    <x v="0"/>
    <x v="8"/>
    <x v="5"/>
    <x v="2"/>
    <x v="3"/>
    <x v="1"/>
    <n v="14606840"/>
    <m/>
    <n v="14606840"/>
    <n v="2023"/>
    <s v="Est. regional distribution based on facility numbers."/>
    <s v="Danish Crown Annual Report 2022-2023, Danish Crown Annual Report 2019/20 "/>
    <s v="https://www.danishcrown.com/en-gb/about-us/our-results/annual-reports/; *reporting period October 2020-September 2021"/>
  </r>
  <r>
    <x v="0"/>
    <x v="8"/>
    <x v="5"/>
    <x v="2"/>
    <x v="9"/>
    <x v="1"/>
    <n v="1270160"/>
    <m/>
    <n v="1270160"/>
    <n v="2023"/>
    <s v="Est. regional distribution based on facility numbers."/>
    <s v="Danish Crown Annual Report 2022-2023, Danish Crown Annual Report 2019/20 "/>
    <s v="https://www.danishcrown.com/en-gb/about-us/our-results/annual-reports/; *reporting period October 2020-September 2021"/>
  </r>
  <r>
    <x v="0"/>
    <x v="7"/>
    <x v="4"/>
    <x v="2"/>
    <x v="3"/>
    <x v="1"/>
    <n v="15222482.435597191"/>
    <m/>
    <n v="15222482.435597191"/>
    <n v="2021"/>
    <s v="Based on reported 6.5 mln tons CO2e emissions for pigs and an intensity of 0.427 tons per pig."/>
    <s v="Vion Food Group (n.d.), Climate - Science Based Targets Initiative."/>
    <s v="https://www.vionfoodgroup.com/en/csr-topics/climate"/>
  </r>
  <r>
    <x v="0"/>
    <x v="28"/>
    <x v="9"/>
    <x v="2"/>
    <x v="4"/>
    <x v="8"/>
    <n v="13260000"/>
    <m/>
    <n v="13260000"/>
    <n v="2023"/>
    <m/>
    <s v="Muyuan Foods Co. (2024), Summary of 2023 Annual Report of Muyuan Foods Co., Ltd, p. 2"/>
    <s v="http://static.cninfo.com.cn/finalpage/2024-04-27/1219861318.PDF"/>
  </r>
  <r>
    <x v="0"/>
    <x v="13"/>
    <x v="1"/>
    <x v="2"/>
    <x v="5"/>
    <x v="0"/>
    <s v="n/a"/>
    <s v="193,100 weekly"/>
    <n v="9639552"/>
    <n v="2023"/>
    <s v="Industry average for capacity use."/>
    <s v="BRF (2024), Form 20-F Annual Report 2023, p. 63"/>
    <s v="https://api.mziq.com/mzfilemanager/v2/d/4d44a134-36cc-4fea-b520-393c4aceabb2/29f6dbb8-4762-9fbf-0ea9-448dbb27a181?origin=1"/>
  </r>
  <r>
    <x v="0"/>
    <x v="29"/>
    <x v="15"/>
    <x v="2"/>
    <x v="3"/>
    <x v="12"/>
    <n v="8505747.1264367811"/>
    <m/>
    <n v="8505747.1264367811"/>
    <s v="no date"/>
    <s v="Converted from processed meat weight."/>
    <s v="See Table 5.11 on Tab 5.1-5.16. Company data; Grupo Vall (n.d.), Pork Industry."/>
    <s v="https://vallcompanys.es/en/pork-industry/"/>
  </r>
  <r>
    <x v="0"/>
    <x v="30"/>
    <x v="9"/>
    <x v="2"/>
    <x v="4"/>
    <x v="8"/>
    <n v="8450000"/>
    <m/>
    <n v="8450000"/>
    <n v="2022"/>
    <m/>
    <s v="eFeedLink (2023, August 23), &quot;How Chinese pig producers fared in 2022?"/>
    <s v="https://www.efeedlink.com/contents/08-23-2023/c62e246a-805b-4574-9e70-16b9003fca6e-0002.html"/>
  </r>
  <r>
    <x v="0"/>
    <x v="5"/>
    <x v="2"/>
    <x v="2"/>
    <x v="3"/>
    <x v="4"/>
    <n v="8381962.8647214863"/>
    <m/>
    <n v="8381962.8647214863"/>
    <n v="2023"/>
    <s v="Converted from processed meat weight"/>
    <s v="See Table 5.13 on Tab 5.1-5.16. Company data; Bigard (2024), 2023 Sustainability Report, p.10"/>
    <s v="https://www.groupebigard.fr/sites/default/files/medias/2024-07/bigard-dpef2023-pp-bd.pdf"/>
  </r>
  <r>
    <x v="0"/>
    <x v="27"/>
    <x v="1"/>
    <x v="2"/>
    <x v="5"/>
    <x v="0"/>
    <n v="7300000"/>
    <m/>
    <n v="7300000"/>
    <n v="2023"/>
    <s v="Also 0.472 mln tons of milk intake"/>
    <s v="Agencia SEBRAE (2024, April 15), Aurora Coop inaugura moderna unidade industrial em Chapecó."/>
    <s v="https://sc.agenciasebrae.com.br/cultura-empreendedora/aurora-coop-inaugura-moderna-unidade-industrial-em-chapeco/"/>
  </r>
  <r>
    <x v="0"/>
    <x v="17"/>
    <x v="11"/>
    <x v="2"/>
    <x v="1"/>
    <x v="2"/>
    <n v="3800000"/>
    <m/>
    <n v="3800000"/>
    <n v="2023"/>
    <m/>
    <s v="Hylife (n.d.), About."/>
    <s v="https://hylife.com/about/"/>
  </r>
  <r>
    <x v="0"/>
    <x v="17"/>
    <x v="11"/>
    <x v="2"/>
    <x v="7"/>
    <x v="9"/>
    <n v="2270689.6551724137"/>
    <m/>
    <n v="2270689.6551724137"/>
    <n v="2022"/>
    <s v="Converted from live weight of processed pork 2022.  "/>
    <s v="Vet and Life (2023, February 8), Top 20 Russian pork producers compiled [Russian]."/>
    <s v="https://vetandlife.ru/sobytiya/sostavlen-top-20-rossijskih-proizvoditelej-svininy/"/>
  </r>
  <r>
    <x v="0"/>
    <x v="17"/>
    <x v="11"/>
    <x v="2"/>
    <x v="4"/>
    <x v="1"/>
    <n v="1130000"/>
    <m/>
    <n v="1130000"/>
    <n v="2022"/>
    <m/>
    <s v="AgriPost (2021, June 4), CP Group’s Feed and Swine Business Prepares for A-share Listing."/>
    <s v="https://www.agripost.cn/2021/06/04/cp-groups-feed-and-swine-business-prepares-for-a-share-listing/"/>
  </r>
  <r>
    <x v="0"/>
    <x v="10"/>
    <x v="7"/>
    <x v="2"/>
    <x v="3"/>
    <x v="6"/>
    <n v="6600000"/>
    <m/>
    <n v="6600000"/>
    <n v="2023"/>
    <m/>
    <s v="Westfleisch (2024), Geschäftsbericht 2023 [German], p.2"/>
    <s v="https://www.westfleisch.de/fileadmin/Bilder/02_Unternehmen/02.07_Archiv/02.07.01_Geschaeftsberichte/2023/Westfleisch_SCE_GeschBericht_2023_web.pdf"/>
  </r>
  <r>
    <x v="0"/>
    <x v="31"/>
    <x v="15"/>
    <x v="2"/>
    <x v="3"/>
    <x v="12"/>
    <n v="6400000"/>
    <m/>
    <n v="6400000"/>
    <n v="2023"/>
    <m/>
    <s v="Jorge SL (2024), Sustainability Report 2023, p. 8"/>
    <s v="https://jorgesl.com/gj/sites/default/files/2024-10/2409-memoria-sostenibilidad%20GJ-EN-v3_compressed.pdf"/>
  </r>
  <r>
    <x v="1"/>
    <x v="32"/>
    <x v="0"/>
    <x v="2"/>
    <x v="1"/>
    <x v="2"/>
    <n v="6000000"/>
    <m/>
    <n v="6000000"/>
    <n v="2023"/>
    <s v="Slaughter capacity, but company states that it &quot;generally operates at capacity with additional weekend shifts depending on market conditions&quot;. "/>
    <s v="Seabord Corp. (2024), 2023 Annual Report, p.16 "/>
    <s v="https://www.annualreports.com/HostedData/AnnualReports/PDF/AMEX_SEB_2023.pdf"/>
  </r>
  <r>
    <x v="1"/>
    <x v="33"/>
    <x v="9"/>
    <x v="2"/>
    <x v="4"/>
    <x v="8"/>
    <n v="5200000"/>
    <m/>
    <n v="5200000"/>
    <n v="2023"/>
    <s v="Listed subsidiary COFCO Joycome (previously COFCO Meat) engages in pig processing at four facilities in China; imports and distributes also beef and poultry."/>
    <s v="COFCO Joycome (2024, March 19), Announcement of Annual Results for the Year Ended 31 December 2023 [Chinese], p.20; Longport (2024, March 19), COFCO Joycome announced its 2023 performance."/>
    <s v="http://img.cofcomeat.com/Uploads/Zlrs/File/2024/03/19/u65f92b6b86bb3.pdf; https://longportapp.com/en/news/200143135"/>
  </r>
  <r>
    <x v="1"/>
    <x v="34"/>
    <x v="0"/>
    <x v="2"/>
    <x v="1"/>
    <x v="2"/>
    <n v="5200000"/>
    <m/>
    <n v="5200000"/>
    <s v="no date"/>
    <m/>
    <s v="Triumph Foods (n.d.), About."/>
    <s v="https://www.triumphfoods.com/about/"/>
  </r>
  <r>
    <x v="1"/>
    <x v="35"/>
    <x v="2"/>
    <x v="2"/>
    <x v="3"/>
    <x v="4"/>
    <n v="4300000"/>
    <m/>
    <n v="4300000"/>
    <s v="no date"/>
    <m/>
    <s v="Cooperl (n.d.), Viandes [French]."/>
    <s v="https://www.cooperl.com/en-savoir-plus-sur-nos-metiers/viandes"/>
  </r>
  <r>
    <x v="1"/>
    <x v="21"/>
    <x v="9"/>
    <x v="2"/>
    <x v="4"/>
    <x v="8"/>
    <n v="3960000"/>
    <m/>
    <n v="3960000"/>
    <n v="2023"/>
    <m/>
    <s v="New Hope Liuhe Co., Ltd. (2024), 2023 Annual Rreport, p. 37 "/>
    <s v="http://file.finance.sina.com.cn/211.154.219.97:9494/MRGG/CNSESZ_STOCK/2024/2024-7/2024-07-06/10316551.PDF"/>
  </r>
  <r>
    <x v="1"/>
    <x v="14"/>
    <x v="9"/>
    <x v="2"/>
    <x v="4"/>
    <x v="8"/>
    <s v="n/a"/>
    <s v="4 mln annually"/>
    <n v="3840000"/>
    <n v="2023"/>
    <s v="Industry average for capacity use; currently 4 slaughter facilities, 3 more under construction."/>
    <s v="Wens Food Group (2024, March), Investor Relations Activity Record [Chinese], p.2"/>
    <s v="https://www.wens.com.cn/uploadfiles/2024/03/20240326155350697.pdf"/>
  </r>
  <r>
    <x v="1"/>
    <x v="36"/>
    <x v="0"/>
    <x v="2"/>
    <x v="1"/>
    <x v="2"/>
    <n v="3382400"/>
    <m/>
    <n v="3382400"/>
    <n v="2022"/>
    <s v="Expansion expected in 2024, as media reported in Nov 2023 about plans to increase production to 16,000 hogs per day by introducing a second shift. "/>
    <s v="Clemens Food Group (n.d.), Legacy of pork; Swineweb (2023, November 1), Clemens Food Group Gets Green Light for Parking Lot Expansion Amidst Pork Production Surge."/>
    <s v="https://clemensfoodgroup.com/our-company/legacy-of-pork/; https://www.swineweb.com/latest-swine-news/clemens-food-group-gets-green-light-for-parking-lot-expansion-amidst-pork-production-surge/"/>
  </r>
  <r>
    <x v="1"/>
    <x v="6"/>
    <x v="3"/>
    <x v="2"/>
    <x v="3"/>
    <x v="5"/>
    <n v="707338.63837312115"/>
    <m/>
    <n v="707338.63837312115"/>
    <n v="2022"/>
    <s v="Converted from processed meat weight."/>
    <s v="See Table 5.10 on Tab 5.1-5.16. Company data; Company communication; Inalca (2024), Sustainable Supply Chain, p.5"/>
    <s v="https://www.inalca.it/wp-content/uploads/2024/01/Integrated-and-Sustainable-Supply-chain.pdf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x v="0"/>
  </r>
  <r>
    <x v="0"/>
    <x v="1"/>
    <x v="1"/>
    <x v="1"/>
  </r>
  <r>
    <x v="0"/>
    <x v="2"/>
    <x v="2"/>
    <x v="2"/>
  </r>
  <r>
    <x v="0"/>
    <x v="3"/>
    <x v="2"/>
    <x v="3"/>
  </r>
  <r>
    <x v="0"/>
    <x v="4"/>
    <x v="2"/>
    <x v="3"/>
  </r>
  <r>
    <x v="0"/>
    <x v="5"/>
    <x v="2"/>
    <x v="4"/>
  </r>
  <r>
    <x v="1"/>
    <x v="6"/>
    <x v="2"/>
    <x v="5"/>
  </r>
  <r>
    <x v="1"/>
    <x v="6"/>
    <x v="3"/>
    <x v="6"/>
  </r>
  <r>
    <x v="1"/>
    <x v="6"/>
    <x v="4"/>
    <x v="7"/>
  </r>
  <r>
    <x v="1"/>
    <x v="6"/>
    <x v="1"/>
    <x v="8"/>
  </r>
  <r>
    <x v="1"/>
    <x v="6"/>
    <x v="5"/>
    <x v="9"/>
  </r>
  <r>
    <x v="1"/>
    <x v="6"/>
    <x v="6"/>
    <x v="10"/>
  </r>
  <r>
    <x v="1"/>
    <x v="6"/>
    <x v="7"/>
    <x v="11"/>
  </r>
  <r>
    <x v="0"/>
    <x v="7"/>
    <x v="2"/>
    <x v="12"/>
  </r>
  <r>
    <x v="0"/>
    <x v="7"/>
    <x v="3"/>
    <x v="13"/>
  </r>
  <r>
    <x v="0"/>
    <x v="7"/>
    <x v="4"/>
    <x v="14"/>
  </r>
  <r>
    <x v="0"/>
    <x v="7"/>
    <x v="1"/>
    <x v="15"/>
  </r>
  <r>
    <x v="0"/>
    <x v="7"/>
    <x v="5"/>
    <x v="16"/>
  </r>
  <r>
    <x v="0"/>
    <x v="7"/>
    <x v="6"/>
    <x v="17"/>
  </r>
  <r>
    <x v="0"/>
    <x v="7"/>
    <x v="7"/>
    <x v="18"/>
  </r>
  <r>
    <x v="2"/>
    <x v="8"/>
    <x v="2"/>
    <x v="19"/>
  </r>
  <r>
    <x v="0"/>
    <x v="9"/>
    <x v="1"/>
    <x v="20"/>
  </r>
  <r>
    <x v="0"/>
    <x v="10"/>
    <x v="1"/>
    <x v="21"/>
  </r>
  <r>
    <x v="0"/>
    <x v="11"/>
    <x v="8"/>
    <x v="22"/>
  </r>
  <r>
    <x v="0"/>
    <x v="12"/>
    <x v="1"/>
    <x v="23"/>
  </r>
  <r>
    <x v="0"/>
    <x v="13"/>
    <x v="1"/>
    <x v="24"/>
  </r>
  <r>
    <x v="0"/>
    <x v="14"/>
    <x v="9"/>
    <x v="25"/>
  </r>
  <r>
    <x v="0"/>
    <x v="15"/>
    <x v="2"/>
    <x v="21"/>
  </r>
  <r>
    <x v="0"/>
    <x v="16"/>
    <x v="10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F6A9B-2DD1-481D-B516-F6DED34EA42A}" name="PivotTable4" cacheId="2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I5:K38" firstHeaderRow="1" firstDataRow="2" firstDataCol="2" rowPageCount="1" colPageCount="1"/>
  <pivotFields count="13">
    <pivotField axis="axisPage" compact="0" outline="0" multipleItemSelectionAllowed="1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8">
        <item x="20"/>
        <item x="27"/>
        <item x="5"/>
        <item x="13"/>
        <item x="2"/>
        <item x="17"/>
        <item x="36"/>
        <item x="33"/>
        <item x="24"/>
        <item x="35"/>
        <item m="1" x="37"/>
        <item x="8"/>
        <item x="18"/>
        <item x="31"/>
        <item x="29"/>
        <item x="6"/>
        <item x="22"/>
        <item x="15"/>
        <item x="0"/>
        <item x="19"/>
        <item x="1"/>
        <item x="25"/>
        <item x="4"/>
        <item x="28"/>
        <item x="21"/>
        <item x="12"/>
        <item x="23"/>
        <item x="32"/>
        <item x="9"/>
        <item x="11"/>
        <item x="34"/>
        <item x="3"/>
        <item x="7"/>
        <item x="16"/>
        <item x="14"/>
        <item x="10"/>
        <item x="26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h="1" x="0"/>
        <item h="1"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4"/>
        <item x="9"/>
        <item x="6"/>
        <item x="0"/>
        <item x="8"/>
        <item x="1"/>
        <item x="2"/>
        <item x="7"/>
        <item x="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3">
        <item x="3"/>
        <item x="0"/>
        <item x="8"/>
        <item x="6"/>
        <item x="12"/>
        <item x="4"/>
        <item x="5"/>
        <item x="1"/>
        <item x="10"/>
        <item x="9"/>
        <item x="11"/>
        <item x="7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4"/>
  </rowFields>
  <rowItems count="32">
    <i>
      <x v="1"/>
      <x v="8"/>
    </i>
    <i>
      <x v="2"/>
      <x v="9"/>
    </i>
    <i>
      <x v="3"/>
      <x v="8"/>
    </i>
    <i>
      <x v="5"/>
      <x/>
    </i>
    <i r="1">
      <x v="5"/>
    </i>
    <i r="1">
      <x v="7"/>
    </i>
    <i>
      <x v="6"/>
      <x v="5"/>
    </i>
    <i>
      <x v="7"/>
      <x/>
    </i>
    <i>
      <x v="9"/>
      <x v="9"/>
    </i>
    <i>
      <x v="11"/>
      <x v="1"/>
    </i>
    <i r="1">
      <x v="9"/>
    </i>
    <i>
      <x v="13"/>
      <x v="9"/>
    </i>
    <i>
      <x v="14"/>
      <x v="9"/>
    </i>
    <i>
      <x v="15"/>
      <x v="9"/>
    </i>
    <i>
      <x v="18"/>
      <x v="3"/>
    </i>
    <i r="1">
      <x v="5"/>
    </i>
    <i r="1">
      <x v="6"/>
    </i>
    <i r="1">
      <x v="9"/>
    </i>
    <i>
      <x v="23"/>
      <x/>
    </i>
    <i>
      <x v="24"/>
      <x/>
    </i>
    <i>
      <x v="27"/>
      <x v="5"/>
    </i>
    <i>
      <x v="29"/>
      <x v="9"/>
    </i>
    <i>
      <x v="30"/>
      <x v="5"/>
    </i>
    <i>
      <x v="31"/>
      <x v="5"/>
    </i>
    <i>
      <x v="32"/>
      <x v="9"/>
    </i>
    <i>
      <x v="34"/>
      <x/>
    </i>
    <i>
      <x v="35"/>
      <x v="9"/>
    </i>
    <i>
      <x v="36"/>
      <x/>
    </i>
    <i r="1">
      <x v="1"/>
    </i>
    <i r="1">
      <x v="5"/>
    </i>
    <i>
      <x v="37"/>
      <x/>
    </i>
    <i t="grand">
      <x/>
    </i>
  </rowItems>
  <colFields count="1">
    <field x="3"/>
  </colFields>
  <colItems count="1">
    <i>
      <x v="2"/>
    </i>
  </colItems>
  <pageFields count="1">
    <pageField fld="0" hier="-1"/>
  </pageFields>
  <dataFields count="1">
    <dataField name="Sum of # of heads processed per annum (reported or based on capacity use)" fld="8" baseField="0" baseItem="0" numFmtId="3"/>
  </dataFields>
  <formats count="1">
    <format dxfId="0">
      <pivotArea outline="0" collapsedLevelsAreSubtotals="1" fieldPosition="0"/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8CB6D-9969-4495-AADE-C25313DE4DFF}" name="PivotTable3" cacheId="2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E5:G34" firstHeaderRow="1" firstDataRow="2" firstDataCol="2" rowPageCount="1" colPageCount="1"/>
  <pivotFields count="13">
    <pivotField axis="axisPage" compact="0" outline="0" multipleItemSelectionAllowed="1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8">
        <item x="20"/>
        <item x="27"/>
        <item x="5"/>
        <item x="13"/>
        <item x="2"/>
        <item x="17"/>
        <item x="36"/>
        <item x="33"/>
        <item x="24"/>
        <item x="35"/>
        <item m="1" x="37"/>
        <item x="8"/>
        <item x="18"/>
        <item x="31"/>
        <item x="29"/>
        <item x="6"/>
        <item x="22"/>
        <item x="15"/>
        <item x="0"/>
        <item x="19"/>
        <item x="1"/>
        <item x="25"/>
        <item x="4"/>
        <item x="28"/>
        <item x="21"/>
        <item x="12"/>
        <item x="23"/>
        <item x="32"/>
        <item x="9"/>
        <item x="11"/>
        <item x="34"/>
        <item x="3"/>
        <item x="7"/>
        <item x="16"/>
        <item x="14"/>
        <item x="10"/>
        <item x="26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h="1" x="0"/>
        <item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4"/>
        <item x="9"/>
        <item x="6"/>
        <item x="0"/>
        <item x="8"/>
        <item x="1"/>
        <item x="2"/>
        <item x="7"/>
        <item x="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3">
        <item x="3"/>
        <item x="0"/>
        <item x="8"/>
        <item x="6"/>
        <item x="12"/>
        <item x="4"/>
        <item x="5"/>
        <item x="1"/>
        <item x="10"/>
        <item x="9"/>
        <item x="11"/>
        <item x="7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4"/>
  </rowFields>
  <rowItems count="28">
    <i>
      <x/>
      <x v="4"/>
    </i>
    <i>
      <x v="1"/>
      <x v="8"/>
    </i>
    <i>
      <x v="3"/>
      <x v="8"/>
    </i>
    <i>
      <x v="4"/>
      <x/>
    </i>
    <i r="1">
      <x v="2"/>
    </i>
    <i r="1">
      <x v="3"/>
    </i>
    <i r="1">
      <x v="5"/>
    </i>
    <i>
      <x v="5"/>
      <x/>
    </i>
    <i r="1">
      <x v="7"/>
    </i>
    <i>
      <x v="8"/>
      <x v="5"/>
    </i>
    <i>
      <x v="12"/>
      <x/>
    </i>
    <i>
      <x v="16"/>
      <x v="3"/>
    </i>
    <i r="1">
      <x v="5"/>
    </i>
    <i>
      <x v="17"/>
      <x/>
    </i>
    <i>
      <x v="18"/>
      <x v="3"/>
    </i>
    <i r="1">
      <x v="5"/>
    </i>
    <i r="1">
      <x v="9"/>
    </i>
    <i>
      <x v="19"/>
      <x v="5"/>
    </i>
    <i>
      <x v="21"/>
      <x v="1"/>
    </i>
    <i>
      <x v="24"/>
      <x/>
    </i>
    <i>
      <x v="26"/>
      <x v="5"/>
    </i>
    <i>
      <x v="31"/>
      <x/>
    </i>
    <i r="1">
      <x v="5"/>
    </i>
    <i>
      <x v="33"/>
      <x/>
    </i>
    <i>
      <x v="34"/>
      <x/>
    </i>
    <i>
      <x v="36"/>
      <x/>
    </i>
    <i r="1">
      <x v="1"/>
    </i>
    <i t="grand">
      <x/>
    </i>
  </rowItems>
  <colFields count="1">
    <field x="3"/>
  </colFields>
  <colItems count="1">
    <i>
      <x v="1"/>
    </i>
  </colItems>
  <pageFields count="1">
    <pageField fld="0" hier="-1"/>
  </pageFields>
  <dataFields count="1">
    <dataField name="Sum of # of heads processed per annum (reported or based on capacity use)" fld="8" baseField="0" baseItem="0" numFmtId="3"/>
  </dataFields>
  <formats count="1">
    <format dxfId="1">
      <pivotArea outline="0" collapsedLevelsAreSubtotals="1" fieldPosition="0"/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BDEC4-7D3D-45CF-BF46-A63DDF4F30FB}" name="PivotTable2" cacheId="2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A5:C25" firstHeaderRow="1" firstDataRow="2" firstDataCol="2" rowPageCount="1" colPageCount="1"/>
  <pivotFields count="13">
    <pivotField axis="axisPage" compact="0" outline="0" multipleItemSelectionAllowed="1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8">
        <item x="20"/>
        <item x="27"/>
        <item x="5"/>
        <item x="13"/>
        <item x="2"/>
        <item x="17"/>
        <item x="36"/>
        <item x="33"/>
        <item x="24"/>
        <item x="35"/>
        <item m="1" x="37"/>
        <item x="8"/>
        <item x="18"/>
        <item x="31"/>
        <item x="29"/>
        <item x="6"/>
        <item x="22"/>
        <item x="15"/>
        <item x="0"/>
        <item x="19"/>
        <item x="1"/>
        <item x="25"/>
        <item x="4"/>
        <item x="28"/>
        <item x="21"/>
        <item x="12"/>
        <item x="23"/>
        <item x="32"/>
        <item x="9"/>
        <item x="11"/>
        <item x="34"/>
        <item x="3"/>
        <item x="7"/>
        <item x="16"/>
        <item x="14"/>
        <item x="10"/>
        <item x="26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4"/>
        <item x="9"/>
        <item x="6"/>
        <item x="0"/>
        <item x="8"/>
        <item x="1"/>
        <item x="2"/>
        <item x="7"/>
        <item x="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3">
        <item x="3"/>
        <item x="0"/>
        <item x="8"/>
        <item x="6"/>
        <item x="12"/>
        <item x="4"/>
        <item x="5"/>
        <item x="1"/>
        <item x="10"/>
        <item x="9"/>
        <item x="11"/>
        <item x="7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4"/>
  </rowFields>
  <rowItems count="19">
    <i>
      <x v="2"/>
      <x v="9"/>
    </i>
    <i>
      <x v="4"/>
      <x v="5"/>
    </i>
    <i r="1">
      <x v="6"/>
    </i>
    <i>
      <x v="11"/>
      <x v="9"/>
    </i>
    <i>
      <x v="15"/>
      <x v="9"/>
    </i>
    <i>
      <x v="18"/>
      <x v="3"/>
    </i>
    <i r="1">
      <x v="5"/>
    </i>
    <i r="1">
      <x v="6"/>
    </i>
    <i>
      <x v="20"/>
      <x v="3"/>
    </i>
    <i r="1">
      <x v="5"/>
    </i>
    <i>
      <x v="22"/>
      <x v="3"/>
    </i>
    <i>
      <x v="25"/>
      <x v="6"/>
    </i>
    <i>
      <x v="28"/>
      <x v="6"/>
    </i>
    <i>
      <x v="29"/>
      <x v="9"/>
    </i>
    <i>
      <x v="31"/>
      <x v="5"/>
    </i>
    <i r="1">
      <x v="6"/>
    </i>
    <i>
      <x v="32"/>
      <x v="9"/>
    </i>
    <i>
      <x v="35"/>
      <x v="9"/>
    </i>
    <i t="grand">
      <x/>
    </i>
  </rowItems>
  <colFields count="1">
    <field x="3"/>
  </colFields>
  <colItems count="1">
    <i>
      <x/>
    </i>
  </colItems>
  <pageFields count="1">
    <pageField fld="0" hier="-1"/>
  </pageFields>
  <dataFields count="1">
    <dataField name="Sum of # of heads processed per annum (reported or based on capacity use)" fld="8" baseField="0" baseItem="0" numFmtId="3"/>
  </dataFields>
  <formats count="1">
    <format dxfId="2">
      <pivotArea outline="0" collapsedLevelsAreSubtotals="1" fieldPosition="0"/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718A1-C349-462B-B70D-2CC5798D772F}" name="PivotTable6" cacheId="2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M5:P28" firstHeaderRow="1" firstDataRow="1" firstDataCol="3"/>
  <pivotFields count="4">
    <pivotField axis="axisRow" compact="0" outline="0" subtotalTop="0" showAll="0" defaultSubtotal="0">
      <items count="3">
        <item x="2"/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 defaultSubtotal="0">
      <items count="17">
        <item x="10"/>
        <item x="16"/>
        <item x="4"/>
        <item x="13"/>
        <item x="11"/>
        <item x="1"/>
        <item x="6"/>
        <item x="7"/>
        <item x="8"/>
        <item x="0"/>
        <item x="5"/>
        <item x="12"/>
        <item x="2"/>
        <item x="15"/>
        <item x="3"/>
        <item x="9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1">
        <item x="8"/>
        <item x="9"/>
        <item x="3"/>
        <item x="10"/>
        <item x="5"/>
        <item x="6"/>
        <item x="1"/>
        <item x="0"/>
        <item x="4"/>
        <item x="7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ubtotalTop="0" showAll="0" defaultSubtotal="0">
      <items count="27">
        <item x="11"/>
        <item x="18"/>
        <item x="10"/>
        <item x="17"/>
        <item x="6"/>
        <item x="9"/>
        <item x="13"/>
        <item x="16"/>
        <item x="5"/>
        <item x="12"/>
        <item x="7"/>
        <item x="8"/>
        <item x="14"/>
        <item x="15"/>
        <item x="19"/>
        <item x="21"/>
        <item x="24"/>
        <item x="23"/>
        <item x="26"/>
        <item x="22"/>
        <item x="25"/>
        <item x="4"/>
        <item x="20"/>
        <item x="3"/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0"/>
  </rowFields>
  <rowItems count="23">
    <i>
      <x v="5"/>
      <x v="6"/>
      <x v="1"/>
    </i>
    <i>
      <x v="12"/>
      <x v="10"/>
      <x v="1"/>
    </i>
    <i>
      <x v="9"/>
      <x v="7"/>
      <x v="1"/>
    </i>
    <i>
      <x v="2"/>
      <x v="10"/>
      <x v="1"/>
    </i>
    <i>
      <x v="14"/>
      <x v="10"/>
      <x v="1"/>
    </i>
    <i>
      <x v="15"/>
      <x v="6"/>
      <x v="1"/>
    </i>
    <i>
      <x v="10"/>
      <x v="10"/>
      <x v="1"/>
    </i>
    <i>
      <x v="16"/>
      <x v="1"/>
      <x v="1"/>
    </i>
    <i>
      <x v="4"/>
      <x/>
      <x v="1"/>
    </i>
    <i>
      <x v="1"/>
      <x v="3"/>
      <x v="1"/>
    </i>
    <i>
      <x v="11"/>
      <x v="6"/>
      <x v="1"/>
    </i>
    <i>
      <x v="3"/>
      <x v="6"/>
      <x v="1"/>
    </i>
    <i>
      <x v="13"/>
      <x v="10"/>
      <x v="1"/>
    </i>
    <i>
      <x v="7"/>
      <x v="2"/>
      <x v="1"/>
    </i>
    <i r="1">
      <x v="4"/>
      <x v="1"/>
    </i>
    <i r="1">
      <x v="5"/>
      <x v="1"/>
    </i>
    <i r="1">
      <x v="6"/>
      <x v="1"/>
    </i>
    <i r="1">
      <x v="8"/>
      <x v="1"/>
    </i>
    <i r="1">
      <x v="9"/>
      <x v="1"/>
    </i>
    <i r="1">
      <x v="10"/>
      <x v="1"/>
    </i>
    <i>
      <x/>
      <x v="6"/>
      <x v="1"/>
    </i>
    <i>
      <x v="8"/>
      <x v="10"/>
      <x/>
    </i>
    <i t="grand">
      <x/>
    </i>
  </rowItems>
  <colItems count="1">
    <i/>
  </colItems>
  <dataFields count="1">
    <dataField name="Sum of Milk intake (mio tonnes, 2022)" fld="3" baseField="0" baseItem="1" numFmtId="172"/>
  </dataFields>
  <formats count="2">
    <format dxfId="4">
      <pivotArea collapsedLevelsAreSubtotals="1" fieldPosition="0">
        <references count="1">
          <reference field="1" count="15">
            <x v="0"/>
            <x v="1"/>
            <x v="2"/>
            <x v="3"/>
            <x v="4"/>
            <x v="5"/>
            <x v="7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3">
      <pivotArea outline="0" collapsedLevelsAreSubtotals="1" fieldPosition="0"/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Custom 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662D91"/>
      </a:accent1>
      <a:accent2>
        <a:srgbClr val="1B94D2"/>
      </a:accent2>
      <a:accent3>
        <a:srgbClr val="ED1B34"/>
      </a:accent3>
      <a:accent4>
        <a:srgbClr val="FFF2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anone.com/content/dam/corp/global/danonecom/investors/en-sustainability/reports-and-data/cross-topic/danoneexhaustive2022extrafinancialdata.pdf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://static.cninfo.com.cn/finalpage/2024-04-27/1219861318.PDF" TargetMode="External"/><Relationship Id="rId1" Type="http://schemas.openxmlformats.org/officeDocument/2006/relationships/hyperlink" Target="https://www.saputo.com/-/media/ecosystem/divisions/corporate-services/sites/saputo-com/saputo-com-documents/investors/fy2023/saputo_factsheet2021_eng.ashx?revision=693513e9-6bb3-4b53-8b65-f18bbb86b3e3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edia-whgroup.todayir.com/20240415164801467011159729_en.pdf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ren.es/en/know-us/in-figures/" TargetMode="External"/><Relationship Id="rId13" Type="http://schemas.openxmlformats.org/officeDocument/2006/relationships/vmlDrawing" Target="../drawings/vmlDrawing2.vml"/><Relationship Id="rId3" Type="http://schemas.openxmlformats.org/officeDocument/2006/relationships/hyperlink" Target="https://api.mziq.com/mzfilemanager/v2/d/043a77e1-0127-4502-bc5b-21427b991b22/3728bb46-7ca8-5b5b-bb42-e78c68fc72fe?origin=1" TargetMode="External"/><Relationship Id="rId7" Type="http://schemas.openxmlformats.org/officeDocument/2006/relationships/hyperlink" Target="https://www.groupebigard.fr/sites/default/files/medias/2024-07/bigard-dpef2023-pp-bd.pdf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www.wh-group.com/html/ir_report.php" TargetMode="External"/><Relationship Id="rId1" Type="http://schemas.openxmlformats.org/officeDocument/2006/relationships/hyperlink" Target="https://sec.report/Document/0000802481-22-000012/" TargetMode="External"/><Relationship Id="rId6" Type="http://schemas.openxmlformats.org/officeDocument/2006/relationships/hyperlink" Target="https://www.tican.dk/om-os/" TargetMode="External"/><Relationship Id="rId11" Type="http://schemas.openxmlformats.org/officeDocument/2006/relationships/hyperlink" Target="https://www.danone.com/content/dam/danone-corp/danone-com/investors/en-sustainability/reports-and-data/cross-topic/danoneexhaustive2021extrafinancialdatav2.pdf" TargetMode="External"/><Relationship Id="rId5" Type="http://schemas.openxmlformats.org/officeDocument/2006/relationships/hyperlink" Target="https://www.schweine.net/markt/schlachthofranking.html" TargetMode="External"/><Relationship Id="rId10" Type="http://schemas.openxmlformats.org/officeDocument/2006/relationships/hyperlink" Target="https://www.inalca.it/wp-content/uploads/2024/01/Integrated-and-Sustainable-Supply-chain.pdf" TargetMode="External"/><Relationship Id="rId4" Type="http://schemas.openxmlformats.org/officeDocument/2006/relationships/hyperlink" Target="https://www.poultryinternational-digital.com/poultryinternational/october_november_2024/MobilePagedArticle.action?articleId=2013060" TargetMode="External"/><Relationship Id="rId9" Type="http://schemas.openxmlformats.org/officeDocument/2006/relationships/hyperlink" Target="https://vallcompanys.es/en/pork-industry/" TargetMode="External"/><Relationship Id="rId1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3AC5-9754-4517-A487-267575B5953B}">
  <sheetPr>
    <tabColor theme="8" tint="-0.249977111117893"/>
  </sheetPr>
  <dimension ref="A1:B12"/>
  <sheetViews>
    <sheetView tabSelected="1" zoomScaleNormal="100" workbookViewId="0">
      <selection activeCell="B3" sqref="B3"/>
    </sheetView>
  </sheetViews>
  <sheetFormatPr defaultRowHeight="12.75" x14ac:dyDescent="0.2"/>
  <cols>
    <col min="1" max="1" width="21.140625" bestFit="1" customWidth="1"/>
    <col min="2" max="2" width="79.140625" bestFit="1" customWidth="1"/>
  </cols>
  <sheetData>
    <row r="1" spans="1:2" ht="15" x14ac:dyDescent="0.25">
      <c r="A1" s="203" t="s">
        <v>398</v>
      </c>
      <c r="B1" s="203" t="s">
        <v>399</v>
      </c>
    </row>
    <row r="2" spans="1:2" x14ac:dyDescent="0.2">
      <c r="A2" s="204" t="s">
        <v>407</v>
      </c>
      <c r="B2" s="71"/>
    </row>
    <row r="3" spans="1:2" x14ac:dyDescent="0.2">
      <c r="A3" s="206" t="s">
        <v>408</v>
      </c>
      <c r="B3" s="206" t="s">
        <v>401</v>
      </c>
    </row>
    <row r="4" spans="1:2" x14ac:dyDescent="0.2">
      <c r="A4" s="206" t="s">
        <v>388</v>
      </c>
      <c r="B4" s="207" t="s">
        <v>412</v>
      </c>
    </row>
    <row r="5" spans="1:2" x14ac:dyDescent="0.2">
      <c r="A5" s="206" t="s">
        <v>393</v>
      </c>
      <c r="B5" s="207" t="s">
        <v>413</v>
      </c>
    </row>
    <row r="6" spans="1:2" x14ac:dyDescent="0.2">
      <c r="A6" s="207" t="s">
        <v>395</v>
      </c>
      <c r="B6" s="207" t="s">
        <v>413</v>
      </c>
    </row>
    <row r="7" spans="1:2" x14ac:dyDescent="0.2">
      <c r="A7" s="71" t="s">
        <v>394</v>
      </c>
      <c r="B7" s="207" t="s">
        <v>413</v>
      </c>
    </row>
    <row r="9" spans="1:2" x14ac:dyDescent="0.2">
      <c r="A9" s="204" t="s">
        <v>406</v>
      </c>
    </row>
    <row r="10" spans="1:2" x14ac:dyDescent="0.2">
      <c r="A10" s="205" t="s">
        <v>400</v>
      </c>
      <c r="B10" s="205" t="s">
        <v>401</v>
      </c>
    </row>
    <row r="11" spans="1:2" x14ac:dyDescent="0.2">
      <c r="A11" s="205" t="s">
        <v>402</v>
      </c>
      <c r="B11" s="205" t="s">
        <v>403</v>
      </c>
    </row>
    <row r="12" spans="1:2" x14ac:dyDescent="0.2">
      <c r="A12" s="205" t="s">
        <v>404</v>
      </c>
      <c r="B12" s="205" t="s">
        <v>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96F7-885B-425D-A005-545C1C019D8F}">
  <dimension ref="A1:R38"/>
  <sheetViews>
    <sheetView zoomScaleNormal="100" workbookViewId="0">
      <selection activeCell="D44" sqref="D44"/>
    </sheetView>
  </sheetViews>
  <sheetFormatPr defaultRowHeight="12.75" x14ac:dyDescent="0.2"/>
  <cols>
    <col min="1" max="1" width="21.85546875" customWidth="1"/>
    <col min="2" max="2" width="32.5703125" customWidth="1"/>
    <col min="3" max="3" width="14.5703125" bestFit="1" customWidth="1"/>
    <col min="4" max="4" width="12.5703125" customWidth="1"/>
    <col min="5" max="5" width="38.42578125" customWidth="1"/>
    <col min="6" max="6" width="31.28515625" bestFit="1" customWidth="1"/>
    <col min="7" max="7" width="18.140625" bestFit="1" customWidth="1"/>
    <col min="8" max="8" width="9.7109375" customWidth="1"/>
    <col min="9" max="9" width="30.42578125" customWidth="1"/>
    <col min="10" max="10" width="27.140625" bestFit="1" customWidth="1"/>
    <col min="11" max="11" width="17.85546875" customWidth="1"/>
    <col min="12" max="12" width="9.42578125" customWidth="1"/>
    <col min="13" max="13" width="31.42578125" bestFit="1" customWidth="1"/>
    <col min="14" max="14" width="27.140625" bestFit="1" customWidth="1"/>
    <col min="15" max="15" width="10.28515625" bestFit="1" customWidth="1"/>
    <col min="16" max="16" width="31.42578125" bestFit="1" customWidth="1"/>
    <col min="17" max="17" width="24.42578125" customWidth="1"/>
  </cols>
  <sheetData>
    <row r="1" spans="1:17" s="116" customFormat="1" ht="15" x14ac:dyDescent="0.2">
      <c r="A1" s="208" t="s">
        <v>1</v>
      </c>
      <c r="B1" s="209"/>
      <c r="C1" s="210"/>
      <c r="D1"/>
      <c r="E1" s="208" t="s">
        <v>3</v>
      </c>
      <c r="F1" s="209"/>
      <c r="G1" s="210"/>
      <c r="H1"/>
      <c r="I1" s="208" t="s">
        <v>2</v>
      </c>
      <c r="J1" s="209"/>
      <c r="K1" s="210"/>
      <c r="L1"/>
      <c r="M1" s="208" t="s">
        <v>388</v>
      </c>
      <c r="N1" s="209"/>
      <c r="O1" s="209"/>
      <c r="P1" s="209"/>
      <c r="Q1" s="210"/>
    </row>
    <row r="2" spans="1:17" s="1" customFormat="1" x14ac:dyDescent="0.2">
      <c r="C2"/>
      <c r="D2"/>
      <c r="G2"/>
      <c r="H2"/>
      <c r="K2"/>
      <c r="L2"/>
      <c r="O2"/>
    </row>
    <row r="3" spans="1:17" x14ac:dyDescent="0.2">
      <c r="A3" s="63" t="s">
        <v>289</v>
      </c>
      <c r="B3" t="s">
        <v>390</v>
      </c>
      <c r="E3" s="63" t="s">
        <v>289</v>
      </c>
      <c r="F3" t="s">
        <v>390</v>
      </c>
      <c r="I3" s="63" t="s">
        <v>289</v>
      </c>
      <c r="J3" t="s">
        <v>390</v>
      </c>
      <c r="Q3" s="3" t="s">
        <v>391</v>
      </c>
    </row>
    <row r="4" spans="1:17" x14ac:dyDescent="0.2">
      <c r="Q4">
        <v>1000000</v>
      </c>
    </row>
    <row r="5" spans="1:17" x14ac:dyDescent="0.2">
      <c r="A5" s="63" t="s">
        <v>387</v>
      </c>
      <c r="C5" s="63" t="s">
        <v>16</v>
      </c>
      <c r="E5" s="63" t="s">
        <v>387</v>
      </c>
      <c r="G5" s="63" t="s">
        <v>16</v>
      </c>
      <c r="I5" s="63" t="s">
        <v>387</v>
      </c>
      <c r="K5" s="63" t="s">
        <v>16</v>
      </c>
      <c r="M5" s="63" t="s">
        <v>38</v>
      </c>
      <c r="N5" s="63" t="s">
        <v>0</v>
      </c>
      <c r="O5" s="63" t="s">
        <v>289</v>
      </c>
      <c r="P5" t="s">
        <v>389</v>
      </c>
      <c r="Q5" s="1" t="s">
        <v>388</v>
      </c>
    </row>
    <row r="6" spans="1:17" x14ac:dyDescent="0.2">
      <c r="A6" s="63" t="s">
        <v>21</v>
      </c>
      <c r="B6" s="63" t="s">
        <v>0</v>
      </c>
      <c r="C6" t="s">
        <v>1</v>
      </c>
      <c r="E6" s="63" t="s">
        <v>21</v>
      </c>
      <c r="F6" s="63" t="s">
        <v>0</v>
      </c>
      <c r="G6" t="s">
        <v>3</v>
      </c>
      <c r="I6" s="63" t="s">
        <v>21</v>
      </c>
      <c r="J6" s="63" t="s">
        <v>0</v>
      </c>
      <c r="K6" t="s">
        <v>2</v>
      </c>
      <c r="M6" t="s">
        <v>29</v>
      </c>
      <c r="N6" t="s">
        <v>8</v>
      </c>
      <c r="O6" t="s">
        <v>290</v>
      </c>
      <c r="P6" s="180">
        <v>29.7</v>
      </c>
      <c r="Q6" s="193">
        <f>GETPIVOTDATA("Milk intake (mio tonnes, 2022)",$M$5,"Category","Main"," Company","Dairy Farmers of America","Region","North America")*$Q$4</f>
        <v>29700000</v>
      </c>
    </row>
    <row r="7" spans="1:17" x14ac:dyDescent="0.2">
      <c r="A7" t="s">
        <v>162</v>
      </c>
      <c r="B7" t="s">
        <v>13</v>
      </c>
      <c r="C7" s="97">
        <v>1931153.0198137981</v>
      </c>
      <c r="E7" t="s">
        <v>180</v>
      </c>
      <c r="F7" t="s">
        <v>7</v>
      </c>
      <c r="G7" s="97">
        <v>662200000</v>
      </c>
      <c r="I7" t="s">
        <v>165</v>
      </c>
      <c r="J7" t="s">
        <v>166</v>
      </c>
      <c r="K7" s="97">
        <v>7300000</v>
      </c>
      <c r="M7" t="s">
        <v>30</v>
      </c>
      <c r="N7" t="s">
        <v>13</v>
      </c>
      <c r="O7" t="s">
        <v>290</v>
      </c>
      <c r="P7" s="180">
        <v>22.6</v>
      </c>
      <c r="Q7" s="193">
        <f>GETPIVOTDATA("Milk intake (mio tonnes, 2022)",$M$5,"Category","Main"," Company","Lactalis","Region","Western Europe")*Q4</f>
        <v>22600000</v>
      </c>
    </row>
    <row r="8" spans="1:17" x14ac:dyDescent="0.2">
      <c r="A8" t="s">
        <v>129</v>
      </c>
      <c r="B8" t="s">
        <v>8</v>
      </c>
      <c r="C8" s="97">
        <v>7000000</v>
      </c>
      <c r="E8" t="s">
        <v>165</v>
      </c>
      <c r="F8" t="s">
        <v>166</v>
      </c>
      <c r="G8" s="97">
        <v>320800000</v>
      </c>
      <c r="I8" t="s">
        <v>162</v>
      </c>
      <c r="J8" t="s">
        <v>13</v>
      </c>
      <c r="K8" s="97">
        <v>8381962.8647214863</v>
      </c>
      <c r="M8" t="s">
        <v>28</v>
      </c>
      <c r="N8" t="s">
        <v>9</v>
      </c>
      <c r="O8" t="s">
        <v>290</v>
      </c>
      <c r="P8" s="180">
        <v>17.600000000000001</v>
      </c>
      <c r="Q8" s="193">
        <f>GETPIVOTDATA("Milk intake (mio tonnes, 2022)",$M$5,"Category","Main"," Company","Fonterra","Region","Oceania")*Q4</f>
        <v>17600000</v>
      </c>
    </row>
    <row r="9" spans="1:17" x14ac:dyDescent="0.2">
      <c r="A9" t="s">
        <v>129</v>
      </c>
      <c r="B9" t="s">
        <v>9</v>
      </c>
      <c r="C9" s="97">
        <v>750000</v>
      </c>
      <c r="E9" t="s">
        <v>175</v>
      </c>
      <c r="F9" t="s">
        <v>166</v>
      </c>
      <c r="G9" s="97">
        <v>1612145600</v>
      </c>
      <c r="I9" t="s">
        <v>175</v>
      </c>
      <c r="J9" t="s">
        <v>166</v>
      </c>
      <c r="K9" s="97">
        <v>9639552</v>
      </c>
      <c r="M9" t="s">
        <v>32</v>
      </c>
      <c r="N9" t="s">
        <v>13</v>
      </c>
      <c r="O9" t="s">
        <v>290</v>
      </c>
      <c r="P9" s="180">
        <v>13.5</v>
      </c>
      <c r="Q9" s="193">
        <f>GETPIVOTDATA("Milk intake (mio tonnes, 2022)",$M$5,"Category","Main"," Company","Arla","Region","Western Europe")*Q4</f>
        <v>13500000</v>
      </c>
    </row>
    <row r="10" spans="1:17" x14ac:dyDescent="0.2">
      <c r="A10" t="s">
        <v>23</v>
      </c>
      <c r="B10" t="s">
        <v>13</v>
      </c>
      <c r="C10" s="97">
        <v>800000</v>
      </c>
      <c r="E10" t="s">
        <v>129</v>
      </c>
      <c r="F10" t="s">
        <v>4</v>
      </c>
      <c r="G10" s="97">
        <v>180000000</v>
      </c>
      <c r="I10" t="s">
        <v>144</v>
      </c>
      <c r="J10" t="s">
        <v>4</v>
      </c>
      <c r="K10" s="97">
        <v>1130000</v>
      </c>
      <c r="M10" t="s">
        <v>31</v>
      </c>
      <c r="N10" t="s">
        <v>13</v>
      </c>
      <c r="O10" t="s">
        <v>290</v>
      </c>
      <c r="P10" s="180">
        <v>13.5</v>
      </c>
      <c r="Q10" s="193">
        <f>GETPIVOTDATA("Milk intake (mio tonnes, 2022)",$M$5,"Category","Main"," Company","Nestlé","Region","Western Europe")*Q4</f>
        <v>13500000</v>
      </c>
    </row>
    <row r="11" spans="1:17" x14ac:dyDescent="0.2">
      <c r="A11" t="s">
        <v>296</v>
      </c>
      <c r="B11" t="s">
        <v>13</v>
      </c>
      <c r="C11" s="97">
        <v>1864145.7786265616</v>
      </c>
      <c r="E11" t="s">
        <v>129</v>
      </c>
      <c r="F11" t="s">
        <v>64</v>
      </c>
      <c r="G11" s="97">
        <v>144000000</v>
      </c>
      <c r="I11" t="s">
        <v>144</v>
      </c>
      <c r="J11" t="s">
        <v>8</v>
      </c>
      <c r="K11" s="97">
        <v>3800000</v>
      </c>
      <c r="M11" t="s">
        <v>36</v>
      </c>
      <c r="N11" t="s">
        <v>8</v>
      </c>
      <c r="O11" t="s">
        <v>290</v>
      </c>
      <c r="P11" s="180">
        <v>11</v>
      </c>
      <c r="Q11" s="193">
        <f>GETPIVOTDATA("Milk intake (mio tonnes, 2022)",$M$5,"Category","Main"," Company","Saputo","Region","North America")*Q4</f>
        <v>11000000</v>
      </c>
    </row>
    <row r="12" spans="1:17" x14ac:dyDescent="0.2">
      <c r="A12" t="s">
        <v>25</v>
      </c>
      <c r="B12" t="s">
        <v>6</v>
      </c>
      <c r="C12" s="97">
        <v>9218836.9000000004</v>
      </c>
      <c r="E12" t="s">
        <v>129</v>
      </c>
      <c r="F12" t="s">
        <v>6</v>
      </c>
      <c r="G12" s="97">
        <v>269000000</v>
      </c>
      <c r="I12" t="s">
        <v>144</v>
      </c>
      <c r="J12" t="s">
        <v>10</v>
      </c>
      <c r="K12" s="97">
        <v>2270689.6551724137</v>
      </c>
      <c r="M12" t="s">
        <v>33</v>
      </c>
      <c r="N12" t="s">
        <v>13</v>
      </c>
      <c r="O12" t="s">
        <v>290</v>
      </c>
      <c r="P12" s="180">
        <v>10.7</v>
      </c>
      <c r="Q12" s="193">
        <f>GETPIVOTDATA("Milk intake (mio tonnes, 2022)",$M$5,"Category","Main"," Company","FrieslandCampina","Region","Western Europe")*Q4</f>
        <v>10700000</v>
      </c>
    </row>
    <row r="13" spans="1:17" x14ac:dyDescent="0.2">
      <c r="A13" t="s">
        <v>25</v>
      </c>
      <c r="B13" t="s">
        <v>8</v>
      </c>
      <c r="C13" s="97">
        <v>8958582.3599999994</v>
      </c>
      <c r="E13" t="s">
        <v>129</v>
      </c>
      <c r="F13" t="s">
        <v>8</v>
      </c>
      <c r="G13" s="97">
        <v>535600000</v>
      </c>
      <c r="I13" t="s">
        <v>172</v>
      </c>
      <c r="J13" t="s">
        <v>8</v>
      </c>
      <c r="K13" s="97">
        <v>3382400</v>
      </c>
      <c r="M13" t="s">
        <v>37</v>
      </c>
      <c r="N13" t="s">
        <v>4</v>
      </c>
      <c r="O13" t="s">
        <v>290</v>
      </c>
      <c r="P13" s="180">
        <v>10</v>
      </c>
      <c r="Q13" s="193">
        <f>GETPIVOTDATA("Milk intake (mio tonnes, 2022)",$M$5,"Category","Main"," Company","Yili ","Region","East Asia and Southeast Asia")*Q4</f>
        <v>10000000</v>
      </c>
    </row>
    <row r="14" spans="1:17" x14ac:dyDescent="0.2">
      <c r="A14" t="s">
        <v>25</v>
      </c>
      <c r="B14" t="s">
        <v>9</v>
      </c>
      <c r="C14" s="97">
        <v>2637722.3600000003</v>
      </c>
      <c r="E14" t="s">
        <v>144</v>
      </c>
      <c r="F14" t="s">
        <v>4</v>
      </c>
      <c r="G14" s="97">
        <v>685000000</v>
      </c>
      <c r="I14" t="s">
        <v>200</v>
      </c>
      <c r="J14" t="s">
        <v>4</v>
      </c>
      <c r="K14" s="97">
        <v>5200000</v>
      </c>
      <c r="M14" t="s">
        <v>122</v>
      </c>
      <c r="N14" t="s">
        <v>73</v>
      </c>
      <c r="O14" t="s">
        <v>290</v>
      </c>
      <c r="P14" s="180">
        <v>9.6999999999999993</v>
      </c>
      <c r="Q14" s="193">
        <f>GETPIVOTDATA("Milk intake (mio tonnes, 2022)",$M$5,"Category","Main"," Company","China Mengniu Dairy","Region","China")*Q4</f>
        <v>9700000</v>
      </c>
    </row>
    <row r="15" spans="1:17" x14ac:dyDescent="0.2">
      <c r="A15" t="s">
        <v>39</v>
      </c>
      <c r="B15" t="s">
        <v>6</v>
      </c>
      <c r="C15" s="97">
        <v>4644458</v>
      </c>
      <c r="E15" t="s">
        <v>144</v>
      </c>
      <c r="F15" t="s">
        <v>10</v>
      </c>
      <c r="G15" s="97">
        <v>66347031.963470325</v>
      </c>
      <c r="I15" t="s">
        <v>135</v>
      </c>
      <c r="J15" t="s">
        <v>13</v>
      </c>
      <c r="K15" s="97">
        <v>4300000</v>
      </c>
      <c r="M15" t="s">
        <v>151</v>
      </c>
      <c r="N15" t="s">
        <v>152</v>
      </c>
      <c r="O15" t="s">
        <v>290</v>
      </c>
      <c r="P15" s="180">
        <v>9.6</v>
      </c>
      <c r="Q15" s="193">
        <f>GETPIVOTDATA("Milk intake (mio tonnes, 2022)",$M$5,"Category","Main"," Company","Amul","Region","India")*Q4</f>
        <v>9600000</v>
      </c>
    </row>
    <row r="16" spans="1:17" x14ac:dyDescent="0.2">
      <c r="A16" t="s">
        <v>39</v>
      </c>
      <c r="B16" t="s">
        <v>8</v>
      </c>
      <c r="C16" s="97">
        <v>3600142</v>
      </c>
      <c r="E16" t="s">
        <v>253</v>
      </c>
      <c r="F16" t="s">
        <v>8</v>
      </c>
      <c r="G16" s="97">
        <v>535600000</v>
      </c>
      <c r="I16" t="s">
        <v>23</v>
      </c>
      <c r="J16" t="s">
        <v>5</v>
      </c>
      <c r="K16" s="97">
        <v>1270160</v>
      </c>
      <c r="M16" t="s">
        <v>123</v>
      </c>
      <c r="N16" t="s">
        <v>8</v>
      </c>
      <c r="O16" t="s">
        <v>290</v>
      </c>
      <c r="P16" s="180">
        <v>9</v>
      </c>
      <c r="Q16" s="193">
        <f>GETPIVOTDATA("Milk intake (mio tonnes, 2022)",$M$5,"Category","Main"," Company","Glanbia","Region","North America")*Q4</f>
        <v>9000000</v>
      </c>
    </row>
    <row r="17" spans="1:18" x14ac:dyDescent="0.2">
      <c r="A17" t="s">
        <v>136</v>
      </c>
      <c r="B17" t="s">
        <v>6</v>
      </c>
      <c r="C17" s="97">
        <v>3873800</v>
      </c>
      <c r="E17" t="s">
        <v>248</v>
      </c>
      <c r="F17" t="s">
        <v>4</v>
      </c>
      <c r="G17" s="97">
        <v>680000000</v>
      </c>
      <c r="I17" t="s">
        <v>23</v>
      </c>
      <c r="J17" t="s">
        <v>13</v>
      </c>
      <c r="K17" s="97">
        <v>14606840</v>
      </c>
      <c r="M17" t="s">
        <v>153</v>
      </c>
      <c r="N17" t="s">
        <v>8</v>
      </c>
      <c r="O17" t="s">
        <v>290</v>
      </c>
      <c r="P17" s="180">
        <v>7.7</v>
      </c>
      <c r="Q17" s="193">
        <f>GETPIVOTDATA("Milk intake (mio tonnes, 2022)",$M$5,"Category","Main"," Company","California Diaries","Region","North America")*Q4</f>
        <v>7700000</v>
      </c>
    </row>
    <row r="18" spans="1:18" x14ac:dyDescent="0.2">
      <c r="A18" t="s">
        <v>138</v>
      </c>
      <c r="B18" t="s">
        <v>9</v>
      </c>
      <c r="C18" s="97">
        <v>336859</v>
      </c>
      <c r="E18" t="s">
        <v>127</v>
      </c>
      <c r="F18" t="s">
        <v>6</v>
      </c>
      <c r="G18" s="97">
        <v>505000000</v>
      </c>
      <c r="I18" t="s">
        <v>214</v>
      </c>
      <c r="J18" t="s">
        <v>13</v>
      </c>
      <c r="K18" s="97">
        <v>6400000</v>
      </c>
      <c r="M18" t="s">
        <v>150</v>
      </c>
      <c r="N18" t="s">
        <v>13</v>
      </c>
      <c r="O18" t="s">
        <v>290</v>
      </c>
      <c r="P18" s="180">
        <v>6.7</v>
      </c>
      <c r="Q18" s="193">
        <f>GETPIVOTDATA("Milk intake (mio tonnes, 2022)",$M$5,"Category","Main"," Company","Müller","Region","Western Europe")*Q4</f>
        <v>6700000</v>
      </c>
    </row>
    <row r="19" spans="1:18" x14ac:dyDescent="0.2">
      <c r="A19" t="s">
        <v>323</v>
      </c>
      <c r="B19" t="s">
        <v>9</v>
      </c>
      <c r="C19" s="97">
        <v>750000</v>
      </c>
      <c r="E19" t="s">
        <v>127</v>
      </c>
      <c r="F19" t="s">
        <v>8</v>
      </c>
      <c r="G19" s="97">
        <v>135000000</v>
      </c>
      <c r="I19" t="s">
        <v>294</v>
      </c>
      <c r="J19" t="s">
        <v>13</v>
      </c>
      <c r="K19" s="97">
        <v>8505747.1264367811</v>
      </c>
      <c r="M19" t="s">
        <v>158</v>
      </c>
      <c r="N19" t="s">
        <v>5</v>
      </c>
      <c r="O19" t="s">
        <v>290</v>
      </c>
      <c r="P19" s="180">
        <v>0.6677579916320171</v>
      </c>
      <c r="Q19" s="193">
        <f>GETPIVOTDATA("Milk intake (mio tonnes, 2022)",$M$5,"Category","Main"," Company","Danone-IFCN","Region","Eastern Europe")*Q4</f>
        <v>667757.99163201707</v>
      </c>
    </row>
    <row r="20" spans="1:18" x14ac:dyDescent="0.2">
      <c r="A20" t="s">
        <v>164</v>
      </c>
      <c r="B20" t="s">
        <v>13</v>
      </c>
      <c r="C20" s="97">
        <v>364000</v>
      </c>
      <c r="E20" t="s">
        <v>244</v>
      </c>
      <c r="F20" t="s">
        <v>4</v>
      </c>
      <c r="G20" s="97">
        <v>981000000</v>
      </c>
      <c r="I20" t="s">
        <v>296</v>
      </c>
      <c r="J20" t="s">
        <v>13</v>
      </c>
      <c r="K20" s="97">
        <v>707338.63837312115</v>
      </c>
      <c r="M20" t="s">
        <v>158</v>
      </c>
      <c r="N20" t="s">
        <v>6</v>
      </c>
      <c r="O20" t="s">
        <v>290</v>
      </c>
      <c r="P20" s="180">
        <v>0.73453379079521897</v>
      </c>
      <c r="Q20" s="193">
        <f>GETPIVOTDATA("Milk intake (mio tonnes, 2022)",$M$5,"Category","Main"," Company","Danone-IFCN","Region","Latin America and the Caribbean")*Q4</f>
        <v>734533.79079521901</v>
      </c>
    </row>
    <row r="21" spans="1:18" x14ac:dyDescent="0.2">
      <c r="A21" t="s">
        <v>22</v>
      </c>
      <c r="B21" t="s">
        <v>8</v>
      </c>
      <c r="C21" s="97">
        <v>5912585.7142857146</v>
      </c>
      <c r="E21" t="s">
        <v>25</v>
      </c>
      <c r="F21" t="s">
        <v>6</v>
      </c>
      <c r="G21" s="97">
        <v>1412272800</v>
      </c>
      <c r="I21" t="s">
        <v>25</v>
      </c>
      <c r="J21" t="s">
        <v>6</v>
      </c>
      <c r="K21" s="97">
        <v>8813568</v>
      </c>
      <c r="M21" t="s">
        <v>158</v>
      </c>
      <c r="N21" t="s">
        <v>7</v>
      </c>
      <c r="O21" t="s">
        <v>290</v>
      </c>
      <c r="P21" s="180">
        <v>0.48968919386347931</v>
      </c>
      <c r="Q21" s="193">
        <f>GETPIVOTDATA("Milk intake (mio tonnes, 2022)",$M$5,"Category","Main"," Company","Danone-IFCN","Region","Near East and North Africa")*Q4</f>
        <v>489689.1938634793</v>
      </c>
    </row>
    <row r="22" spans="1:18" x14ac:dyDescent="0.2">
      <c r="A22" t="s">
        <v>22</v>
      </c>
      <c r="B22" t="s">
        <v>9</v>
      </c>
      <c r="C22" s="97">
        <v>454814.28571428568</v>
      </c>
      <c r="E22" t="s">
        <v>25</v>
      </c>
      <c r="F22" t="s">
        <v>8</v>
      </c>
      <c r="G22" s="97">
        <v>1802559015.3846154</v>
      </c>
      <c r="I22" t="s">
        <v>25</v>
      </c>
      <c r="J22" t="s">
        <v>8</v>
      </c>
      <c r="K22" s="97">
        <v>26846592</v>
      </c>
      <c r="M22" t="s">
        <v>158</v>
      </c>
      <c r="N22" t="s">
        <v>8</v>
      </c>
      <c r="O22" t="s">
        <v>290</v>
      </c>
      <c r="P22" s="180">
        <v>1.9364981757328499</v>
      </c>
      <c r="Q22" s="193">
        <f>GETPIVOTDATA("Milk intake (mio tonnes, 2022)",$M$5,"Category","Main"," Company","Danone-IFCN","Region","North America")*Q4</f>
        <v>1936498.1757328499</v>
      </c>
    </row>
    <row r="23" spans="1:18" s="1" customFormat="1" x14ac:dyDescent="0.2">
      <c r="A23" t="s">
        <v>137</v>
      </c>
      <c r="B23" t="s">
        <v>13</v>
      </c>
      <c r="C23" s="97">
        <v>910000</v>
      </c>
      <c r="D23"/>
      <c r="E23" t="s">
        <v>25</v>
      </c>
      <c r="F23" t="s">
        <v>13</v>
      </c>
      <c r="G23" s="97">
        <v>394309784.61538464</v>
      </c>
      <c r="H23"/>
      <c r="I23" t="s">
        <v>25</v>
      </c>
      <c r="J23" t="s">
        <v>9</v>
      </c>
      <c r="K23" s="97">
        <v>3090547.1999999997</v>
      </c>
      <c r="L23"/>
      <c r="M23" t="s">
        <v>158</v>
      </c>
      <c r="N23" t="s">
        <v>10</v>
      </c>
      <c r="O23" t="s">
        <v>290</v>
      </c>
      <c r="P23" s="180">
        <v>1.5358433807536396</v>
      </c>
      <c r="Q23" s="193">
        <f>GETPIVOTDATA("Milk intake (mio tonnes, 2022)",$M$5,"Category","Main"," Company","Danone-IFCN","Region","Russian Federation")*Q4</f>
        <v>1535843.3807536396</v>
      </c>
    </row>
    <row r="24" spans="1:18" x14ac:dyDescent="0.2">
      <c r="A24" t="s">
        <v>261</v>
      </c>
      <c r="B24" t="s">
        <v>13</v>
      </c>
      <c r="C24" s="97">
        <v>380800</v>
      </c>
      <c r="E24" t="s">
        <v>125</v>
      </c>
      <c r="F24" t="s">
        <v>8</v>
      </c>
      <c r="G24" s="97">
        <v>670000000</v>
      </c>
      <c r="I24" t="s">
        <v>25</v>
      </c>
      <c r="J24" t="s">
        <v>13</v>
      </c>
      <c r="K24" s="97">
        <v>2036053.8</v>
      </c>
      <c r="M24" t="s">
        <v>158</v>
      </c>
      <c r="N24" t="s">
        <v>12</v>
      </c>
      <c r="O24" t="s">
        <v>290</v>
      </c>
      <c r="P24" s="180">
        <v>0.26726468061156755</v>
      </c>
      <c r="Q24" s="193">
        <f>GETPIVOTDATA("Milk intake (mio tonnes, 2022)",$M$5,"Category","Main"," Company","Danone-IFCN","Region","Sub-Saharan Africa")*Q4</f>
        <v>267264.68061156757</v>
      </c>
    </row>
    <row r="25" spans="1:18" x14ac:dyDescent="0.2">
      <c r="A25" t="s">
        <v>139</v>
      </c>
      <c r="C25" s="97">
        <v>54387899.418440357</v>
      </c>
      <c r="E25" t="s">
        <v>179</v>
      </c>
      <c r="F25" t="s">
        <v>5</v>
      </c>
      <c r="G25" s="97">
        <v>438443556</v>
      </c>
      <c r="I25" t="s">
        <v>130</v>
      </c>
      <c r="J25" t="s">
        <v>4</v>
      </c>
      <c r="K25" s="97">
        <v>13260000</v>
      </c>
      <c r="M25" t="s">
        <v>158</v>
      </c>
      <c r="N25" t="s">
        <v>13</v>
      </c>
      <c r="O25" t="s">
        <v>290</v>
      </c>
      <c r="P25" s="180">
        <v>1.0684127866112274</v>
      </c>
      <c r="Q25" s="193">
        <f>GETPIVOTDATA("Milk intake (mio tonnes, 2022)",$M$5,"Category","Main"," Company","Danone-IFCN","Region","Western Europe")*Q4</f>
        <v>1068412.7866112273</v>
      </c>
    </row>
    <row r="26" spans="1:18" x14ac:dyDescent="0.2">
      <c r="E26" t="s">
        <v>132</v>
      </c>
      <c r="F26" t="s">
        <v>4</v>
      </c>
      <c r="G26" s="97">
        <v>657780000</v>
      </c>
      <c r="I26" t="s">
        <v>132</v>
      </c>
      <c r="J26" t="s">
        <v>4</v>
      </c>
      <c r="K26" s="97">
        <v>3960000</v>
      </c>
      <c r="M26" t="s">
        <v>121</v>
      </c>
      <c r="N26" t="s">
        <v>8</v>
      </c>
      <c r="O26" t="s">
        <v>290</v>
      </c>
      <c r="P26" s="180">
        <v>6.7</v>
      </c>
      <c r="Q26" s="193">
        <f>GETPIVOTDATA("Milk intake (mio tonnes, 2022)",$M$5,"Category","Main"," Company","Agropur","Region","North America")*Q4</f>
        <v>6700000</v>
      </c>
    </row>
    <row r="27" spans="1:18" ht="13.5" thickBot="1" x14ac:dyDescent="0.25">
      <c r="E27" t="s">
        <v>128</v>
      </c>
      <c r="F27" t="s">
        <v>8</v>
      </c>
      <c r="G27" s="97">
        <v>615000000</v>
      </c>
      <c r="I27" t="s">
        <v>134</v>
      </c>
      <c r="J27" t="s">
        <v>8</v>
      </c>
      <c r="K27" s="97">
        <v>6000000</v>
      </c>
      <c r="M27" t="s">
        <v>35</v>
      </c>
      <c r="N27" t="s">
        <v>13</v>
      </c>
      <c r="O27" t="s">
        <v>291</v>
      </c>
      <c r="P27" s="180">
        <v>5.5</v>
      </c>
      <c r="Q27" s="193">
        <f>GETPIVOTDATA("Milk intake (mio tonnes, 2022)",$M$5,"Category","Addition"," Company","DMK","Region","Western Europe")*Q4</f>
        <v>5500000</v>
      </c>
    </row>
    <row r="28" spans="1:18" x14ac:dyDescent="0.2">
      <c r="E28" t="s">
        <v>22</v>
      </c>
      <c r="F28" t="s">
        <v>4</v>
      </c>
      <c r="G28" s="97">
        <v>208838709.67741936</v>
      </c>
      <c r="I28" t="s">
        <v>164</v>
      </c>
      <c r="J28" t="s">
        <v>13</v>
      </c>
      <c r="K28" s="97">
        <v>17790000</v>
      </c>
      <c r="M28" t="s">
        <v>139</v>
      </c>
      <c r="P28" s="180">
        <v>190.20000000000002</v>
      </c>
      <c r="Q28" s="196">
        <f>SUM(Q6:Q27)</f>
        <v>190200000</v>
      </c>
    </row>
    <row r="29" spans="1:18" x14ac:dyDescent="0.2">
      <c r="E29" t="s">
        <v>22</v>
      </c>
      <c r="F29" t="s">
        <v>8</v>
      </c>
      <c r="G29" s="97">
        <v>1733361290.3225806</v>
      </c>
      <c r="I29" t="s">
        <v>133</v>
      </c>
      <c r="J29" t="s">
        <v>8</v>
      </c>
      <c r="K29" s="97">
        <v>5200000</v>
      </c>
      <c r="P29" s="192"/>
      <c r="Q29" s="195"/>
      <c r="R29" s="191"/>
    </row>
    <row r="30" spans="1:18" x14ac:dyDescent="0.2">
      <c r="E30" t="s">
        <v>245</v>
      </c>
      <c r="F30" t="s">
        <v>4</v>
      </c>
      <c r="G30" s="97">
        <v>810000000</v>
      </c>
      <c r="I30" t="s">
        <v>22</v>
      </c>
      <c r="J30" t="s">
        <v>8</v>
      </c>
      <c r="K30" s="97">
        <v>20573280</v>
      </c>
      <c r="Q30" s="194"/>
    </row>
    <row r="31" spans="1:18" x14ac:dyDescent="0.2">
      <c r="E31" t="s">
        <v>177</v>
      </c>
      <c r="F31" t="s">
        <v>4</v>
      </c>
      <c r="G31" s="97">
        <v>1183000000</v>
      </c>
      <c r="I31" t="s">
        <v>137</v>
      </c>
      <c r="J31" t="s">
        <v>13</v>
      </c>
      <c r="K31" s="97">
        <v>15222482.435597191</v>
      </c>
    </row>
    <row r="32" spans="1:18" x14ac:dyDescent="0.2">
      <c r="E32" t="s">
        <v>24</v>
      </c>
      <c r="F32" t="s">
        <v>4</v>
      </c>
      <c r="G32" s="97">
        <v>209333333.33333334</v>
      </c>
      <c r="I32" t="s">
        <v>177</v>
      </c>
      <c r="J32" t="s">
        <v>4</v>
      </c>
      <c r="K32" s="97">
        <v>3840000</v>
      </c>
    </row>
    <row r="33" spans="5:11" x14ac:dyDescent="0.2">
      <c r="E33" t="s">
        <v>24</v>
      </c>
      <c r="F33" t="s">
        <v>5</v>
      </c>
      <c r="G33" s="97">
        <v>104666666.66666667</v>
      </c>
      <c r="I33" t="s">
        <v>261</v>
      </c>
      <c r="J33" t="s">
        <v>13</v>
      </c>
      <c r="K33" s="97">
        <v>6600000</v>
      </c>
    </row>
    <row r="34" spans="5:11" x14ac:dyDescent="0.2">
      <c r="E34" t="s">
        <v>139</v>
      </c>
      <c r="G34" s="97">
        <v>17551257787.96347</v>
      </c>
      <c r="I34" t="s">
        <v>24</v>
      </c>
      <c r="J34" t="s">
        <v>4</v>
      </c>
      <c r="K34" s="97">
        <v>13177939.029473471</v>
      </c>
    </row>
    <row r="35" spans="5:11" x14ac:dyDescent="0.2">
      <c r="I35" t="s">
        <v>24</v>
      </c>
      <c r="J35" t="s">
        <v>5</v>
      </c>
      <c r="K35" s="97">
        <v>6260571.3611876406</v>
      </c>
    </row>
    <row r="36" spans="5:11" x14ac:dyDescent="0.2">
      <c r="I36" t="s">
        <v>24</v>
      </c>
      <c r="J36" t="s">
        <v>8</v>
      </c>
      <c r="K36" s="97">
        <v>29730489.609338891</v>
      </c>
    </row>
    <row r="37" spans="5:11" x14ac:dyDescent="0.2">
      <c r="I37" t="s">
        <v>131</v>
      </c>
      <c r="J37" t="s">
        <v>4</v>
      </c>
      <c r="K37" s="97">
        <v>8450000</v>
      </c>
    </row>
    <row r="38" spans="5:11" x14ac:dyDescent="0.2">
      <c r="I38" t="s">
        <v>139</v>
      </c>
      <c r="K38" s="97">
        <v>267746213.72030097</v>
      </c>
    </row>
  </sheetData>
  <mergeCells count="4">
    <mergeCell ref="I1:K1"/>
    <mergeCell ref="M1:Q1"/>
    <mergeCell ref="E1:G1"/>
    <mergeCell ref="A1:C1"/>
  </mergeCells>
  <pageMargins left="0.7" right="0.7" top="0.75" bottom="0.75" header="0.3" footer="0.3"/>
  <headerFooter>
    <oddFooter>&amp;L_x000D_&amp;1#&amp;"Aptos"&amp;10&amp;K000000 Classified as Internal | Intern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C2E3-1D11-43E9-AF8B-BFFEDCCF6470}">
  <dimension ref="A1:C23"/>
  <sheetViews>
    <sheetView zoomScale="130" zoomScaleNormal="130" workbookViewId="0">
      <selection activeCell="D44" sqref="D44"/>
    </sheetView>
  </sheetViews>
  <sheetFormatPr defaultRowHeight="12.75" x14ac:dyDescent="0.2"/>
  <cols>
    <col min="1" max="1" width="21.42578125" bestFit="1" customWidth="1"/>
    <col min="2" max="2" width="27.140625" bestFit="1" customWidth="1"/>
    <col min="3" max="3" width="12" bestFit="1" customWidth="1"/>
  </cols>
  <sheetData>
    <row r="1" spans="1:3" x14ac:dyDescent="0.2">
      <c r="A1" t="str">
        <f>'Production by region'!M5</f>
        <v xml:space="preserve"> Company</v>
      </c>
      <c r="B1" t="str">
        <f>'Production by region'!N5</f>
        <v>Region</v>
      </c>
      <c r="C1" t="str">
        <f>'Production by region'!Q5</f>
        <v>Dairy</v>
      </c>
    </row>
    <row r="2" spans="1:3" x14ac:dyDescent="0.2">
      <c r="A2" t="str">
        <f>'Production by region'!M6</f>
        <v>Dairy Farmers of America</v>
      </c>
      <c r="B2" t="str">
        <f>'Production by region'!N6</f>
        <v>North America</v>
      </c>
      <c r="C2" s="96">
        <f>'Production by region'!Q6</f>
        <v>29700000</v>
      </c>
    </row>
    <row r="3" spans="1:3" x14ac:dyDescent="0.2">
      <c r="A3" t="str">
        <f>'Production by region'!M7</f>
        <v>Lactalis</v>
      </c>
      <c r="B3" t="str">
        <f>'Production by region'!N7</f>
        <v>Western Europe</v>
      </c>
      <c r="C3" s="96">
        <f>'Production by region'!Q7</f>
        <v>22600000</v>
      </c>
    </row>
    <row r="4" spans="1:3" x14ac:dyDescent="0.2">
      <c r="A4" t="str">
        <f>'Production by region'!M8</f>
        <v>Fonterra</v>
      </c>
      <c r="B4" t="str">
        <f>'Production by region'!N8</f>
        <v>Oceania</v>
      </c>
      <c r="C4" s="96">
        <f>'Production by region'!Q8</f>
        <v>17600000</v>
      </c>
    </row>
    <row r="5" spans="1:3" x14ac:dyDescent="0.2">
      <c r="A5" t="str">
        <f>'Production by region'!M9</f>
        <v>Arla</v>
      </c>
      <c r="B5" t="str">
        <f>'Production by region'!N9</f>
        <v>Western Europe</v>
      </c>
      <c r="C5" s="96">
        <f>'Production by region'!Q9</f>
        <v>13500000</v>
      </c>
    </row>
    <row r="6" spans="1:3" x14ac:dyDescent="0.2">
      <c r="A6" t="str">
        <f>'Production by region'!M10</f>
        <v>Nestlé</v>
      </c>
      <c r="B6" t="str">
        <f>'Production by region'!N10</f>
        <v>Western Europe</v>
      </c>
      <c r="C6" s="96">
        <f>'Production by region'!Q10</f>
        <v>13500000</v>
      </c>
    </row>
    <row r="7" spans="1:3" x14ac:dyDescent="0.2">
      <c r="A7" t="str">
        <f>'Production by region'!M11</f>
        <v>Saputo</v>
      </c>
      <c r="B7" t="str">
        <f>'Production by region'!N11</f>
        <v>North America</v>
      </c>
      <c r="C7" s="96">
        <f>'Production by region'!Q11</f>
        <v>11000000</v>
      </c>
    </row>
    <row r="8" spans="1:3" x14ac:dyDescent="0.2">
      <c r="A8" t="str">
        <f>'Production by region'!M12</f>
        <v>FrieslandCampina</v>
      </c>
      <c r="B8" t="str">
        <f>'Production by region'!N12</f>
        <v>Western Europe</v>
      </c>
      <c r="C8" s="96">
        <f>'Production by region'!Q12</f>
        <v>10700000</v>
      </c>
    </row>
    <row r="9" spans="1:3" x14ac:dyDescent="0.2">
      <c r="A9" t="str">
        <f>'Production by region'!M13</f>
        <v xml:space="preserve">Yili </v>
      </c>
      <c r="B9" t="str">
        <f>'Production by region'!N13</f>
        <v>East Asia and Southeast Asia</v>
      </c>
      <c r="C9" s="96">
        <f>'Production by region'!Q13</f>
        <v>10000000</v>
      </c>
    </row>
    <row r="10" spans="1:3" x14ac:dyDescent="0.2">
      <c r="A10" t="str">
        <f>'Production by region'!M14</f>
        <v>China Mengniu Dairy</v>
      </c>
      <c r="B10" s="105" t="s">
        <v>4</v>
      </c>
      <c r="C10" s="96">
        <f>'Production by region'!Q14</f>
        <v>9700000</v>
      </c>
    </row>
    <row r="11" spans="1:3" x14ac:dyDescent="0.2">
      <c r="A11" t="str">
        <f>'Production by region'!M15</f>
        <v>Amul</v>
      </c>
      <c r="B11" s="105" t="s">
        <v>11</v>
      </c>
      <c r="C11" s="96">
        <f>'Production by region'!Q15</f>
        <v>9600000</v>
      </c>
    </row>
    <row r="12" spans="1:3" x14ac:dyDescent="0.2">
      <c r="A12" t="str">
        <f>'Production by region'!M16</f>
        <v>Glanbia</v>
      </c>
      <c r="B12" t="str">
        <f>'Production by region'!N16</f>
        <v>North America</v>
      </c>
      <c r="C12" s="96">
        <f>'Production by region'!Q16</f>
        <v>9000000</v>
      </c>
    </row>
    <row r="13" spans="1:3" x14ac:dyDescent="0.2">
      <c r="A13" t="str">
        <f>'Production by region'!M17</f>
        <v>California Diaries</v>
      </c>
      <c r="B13" t="str">
        <f>'Production by region'!N17</f>
        <v>North America</v>
      </c>
      <c r="C13" s="96">
        <f>'Production by region'!Q17</f>
        <v>7700000</v>
      </c>
    </row>
    <row r="14" spans="1:3" x14ac:dyDescent="0.2">
      <c r="A14" t="str">
        <f>'Production by region'!M18</f>
        <v>Müller</v>
      </c>
      <c r="B14" t="str">
        <f>'Production by region'!N18</f>
        <v>Western Europe</v>
      </c>
      <c r="C14" s="96">
        <f>'Production by region'!Q18</f>
        <v>6700000</v>
      </c>
    </row>
    <row r="15" spans="1:3" x14ac:dyDescent="0.2">
      <c r="A15" t="str">
        <f>'Production by region'!M19</f>
        <v>Danone-IFCN</v>
      </c>
      <c r="B15" t="str">
        <f>'Production by region'!N19</f>
        <v>Eastern Europe</v>
      </c>
      <c r="C15" s="96">
        <f>'Production by region'!Q19</f>
        <v>667757.99163201707</v>
      </c>
    </row>
    <row r="16" spans="1:3" x14ac:dyDescent="0.2">
      <c r="A16" t="str">
        <f>'Production by region'!M20</f>
        <v>Danone-IFCN</v>
      </c>
      <c r="B16" t="str">
        <f>'Production by region'!N20</f>
        <v>Latin America and the Caribbean</v>
      </c>
      <c r="C16" s="96">
        <f>'Production by region'!Q20</f>
        <v>734533.79079521901</v>
      </c>
    </row>
    <row r="17" spans="1:3" x14ac:dyDescent="0.2">
      <c r="A17" t="str">
        <f>'Production by region'!M21</f>
        <v>Danone-IFCN</v>
      </c>
      <c r="B17" t="str">
        <f>'Production by region'!N21</f>
        <v>Near East and North Africa</v>
      </c>
      <c r="C17" s="96">
        <f>'Production by region'!Q21</f>
        <v>489689.1938634793</v>
      </c>
    </row>
    <row r="18" spans="1:3" x14ac:dyDescent="0.2">
      <c r="A18" t="str">
        <f>'Production by region'!M22</f>
        <v>Danone-IFCN</v>
      </c>
      <c r="B18" t="str">
        <f>'Production by region'!N22</f>
        <v>North America</v>
      </c>
      <c r="C18" s="96">
        <f>'Production by region'!Q22</f>
        <v>1936498.1757328499</v>
      </c>
    </row>
    <row r="19" spans="1:3" x14ac:dyDescent="0.2">
      <c r="A19" t="str">
        <f>'Production by region'!M23</f>
        <v>Danone-IFCN</v>
      </c>
      <c r="B19" t="str">
        <f>'Production by region'!N23</f>
        <v>Russian Federation</v>
      </c>
      <c r="C19" s="96">
        <f>'Production by region'!Q23</f>
        <v>1535843.3807536396</v>
      </c>
    </row>
    <row r="20" spans="1:3" x14ac:dyDescent="0.2">
      <c r="A20" t="str">
        <f>'Production by region'!M24</f>
        <v>Danone-IFCN</v>
      </c>
      <c r="B20" t="str">
        <f>'Production by region'!N24</f>
        <v>Sub-Saharan Africa</v>
      </c>
      <c r="C20" s="96">
        <f>'Production by region'!Q24</f>
        <v>267264.68061156757</v>
      </c>
    </row>
    <row r="21" spans="1:3" x14ac:dyDescent="0.2">
      <c r="A21" t="str">
        <f>'Production by region'!M25</f>
        <v>Danone-IFCN</v>
      </c>
      <c r="B21" t="str">
        <f>'Production by region'!N25</f>
        <v>Western Europe</v>
      </c>
      <c r="C21" s="96">
        <f>'Production by region'!Q25</f>
        <v>1068412.7866112273</v>
      </c>
    </row>
    <row r="22" spans="1:3" x14ac:dyDescent="0.2">
      <c r="A22" t="str">
        <f>'Production by region'!M26</f>
        <v>Agropur</v>
      </c>
      <c r="B22" t="str">
        <f>'Production by region'!N26</f>
        <v>North America</v>
      </c>
      <c r="C22" s="96">
        <f>'Production by region'!Q26</f>
        <v>6700000</v>
      </c>
    </row>
    <row r="23" spans="1:3" x14ac:dyDescent="0.2">
      <c r="A23" t="str">
        <f>'Production by region'!M27</f>
        <v>DMK</v>
      </c>
      <c r="B23" t="str">
        <f>'Production by region'!N27</f>
        <v>Western Europe</v>
      </c>
      <c r="C23" s="96">
        <f>'Production by region'!Q27</f>
        <v>5500000</v>
      </c>
    </row>
  </sheetData>
  <pageMargins left="0.7" right="0.7" top="0.75" bottom="0.75" header="0.3" footer="0.3"/>
  <headerFooter>
    <oddFooter>&amp;L_x000D_&amp;1#&amp;"Aptos"&amp;10&amp;K000000 Classified as Internal | Intern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38A46-1BE3-48A0-9100-3BDD8F7BC406}">
  <dimension ref="A1:G19"/>
  <sheetViews>
    <sheetView zoomScale="147" zoomScaleNormal="190" workbookViewId="0">
      <selection activeCell="E1" sqref="E1"/>
    </sheetView>
  </sheetViews>
  <sheetFormatPr defaultRowHeight="12.75" x14ac:dyDescent="0.2"/>
  <cols>
    <col min="1" max="1" width="15.5703125" bestFit="1" customWidth="1"/>
    <col min="2" max="2" width="27.140625" bestFit="1" customWidth="1"/>
    <col min="3" max="3" width="14.140625" customWidth="1"/>
    <col min="4" max="4" width="13.7109375" customWidth="1"/>
    <col min="5" max="5" width="25.140625" bestFit="1" customWidth="1"/>
  </cols>
  <sheetData>
    <row r="1" spans="1:7" x14ac:dyDescent="0.2">
      <c r="A1" t="str">
        <f>'Production by region'!A6</f>
        <v xml:space="preserve">Company </v>
      </c>
      <c r="B1" t="str">
        <f>'Production by region'!B6</f>
        <v>Region</v>
      </c>
      <c r="C1" t="s">
        <v>393</v>
      </c>
      <c r="D1" s="197" t="s">
        <v>392</v>
      </c>
      <c r="E1" s="197" t="s">
        <v>409</v>
      </c>
    </row>
    <row r="2" spans="1:7" x14ac:dyDescent="0.2">
      <c r="A2" t="str">
        <f>'Production by region'!A7</f>
        <v>Bigard</v>
      </c>
      <c r="B2" t="str">
        <f>'Production by region'!B7</f>
        <v>Western Europe</v>
      </c>
      <c r="C2" s="96">
        <f>D2*E2</f>
        <v>1025442.2535211268</v>
      </c>
      <c r="D2" s="198">
        <f>'Production by region'!C7</f>
        <v>1931153.0198137981</v>
      </c>
      <c r="E2" s="199">
        <f>INDEX('Additional data sources'!$F$11:$O$11,MATCH(B2,'Additional data sources'!$F$10:$O$10,0))/1000</f>
        <v>0.53100000000000003</v>
      </c>
    </row>
    <row r="3" spans="1:7" x14ac:dyDescent="0.2">
      <c r="A3" t="str">
        <f>'Production by region'!A8</f>
        <v>Cargill</v>
      </c>
      <c r="B3" t="str">
        <f>'Production by region'!B8</f>
        <v>North America</v>
      </c>
      <c r="C3" s="96">
        <f t="shared" ref="C3:C19" si="0">D3*E3</f>
        <v>4187166.6666666665</v>
      </c>
      <c r="D3" s="198">
        <f>'Production by region'!C8</f>
        <v>7000000</v>
      </c>
      <c r="E3" s="199">
        <f>INDEX('Additional data sources'!$F$11:$O$11,MATCH(B3,'Additional data sources'!$F$10:$O$10,0))/1000</f>
        <v>0.59816666666666662</v>
      </c>
    </row>
    <row r="4" spans="1:7" x14ac:dyDescent="0.2">
      <c r="A4" t="str">
        <f>'Production by region'!A9</f>
        <v>Cargill</v>
      </c>
      <c r="B4" t="str">
        <f>'Production by region'!B9</f>
        <v>Oceania</v>
      </c>
      <c r="C4" s="96">
        <f t="shared" si="0"/>
        <v>286500</v>
      </c>
      <c r="D4" s="198">
        <f>'Production by region'!C9</f>
        <v>750000</v>
      </c>
      <c r="E4" s="199">
        <f>INDEX('Additional data sources'!$F$11:$O$11,MATCH(B4,'Additional data sources'!$F$10:$O$10,0))/1000</f>
        <v>0.38200000000000001</v>
      </c>
    </row>
    <row r="5" spans="1:7" x14ac:dyDescent="0.2">
      <c r="A5" t="str">
        <f>'Production by region'!A10</f>
        <v>Danish Crown</v>
      </c>
      <c r="B5" t="str">
        <f>'Production by region'!B10</f>
        <v>Western Europe</v>
      </c>
      <c r="C5" s="96">
        <f t="shared" si="0"/>
        <v>424800</v>
      </c>
      <c r="D5" s="198">
        <f>'Production by region'!C10</f>
        <v>800000</v>
      </c>
      <c r="E5" s="199">
        <f>INDEX('Additional data sources'!$F$11:$O$11,MATCH(B5,'Additional data sources'!$F$10:$O$10,0))/1000</f>
        <v>0.53100000000000003</v>
      </c>
      <c r="G5" s="202"/>
    </row>
    <row r="6" spans="1:7" x14ac:dyDescent="0.2">
      <c r="A6" t="str">
        <f>'Production by region'!A11</f>
        <v>Gruppo Cremonini</v>
      </c>
      <c r="B6" t="str">
        <f>'Production by region'!B11</f>
        <v>Western Europe</v>
      </c>
      <c r="C6" s="96">
        <f t="shared" si="0"/>
        <v>989861.4084507043</v>
      </c>
      <c r="D6" s="198">
        <f>'Production by region'!C11</f>
        <v>1864145.7786265616</v>
      </c>
      <c r="E6" s="199">
        <f>INDEX('Additional data sources'!$F$11:$O$11,MATCH(B6,'Additional data sources'!$F$10:$O$10,0))/1000</f>
        <v>0.53100000000000003</v>
      </c>
    </row>
    <row r="7" spans="1:7" x14ac:dyDescent="0.2">
      <c r="A7" t="str">
        <f>'Production by region'!A12</f>
        <v>JBS</v>
      </c>
      <c r="B7" t="str">
        <f>'Production by region'!B12</f>
        <v>Latin America and the Caribbean</v>
      </c>
      <c r="C7" s="96">
        <f t="shared" si="0"/>
        <v>4143867.1865500002</v>
      </c>
      <c r="D7" s="198">
        <f>'Production by region'!C12</f>
        <v>9218836.9000000004</v>
      </c>
      <c r="E7" s="199">
        <f>INDEX('Additional data sources'!$F$11:$O$11,MATCH(B7,'Additional data sources'!$F$10:$O$10,0))/1000</f>
        <v>0.44950000000000001</v>
      </c>
    </row>
    <row r="8" spans="1:7" x14ac:dyDescent="0.2">
      <c r="A8" t="str">
        <f>'Production by region'!A13</f>
        <v>JBS</v>
      </c>
      <c r="B8" t="str">
        <f>'Production by region'!B13</f>
        <v>North America</v>
      </c>
      <c r="C8" s="96">
        <f t="shared" si="0"/>
        <v>5358725.3483399991</v>
      </c>
      <c r="D8" s="198">
        <f>'Production by region'!C13</f>
        <v>8958582.3599999994</v>
      </c>
      <c r="E8" s="199">
        <f>INDEX('Additional data sources'!$F$11:$O$11,MATCH(B8,'Additional data sources'!$F$10:$O$10,0))/1000</f>
        <v>0.59816666666666662</v>
      </c>
    </row>
    <row r="9" spans="1:7" x14ac:dyDescent="0.2">
      <c r="A9" t="str">
        <f>'Production by region'!A14</f>
        <v>JBS</v>
      </c>
      <c r="B9" t="str">
        <f>'Production by region'!B14</f>
        <v>Oceania</v>
      </c>
      <c r="C9" s="96">
        <f t="shared" si="0"/>
        <v>1007609.9415200001</v>
      </c>
      <c r="D9" s="198">
        <f>'Production by region'!C14</f>
        <v>2637722.3600000003</v>
      </c>
      <c r="E9" s="199">
        <f>INDEX('Additional data sources'!$F$11:$O$11,MATCH(B9,'Additional data sources'!$F$10:$O$10,0))/1000</f>
        <v>0.38200000000000001</v>
      </c>
    </row>
    <row r="10" spans="1:7" x14ac:dyDescent="0.2">
      <c r="A10" t="str">
        <f>'Production by region'!A15</f>
        <v>Marfrig</v>
      </c>
      <c r="B10" t="str">
        <f>'Production by region'!B15</f>
        <v>Latin America and the Caribbean</v>
      </c>
      <c r="C10" s="96">
        <f t="shared" si="0"/>
        <v>2087683.871</v>
      </c>
      <c r="D10" s="198">
        <f>'Production by region'!C15</f>
        <v>4644458</v>
      </c>
      <c r="E10" s="199">
        <f>INDEX('Additional data sources'!$F$11:$O$11,MATCH(B10,'Additional data sources'!$F$10:$O$10,0))/1000</f>
        <v>0.44950000000000001</v>
      </c>
    </row>
    <row r="11" spans="1:7" x14ac:dyDescent="0.2">
      <c r="A11" t="str">
        <f>'Production by region'!A16</f>
        <v>Marfrig</v>
      </c>
      <c r="B11" t="str">
        <f>'Production by region'!B16</f>
        <v>North America</v>
      </c>
      <c r="C11" s="96">
        <f t="shared" si="0"/>
        <v>2153484.9396666666</v>
      </c>
      <c r="D11" s="198">
        <f>'Production by region'!C16</f>
        <v>3600142</v>
      </c>
      <c r="E11" s="199">
        <f>INDEX('Additional data sources'!$F$11:$O$11,MATCH(B11,'Additional data sources'!$F$10:$O$10,0))/1000</f>
        <v>0.59816666666666662</v>
      </c>
    </row>
    <row r="12" spans="1:7" x14ac:dyDescent="0.2">
      <c r="A12" t="str">
        <f>'Production by region'!A17</f>
        <v>Minerva</v>
      </c>
      <c r="B12" t="str">
        <f>'Production by region'!B17</f>
        <v>Latin America and the Caribbean</v>
      </c>
      <c r="C12" s="96">
        <f t="shared" si="0"/>
        <v>1741273.1</v>
      </c>
      <c r="D12" s="198">
        <f>'Production by region'!C17</f>
        <v>3873800</v>
      </c>
      <c r="E12" s="199">
        <f>INDEX('Additional data sources'!$F$11:$O$11,MATCH(B12,'Additional data sources'!$F$10:$O$10,0))/1000</f>
        <v>0.44950000000000001</v>
      </c>
    </row>
    <row r="13" spans="1:7" x14ac:dyDescent="0.2">
      <c r="A13" t="str">
        <f>'Production by region'!A18</f>
        <v>NH Foods</v>
      </c>
      <c r="B13" t="str">
        <f>'Production by region'!B18</f>
        <v>Oceania</v>
      </c>
      <c r="C13" s="96">
        <f t="shared" si="0"/>
        <v>128680.13800000001</v>
      </c>
      <c r="D13" s="198">
        <f>'Production by region'!C18</f>
        <v>336859</v>
      </c>
      <c r="E13" s="199">
        <f>INDEX('Additional data sources'!$F$11:$O$11,MATCH(B13,'Additional data sources'!$F$10:$O$10,0))/1000</f>
        <v>0.38200000000000001</v>
      </c>
    </row>
    <row r="14" spans="1:7" x14ac:dyDescent="0.2">
      <c r="A14" t="str">
        <f>'Production by region'!A19</f>
        <v xml:space="preserve">Teys </v>
      </c>
      <c r="B14" t="str">
        <f>'Production by region'!B19</f>
        <v>Oceania</v>
      </c>
      <c r="C14" s="96">
        <f t="shared" si="0"/>
        <v>286500</v>
      </c>
      <c r="D14" s="198">
        <f>'Production by region'!C19</f>
        <v>750000</v>
      </c>
      <c r="E14" s="199">
        <f>INDEX('Additional data sources'!$F$11:$O$11,MATCH(B14,'Additional data sources'!$F$10:$O$10,0))/1000</f>
        <v>0.38200000000000001</v>
      </c>
    </row>
    <row r="15" spans="1:7" x14ac:dyDescent="0.2">
      <c r="A15" t="str">
        <f>'Production by region'!A20</f>
        <v>Tönnies Group</v>
      </c>
      <c r="B15" t="str">
        <f>'Production by region'!B20</f>
        <v>Western Europe</v>
      </c>
      <c r="C15" s="96">
        <f t="shared" si="0"/>
        <v>193284</v>
      </c>
      <c r="D15" s="198">
        <f>'Production by region'!C20</f>
        <v>364000</v>
      </c>
      <c r="E15" s="199">
        <f>INDEX('Additional data sources'!$F$11:$O$11,MATCH(B15,'Additional data sources'!$F$10:$O$10,0))/1000</f>
        <v>0.53100000000000003</v>
      </c>
    </row>
    <row r="16" spans="1:7" x14ac:dyDescent="0.2">
      <c r="A16" t="str">
        <f>'Production by region'!A21</f>
        <v>Tyson</v>
      </c>
      <c r="B16" t="str">
        <f>'Production by region'!B21</f>
        <v>North America</v>
      </c>
      <c r="C16" s="96">
        <f t="shared" si="0"/>
        <v>3536711.6880952381</v>
      </c>
      <c r="D16" s="198">
        <f>'Production by region'!C21</f>
        <v>5912585.7142857146</v>
      </c>
      <c r="E16" s="199">
        <f>INDEX('Additional data sources'!$F$11:$O$11,MATCH(B16,'Additional data sources'!$F$10:$O$10,0))/1000</f>
        <v>0.59816666666666662</v>
      </c>
    </row>
    <row r="17" spans="1:5" x14ac:dyDescent="0.2">
      <c r="A17" t="str">
        <f>'Production by region'!A22</f>
        <v>Tyson</v>
      </c>
      <c r="B17" t="str">
        <f>'Production by region'!B22</f>
        <v>Oceania</v>
      </c>
      <c r="C17" s="96">
        <f t="shared" si="0"/>
        <v>173739.05714285714</v>
      </c>
      <c r="D17" s="198">
        <f>'Production by region'!C22</f>
        <v>454814.28571428568</v>
      </c>
      <c r="E17" s="199">
        <f>INDEX('Additional data sources'!$F$11:$O$11,MATCH(B17,'Additional data sources'!$F$10:$O$10,0))/1000</f>
        <v>0.38200000000000001</v>
      </c>
    </row>
    <row r="18" spans="1:5" x14ac:dyDescent="0.2">
      <c r="A18" t="str">
        <f>'Production by region'!A23</f>
        <v>Vion Food Group</v>
      </c>
      <c r="B18" t="str">
        <f>'Production by region'!B23</f>
        <v>Western Europe</v>
      </c>
      <c r="C18" s="96">
        <f t="shared" si="0"/>
        <v>483210</v>
      </c>
      <c r="D18" s="198">
        <f>'Production by region'!C23</f>
        <v>910000</v>
      </c>
      <c r="E18" s="199">
        <f>INDEX('Additional data sources'!$F$11:$O$11,MATCH(B18,'Additional data sources'!$F$10:$O$10,0))/1000</f>
        <v>0.53100000000000003</v>
      </c>
    </row>
    <row r="19" spans="1:5" x14ac:dyDescent="0.2">
      <c r="A19" t="str">
        <f>'Production by region'!A24</f>
        <v>Westfleisch</v>
      </c>
      <c r="B19" t="str">
        <f>'Production by region'!B24</f>
        <v>Western Europe</v>
      </c>
      <c r="C19" s="96">
        <f t="shared" si="0"/>
        <v>202204.80000000002</v>
      </c>
      <c r="D19" s="198">
        <f>'Production by region'!C24</f>
        <v>380800</v>
      </c>
      <c r="E19" s="199">
        <f>INDEX('Additional data sources'!$F$11:$O$11,MATCH(B19,'Additional data sources'!$F$10:$O$10,0))/1000</f>
        <v>0.53100000000000003</v>
      </c>
    </row>
  </sheetData>
  <pageMargins left="0.7" right="0.7" top="0.75" bottom="0.75" header="0.3" footer="0.3"/>
  <headerFooter>
    <oddFooter>&amp;L_x000D_&amp;1#&amp;"Aptos"&amp;10&amp;K000000 Classified as Internal | Intern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BD8F-D4F1-43DA-A406-B3EB24CCE9FB}">
  <dimension ref="A1:E28"/>
  <sheetViews>
    <sheetView zoomScale="119" zoomScaleNormal="190" workbookViewId="0">
      <selection activeCell="E2" sqref="E2"/>
    </sheetView>
  </sheetViews>
  <sheetFormatPr defaultRowHeight="12.75" x14ac:dyDescent="0.2"/>
  <cols>
    <col min="1" max="1" width="41.5703125" bestFit="1" customWidth="1"/>
    <col min="2" max="2" width="27.140625" bestFit="1" customWidth="1"/>
    <col min="3" max="3" width="15.7109375" customWidth="1"/>
    <col min="4" max="4" width="14.85546875" customWidth="1"/>
    <col min="5" max="5" width="27.7109375" bestFit="1" customWidth="1"/>
  </cols>
  <sheetData>
    <row r="1" spans="1:5" x14ac:dyDescent="0.2">
      <c r="A1" t="str">
        <f>'Production by region'!E6</f>
        <v xml:space="preserve">Company </v>
      </c>
      <c r="B1" t="str">
        <f>'Production by region'!F6</f>
        <v>Region</v>
      </c>
      <c r="C1" t="s">
        <v>395</v>
      </c>
      <c r="D1" s="197" t="s">
        <v>396</v>
      </c>
      <c r="E1" s="197" t="s">
        <v>410</v>
      </c>
    </row>
    <row r="2" spans="1:5" x14ac:dyDescent="0.2">
      <c r="A2" t="str">
        <f>'Production by region'!E7</f>
        <v>Arab Company for Livestock Development (ACOLID)</v>
      </c>
      <c r="B2" t="str">
        <f>'Production by region'!F7</f>
        <v>Near East and North Africa</v>
      </c>
      <c r="C2" s="96">
        <f>D2*E2</f>
        <v>1238314</v>
      </c>
      <c r="D2" s="198">
        <f>'Production by region'!G7</f>
        <v>662200000</v>
      </c>
      <c r="E2" s="199">
        <f>INDEX('Additional data sources'!$F$13:$O$13,MATCH(B2,'Additional data sources'!$F$10:$O$10,0))/1000</f>
        <v>1.8700000000000001E-3</v>
      </c>
    </row>
    <row r="3" spans="1:5" x14ac:dyDescent="0.2">
      <c r="A3" t="str">
        <f>'Production by region'!E8</f>
        <v>Aurora Alimentos</v>
      </c>
      <c r="B3" s="105" t="s">
        <v>6</v>
      </c>
      <c r="C3" s="96">
        <f t="shared" ref="C3:C28" si="0">D3*E3</f>
        <v>792376.00000000012</v>
      </c>
      <c r="D3" s="198">
        <f>'Production by region'!G8</f>
        <v>320800000</v>
      </c>
      <c r="E3" s="199">
        <f>INDEX('Additional data sources'!$F$13:$O$13,MATCH(B3,'Additional data sources'!$F$10:$O$10,0))/1000</f>
        <v>2.4700000000000004E-3</v>
      </c>
    </row>
    <row r="4" spans="1:5" x14ac:dyDescent="0.2">
      <c r="A4" t="str">
        <f>'Production by region'!E9</f>
        <v>BRF</v>
      </c>
      <c r="B4" s="105" t="s">
        <v>6</v>
      </c>
      <c r="C4" s="96">
        <f t="shared" si="0"/>
        <v>3981999.6320000007</v>
      </c>
      <c r="D4" s="198">
        <f>'Production by region'!G9</f>
        <v>1612145600</v>
      </c>
      <c r="E4" s="199">
        <f>INDEX('Additional data sources'!$F$13:$O$13,MATCH(B4,'Additional data sources'!$F$10:$O$10,0))/1000</f>
        <v>2.4700000000000004E-3</v>
      </c>
    </row>
    <row r="5" spans="1:5" x14ac:dyDescent="0.2">
      <c r="A5" t="str">
        <f>'Production by region'!E10</f>
        <v>Cargill</v>
      </c>
      <c r="B5" s="105" t="str">
        <f>'Production by region'!F10</f>
        <v>East Asia and Southeast Asia</v>
      </c>
      <c r="C5" s="96">
        <f t="shared" si="0"/>
        <v>340200</v>
      </c>
      <c r="D5" s="198">
        <f>'Production by region'!G10</f>
        <v>180000000</v>
      </c>
      <c r="E5" s="199">
        <f>INDEX('Additional data sources'!$F$13:$O$13,MATCH(B5,'Additional data sources'!$F$10:$O$10,0))/1000</f>
        <v>1.89E-3</v>
      </c>
    </row>
    <row r="6" spans="1:5" x14ac:dyDescent="0.2">
      <c r="A6" t="str">
        <f>'Production by region'!E11</f>
        <v>Cargill</v>
      </c>
      <c r="B6" s="105" t="s">
        <v>13</v>
      </c>
      <c r="C6" s="96">
        <f t="shared" si="0"/>
        <v>335520</v>
      </c>
      <c r="D6" s="198">
        <f>'Production by region'!G11</f>
        <v>144000000</v>
      </c>
      <c r="E6" s="199">
        <f>INDEX('Additional data sources'!$F$13:$O$13,MATCH(B6,'Additional data sources'!$F$10:$O$10,0))/1000</f>
        <v>2.33E-3</v>
      </c>
    </row>
    <row r="7" spans="1:5" x14ac:dyDescent="0.2">
      <c r="A7" t="str">
        <f>'Production by region'!E12</f>
        <v>Cargill</v>
      </c>
      <c r="B7" t="str">
        <f>'Production by region'!F12</f>
        <v>Latin America and the Caribbean</v>
      </c>
      <c r="C7" s="96">
        <f t="shared" si="0"/>
        <v>664430.00000000012</v>
      </c>
      <c r="D7" s="198">
        <f>'Production by region'!G12</f>
        <v>269000000</v>
      </c>
      <c r="E7" s="199">
        <f>INDEX('Additional data sources'!$F$13:$O$13,MATCH(B7,'Additional data sources'!$F$10:$O$10,0))/1000</f>
        <v>2.4700000000000004E-3</v>
      </c>
    </row>
    <row r="8" spans="1:5" x14ac:dyDescent="0.2">
      <c r="A8" t="str">
        <f>'Production by region'!E13</f>
        <v>Cargill</v>
      </c>
      <c r="B8" t="str">
        <f>'Production by region'!F13</f>
        <v>North America</v>
      </c>
      <c r="C8" s="96">
        <f t="shared" si="0"/>
        <v>1430052</v>
      </c>
      <c r="D8" s="198">
        <f>'Production by region'!G13</f>
        <v>535600000</v>
      </c>
      <c r="E8" s="199">
        <f>INDEX('Additional data sources'!$F$13:$O$13,MATCH(B8,'Additional data sources'!$F$10:$O$10,0))/1000</f>
        <v>2.6700000000000001E-3</v>
      </c>
    </row>
    <row r="9" spans="1:5" x14ac:dyDescent="0.2">
      <c r="A9" t="str">
        <f>'Production by region'!E14</f>
        <v>Charoen Pokphand</v>
      </c>
      <c r="B9" t="str">
        <f>'Production by region'!F14</f>
        <v>East Asia and Southeast Asia</v>
      </c>
      <c r="C9" s="96">
        <f t="shared" si="0"/>
        <v>1294650</v>
      </c>
      <c r="D9" s="197">
        <f>'Production by region'!G14</f>
        <v>685000000</v>
      </c>
      <c r="E9" s="199">
        <f>INDEX('Additional data sources'!$F$13:$O$13,MATCH(B9,'Additional data sources'!$F$10:$O$10,0))/1000</f>
        <v>1.89E-3</v>
      </c>
    </row>
    <row r="10" spans="1:5" x14ac:dyDescent="0.2">
      <c r="A10" t="str">
        <f>'Production by region'!E15</f>
        <v>Charoen Pokphand</v>
      </c>
      <c r="B10" t="str">
        <f>'Production by region'!F15</f>
        <v>Russian Federation</v>
      </c>
      <c r="C10" s="96">
        <f t="shared" si="0"/>
        <v>145300.00000000003</v>
      </c>
      <c r="D10" s="198">
        <f>'Production by region'!G15</f>
        <v>66347031.963470325</v>
      </c>
      <c r="E10" s="199">
        <f>INDEX('Additional data sources'!$F$13:$O$13,MATCH(B10,'Additional data sources'!$F$10:$O$10,0))/1000</f>
        <v>2.1900000000000001E-3</v>
      </c>
    </row>
    <row r="11" spans="1:5" x14ac:dyDescent="0.2">
      <c r="A11" t="str">
        <f>'Production by region'!E16</f>
        <v>Continental Grain Company</v>
      </c>
      <c r="B11" t="str">
        <f>'Production by region'!F16</f>
        <v>North America</v>
      </c>
      <c r="C11" s="96">
        <f t="shared" si="0"/>
        <v>1430052</v>
      </c>
      <c r="D11" s="198">
        <f>'Production by region'!G16</f>
        <v>535600000</v>
      </c>
      <c r="E11" s="199">
        <f>INDEX('Additional data sources'!$F$13:$O$13,MATCH(B11,'Additional data sources'!$F$10:$O$10,0))/1000</f>
        <v>2.6700000000000001E-3</v>
      </c>
    </row>
    <row r="12" spans="1:5" x14ac:dyDescent="0.2">
      <c r="A12" t="str">
        <f>'Production by region'!E17</f>
        <v>Fuijan Sunner Development</v>
      </c>
      <c r="B12" t="str">
        <f>'Production by region'!F17</f>
        <v>East Asia and Southeast Asia</v>
      </c>
      <c r="C12" s="96">
        <f t="shared" si="0"/>
        <v>1285200</v>
      </c>
      <c r="D12" s="198">
        <f>'Production by region'!G17</f>
        <v>680000000</v>
      </c>
      <c r="E12" s="199">
        <f>INDEX('Additional data sources'!$F$13:$O$13,MATCH(B12,'Additional data sources'!$F$10:$O$10,0))/1000</f>
        <v>1.89E-3</v>
      </c>
    </row>
    <row r="13" spans="1:5" x14ac:dyDescent="0.2">
      <c r="A13" t="str">
        <f>'Production by region'!E18</f>
        <v>Industrias Bachoco</v>
      </c>
      <c r="B13" t="str">
        <f>'Production by region'!F18</f>
        <v>Latin America and the Caribbean</v>
      </c>
      <c r="C13" s="96">
        <f t="shared" si="0"/>
        <v>1247350.0000000002</v>
      </c>
      <c r="D13" s="198">
        <f>'Production by region'!G18</f>
        <v>505000000</v>
      </c>
      <c r="E13" s="199">
        <f>INDEX('Additional data sources'!$F$13:$O$13,MATCH(B13,'Additional data sources'!$F$10:$O$10,0))/1000</f>
        <v>2.4700000000000004E-3</v>
      </c>
    </row>
    <row r="14" spans="1:5" x14ac:dyDescent="0.2">
      <c r="A14" t="str">
        <f>'Production by region'!E19</f>
        <v>Industrias Bachoco</v>
      </c>
      <c r="B14" t="str">
        <f>'Production by region'!F19</f>
        <v>North America</v>
      </c>
      <c r="C14" s="96">
        <f t="shared" si="0"/>
        <v>360450</v>
      </c>
      <c r="D14" s="198">
        <f>'Production by region'!G19</f>
        <v>135000000</v>
      </c>
      <c r="E14" s="199">
        <f>INDEX('Additional data sources'!$F$13:$O$13,MATCH(B14,'Additional data sources'!$F$10:$O$10,0))/1000</f>
        <v>2.6700000000000001E-3</v>
      </c>
    </row>
    <row r="15" spans="1:5" x14ac:dyDescent="0.2">
      <c r="A15" t="str">
        <f>'Production by region'!E20</f>
        <v>Japfa</v>
      </c>
      <c r="B15" t="str">
        <f>'Production by region'!F20</f>
        <v>East Asia and Southeast Asia</v>
      </c>
      <c r="C15" s="96">
        <f t="shared" si="0"/>
        <v>1854090</v>
      </c>
      <c r="D15" s="198">
        <f>'Production by region'!G20</f>
        <v>981000000</v>
      </c>
      <c r="E15" s="199">
        <f>INDEX('Additional data sources'!$F$13:$O$13,MATCH(B15,'Additional data sources'!$F$10:$O$10,0))/1000</f>
        <v>1.89E-3</v>
      </c>
    </row>
    <row r="16" spans="1:5" x14ac:dyDescent="0.2">
      <c r="A16" t="str">
        <f>'Production by region'!E21</f>
        <v>JBS</v>
      </c>
      <c r="B16" t="str">
        <f>'Production by region'!F21</f>
        <v>Latin America and the Caribbean</v>
      </c>
      <c r="C16" s="96">
        <f t="shared" si="0"/>
        <v>3488313.8160000006</v>
      </c>
      <c r="D16" s="198">
        <f>'Production by region'!G21</f>
        <v>1412272800</v>
      </c>
      <c r="E16" s="199">
        <f>INDEX('Additional data sources'!$F$13:$O$13,MATCH(B16,'Additional data sources'!$F$10:$O$10,0))/1000</f>
        <v>2.4700000000000004E-3</v>
      </c>
    </row>
    <row r="17" spans="1:5" x14ac:dyDescent="0.2">
      <c r="A17" t="str">
        <f>'Production by region'!E22</f>
        <v>JBS</v>
      </c>
      <c r="B17" t="str">
        <f>'Production by region'!F22</f>
        <v>North America</v>
      </c>
      <c r="C17" s="96">
        <f t="shared" si="0"/>
        <v>4812832.571076923</v>
      </c>
      <c r="D17" s="197">
        <f>'Production by region'!G22</f>
        <v>1802559015.3846154</v>
      </c>
      <c r="E17" s="199">
        <f>INDEX('Additional data sources'!$F$13:$O$13,MATCH(B17,'Additional data sources'!$F$10:$O$10,0))/1000</f>
        <v>2.6700000000000001E-3</v>
      </c>
    </row>
    <row r="18" spans="1:5" x14ac:dyDescent="0.2">
      <c r="A18" t="str">
        <f>'Production by region'!E23</f>
        <v>JBS</v>
      </c>
      <c r="B18" t="str">
        <f>'Production by region'!F23</f>
        <v>Western Europe</v>
      </c>
      <c r="C18" s="96">
        <f t="shared" si="0"/>
        <v>918741.79815384618</v>
      </c>
      <c r="D18" s="198">
        <f>'Production by region'!G23</f>
        <v>394309784.61538464</v>
      </c>
      <c r="E18" s="199">
        <f>INDEX('Additional data sources'!$F$13:$O$13,MATCH(B18,'Additional data sources'!$F$10:$O$10,0))/1000</f>
        <v>2.33E-3</v>
      </c>
    </row>
    <row r="19" spans="1:5" x14ac:dyDescent="0.2">
      <c r="A19" t="str">
        <f>'Production by region'!E24</f>
        <v>Koch Foods</v>
      </c>
      <c r="B19" t="str">
        <f>'Production by region'!F24</f>
        <v>North America</v>
      </c>
      <c r="C19" s="96">
        <f t="shared" si="0"/>
        <v>1788900</v>
      </c>
      <c r="D19" s="198">
        <f>'Production by region'!G24</f>
        <v>670000000</v>
      </c>
      <c r="E19" s="199">
        <f>INDEX('Additional data sources'!$F$13:$O$13,MATCH(B19,'Additional data sources'!$F$10:$O$10,0))/1000</f>
        <v>2.6700000000000001E-3</v>
      </c>
    </row>
    <row r="20" spans="1:5" x14ac:dyDescent="0.2">
      <c r="A20" t="str">
        <f>'Production by region'!E25</f>
        <v>MHP</v>
      </c>
      <c r="B20" t="str">
        <f>'Production by region'!F25</f>
        <v>Eastern Europe</v>
      </c>
      <c r="C20" s="96">
        <f t="shared" si="0"/>
        <v>960191.38764000009</v>
      </c>
      <c r="D20" s="198">
        <f>'Production by region'!G25</f>
        <v>438443556</v>
      </c>
      <c r="E20" s="199">
        <f>INDEX('Additional data sources'!$F$13:$O$13,MATCH(B20,'Additional data sources'!$F$10:$O$10,0))/1000</f>
        <v>2.1900000000000001E-3</v>
      </c>
    </row>
    <row r="21" spans="1:5" x14ac:dyDescent="0.2">
      <c r="A21" t="str">
        <f>'Production by region'!E26</f>
        <v>New Hope Group</v>
      </c>
      <c r="B21" t="str">
        <f>'Production by region'!F26</f>
        <v>East Asia and Southeast Asia</v>
      </c>
      <c r="C21" s="96">
        <f t="shared" si="0"/>
        <v>1243204.2</v>
      </c>
      <c r="D21" s="198">
        <f>'Production by region'!G26</f>
        <v>657780000</v>
      </c>
      <c r="E21" s="199">
        <f>INDEX('Additional data sources'!$F$13:$O$13,MATCH(B21,'Additional data sources'!$F$10:$O$10,0))/1000</f>
        <v>1.89E-3</v>
      </c>
    </row>
    <row r="22" spans="1:5" x14ac:dyDescent="0.2">
      <c r="A22" t="str">
        <f>'Production by region'!E27</f>
        <v>Perdue Farms</v>
      </c>
      <c r="B22" t="str">
        <f>'Production by region'!F27</f>
        <v>North America</v>
      </c>
      <c r="C22" s="96">
        <f t="shared" si="0"/>
        <v>1642050</v>
      </c>
      <c r="D22" s="198">
        <f>'Production by region'!G27</f>
        <v>615000000</v>
      </c>
      <c r="E22" s="199">
        <f>INDEX('Additional data sources'!$F$13:$O$13,MATCH(B22,'Additional data sources'!$F$10:$O$10,0))/1000</f>
        <v>2.6700000000000001E-3</v>
      </c>
    </row>
    <row r="23" spans="1:5" x14ac:dyDescent="0.2">
      <c r="A23" t="str">
        <f>'Production by region'!E28</f>
        <v>Tyson</v>
      </c>
      <c r="B23" t="str">
        <f>'Production by region'!F28</f>
        <v>East Asia and Southeast Asia</v>
      </c>
      <c r="C23" s="96">
        <f t="shared" si="0"/>
        <v>394705.16129032261</v>
      </c>
      <c r="D23" s="198">
        <f>'Production by region'!G28</f>
        <v>208838709.67741936</v>
      </c>
      <c r="E23" s="199">
        <f>INDEX('Additional data sources'!$F$13:$O$13,MATCH(B23,'Additional data sources'!$F$10:$O$10,0))/1000</f>
        <v>1.89E-3</v>
      </c>
    </row>
    <row r="24" spans="1:5" x14ac:dyDescent="0.2">
      <c r="A24" t="str">
        <f>'Production by region'!E29</f>
        <v>Tyson</v>
      </c>
      <c r="B24" t="str">
        <f>'Production by region'!F29</f>
        <v>North America</v>
      </c>
      <c r="C24" s="96">
        <f t="shared" si="0"/>
        <v>4628074.6451612907</v>
      </c>
      <c r="D24" s="198">
        <f>'Production by region'!G29</f>
        <v>1733361290.3225806</v>
      </c>
      <c r="E24" s="199">
        <f>INDEX('Additional data sources'!$F$13:$O$13,MATCH(B24,'Additional data sources'!$F$10:$O$10,0))/1000</f>
        <v>2.6700000000000001E-3</v>
      </c>
    </row>
    <row r="25" spans="1:5" x14ac:dyDescent="0.2">
      <c r="A25" t="str">
        <f>'Production by region'!E30</f>
        <v>Wellhope Agritech</v>
      </c>
      <c r="B25" t="str">
        <f>'Production by region'!F30</f>
        <v>East Asia and Southeast Asia</v>
      </c>
      <c r="C25" s="96">
        <f t="shared" si="0"/>
        <v>1530900</v>
      </c>
      <c r="D25" s="197">
        <f>'Production by region'!G30</f>
        <v>810000000</v>
      </c>
      <c r="E25" s="199">
        <f>INDEX('Additional data sources'!$F$13:$O$13,MATCH(B25,'Additional data sources'!$F$10:$O$10,0))/1000</f>
        <v>1.89E-3</v>
      </c>
    </row>
    <row r="26" spans="1:5" x14ac:dyDescent="0.2">
      <c r="A26" t="str">
        <f>'Production by region'!E31</f>
        <v>Wen's Food Group</v>
      </c>
      <c r="B26" t="str">
        <f>'Production by region'!F31</f>
        <v>East Asia and Southeast Asia</v>
      </c>
      <c r="C26" s="96">
        <f t="shared" si="0"/>
        <v>2235870</v>
      </c>
      <c r="D26" s="198">
        <f>'Production by region'!G31</f>
        <v>1183000000</v>
      </c>
      <c r="E26" s="199">
        <f>INDEX('Additional data sources'!$F$13:$O$13,MATCH(B26,'Additional data sources'!$F$10:$O$10,0))/1000</f>
        <v>1.89E-3</v>
      </c>
    </row>
    <row r="27" spans="1:5" x14ac:dyDescent="0.2">
      <c r="A27" t="str">
        <f>'Production by region'!E32</f>
        <v>WH Group</v>
      </c>
      <c r="B27" t="str">
        <f>'Production by region'!F32</f>
        <v>East Asia and Southeast Asia</v>
      </c>
      <c r="C27" s="96">
        <f t="shared" si="0"/>
        <v>395640</v>
      </c>
      <c r="D27" s="198">
        <f>'Production by region'!G32</f>
        <v>209333333.33333334</v>
      </c>
      <c r="E27" s="199">
        <f>INDEX('Additional data sources'!$F$13:$O$13,MATCH(B27,'Additional data sources'!$F$10:$O$10,0))/1000</f>
        <v>1.89E-3</v>
      </c>
    </row>
    <row r="28" spans="1:5" x14ac:dyDescent="0.2">
      <c r="A28" t="str">
        <f>'Production by region'!E33</f>
        <v>WH Group</v>
      </c>
      <c r="B28" t="str">
        <f>'Production by region'!F33</f>
        <v>Eastern Europe</v>
      </c>
      <c r="C28" s="96">
        <f t="shared" si="0"/>
        <v>229220.00000000003</v>
      </c>
      <c r="D28" s="198">
        <f>'Production by region'!G33</f>
        <v>104666666.66666667</v>
      </c>
      <c r="E28" s="199">
        <f>INDEX('Additional data sources'!$F$13:$O$13,MATCH(B28,'Additional data sources'!$F$10:$O$10,0))/1000</f>
        <v>2.1900000000000001E-3</v>
      </c>
    </row>
  </sheetData>
  <pageMargins left="0.7" right="0.7" top="0.75" bottom="0.75" header="0.3" footer="0.3"/>
  <headerFooter>
    <oddFooter>&amp;L_x000D_&amp;1#&amp;"Aptos"&amp;10&amp;K000000 Classified as Internal | Intern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C308-3D86-40A5-A8FD-57A21A92DC0A}">
  <dimension ref="A1:E32"/>
  <sheetViews>
    <sheetView zoomScale="113" zoomScaleNormal="205" workbookViewId="0">
      <selection activeCell="E2" sqref="E2"/>
    </sheetView>
  </sheetViews>
  <sheetFormatPr defaultRowHeight="12.75" x14ac:dyDescent="0.2"/>
  <cols>
    <col min="1" max="1" width="19" bestFit="1" customWidth="1"/>
    <col min="2" max="2" width="27.140625" bestFit="1" customWidth="1"/>
    <col min="3" max="3" width="18.7109375" customWidth="1"/>
    <col min="4" max="4" width="20.7109375" customWidth="1"/>
    <col min="5" max="5" width="27.7109375" bestFit="1" customWidth="1"/>
  </cols>
  <sheetData>
    <row r="1" spans="1:5" x14ac:dyDescent="0.2">
      <c r="A1" t="str">
        <f>'Production by region'!I6</f>
        <v xml:space="preserve">Company </v>
      </c>
      <c r="B1" t="str">
        <f>'Production by region'!J6</f>
        <v>Region</v>
      </c>
      <c r="C1" t="s">
        <v>394</v>
      </c>
      <c r="D1" s="197" t="s">
        <v>397</v>
      </c>
      <c r="E1" s="197" t="s">
        <v>411</v>
      </c>
    </row>
    <row r="2" spans="1:5" x14ac:dyDescent="0.2">
      <c r="A2" t="str">
        <f>'Production by region'!I7</f>
        <v>Aurora Alimentos</v>
      </c>
      <c r="B2" s="105" t="s">
        <v>6</v>
      </c>
      <c r="C2" s="96">
        <f>D2*E2</f>
        <v>839500</v>
      </c>
      <c r="D2" s="198">
        <f>'Production by region'!K7</f>
        <v>7300000</v>
      </c>
      <c r="E2" s="200">
        <f>INDEX('Additional data sources'!$F$12:$O$12,MATCH(B2,'Additional data sources'!$F$10:$O$10,0))/1000</f>
        <v>0.115</v>
      </c>
    </row>
    <row r="3" spans="1:5" x14ac:dyDescent="0.2">
      <c r="A3" t="str">
        <f>'Production by region'!I8</f>
        <v>Bigard</v>
      </c>
      <c r="B3" s="105" t="str">
        <f>'Production by region'!J8</f>
        <v>Western Europe</v>
      </c>
      <c r="C3" s="96">
        <f t="shared" ref="C3:C32" si="0">D3*E3</f>
        <v>972307.69230769249</v>
      </c>
      <c r="D3" s="198">
        <f>'Production by region'!K8</f>
        <v>8381962.8647214863</v>
      </c>
      <c r="E3" s="200">
        <f>INDEX('Additional data sources'!$F$12:$O$12,MATCH(B3,'Additional data sources'!$F$10:$O$10,0))/1000</f>
        <v>0.11600000000000001</v>
      </c>
    </row>
    <row r="4" spans="1:5" x14ac:dyDescent="0.2">
      <c r="A4" t="str">
        <f>'Production by region'!I9</f>
        <v>BRF</v>
      </c>
      <c r="B4" s="105" t="s">
        <v>6</v>
      </c>
      <c r="C4" s="96">
        <f t="shared" si="0"/>
        <v>1108548.48</v>
      </c>
      <c r="D4" s="198">
        <f>'Production by region'!K9</f>
        <v>9639552</v>
      </c>
      <c r="E4" s="200">
        <f>INDEX('Additional data sources'!$F$12:$O$12,MATCH(B4,'Additional data sources'!$F$10:$O$10,0))/1000</f>
        <v>0.115</v>
      </c>
    </row>
    <row r="5" spans="1:5" x14ac:dyDescent="0.2">
      <c r="A5" t="str">
        <f>'Production by region'!I10</f>
        <v>Charoen Pokphand</v>
      </c>
      <c r="B5" s="105" t="str">
        <f>'Production by region'!J10</f>
        <v>East Asia and Southeast Asia</v>
      </c>
      <c r="C5" s="96">
        <f t="shared" si="0"/>
        <v>127690</v>
      </c>
      <c r="D5" s="198">
        <f>'Production by region'!K10</f>
        <v>1130000</v>
      </c>
      <c r="E5" s="200">
        <f>INDEX('Additional data sources'!$F$12:$O$12,MATCH(B5,'Additional data sources'!$F$10:$O$10,0))/1000</f>
        <v>0.113</v>
      </c>
    </row>
    <row r="6" spans="1:5" x14ac:dyDescent="0.2">
      <c r="A6" t="str">
        <f>'Production by region'!I11</f>
        <v>Charoen Pokphand</v>
      </c>
      <c r="B6" t="str">
        <f>'Production by region'!J11</f>
        <v>North America</v>
      </c>
      <c r="C6" s="96">
        <f t="shared" si="0"/>
        <v>437000</v>
      </c>
      <c r="D6" s="198">
        <f>'Production by region'!K11</f>
        <v>3800000</v>
      </c>
      <c r="E6" s="200">
        <f>INDEX('Additional data sources'!$F$12:$O$12,MATCH(B6,'Additional data sources'!$F$10:$O$10,0))/1000</f>
        <v>0.115</v>
      </c>
    </row>
    <row r="7" spans="1:5" x14ac:dyDescent="0.2">
      <c r="A7" t="str">
        <f>'Production by region'!I12</f>
        <v>Charoen Pokphand</v>
      </c>
      <c r="B7" t="str">
        <f>'Production by region'!J12</f>
        <v>Russian Federation</v>
      </c>
      <c r="C7" s="96">
        <f t="shared" si="0"/>
        <v>263400</v>
      </c>
      <c r="D7" s="198">
        <f>'Production by region'!K12</f>
        <v>2270689.6551724137</v>
      </c>
      <c r="E7" s="200">
        <f>INDEX('Additional data sources'!$F$12:$O$12,MATCH(B7,'Additional data sources'!$F$10:$O$10,0))/1000</f>
        <v>0.11600000000000001</v>
      </c>
    </row>
    <row r="8" spans="1:5" x14ac:dyDescent="0.2">
      <c r="A8" t="str">
        <f>'Production by region'!I13</f>
        <v>Clemens Food Group</v>
      </c>
      <c r="B8" t="str">
        <f>'Production by region'!J13</f>
        <v>North America</v>
      </c>
      <c r="C8" s="96">
        <f t="shared" si="0"/>
        <v>388976</v>
      </c>
      <c r="D8" s="198">
        <f>'Production by region'!K13</f>
        <v>3382400</v>
      </c>
      <c r="E8" s="200">
        <f>INDEX('Additional data sources'!$F$12:$O$12,MATCH(B8,'Additional data sources'!$F$10:$O$10,0))/1000</f>
        <v>0.115</v>
      </c>
    </row>
    <row r="9" spans="1:5" x14ac:dyDescent="0.2">
      <c r="A9" t="str">
        <f>'Production by region'!I14</f>
        <v>COFCO Group</v>
      </c>
      <c r="B9" t="str">
        <f>'Production by region'!J14</f>
        <v>East Asia and Southeast Asia</v>
      </c>
      <c r="C9" s="96">
        <f t="shared" si="0"/>
        <v>587600</v>
      </c>
      <c r="D9" s="197">
        <f>'Production by region'!K14</f>
        <v>5200000</v>
      </c>
      <c r="E9" s="200">
        <f>INDEX('Additional data sources'!$F$12:$O$12,MATCH(B9,'Additional data sources'!$F$10:$O$10,0))/1000</f>
        <v>0.113</v>
      </c>
    </row>
    <row r="10" spans="1:5" x14ac:dyDescent="0.2">
      <c r="A10" t="str">
        <f>'Production by region'!I15</f>
        <v>Cooperl Arc Atlantique</v>
      </c>
      <c r="B10" t="str">
        <f>'Production by region'!J15</f>
        <v>Western Europe</v>
      </c>
      <c r="C10" s="96">
        <f t="shared" si="0"/>
        <v>498800</v>
      </c>
      <c r="D10" s="198">
        <f>'Production by region'!K15</f>
        <v>4300000</v>
      </c>
      <c r="E10" s="200">
        <f>INDEX('Additional data sources'!$F$12:$O$12,MATCH(B10,'Additional data sources'!$F$10:$O$10,0))/1000</f>
        <v>0.11600000000000001</v>
      </c>
    </row>
    <row r="11" spans="1:5" x14ac:dyDescent="0.2">
      <c r="A11" t="str">
        <f>'Production by region'!I16</f>
        <v>Danish Crown</v>
      </c>
      <c r="B11" t="str">
        <f>'Production by region'!J16</f>
        <v>Eastern Europe</v>
      </c>
      <c r="C11" s="96">
        <f t="shared" si="0"/>
        <v>147338.56</v>
      </c>
      <c r="D11" s="198">
        <f>'Production by region'!K16</f>
        <v>1270160</v>
      </c>
      <c r="E11" s="200">
        <f>INDEX('Additional data sources'!$F$12:$O$12,MATCH(B11,'Additional data sources'!$F$10:$O$10,0))/1000</f>
        <v>0.11600000000000001</v>
      </c>
    </row>
    <row r="12" spans="1:5" x14ac:dyDescent="0.2">
      <c r="A12" t="str">
        <f>'Production by region'!I17</f>
        <v>Danish Crown</v>
      </c>
      <c r="B12" t="str">
        <f>'Production by region'!J17</f>
        <v>Western Europe</v>
      </c>
      <c r="C12" s="96">
        <f t="shared" si="0"/>
        <v>1694393.4400000002</v>
      </c>
      <c r="D12" s="198">
        <f>'Production by region'!K17</f>
        <v>14606840</v>
      </c>
      <c r="E12" s="200">
        <f>INDEX('Additional data sources'!$F$12:$O$12,MATCH(B12,'Additional data sources'!$F$10:$O$10,0))/1000</f>
        <v>0.11600000000000001</v>
      </c>
    </row>
    <row r="13" spans="1:5" x14ac:dyDescent="0.2">
      <c r="A13" t="str">
        <f>'Production by region'!I18</f>
        <v>Grupo Jorges</v>
      </c>
      <c r="B13" t="str">
        <f>'Production by region'!J18</f>
        <v>Western Europe</v>
      </c>
      <c r="C13" s="96">
        <f t="shared" si="0"/>
        <v>742400</v>
      </c>
      <c r="D13" s="198">
        <f>'Production by region'!K18</f>
        <v>6400000</v>
      </c>
      <c r="E13" s="200">
        <f>INDEX('Additional data sources'!$F$12:$O$12,MATCH(B13,'Additional data sources'!$F$10:$O$10,0))/1000</f>
        <v>0.11600000000000001</v>
      </c>
    </row>
    <row r="14" spans="1:5" x14ac:dyDescent="0.2">
      <c r="A14" t="str">
        <f>'Production by region'!I19</f>
        <v>Grupo Vall</v>
      </c>
      <c r="B14" t="str">
        <f>'Production by region'!J19</f>
        <v>Western Europe</v>
      </c>
      <c r="C14" s="96">
        <f t="shared" si="0"/>
        <v>986666.66666666663</v>
      </c>
      <c r="D14" s="198">
        <f>'Production by region'!K19</f>
        <v>8505747.1264367811</v>
      </c>
      <c r="E14" s="200">
        <f>INDEX('Additional data sources'!$F$12:$O$12,MATCH(B14,'Additional data sources'!$F$10:$O$10,0))/1000</f>
        <v>0.11600000000000001</v>
      </c>
    </row>
    <row r="15" spans="1:5" x14ac:dyDescent="0.2">
      <c r="A15" t="str">
        <f>'Production by region'!I20</f>
        <v>Gruppo Cremonini</v>
      </c>
      <c r="B15" t="str">
        <f>'Production by region'!J20</f>
        <v>Western Europe</v>
      </c>
      <c r="C15" s="96">
        <f t="shared" si="0"/>
        <v>82051.282051282062</v>
      </c>
      <c r="D15" s="198">
        <f>'Production by region'!K20</f>
        <v>707338.63837312115</v>
      </c>
      <c r="E15" s="200">
        <f>INDEX('Additional data sources'!$F$12:$O$12,MATCH(B15,'Additional data sources'!$F$10:$O$10,0))/1000</f>
        <v>0.11600000000000001</v>
      </c>
    </row>
    <row r="16" spans="1:5" x14ac:dyDescent="0.2">
      <c r="A16" t="str">
        <f>'Production by region'!I21</f>
        <v>JBS</v>
      </c>
      <c r="B16" t="str">
        <f>'Production by region'!J21</f>
        <v>Latin America and the Caribbean</v>
      </c>
      <c r="C16" s="96">
        <f t="shared" si="0"/>
        <v>1013560.3200000001</v>
      </c>
      <c r="D16" s="198">
        <f>'Production by region'!K21</f>
        <v>8813568</v>
      </c>
      <c r="E16" s="200">
        <f>INDEX('Additional data sources'!$F$12:$O$12,MATCH(B16,'Additional data sources'!$F$10:$O$10,0))/1000</f>
        <v>0.115</v>
      </c>
    </row>
    <row r="17" spans="1:5" x14ac:dyDescent="0.2">
      <c r="A17" t="str">
        <f>'Production by region'!I22</f>
        <v>JBS</v>
      </c>
      <c r="B17" t="str">
        <f>'Production by region'!J22</f>
        <v>North America</v>
      </c>
      <c r="C17" s="96">
        <f t="shared" si="0"/>
        <v>3087358.08</v>
      </c>
      <c r="D17" s="197">
        <f>'Production by region'!K22</f>
        <v>26846592</v>
      </c>
      <c r="E17" s="200">
        <f>INDEX('Additional data sources'!$F$12:$O$12,MATCH(B17,'Additional data sources'!$F$10:$O$10,0))/1000</f>
        <v>0.115</v>
      </c>
    </row>
    <row r="18" spans="1:5" x14ac:dyDescent="0.2">
      <c r="A18" t="str">
        <f>'Production by region'!I23</f>
        <v>JBS</v>
      </c>
      <c r="B18" t="str">
        <f>'Production by region'!J23</f>
        <v>Oceania</v>
      </c>
      <c r="C18" s="96">
        <f t="shared" si="0"/>
        <v>225609.94559999998</v>
      </c>
      <c r="D18" s="198">
        <f>'Production by region'!K23</f>
        <v>3090547.1999999997</v>
      </c>
      <c r="E18" s="200">
        <f>INDEX('Additional data sources'!$F$12:$O$12,MATCH(B18,'Additional data sources'!$F$10:$O$10,0))/1000</f>
        <v>7.2999999999999995E-2</v>
      </c>
    </row>
    <row r="19" spans="1:5" x14ac:dyDescent="0.2">
      <c r="A19" t="str">
        <f>'Production by region'!I24</f>
        <v>JBS</v>
      </c>
      <c r="B19" t="str">
        <f>'Production by region'!J24</f>
        <v>Western Europe</v>
      </c>
      <c r="C19" s="96">
        <f t="shared" si="0"/>
        <v>236182.24080000003</v>
      </c>
      <c r="D19" s="198">
        <f>'Production by region'!K24</f>
        <v>2036053.8</v>
      </c>
      <c r="E19" s="200">
        <f>INDEX('Additional data sources'!$F$12:$O$12,MATCH(B19,'Additional data sources'!$F$10:$O$10,0))/1000</f>
        <v>0.11600000000000001</v>
      </c>
    </row>
    <row r="20" spans="1:5" x14ac:dyDescent="0.2">
      <c r="A20" t="str">
        <f>'Production by region'!I25</f>
        <v>Muyuan Foodstuff</v>
      </c>
      <c r="B20" t="str">
        <f>'Production by region'!J25</f>
        <v>East Asia and Southeast Asia</v>
      </c>
      <c r="C20" s="96">
        <f t="shared" si="0"/>
        <v>1498380</v>
      </c>
      <c r="D20" s="198">
        <f>'Production by region'!K25</f>
        <v>13260000</v>
      </c>
      <c r="E20" s="200">
        <f>INDEX('Additional data sources'!$F$12:$O$12,MATCH(B20,'Additional data sources'!$F$10:$O$10,0))/1000</f>
        <v>0.113</v>
      </c>
    </row>
    <row r="21" spans="1:5" x14ac:dyDescent="0.2">
      <c r="A21" t="str">
        <f>'Production by region'!I26</f>
        <v>New Hope Group</v>
      </c>
      <c r="B21" t="str">
        <f>'Production by region'!J26</f>
        <v>East Asia and Southeast Asia</v>
      </c>
      <c r="C21" s="96">
        <f t="shared" si="0"/>
        <v>447480</v>
      </c>
      <c r="D21" s="198">
        <f>'Production by region'!K26</f>
        <v>3960000</v>
      </c>
      <c r="E21" s="200">
        <f>INDEX('Additional data sources'!$F$12:$O$12,MATCH(B21,'Additional data sources'!$F$10:$O$10,0))/1000</f>
        <v>0.113</v>
      </c>
    </row>
    <row r="22" spans="1:5" x14ac:dyDescent="0.2">
      <c r="A22" t="str">
        <f>'Production by region'!I27</f>
        <v>Seaboard</v>
      </c>
      <c r="B22" t="str">
        <f>'Production by region'!J27</f>
        <v>North America</v>
      </c>
      <c r="C22" s="96">
        <f t="shared" si="0"/>
        <v>690000</v>
      </c>
      <c r="D22" s="198">
        <f>'Production by region'!K27</f>
        <v>6000000</v>
      </c>
      <c r="E22" s="200">
        <f>INDEX('Additional data sources'!$F$12:$O$12,MATCH(B22,'Additional data sources'!$F$10:$O$10,0))/1000</f>
        <v>0.115</v>
      </c>
    </row>
    <row r="23" spans="1:5" x14ac:dyDescent="0.2">
      <c r="A23" t="str">
        <f>'Production by region'!I28</f>
        <v>Tönnies Group</v>
      </c>
      <c r="B23" t="str">
        <f>'Production by region'!J28</f>
        <v>Western Europe</v>
      </c>
      <c r="C23" s="96">
        <f t="shared" si="0"/>
        <v>2063640</v>
      </c>
      <c r="D23" s="198">
        <f>'Production by region'!K28</f>
        <v>17790000</v>
      </c>
      <c r="E23" s="200">
        <f>INDEX('Additional data sources'!$F$12:$O$12,MATCH(B23,'Additional data sources'!$F$10:$O$10,0))/1000</f>
        <v>0.11600000000000001</v>
      </c>
    </row>
    <row r="24" spans="1:5" x14ac:dyDescent="0.2">
      <c r="A24" t="str">
        <f>'Production by region'!I29</f>
        <v>Triumph Foods</v>
      </c>
      <c r="B24" t="str">
        <f>'Production by region'!J29</f>
        <v>North America</v>
      </c>
      <c r="C24" s="96">
        <f t="shared" si="0"/>
        <v>598000</v>
      </c>
      <c r="D24" s="198">
        <f>'Production by region'!K29</f>
        <v>5200000</v>
      </c>
      <c r="E24" s="200">
        <f>INDEX('Additional data sources'!$F$12:$O$12,MATCH(B24,'Additional data sources'!$F$10:$O$10,0))/1000</f>
        <v>0.115</v>
      </c>
    </row>
    <row r="25" spans="1:5" x14ac:dyDescent="0.2">
      <c r="A25" t="str">
        <f>'Production by region'!I30</f>
        <v>Tyson</v>
      </c>
      <c r="B25" t="str">
        <f>'Production by region'!J30</f>
        <v>North America</v>
      </c>
      <c r="C25" s="96">
        <f t="shared" si="0"/>
        <v>2365927.2000000002</v>
      </c>
      <c r="D25" s="197">
        <f>'Production by region'!K30</f>
        <v>20573280</v>
      </c>
      <c r="E25" s="200">
        <f>INDEX('Additional data sources'!$F$12:$O$12,MATCH(B25,'Additional data sources'!$F$10:$O$10,0))/1000</f>
        <v>0.115</v>
      </c>
    </row>
    <row r="26" spans="1:5" x14ac:dyDescent="0.2">
      <c r="A26" t="str">
        <f>'Production by region'!I31</f>
        <v>Vion Food Group</v>
      </c>
      <c r="B26" t="str">
        <f>'Production by region'!J31</f>
        <v>Western Europe</v>
      </c>
      <c r="C26" s="96">
        <f t="shared" si="0"/>
        <v>1765807.9625292742</v>
      </c>
      <c r="D26" s="198">
        <f>'Production by region'!K31</f>
        <v>15222482.435597191</v>
      </c>
      <c r="E26" s="200">
        <f>INDEX('Additional data sources'!$F$12:$O$12,MATCH(B26,'Additional data sources'!$F$10:$O$10,0))/1000</f>
        <v>0.11600000000000001</v>
      </c>
    </row>
    <row r="27" spans="1:5" x14ac:dyDescent="0.2">
      <c r="A27" t="str">
        <f>'Production by region'!I32</f>
        <v>Wen's Food Group</v>
      </c>
      <c r="B27" t="str">
        <f>'Production by region'!J32</f>
        <v>East Asia and Southeast Asia</v>
      </c>
      <c r="C27" s="96">
        <f t="shared" si="0"/>
        <v>433920</v>
      </c>
      <c r="D27" s="198">
        <f>'Production by region'!K32</f>
        <v>3840000</v>
      </c>
      <c r="E27" s="200">
        <f>INDEX('Additional data sources'!$F$12:$O$12,MATCH(B27,'Additional data sources'!$F$10:$O$10,0))/1000</f>
        <v>0.113</v>
      </c>
    </row>
    <row r="28" spans="1:5" x14ac:dyDescent="0.2">
      <c r="A28" t="str">
        <f>'Production by region'!I33</f>
        <v>Westfleisch</v>
      </c>
      <c r="B28" t="str">
        <f>'Production by region'!J33</f>
        <v>Western Europe</v>
      </c>
      <c r="C28" s="96">
        <f t="shared" si="0"/>
        <v>765600</v>
      </c>
      <c r="D28" s="198">
        <f>'Production by region'!K33</f>
        <v>6600000</v>
      </c>
      <c r="E28" s="200">
        <f>INDEX('Additional data sources'!$F$12:$O$12,MATCH(B28,'Additional data sources'!$F$10:$O$10,0))/1000</f>
        <v>0.11600000000000001</v>
      </c>
    </row>
    <row r="29" spans="1:5" x14ac:dyDescent="0.2">
      <c r="A29" t="str">
        <f>'Production by region'!I34</f>
        <v>WH Group</v>
      </c>
      <c r="B29" t="str">
        <f>'Production by region'!J34</f>
        <v>East Asia and Southeast Asia</v>
      </c>
      <c r="C29" s="96">
        <f t="shared" si="0"/>
        <v>1489107.1103305023</v>
      </c>
      <c r="D29" s="198">
        <f>'Production by region'!K34</f>
        <v>13177939.029473471</v>
      </c>
      <c r="E29" s="200">
        <f>INDEX('Additional data sources'!$F$12:$O$12,MATCH(B29,'Additional data sources'!$F$10:$O$10,0))/1000</f>
        <v>0.113</v>
      </c>
    </row>
    <row r="30" spans="1:5" x14ac:dyDescent="0.2">
      <c r="A30" t="str">
        <f>'Production by region'!I35</f>
        <v>WH Group</v>
      </c>
      <c r="B30" t="str">
        <f>'Production by region'!J35</f>
        <v>Eastern Europe</v>
      </c>
      <c r="C30" s="96">
        <f t="shared" si="0"/>
        <v>726226.27789776633</v>
      </c>
      <c r="D30" s="198">
        <f>'Production by region'!K35</f>
        <v>6260571.3611876406</v>
      </c>
      <c r="E30" s="200">
        <f>INDEX('Additional data sources'!$F$12:$O$12,MATCH(B30,'Additional data sources'!$F$10:$O$10,0))/1000</f>
        <v>0.11600000000000001</v>
      </c>
    </row>
    <row r="31" spans="1:5" x14ac:dyDescent="0.2">
      <c r="A31" t="str">
        <f>'Production by region'!I36</f>
        <v>WH Group</v>
      </c>
      <c r="B31" t="str">
        <f>'Production by region'!J36</f>
        <v>North America</v>
      </c>
      <c r="C31" s="96">
        <f t="shared" si="0"/>
        <v>3419006.3050739728</v>
      </c>
      <c r="D31" s="198">
        <f>'Production by region'!K36</f>
        <v>29730489.609338891</v>
      </c>
      <c r="E31" s="200">
        <f>INDEX('Additional data sources'!$F$12:$O$12,MATCH(B31,'Additional data sources'!$F$10:$O$10,0))/1000</f>
        <v>0.115</v>
      </c>
    </row>
    <row r="32" spans="1:5" x14ac:dyDescent="0.2">
      <c r="A32" t="str">
        <f>'Production by region'!I37</f>
        <v>Zhengbang Group</v>
      </c>
      <c r="B32" t="str">
        <f>'Production by region'!J37</f>
        <v>East Asia and Southeast Asia</v>
      </c>
      <c r="C32" s="96">
        <f t="shared" si="0"/>
        <v>954850</v>
      </c>
      <c r="D32" s="198">
        <f>'Production by region'!K37</f>
        <v>8450000</v>
      </c>
      <c r="E32" s="200">
        <f>INDEX('Additional data sources'!$F$12:$O$12,MATCH(B32,'Additional data sources'!$F$10:$O$10,0))/1000</f>
        <v>0.113</v>
      </c>
    </row>
  </sheetData>
  <pageMargins left="0.7" right="0.7" top="0.75" bottom="0.75" header="0.3" footer="0.3"/>
  <headerFooter>
    <oddFooter>&amp;L_x000D_&amp;1#&amp;"Aptos"&amp;10&amp;K000000 Classified as Internal | Intern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D4BF-F464-45E2-997F-DB3369F4E49C}">
  <sheetPr codeName="Sheet5">
    <tabColor theme="8" tint="0.79998168889431442"/>
  </sheetPr>
  <dimension ref="A1:N118"/>
  <sheetViews>
    <sheetView zoomScale="94" zoomScaleNormal="100" workbookViewId="0">
      <selection activeCell="H39" sqref="H39"/>
    </sheetView>
  </sheetViews>
  <sheetFormatPr defaultColWidth="8.7109375" defaultRowHeight="12.75" x14ac:dyDescent="0.2"/>
  <cols>
    <col min="1" max="1" width="11.140625" style="181" customWidth="1"/>
    <col min="2" max="2" width="25.85546875" customWidth="1"/>
    <col min="3" max="3" width="8.42578125" customWidth="1"/>
    <col min="4" max="4" width="12.85546875" customWidth="1"/>
    <col min="5" max="5" width="27.42578125" style="5" customWidth="1"/>
    <col min="6" max="6" width="13.28515625" style="5" customWidth="1"/>
    <col min="7" max="8" width="19.42578125" style="149" customWidth="1"/>
    <col min="9" max="9" width="21.42578125" style="149" customWidth="1"/>
    <col min="10" max="10" width="15.85546875" customWidth="1"/>
    <col min="11" max="11" width="71.42578125" style="5" customWidth="1"/>
    <col min="12" max="12" width="64" customWidth="1"/>
    <col min="13" max="13" width="56.7109375" customWidth="1"/>
    <col min="14" max="14" width="50.7109375" style="105" customWidth="1"/>
    <col min="15" max="16384" width="8.7109375" style="105"/>
  </cols>
  <sheetData>
    <row r="1" spans="1:14" x14ac:dyDescent="0.2">
      <c r="B1" s="139" t="s">
        <v>115</v>
      </c>
      <c r="E1" s="163"/>
      <c r="F1" s="146"/>
      <c r="G1" s="149" t="s">
        <v>341</v>
      </c>
      <c r="N1"/>
    </row>
    <row r="2" spans="1:14" x14ac:dyDescent="0.2">
      <c r="E2" s="61"/>
      <c r="F2" s="121"/>
      <c r="G2" s="149" t="s">
        <v>344</v>
      </c>
      <c r="N2"/>
    </row>
    <row r="3" spans="1:14" s="111" customFormat="1" x14ac:dyDescent="0.2">
      <c r="A3" s="182"/>
      <c r="B3" s="164"/>
      <c r="C3" s="164"/>
      <c r="D3" s="164"/>
      <c r="E3" s="165"/>
      <c r="F3" s="165"/>
      <c r="G3" s="166"/>
      <c r="H3" s="166"/>
      <c r="I3" s="166"/>
      <c r="J3" s="164"/>
      <c r="K3" s="167"/>
      <c r="L3" s="164"/>
      <c r="M3" s="164"/>
      <c r="N3" s="164"/>
    </row>
    <row r="4" spans="1:14" s="106" customFormat="1" x14ac:dyDescent="0.2">
      <c r="A4" s="183"/>
      <c r="B4" s="147"/>
      <c r="C4" s="172"/>
      <c r="D4" s="172"/>
      <c r="E4" s="172"/>
      <c r="F4" s="172"/>
      <c r="G4" s="211" t="s">
        <v>382</v>
      </c>
      <c r="H4" s="212"/>
      <c r="I4" s="172"/>
      <c r="J4" s="172"/>
      <c r="K4" s="172"/>
      <c r="L4" s="172"/>
      <c r="M4" s="148"/>
    </row>
    <row r="5" spans="1:14" s="113" customFormat="1" ht="38.25" x14ac:dyDescent="0.2">
      <c r="A5" s="184" t="s">
        <v>289</v>
      </c>
      <c r="B5" s="168" t="s">
        <v>21</v>
      </c>
      <c r="C5" s="169" t="s">
        <v>279</v>
      </c>
      <c r="D5" s="168" t="s">
        <v>16</v>
      </c>
      <c r="E5" s="168" t="s">
        <v>0</v>
      </c>
      <c r="F5" s="170" t="s">
        <v>173</v>
      </c>
      <c r="G5" s="175" t="s">
        <v>385</v>
      </c>
      <c r="H5" s="175" t="s">
        <v>386</v>
      </c>
      <c r="I5" s="171" t="s">
        <v>383</v>
      </c>
      <c r="J5" s="173" t="s">
        <v>42</v>
      </c>
      <c r="K5" s="42" t="s">
        <v>202</v>
      </c>
      <c r="L5" s="170" t="s">
        <v>43</v>
      </c>
      <c r="M5" s="42" t="s">
        <v>101</v>
      </c>
    </row>
    <row r="6" spans="1:14" s="106" customFormat="1" ht="16.149999999999999" customHeight="1" x14ac:dyDescent="0.2">
      <c r="A6" s="185" t="s">
        <v>290</v>
      </c>
      <c r="B6" s="140" t="s">
        <v>25</v>
      </c>
      <c r="C6" s="141" t="s">
        <v>274</v>
      </c>
      <c r="D6" s="142" t="s">
        <v>1</v>
      </c>
      <c r="E6" s="142" t="s">
        <v>6</v>
      </c>
      <c r="F6" s="142" t="s">
        <v>281</v>
      </c>
      <c r="G6" s="150" t="s">
        <v>345</v>
      </c>
      <c r="H6" s="150" t="s">
        <v>346</v>
      </c>
      <c r="I6" s="143">
        <f>'Additional company data'!C38*days_per_year*Cap_cattle</f>
        <v>9218836.9000000004</v>
      </c>
      <c r="J6" s="142">
        <v>2023</v>
      </c>
      <c r="K6" s="123" t="s">
        <v>379</v>
      </c>
      <c r="L6" s="121" t="s">
        <v>332</v>
      </c>
      <c r="M6" s="123"/>
    </row>
    <row r="7" spans="1:14" s="106" customFormat="1" ht="16.149999999999999" customHeight="1" x14ac:dyDescent="0.2">
      <c r="A7" s="185" t="s">
        <v>290</v>
      </c>
      <c r="B7" s="140" t="s">
        <v>25</v>
      </c>
      <c r="C7" s="141" t="s">
        <v>274</v>
      </c>
      <c r="D7" s="142" t="s">
        <v>1</v>
      </c>
      <c r="E7" s="142" t="s">
        <v>8</v>
      </c>
      <c r="F7" s="142" t="s">
        <v>365</v>
      </c>
      <c r="G7" s="150" t="s">
        <v>345</v>
      </c>
      <c r="H7" s="150" t="s">
        <v>349</v>
      </c>
      <c r="I7" s="150">
        <f>'Additional company data'!D38*days_per_year*Cap_cattle*SUM('Additional company data'!I38,'Additional company data'!K38)/SUM('Additional company data'!I38:L38)</f>
        <v>8958582.3599999994</v>
      </c>
      <c r="J7" s="142">
        <v>2023</v>
      </c>
      <c r="K7" s="123" t="s">
        <v>379</v>
      </c>
      <c r="L7" s="121" t="s">
        <v>332</v>
      </c>
      <c r="M7" s="123"/>
    </row>
    <row r="8" spans="1:14" s="108" customFormat="1" ht="16.149999999999999" customHeight="1" x14ac:dyDescent="0.2">
      <c r="A8" s="185" t="s">
        <v>290</v>
      </c>
      <c r="B8" s="140" t="s">
        <v>25</v>
      </c>
      <c r="C8" s="141" t="s">
        <v>274</v>
      </c>
      <c r="D8" s="142" t="s">
        <v>1</v>
      </c>
      <c r="E8" s="142" t="s">
        <v>9</v>
      </c>
      <c r="F8" s="142" t="s">
        <v>365</v>
      </c>
      <c r="G8" s="150" t="s">
        <v>345</v>
      </c>
      <c r="H8" s="150" t="s">
        <v>349</v>
      </c>
      <c r="I8" s="150">
        <f>'Additional company data'!D38*days_per_year*Cap_cattle*'Additional company data'!L38/SUM('Additional company data'!I38:L38)</f>
        <v>2637722.3600000003</v>
      </c>
      <c r="J8" s="142">
        <v>2023</v>
      </c>
      <c r="K8" s="123" t="s">
        <v>380</v>
      </c>
      <c r="L8" s="121" t="s">
        <v>332</v>
      </c>
      <c r="M8" s="123"/>
      <c r="N8" s="107"/>
    </row>
    <row r="9" spans="1:14" s="106" customFormat="1" ht="16.149999999999999" customHeight="1" x14ac:dyDescent="0.2">
      <c r="A9" s="185" t="s">
        <v>290</v>
      </c>
      <c r="B9" s="120" t="s">
        <v>39</v>
      </c>
      <c r="C9" s="119" t="s">
        <v>281</v>
      </c>
      <c r="D9" s="121" t="s">
        <v>1</v>
      </c>
      <c r="E9" s="121" t="s">
        <v>6</v>
      </c>
      <c r="F9" s="121" t="s">
        <v>365</v>
      </c>
      <c r="G9" s="151" t="s">
        <v>345</v>
      </c>
      <c r="H9" s="151" t="s">
        <v>354</v>
      </c>
      <c r="I9" s="151">
        <f>16900*days_per_year*Cap_cattle</f>
        <v>4644458</v>
      </c>
      <c r="J9" s="121">
        <v>2023</v>
      </c>
      <c r="K9" s="123" t="s">
        <v>380</v>
      </c>
      <c r="L9" s="121" t="s">
        <v>240</v>
      </c>
      <c r="M9" s="121" t="s">
        <v>147</v>
      </c>
    </row>
    <row r="10" spans="1:14" s="106" customFormat="1" ht="16.149999999999999" customHeight="1" x14ac:dyDescent="0.2">
      <c r="A10" s="185" t="s">
        <v>290</v>
      </c>
      <c r="B10" s="120" t="s">
        <v>39</v>
      </c>
      <c r="C10" s="119" t="s">
        <v>281</v>
      </c>
      <c r="D10" s="121" t="s">
        <v>1</v>
      </c>
      <c r="E10" s="121" t="s">
        <v>8</v>
      </c>
      <c r="F10" s="121" t="s">
        <v>274</v>
      </c>
      <c r="G10" s="151" t="s">
        <v>345</v>
      </c>
      <c r="H10" s="151" t="s">
        <v>355</v>
      </c>
      <c r="I10" s="151">
        <f>13100*days_per_year*Cap_cattle</f>
        <v>3600142</v>
      </c>
      <c r="J10" s="121">
        <v>2023</v>
      </c>
      <c r="K10" s="123" t="s">
        <v>380</v>
      </c>
      <c r="L10" s="121" t="s">
        <v>241</v>
      </c>
      <c r="M10" s="121" t="s">
        <v>147</v>
      </c>
    </row>
    <row r="11" spans="1:14" ht="16.149999999999999" customHeight="1" x14ac:dyDescent="0.2">
      <c r="A11" s="185" t="s">
        <v>290</v>
      </c>
      <c r="B11" s="140" t="s">
        <v>129</v>
      </c>
      <c r="C11" s="141" t="s">
        <v>274</v>
      </c>
      <c r="D11" s="142" t="s">
        <v>1</v>
      </c>
      <c r="E11" s="142" t="s">
        <v>8</v>
      </c>
      <c r="F11" s="142" t="s">
        <v>365</v>
      </c>
      <c r="G11" s="150">
        <v>7000000</v>
      </c>
      <c r="H11" s="150"/>
      <c r="I11" s="143">
        <f>G11</f>
        <v>7000000</v>
      </c>
      <c r="J11" s="144" t="s">
        <v>232</v>
      </c>
      <c r="K11" s="123" t="s">
        <v>358</v>
      </c>
      <c r="L11" s="121" t="s">
        <v>233</v>
      </c>
      <c r="M11" s="125" t="s">
        <v>234</v>
      </c>
      <c r="N11" s="109"/>
    </row>
    <row r="12" spans="1:14" ht="16.149999999999999" customHeight="1" x14ac:dyDescent="0.2">
      <c r="A12" s="185" t="s">
        <v>290</v>
      </c>
      <c r="B12" s="120" t="s">
        <v>129</v>
      </c>
      <c r="C12" s="119" t="s">
        <v>274</v>
      </c>
      <c r="D12" s="121" t="s">
        <v>1</v>
      </c>
      <c r="E12" s="121" t="s">
        <v>9</v>
      </c>
      <c r="F12" s="121" t="s">
        <v>325</v>
      </c>
      <c r="G12" s="151">
        <f>1500000*50%</f>
        <v>750000</v>
      </c>
      <c r="H12" s="151"/>
      <c r="I12" s="122">
        <f>G12</f>
        <v>750000</v>
      </c>
      <c r="J12" s="124">
        <v>2023</v>
      </c>
      <c r="K12" s="123" t="s">
        <v>322</v>
      </c>
      <c r="L12" s="121" t="s">
        <v>324</v>
      </c>
      <c r="M12" s="121" t="s">
        <v>321</v>
      </c>
      <c r="N12" s="109"/>
    </row>
    <row r="13" spans="1:14" ht="16.149999999999999" customHeight="1" x14ac:dyDescent="0.2">
      <c r="A13" s="185" t="s">
        <v>290</v>
      </c>
      <c r="B13" s="140" t="s">
        <v>22</v>
      </c>
      <c r="C13" s="141" t="s">
        <v>274</v>
      </c>
      <c r="D13" s="142" t="s">
        <v>1</v>
      </c>
      <c r="E13" s="142" t="s">
        <v>8</v>
      </c>
      <c r="F13" s="142" t="s">
        <v>274</v>
      </c>
      <c r="G13" s="150" t="s">
        <v>345</v>
      </c>
      <c r="H13" s="150" t="s">
        <v>349</v>
      </c>
      <c r="I13" s="150">
        <f>'Additional company data'!C45*52*'Additional company data'!D45*'Additional company data'!E45</f>
        <v>5912585.7142857146</v>
      </c>
      <c r="J13" s="142">
        <v>2023</v>
      </c>
      <c r="K13" s="123" t="s">
        <v>359</v>
      </c>
      <c r="L13" s="133" t="s">
        <v>326</v>
      </c>
      <c r="M13" s="121" t="s">
        <v>199</v>
      </c>
      <c r="N13" s="109"/>
    </row>
    <row r="14" spans="1:14" ht="16.149999999999999" customHeight="1" x14ac:dyDescent="0.2">
      <c r="A14" s="185" t="s">
        <v>290</v>
      </c>
      <c r="B14" s="140" t="s">
        <v>22</v>
      </c>
      <c r="C14" s="141" t="s">
        <v>274</v>
      </c>
      <c r="D14" s="142" t="s">
        <v>1</v>
      </c>
      <c r="E14" s="142" t="s">
        <v>9</v>
      </c>
      <c r="F14" s="142" t="s">
        <v>325</v>
      </c>
      <c r="G14" s="150" t="s">
        <v>345</v>
      </c>
      <c r="H14" s="150" t="s">
        <v>349</v>
      </c>
      <c r="I14" s="150">
        <f>'Additional company data'!C45*52*'Additional company data'!D45*'Additional company data'!F45</f>
        <v>454814.28571428568</v>
      </c>
      <c r="J14" s="142">
        <v>2023</v>
      </c>
      <c r="K14" s="123" t="s">
        <v>359</v>
      </c>
      <c r="L14" s="133" t="s">
        <v>326</v>
      </c>
      <c r="M14" s="121" t="s">
        <v>199</v>
      </c>
      <c r="N14" s="109"/>
    </row>
    <row r="15" spans="1:14" s="106" customFormat="1" ht="16.149999999999999" customHeight="1" x14ac:dyDescent="0.2">
      <c r="A15" s="185" t="s">
        <v>290</v>
      </c>
      <c r="B15" s="140" t="s">
        <v>136</v>
      </c>
      <c r="C15" s="141" t="s">
        <v>281</v>
      </c>
      <c r="D15" s="142" t="s">
        <v>1</v>
      </c>
      <c r="E15" s="142" t="s">
        <v>6</v>
      </c>
      <c r="F15" s="142" t="s">
        <v>365</v>
      </c>
      <c r="G15" s="150">
        <v>3873800</v>
      </c>
      <c r="H15" s="150"/>
      <c r="I15" s="143">
        <f>G15</f>
        <v>3873800</v>
      </c>
      <c r="J15" s="142">
        <v>2023</v>
      </c>
      <c r="K15" s="121"/>
      <c r="L15" s="121" t="s">
        <v>249</v>
      </c>
      <c r="M15" s="121" t="s">
        <v>250</v>
      </c>
    </row>
    <row r="16" spans="1:14" ht="16.149999999999999" customHeight="1" x14ac:dyDescent="0.2">
      <c r="A16" s="185" t="s">
        <v>290</v>
      </c>
      <c r="B16" s="140" t="s">
        <v>162</v>
      </c>
      <c r="C16" s="141" t="s">
        <v>276</v>
      </c>
      <c r="D16" s="142" t="s">
        <v>1</v>
      </c>
      <c r="E16" s="142" t="s">
        <v>13</v>
      </c>
      <c r="F16" s="142" t="s">
        <v>276</v>
      </c>
      <c r="G16" s="150">
        <f>'Additional company data'!F67</f>
        <v>1931153.0198137981</v>
      </c>
      <c r="H16" s="150"/>
      <c r="I16" s="143">
        <f t="shared" ref="I16:I17" si="0">G16</f>
        <v>1931153.0198137981</v>
      </c>
      <c r="J16" s="142">
        <v>2023</v>
      </c>
      <c r="K16" s="123" t="s">
        <v>360</v>
      </c>
      <c r="L16" s="121" t="s">
        <v>327</v>
      </c>
      <c r="M16" s="121" t="s">
        <v>207</v>
      </c>
      <c r="N16" s="109"/>
    </row>
    <row r="17" spans="1:14" ht="16.149999999999999" customHeight="1" x14ac:dyDescent="0.2">
      <c r="A17" s="185" t="s">
        <v>290</v>
      </c>
      <c r="B17" s="140" t="s">
        <v>296</v>
      </c>
      <c r="C17" s="141" t="s">
        <v>280</v>
      </c>
      <c r="D17" s="142" t="s">
        <v>1</v>
      </c>
      <c r="E17" s="142" t="s">
        <v>13</v>
      </c>
      <c r="F17" s="142" t="s">
        <v>280</v>
      </c>
      <c r="G17" s="150">
        <f>'Additional company data'!F52</f>
        <v>1864145.7786265616</v>
      </c>
      <c r="H17" s="150"/>
      <c r="I17" s="143">
        <f t="shared" si="0"/>
        <v>1864145.7786265616</v>
      </c>
      <c r="J17" s="142">
        <v>2022</v>
      </c>
      <c r="K17" s="123" t="s">
        <v>357</v>
      </c>
      <c r="L17" s="121" t="s">
        <v>328</v>
      </c>
      <c r="M17" s="125" t="s">
        <v>262</v>
      </c>
      <c r="N17" s="109"/>
    </row>
    <row r="18" spans="1:14" ht="16.149999999999999" customHeight="1" x14ac:dyDescent="0.2">
      <c r="A18" s="185" t="s">
        <v>290</v>
      </c>
      <c r="B18" s="120" t="s">
        <v>137</v>
      </c>
      <c r="C18" s="119" t="s">
        <v>282</v>
      </c>
      <c r="D18" s="121" t="s">
        <v>1</v>
      </c>
      <c r="E18" s="121" t="s">
        <v>13</v>
      </c>
      <c r="F18" s="121" t="s">
        <v>365</v>
      </c>
      <c r="G18" s="151">
        <f>17500*52</f>
        <v>910000</v>
      </c>
      <c r="H18" s="151"/>
      <c r="I18" s="122">
        <f>G18</f>
        <v>910000</v>
      </c>
      <c r="J18" s="121">
        <v>2023</v>
      </c>
      <c r="K18" s="123" t="s">
        <v>361</v>
      </c>
      <c r="L18" s="121" t="s">
        <v>205</v>
      </c>
      <c r="M18" s="123" t="s">
        <v>206</v>
      </c>
      <c r="N18" s="109"/>
    </row>
    <row r="19" spans="1:14" s="111" customFormat="1" ht="16.149999999999999" customHeight="1" x14ac:dyDescent="0.2">
      <c r="A19" s="185" t="s">
        <v>290</v>
      </c>
      <c r="B19" s="140" t="s">
        <v>23</v>
      </c>
      <c r="C19" s="141" t="s">
        <v>222</v>
      </c>
      <c r="D19" s="142" t="s">
        <v>1</v>
      </c>
      <c r="E19" s="142" t="s">
        <v>13</v>
      </c>
      <c r="F19" s="142" t="s">
        <v>365</v>
      </c>
      <c r="G19" s="150">
        <v>800000</v>
      </c>
      <c r="H19" s="150"/>
      <c r="I19" s="143">
        <f>G19</f>
        <v>800000</v>
      </c>
      <c r="J19" s="144">
        <v>2023</v>
      </c>
      <c r="K19" s="121"/>
      <c r="L19" s="121" t="s">
        <v>204</v>
      </c>
      <c r="M19" s="121" t="s">
        <v>110</v>
      </c>
      <c r="N19" s="110"/>
    </row>
    <row r="20" spans="1:14" s="111" customFormat="1" ht="16.149999999999999" customHeight="1" x14ac:dyDescent="0.2">
      <c r="A20" s="185" t="s">
        <v>290</v>
      </c>
      <c r="B20" s="120" t="s">
        <v>323</v>
      </c>
      <c r="C20" s="119" t="s">
        <v>325</v>
      </c>
      <c r="D20" s="121" t="s">
        <v>1</v>
      </c>
      <c r="E20" s="121" t="s">
        <v>9</v>
      </c>
      <c r="F20" s="121" t="s">
        <v>365</v>
      </c>
      <c r="G20" s="151">
        <f>1500000*50%</f>
        <v>750000</v>
      </c>
      <c r="H20" s="151"/>
      <c r="I20" s="122">
        <f>G20</f>
        <v>750000</v>
      </c>
      <c r="J20" s="124">
        <v>2023</v>
      </c>
      <c r="K20" s="123" t="s">
        <v>322</v>
      </c>
      <c r="L20" s="121" t="s">
        <v>324</v>
      </c>
      <c r="M20" s="121" t="s">
        <v>321</v>
      </c>
      <c r="N20" s="110"/>
    </row>
    <row r="21" spans="1:14" ht="16.149999999999999" customHeight="1" x14ac:dyDescent="0.2">
      <c r="A21" s="185" t="s">
        <v>291</v>
      </c>
      <c r="B21" s="120" t="s">
        <v>261</v>
      </c>
      <c r="C21" s="119" t="s">
        <v>278</v>
      </c>
      <c r="D21" s="121" t="s">
        <v>1</v>
      </c>
      <c r="E21" s="121" t="s">
        <v>13</v>
      </c>
      <c r="F21" s="121" t="s">
        <v>278</v>
      </c>
      <c r="G21" s="151">
        <v>380800</v>
      </c>
      <c r="H21" s="151"/>
      <c r="I21" s="122">
        <f t="shared" ref="I21:I23" si="1">G21</f>
        <v>380800</v>
      </c>
      <c r="J21" s="121">
        <v>2023</v>
      </c>
      <c r="K21" s="121"/>
      <c r="L21" s="121" t="s">
        <v>270</v>
      </c>
      <c r="M21" s="121" t="s">
        <v>271</v>
      </c>
      <c r="N21" s="109"/>
    </row>
    <row r="22" spans="1:14" s="113" customFormat="1" ht="16.149999999999999" customHeight="1" x14ac:dyDescent="0.2">
      <c r="A22" s="185" t="s">
        <v>291</v>
      </c>
      <c r="B22" s="120" t="s">
        <v>164</v>
      </c>
      <c r="C22" s="119" t="s">
        <v>278</v>
      </c>
      <c r="D22" s="121" t="s">
        <v>1</v>
      </c>
      <c r="E22" s="121" t="s">
        <v>13</v>
      </c>
      <c r="F22" s="121" t="s">
        <v>365</v>
      </c>
      <c r="G22" s="151">
        <f>7000*52</f>
        <v>364000</v>
      </c>
      <c r="H22" s="151"/>
      <c r="I22" s="122">
        <f t="shared" si="1"/>
        <v>364000</v>
      </c>
      <c r="J22" s="121">
        <v>2023</v>
      </c>
      <c r="K22" s="121" t="s">
        <v>362</v>
      </c>
      <c r="L22" s="121" t="s">
        <v>269</v>
      </c>
      <c r="M22" s="121"/>
      <c r="N22" s="112"/>
    </row>
    <row r="23" spans="1:14" s="106" customFormat="1" ht="16.149999999999999" customHeight="1" x14ac:dyDescent="0.2">
      <c r="A23" s="185" t="s">
        <v>291</v>
      </c>
      <c r="B23" s="120" t="s">
        <v>138</v>
      </c>
      <c r="C23" s="119" t="s">
        <v>277</v>
      </c>
      <c r="D23" s="121" t="s">
        <v>1</v>
      </c>
      <c r="E23" s="121" t="s">
        <v>9</v>
      </c>
      <c r="F23" s="121" t="s">
        <v>325</v>
      </c>
      <c r="G23" s="151">
        <v>336859</v>
      </c>
      <c r="H23" s="151"/>
      <c r="I23" s="122">
        <f t="shared" si="1"/>
        <v>336859</v>
      </c>
      <c r="J23" s="121">
        <v>2023</v>
      </c>
      <c r="K23" s="121"/>
      <c r="L23" s="121" t="s">
        <v>267</v>
      </c>
      <c r="M23" s="121" t="s">
        <v>268</v>
      </c>
    </row>
    <row r="24" spans="1:14" ht="16.149999999999999" customHeight="1" x14ac:dyDescent="0.2">
      <c r="A24" s="185" t="s">
        <v>290</v>
      </c>
      <c r="B24" s="140" t="s">
        <v>25</v>
      </c>
      <c r="C24" s="141" t="s">
        <v>281</v>
      </c>
      <c r="D24" s="142" t="s">
        <v>3</v>
      </c>
      <c r="E24" s="142" t="s">
        <v>8</v>
      </c>
      <c r="F24" s="142" t="s">
        <v>365</v>
      </c>
      <c r="G24" s="150" t="s">
        <v>345</v>
      </c>
      <c r="H24" s="150" t="s">
        <v>349</v>
      </c>
      <c r="I24" s="150">
        <f>'Additional company data'!E40*days_per_year*Cap_poultry*'Additional company data'!S38/SUM('Additional company data'!S38:S39)</f>
        <v>1802559015.3846154</v>
      </c>
      <c r="J24" s="142">
        <v>2023</v>
      </c>
      <c r="K24" s="123" t="s">
        <v>379</v>
      </c>
      <c r="L24" s="121" t="s">
        <v>332</v>
      </c>
      <c r="M24" s="123"/>
      <c r="N24" s="109"/>
    </row>
    <row r="25" spans="1:14" ht="16.149999999999999" customHeight="1" x14ac:dyDescent="0.2">
      <c r="A25" s="185" t="s">
        <v>290</v>
      </c>
      <c r="B25" s="140" t="s">
        <v>25</v>
      </c>
      <c r="C25" s="141" t="s">
        <v>281</v>
      </c>
      <c r="D25" s="142" t="s">
        <v>3</v>
      </c>
      <c r="E25" s="142" t="s">
        <v>6</v>
      </c>
      <c r="F25" s="142" t="s">
        <v>281</v>
      </c>
      <c r="G25" s="150" t="s">
        <v>345</v>
      </c>
      <c r="H25" s="150" t="s">
        <v>353</v>
      </c>
      <c r="I25" s="150">
        <f>'Additional company data'!F40*days_per_year*Cap_poultry</f>
        <v>1412272800</v>
      </c>
      <c r="J25" s="142">
        <v>2023</v>
      </c>
      <c r="K25" s="123" t="s">
        <v>380</v>
      </c>
      <c r="L25" s="121" t="s">
        <v>332</v>
      </c>
      <c r="M25" s="123"/>
      <c r="N25" s="109"/>
    </row>
    <row r="26" spans="1:14" ht="16.149999999999999" customHeight="1" x14ac:dyDescent="0.2">
      <c r="A26" s="185" t="s">
        <v>290</v>
      </c>
      <c r="B26" s="140" t="s">
        <v>25</v>
      </c>
      <c r="C26" s="141" t="s">
        <v>281</v>
      </c>
      <c r="D26" s="142" t="s">
        <v>3</v>
      </c>
      <c r="E26" s="142" t="s">
        <v>13</v>
      </c>
      <c r="F26" s="142" t="s">
        <v>351</v>
      </c>
      <c r="G26" s="150" t="s">
        <v>345</v>
      </c>
      <c r="H26" s="150" t="s">
        <v>349</v>
      </c>
      <c r="I26" s="150">
        <f>'Additional company data'!E40*days_per_year*Cap_poultry*'Additional company data'!S39/SUM('Additional company data'!S38:S39)</f>
        <v>394309784.61538464</v>
      </c>
      <c r="J26" s="142">
        <v>2023</v>
      </c>
      <c r="K26" s="123" t="s">
        <v>379</v>
      </c>
      <c r="L26" s="121" t="s">
        <v>332</v>
      </c>
      <c r="M26" s="123"/>
      <c r="N26" s="109"/>
    </row>
    <row r="27" spans="1:14" ht="16.149999999999999" customHeight="1" x14ac:dyDescent="0.2">
      <c r="A27" s="185" t="s">
        <v>290</v>
      </c>
      <c r="B27" s="140" t="s">
        <v>22</v>
      </c>
      <c r="C27" s="141" t="s">
        <v>274</v>
      </c>
      <c r="D27" s="142" t="s">
        <v>3</v>
      </c>
      <c r="E27" s="142" t="s">
        <v>8</v>
      </c>
      <c r="F27" s="142" t="s">
        <v>274</v>
      </c>
      <c r="G27" s="150">
        <f>'Additional company data'!C47*52*'Additional company data'!D47*'Additional company data'!E47</f>
        <v>1733361290.3225806</v>
      </c>
      <c r="H27" s="150"/>
      <c r="I27" s="143">
        <f>G27</f>
        <v>1733361290.3225806</v>
      </c>
      <c r="J27" s="142">
        <v>2023</v>
      </c>
      <c r="K27" s="123" t="s">
        <v>359</v>
      </c>
      <c r="L27" s="133" t="s">
        <v>330</v>
      </c>
      <c r="M27" s="121" t="s">
        <v>199</v>
      </c>
      <c r="N27" s="109"/>
    </row>
    <row r="28" spans="1:14" ht="16.149999999999999" customHeight="1" x14ac:dyDescent="0.2">
      <c r="A28" s="185" t="s">
        <v>290</v>
      </c>
      <c r="B28" s="140" t="s">
        <v>22</v>
      </c>
      <c r="C28" s="141" t="s">
        <v>274</v>
      </c>
      <c r="D28" s="142" t="s">
        <v>3</v>
      </c>
      <c r="E28" s="142" t="s">
        <v>4</v>
      </c>
      <c r="F28" s="142" t="s">
        <v>365</v>
      </c>
      <c r="G28" s="150">
        <f>'Additional company data'!C47*52*'Additional company data'!D47*'Additional company data'!G47</f>
        <v>208838709.67741936</v>
      </c>
      <c r="H28" s="150"/>
      <c r="I28" s="143">
        <f>G28</f>
        <v>208838709.67741936</v>
      </c>
      <c r="J28" s="142">
        <v>2023</v>
      </c>
      <c r="K28" s="123" t="s">
        <v>359</v>
      </c>
      <c r="L28" s="133" t="s">
        <v>330</v>
      </c>
      <c r="M28" s="121" t="s">
        <v>199</v>
      </c>
      <c r="N28" s="109"/>
    </row>
    <row r="29" spans="1:14" ht="16.149999999999999" customHeight="1" x14ac:dyDescent="0.2">
      <c r="A29" s="185" t="s">
        <v>290</v>
      </c>
      <c r="B29" s="120" t="s">
        <v>175</v>
      </c>
      <c r="C29" s="119" t="s">
        <v>281</v>
      </c>
      <c r="D29" s="121" t="s">
        <v>3</v>
      </c>
      <c r="E29" s="121" t="s">
        <v>166</v>
      </c>
      <c r="F29" s="121" t="s">
        <v>281</v>
      </c>
      <c r="G29" s="174" t="s">
        <v>345</v>
      </c>
      <c r="H29" s="151" t="s">
        <v>384</v>
      </c>
      <c r="I29" s="151">
        <f>35800000*52*Cap_poultry</f>
        <v>1612145600</v>
      </c>
      <c r="J29" s="121">
        <v>2023</v>
      </c>
      <c r="K29" s="123" t="s">
        <v>380</v>
      </c>
      <c r="L29" s="121" t="s">
        <v>242</v>
      </c>
      <c r="M29" s="121" t="s">
        <v>243</v>
      </c>
      <c r="N29" s="109"/>
    </row>
    <row r="30" spans="1:14" ht="16.149999999999999" customHeight="1" x14ac:dyDescent="0.2">
      <c r="A30" s="185" t="s">
        <v>290</v>
      </c>
      <c r="B30" s="120" t="s">
        <v>177</v>
      </c>
      <c r="C30" s="119" t="s">
        <v>284</v>
      </c>
      <c r="D30" s="121" t="s">
        <v>3</v>
      </c>
      <c r="E30" s="121" t="s">
        <v>4</v>
      </c>
      <c r="F30" s="121" t="s">
        <v>284</v>
      </c>
      <c r="G30" s="151">
        <f>'Additional company data'!F88</f>
        <v>1183000000</v>
      </c>
      <c r="H30" s="151"/>
      <c r="I30" s="122">
        <f t="shared" ref="I30:I36" si="2">G30</f>
        <v>1183000000</v>
      </c>
      <c r="J30" s="121">
        <v>2023</v>
      </c>
      <c r="K30" s="121"/>
      <c r="L30" s="121" t="s">
        <v>239</v>
      </c>
      <c r="M30" s="121" t="s">
        <v>203</v>
      </c>
      <c r="N30" s="109"/>
    </row>
    <row r="31" spans="1:14" ht="16.149999999999999" customHeight="1" x14ac:dyDescent="0.2">
      <c r="A31" s="185" t="s">
        <v>290</v>
      </c>
      <c r="B31" s="120" t="s">
        <v>129</v>
      </c>
      <c r="C31" s="119" t="s">
        <v>274</v>
      </c>
      <c r="D31" s="121" t="s">
        <v>3</v>
      </c>
      <c r="E31" s="121" t="s">
        <v>8</v>
      </c>
      <c r="F31" s="121" t="s">
        <v>274</v>
      </c>
      <c r="G31" s="151">
        <f>'Additional company data'!F89*50%</f>
        <v>535600000</v>
      </c>
      <c r="H31" s="151"/>
      <c r="I31" s="122">
        <f t="shared" si="2"/>
        <v>535600000</v>
      </c>
      <c r="J31" s="121">
        <v>2023</v>
      </c>
      <c r="K31" s="123" t="s">
        <v>329</v>
      </c>
      <c r="L31" s="121" t="s">
        <v>239</v>
      </c>
      <c r="M31" s="121" t="s">
        <v>203</v>
      </c>
      <c r="N31" s="109"/>
    </row>
    <row r="32" spans="1:14" ht="16.149999999999999" customHeight="1" x14ac:dyDescent="0.2">
      <c r="A32" s="185" t="s">
        <v>290</v>
      </c>
      <c r="B32" s="120" t="s">
        <v>129</v>
      </c>
      <c r="C32" s="119" t="s">
        <v>274</v>
      </c>
      <c r="D32" s="121" t="s">
        <v>3</v>
      </c>
      <c r="E32" s="121" t="s">
        <v>6</v>
      </c>
      <c r="F32" s="121" t="s">
        <v>365</v>
      </c>
      <c r="G32" s="151">
        <f>'Additional company data'!F102</f>
        <v>269000000</v>
      </c>
      <c r="H32" s="151"/>
      <c r="I32" s="122">
        <f t="shared" si="2"/>
        <v>269000000</v>
      </c>
      <c r="J32" s="121">
        <v>2023</v>
      </c>
      <c r="K32" s="123" t="s">
        <v>372</v>
      </c>
      <c r="L32" s="121" t="s">
        <v>239</v>
      </c>
      <c r="M32" s="121" t="s">
        <v>203</v>
      </c>
      <c r="N32" s="109"/>
    </row>
    <row r="33" spans="1:14" ht="16.149999999999999" customHeight="1" x14ac:dyDescent="0.2">
      <c r="A33" s="185" t="s">
        <v>290</v>
      </c>
      <c r="B33" s="120" t="s">
        <v>129</v>
      </c>
      <c r="C33" s="119" t="s">
        <v>274</v>
      </c>
      <c r="D33" s="121" t="s">
        <v>3</v>
      </c>
      <c r="E33" s="121" t="s">
        <v>4</v>
      </c>
      <c r="F33" s="121" t="s">
        <v>365</v>
      </c>
      <c r="G33" s="151">
        <f>'Additional company data'!F103</f>
        <v>180000000</v>
      </c>
      <c r="H33" s="151"/>
      <c r="I33" s="122">
        <f t="shared" si="2"/>
        <v>180000000</v>
      </c>
      <c r="J33" s="121">
        <v>2023</v>
      </c>
      <c r="K33" s="123" t="s">
        <v>373</v>
      </c>
      <c r="L33" s="121" t="s">
        <v>239</v>
      </c>
      <c r="M33" s="121" t="s">
        <v>203</v>
      </c>
      <c r="N33" s="109"/>
    </row>
    <row r="34" spans="1:14" ht="16.149999999999999" customHeight="1" x14ac:dyDescent="0.2">
      <c r="A34" s="185" t="s">
        <v>290</v>
      </c>
      <c r="B34" s="120" t="s">
        <v>129</v>
      </c>
      <c r="C34" s="119" t="s">
        <v>274</v>
      </c>
      <c r="D34" s="121" t="s">
        <v>3</v>
      </c>
      <c r="E34" s="121" t="s">
        <v>64</v>
      </c>
      <c r="F34" s="121" t="s">
        <v>351</v>
      </c>
      <c r="G34" s="151">
        <f>'Additional company data'!F104</f>
        <v>144000000</v>
      </c>
      <c r="H34" s="151"/>
      <c r="I34" s="122">
        <f t="shared" si="2"/>
        <v>144000000</v>
      </c>
      <c r="J34" s="121">
        <v>2023</v>
      </c>
      <c r="K34" s="123" t="s">
        <v>374</v>
      </c>
      <c r="L34" s="121" t="s">
        <v>239</v>
      </c>
      <c r="M34" s="121" t="s">
        <v>203</v>
      </c>
      <c r="N34" s="109"/>
    </row>
    <row r="35" spans="1:14" ht="16.149999999999999" customHeight="1" x14ac:dyDescent="0.2">
      <c r="A35" s="185" t="s">
        <v>290</v>
      </c>
      <c r="B35" s="120" t="s">
        <v>244</v>
      </c>
      <c r="C35" s="119" t="s">
        <v>286</v>
      </c>
      <c r="D35" s="121" t="s">
        <v>3</v>
      </c>
      <c r="E35" s="121" t="s">
        <v>4</v>
      </c>
      <c r="F35" s="121" t="s">
        <v>365</v>
      </c>
      <c r="G35" s="151">
        <f>'Additional company data'!F90</f>
        <v>981000000</v>
      </c>
      <c r="H35" s="151"/>
      <c r="I35" s="122">
        <f t="shared" si="2"/>
        <v>981000000</v>
      </c>
      <c r="J35" s="121">
        <v>2023</v>
      </c>
      <c r="K35" s="121"/>
      <c r="L35" s="121" t="s">
        <v>239</v>
      </c>
      <c r="M35" s="121" t="s">
        <v>203</v>
      </c>
      <c r="N35" s="109"/>
    </row>
    <row r="36" spans="1:14" ht="16.149999999999999" customHeight="1" x14ac:dyDescent="0.2">
      <c r="A36" s="185" t="s">
        <v>290</v>
      </c>
      <c r="B36" s="120" t="s">
        <v>245</v>
      </c>
      <c r="C36" s="119" t="s">
        <v>284</v>
      </c>
      <c r="D36" s="121" t="s">
        <v>3</v>
      </c>
      <c r="E36" s="121" t="s">
        <v>4</v>
      </c>
      <c r="F36" s="121" t="s">
        <v>284</v>
      </c>
      <c r="G36" s="151">
        <f>'Additional company data'!F91</f>
        <v>810000000</v>
      </c>
      <c r="H36" s="151"/>
      <c r="I36" s="122">
        <f t="shared" si="2"/>
        <v>810000000</v>
      </c>
      <c r="J36" s="121">
        <v>2023</v>
      </c>
      <c r="K36" s="121"/>
      <c r="L36" s="121" t="s">
        <v>239</v>
      </c>
      <c r="M36" s="121" t="s">
        <v>203</v>
      </c>
      <c r="N36" s="109"/>
    </row>
    <row r="37" spans="1:14" ht="16.149999999999999" customHeight="1" x14ac:dyDescent="0.2">
      <c r="A37" s="185" t="s">
        <v>290</v>
      </c>
      <c r="B37" s="140" t="s">
        <v>144</v>
      </c>
      <c r="C37" s="141" t="s">
        <v>275</v>
      </c>
      <c r="D37" s="142" t="s">
        <v>3</v>
      </c>
      <c r="E37" s="142" t="s">
        <v>4</v>
      </c>
      <c r="F37" s="142" t="s">
        <v>365</v>
      </c>
      <c r="G37" s="150">
        <f>SUM('Additional company data'!F93:F94)</f>
        <v>685000000</v>
      </c>
      <c r="H37" s="150"/>
      <c r="I37" s="143">
        <f>G37</f>
        <v>685000000</v>
      </c>
      <c r="J37" s="142">
        <v>2023</v>
      </c>
      <c r="K37" s="121"/>
      <c r="L37" s="121" t="s">
        <v>239</v>
      </c>
      <c r="M37" s="121" t="s">
        <v>203</v>
      </c>
      <c r="N37" s="109"/>
    </row>
    <row r="38" spans="1:14" ht="16.149999999999999" customHeight="1" x14ac:dyDescent="0.2">
      <c r="A38" s="185" t="s">
        <v>290</v>
      </c>
      <c r="B38" s="120" t="s">
        <v>144</v>
      </c>
      <c r="C38" s="119" t="s">
        <v>275</v>
      </c>
      <c r="D38" s="121" t="s">
        <v>3</v>
      </c>
      <c r="E38" s="121" t="s">
        <v>10</v>
      </c>
      <c r="F38" s="121" t="s">
        <v>378</v>
      </c>
      <c r="G38" s="151">
        <f>(408700-263400)*1000/'Additional data sources'!G13</f>
        <v>66347031.963470325</v>
      </c>
      <c r="H38" s="151"/>
      <c r="I38" s="122">
        <f>G38</f>
        <v>66347031.963470325</v>
      </c>
      <c r="J38" s="121">
        <v>2022</v>
      </c>
      <c r="K38" s="123" t="s">
        <v>340</v>
      </c>
      <c r="L38" s="121" t="s">
        <v>213</v>
      </c>
      <c r="M38" s="145" t="s">
        <v>212</v>
      </c>
      <c r="N38" s="109"/>
    </row>
    <row r="39" spans="1:14" ht="16.149999999999999" customHeight="1" x14ac:dyDescent="0.2">
      <c r="A39" s="185" t="s">
        <v>290</v>
      </c>
      <c r="B39" s="120" t="s">
        <v>248</v>
      </c>
      <c r="C39" s="119" t="s">
        <v>284</v>
      </c>
      <c r="D39" s="121" t="s">
        <v>3</v>
      </c>
      <c r="E39" s="121" t="s">
        <v>4</v>
      </c>
      <c r="F39" s="121" t="s">
        <v>284</v>
      </c>
      <c r="G39" s="151">
        <f>'Additional company data'!F95</f>
        <v>680000000</v>
      </c>
      <c r="H39" s="151"/>
      <c r="I39" s="122">
        <f t="shared" ref="I39:I47" si="3">G39</f>
        <v>680000000</v>
      </c>
      <c r="J39" s="121">
        <v>2023</v>
      </c>
      <c r="K39" s="121"/>
      <c r="L39" s="121" t="s">
        <v>239</v>
      </c>
      <c r="M39" s="121" t="s">
        <v>203</v>
      </c>
      <c r="N39" s="109"/>
    </row>
    <row r="40" spans="1:14" ht="16.149999999999999" customHeight="1" x14ac:dyDescent="0.2">
      <c r="A40" s="185" t="s">
        <v>290</v>
      </c>
      <c r="B40" s="120" t="s">
        <v>125</v>
      </c>
      <c r="C40" s="119" t="s">
        <v>274</v>
      </c>
      <c r="D40" s="121" t="s">
        <v>3</v>
      </c>
      <c r="E40" s="121" t="s">
        <v>8</v>
      </c>
      <c r="F40" s="121" t="s">
        <v>274</v>
      </c>
      <c r="G40" s="151">
        <f>'Additional company data'!F96</f>
        <v>670000000</v>
      </c>
      <c r="H40" s="151"/>
      <c r="I40" s="122">
        <f t="shared" si="3"/>
        <v>670000000</v>
      </c>
      <c r="J40" s="121">
        <v>2023</v>
      </c>
      <c r="K40" s="121"/>
      <c r="L40" s="121" t="s">
        <v>239</v>
      </c>
      <c r="M40" s="121" t="s">
        <v>203</v>
      </c>
      <c r="N40" s="109"/>
    </row>
    <row r="41" spans="1:14" ht="16.149999999999999" customHeight="1" x14ac:dyDescent="0.2">
      <c r="A41" s="185" t="s">
        <v>290</v>
      </c>
      <c r="B41" s="120" t="s">
        <v>180</v>
      </c>
      <c r="C41" s="119" t="s">
        <v>283</v>
      </c>
      <c r="D41" s="121" t="s">
        <v>3</v>
      </c>
      <c r="E41" s="121" t="s">
        <v>7</v>
      </c>
      <c r="F41" s="121" t="s">
        <v>365</v>
      </c>
      <c r="G41" s="151">
        <f>'Additional company data'!F97</f>
        <v>662200000</v>
      </c>
      <c r="H41" s="151"/>
      <c r="I41" s="122">
        <f t="shared" si="3"/>
        <v>662200000</v>
      </c>
      <c r="J41" s="121">
        <v>2023</v>
      </c>
      <c r="K41" s="121"/>
      <c r="L41" s="121" t="s">
        <v>239</v>
      </c>
      <c r="M41" s="121" t="s">
        <v>203</v>
      </c>
      <c r="N41" s="109"/>
    </row>
    <row r="42" spans="1:14" ht="16.149999999999999" customHeight="1" x14ac:dyDescent="0.2">
      <c r="A42" s="185" t="s">
        <v>290</v>
      </c>
      <c r="B42" s="120" t="s">
        <v>132</v>
      </c>
      <c r="C42" s="119" t="s">
        <v>284</v>
      </c>
      <c r="D42" s="121" t="s">
        <v>3</v>
      </c>
      <c r="E42" s="121" t="s">
        <v>4</v>
      </c>
      <c r="F42" s="121" t="s">
        <v>284</v>
      </c>
      <c r="G42" s="151">
        <v>657780000</v>
      </c>
      <c r="H42" s="151"/>
      <c r="I42" s="122">
        <f t="shared" si="3"/>
        <v>657780000</v>
      </c>
      <c r="J42" s="121">
        <v>2023</v>
      </c>
      <c r="K42" s="121"/>
      <c r="L42" s="132" t="s">
        <v>228</v>
      </c>
      <c r="M42" s="121" t="s">
        <v>229</v>
      </c>
      <c r="N42" s="109"/>
    </row>
    <row r="43" spans="1:14" ht="16.149999999999999" customHeight="1" x14ac:dyDescent="0.2">
      <c r="A43" s="185" t="s">
        <v>290</v>
      </c>
      <c r="B43" s="120" t="s">
        <v>127</v>
      </c>
      <c r="C43" s="119" t="s">
        <v>285</v>
      </c>
      <c r="D43" s="121" t="s">
        <v>3</v>
      </c>
      <c r="E43" s="121" t="s">
        <v>6</v>
      </c>
      <c r="F43" s="121" t="s">
        <v>285</v>
      </c>
      <c r="G43" s="151">
        <f>'Additional company data'!F99</f>
        <v>505000000</v>
      </c>
      <c r="H43" s="151"/>
      <c r="I43" s="122">
        <f t="shared" si="3"/>
        <v>505000000</v>
      </c>
      <c r="J43" s="121">
        <v>2023</v>
      </c>
      <c r="K43" s="121"/>
      <c r="L43" s="121" t="s">
        <v>239</v>
      </c>
      <c r="M43" s="121" t="s">
        <v>203</v>
      </c>
      <c r="N43" s="109"/>
    </row>
    <row r="44" spans="1:14" ht="16.149999999999999" customHeight="1" x14ac:dyDescent="0.2">
      <c r="A44" s="185" t="s">
        <v>290</v>
      </c>
      <c r="B44" s="120" t="s">
        <v>127</v>
      </c>
      <c r="C44" s="119" t="s">
        <v>285</v>
      </c>
      <c r="D44" s="121" t="s">
        <v>3</v>
      </c>
      <c r="E44" s="121" t="s">
        <v>8</v>
      </c>
      <c r="F44" s="121" t="s">
        <v>274</v>
      </c>
      <c r="G44" s="151">
        <f>'Additional company data'!F100</f>
        <v>135000000</v>
      </c>
      <c r="H44" s="151"/>
      <c r="I44" s="122">
        <f t="shared" si="3"/>
        <v>135000000</v>
      </c>
      <c r="J44" s="121">
        <v>2023</v>
      </c>
      <c r="K44" s="121"/>
      <c r="L44" s="121" t="s">
        <v>239</v>
      </c>
      <c r="M44" s="121" t="s">
        <v>203</v>
      </c>
      <c r="N44" s="109"/>
    </row>
    <row r="45" spans="1:14" ht="16.149999999999999" customHeight="1" x14ac:dyDescent="0.2">
      <c r="A45" s="185" t="s">
        <v>290</v>
      </c>
      <c r="B45" s="120" t="s">
        <v>128</v>
      </c>
      <c r="C45" s="119" t="s">
        <v>274</v>
      </c>
      <c r="D45" s="121" t="s">
        <v>3</v>
      </c>
      <c r="E45" s="121" t="s">
        <v>8</v>
      </c>
      <c r="F45" s="121" t="s">
        <v>274</v>
      </c>
      <c r="G45" s="151">
        <f>'Additional company data'!F101</f>
        <v>615000000</v>
      </c>
      <c r="H45" s="151"/>
      <c r="I45" s="122">
        <f t="shared" si="3"/>
        <v>615000000</v>
      </c>
      <c r="J45" s="121">
        <v>2023</v>
      </c>
      <c r="K45" s="121"/>
      <c r="L45" s="121" t="s">
        <v>239</v>
      </c>
      <c r="M45" s="121" t="s">
        <v>203</v>
      </c>
      <c r="N45" s="109"/>
    </row>
    <row r="46" spans="1:14" ht="16.149999999999999" customHeight="1" x14ac:dyDescent="0.2">
      <c r="A46" s="185" t="s">
        <v>290</v>
      </c>
      <c r="B46" s="120" t="s">
        <v>253</v>
      </c>
      <c r="C46" s="119" t="s">
        <v>274</v>
      </c>
      <c r="D46" s="121" t="s">
        <v>3</v>
      </c>
      <c r="E46" s="121" t="s">
        <v>8</v>
      </c>
      <c r="F46" s="121" t="s">
        <v>274</v>
      </c>
      <c r="G46" s="151">
        <f>'Additional company data'!F89*50%</f>
        <v>535600000</v>
      </c>
      <c r="H46" s="151"/>
      <c r="I46" s="122">
        <f t="shared" si="3"/>
        <v>535600000</v>
      </c>
      <c r="J46" s="121">
        <v>2023</v>
      </c>
      <c r="K46" s="123" t="s">
        <v>375</v>
      </c>
      <c r="L46" s="121" t="s">
        <v>239</v>
      </c>
      <c r="M46" s="121" t="s">
        <v>203</v>
      </c>
      <c r="N46" s="109"/>
    </row>
    <row r="47" spans="1:14" ht="16.149999999999999" customHeight="1" x14ac:dyDescent="0.2">
      <c r="A47" s="185" t="s">
        <v>291</v>
      </c>
      <c r="B47" s="120" t="s">
        <v>179</v>
      </c>
      <c r="C47" s="119" t="s">
        <v>287</v>
      </c>
      <c r="D47" s="121" t="s">
        <v>3</v>
      </c>
      <c r="E47" s="121" t="s">
        <v>5</v>
      </c>
      <c r="F47" s="121" t="s">
        <v>287</v>
      </c>
      <c r="G47" s="151">
        <v>438443556</v>
      </c>
      <c r="H47" s="151"/>
      <c r="I47" s="122">
        <f t="shared" si="3"/>
        <v>438443556</v>
      </c>
      <c r="J47" s="121">
        <v>2023</v>
      </c>
      <c r="K47" s="121"/>
      <c r="L47" s="121" t="s">
        <v>246</v>
      </c>
      <c r="M47" s="121" t="s">
        <v>247</v>
      </c>
      <c r="N47" s="109"/>
    </row>
    <row r="48" spans="1:14" ht="16.149999999999999" customHeight="1" x14ac:dyDescent="0.2">
      <c r="A48" s="185" t="s">
        <v>291</v>
      </c>
      <c r="B48" s="140" t="s">
        <v>24</v>
      </c>
      <c r="C48" s="141" t="s">
        <v>284</v>
      </c>
      <c r="D48" s="142" t="s">
        <v>3</v>
      </c>
      <c r="E48" s="142" t="s">
        <v>4</v>
      </c>
      <c r="F48" s="142" t="s">
        <v>284</v>
      </c>
      <c r="G48" s="150">
        <f>314000000*2/3</f>
        <v>209333333.33333334</v>
      </c>
      <c r="H48" s="150"/>
      <c r="I48" s="143">
        <f>G48</f>
        <v>209333333.33333334</v>
      </c>
      <c r="J48" s="142">
        <v>2023</v>
      </c>
      <c r="K48" s="133" t="s">
        <v>366</v>
      </c>
      <c r="L48" s="122" t="s">
        <v>201</v>
      </c>
      <c r="M48" s="133" t="s">
        <v>157</v>
      </c>
      <c r="N48" s="109"/>
    </row>
    <row r="49" spans="1:14" ht="16.149999999999999" customHeight="1" x14ac:dyDescent="0.2">
      <c r="A49" s="185" t="s">
        <v>291</v>
      </c>
      <c r="B49" s="140" t="s">
        <v>24</v>
      </c>
      <c r="C49" s="141" t="s">
        <v>284</v>
      </c>
      <c r="D49" s="142" t="s">
        <v>3</v>
      </c>
      <c r="E49" s="142" t="s">
        <v>5</v>
      </c>
      <c r="F49" s="142" t="s">
        <v>365</v>
      </c>
      <c r="G49" s="150">
        <f>314000000/3</f>
        <v>104666666.66666667</v>
      </c>
      <c r="H49" s="150"/>
      <c r="I49" s="143">
        <f>G49</f>
        <v>104666666.66666667</v>
      </c>
      <c r="J49" s="142">
        <v>2023</v>
      </c>
      <c r="K49" s="133" t="s">
        <v>366</v>
      </c>
      <c r="L49" s="122" t="s">
        <v>201</v>
      </c>
      <c r="M49" s="133" t="s">
        <v>157</v>
      </c>
      <c r="N49" s="109"/>
    </row>
    <row r="50" spans="1:14" ht="16.149999999999999" customHeight="1" x14ac:dyDescent="0.2">
      <c r="A50" s="185" t="s">
        <v>291</v>
      </c>
      <c r="B50" s="120" t="s">
        <v>165</v>
      </c>
      <c r="C50" s="119" t="s">
        <v>281</v>
      </c>
      <c r="D50" s="121" t="s">
        <v>3</v>
      </c>
      <c r="E50" s="121" t="s">
        <v>166</v>
      </c>
      <c r="F50" s="121" t="s">
        <v>281</v>
      </c>
      <c r="G50" s="151">
        <v>320800000</v>
      </c>
      <c r="H50" s="151"/>
      <c r="I50" s="122">
        <f>G50</f>
        <v>320800000</v>
      </c>
      <c r="J50" s="121">
        <v>2023</v>
      </c>
      <c r="K50" s="121" t="s">
        <v>260</v>
      </c>
      <c r="L50" s="132" t="s">
        <v>258</v>
      </c>
      <c r="M50" s="121" t="s">
        <v>259</v>
      </c>
      <c r="N50" s="109"/>
    </row>
    <row r="51" spans="1:14" s="61" customFormat="1" ht="16.149999999999999" customHeight="1" x14ac:dyDescent="0.2">
      <c r="A51" s="185" t="s">
        <v>290</v>
      </c>
      <c r="B51" s="140" t="s">
        <v>24</v>
      </c>
      <c r="C51" s="141" t="s">
        <v>284</v>
      </c>
      <c r="D51" s="142" t="s">
        <v>2</v>
      </c>
      <c r="E51" s="142" t="s">
        <v>8</v>
      </c>
      <c r="F51" s="142" t="s">
        <v>365</v>
      </c>
      <c r="G51" s="150" t="s">
        <v>345</v>
      </c>
      <c r="H51" s="150" t="s">
        <v>368</v>
      </c>
      <c r="I51" s="150">
        <f>PRODUCT('Additional company data'!D29,'Additional company data'!E29,'Additional company data'!$D$32)*1000000</f>
        <v>29730489.609338891</v>
      </c>
      <c r="J51" s="142">
        <v>2023</v>
      </c>
      <c r="K51" s="123" t="s">
        <v>364</v>
      </c>
      <c r="L51" s="133" t="s">
        <v>331</v>
      </c>
      <c r="M51" s="133" t="s">
        <v>157</v>
      </c>
      <c r="N51" s="114"/>
    </row>
    <row r="52" spans="1:14" s="61" customFormat="1" ht="16.149999999999999" customHeight="1" x14ac:dyDescent="0.2">
      <c r="A52" s="185" t="s">
        <v>290</v>
      </c>
      <c r="B52" s="140" t="s">
        <v>24</v>
      </c>
      <c r="C52" s="141" t="s">
        <v>284</v>
      </c>
      <c r="D52" s="142" t="s">
        <v>2</v>
      </c>
      <c r="E52" s="142" t="s">
        <v>4</v>
      </c>
      <c r="F52" s="142" t="s">
        <v>284</v>
      </c>
      <c r="G52" s="150" t="s">
        <v>345</v>
      </c>
      <c r="H52" s="150" t="s">
        <v>367</v>
      </c>
      <c r="I52" s="150">
        <f>PRODUCT('Additional company data'!D28,'Additional company data'!E28,'Additional company data'!$D$32)*1000000</f>
        <v>13177939.029473471</v>
      </c>
      <c r="J52" s="142">
        <v>2023</v>
      </c>
      <c r="K52" s="123" t="s">
        <v>364</v>
      </c>
      <c r="L52" s="133" t="s">
        <v>331</v>
      </c>
      <c r="M52" s="138" t="s">
        <v>157</v>
      </c>
      <c r="N52" s="114"/>
    </row>
    <row r="53" spans="1:14" s="61" customFormat="1" ht="16.149999999999999" customHeight="1" x14ac:dyDescent="0.2">
      <c r="A53" s="185" t="s">
        <v>290</v>
      </c>
      <c r="B53" s="140" t="s">
        <v>24</v>
      </c>
      <c r="C53" s="141" t="s">
        <v>284</v>
      </c>
      <c r="D53" s="142" t="s">
        <v>2</v>
      </c>
      <c r="E53" s="142" t="s">
        <v>5</v>
      </c>
      <c r="F53" s="142" t="s">
        <v>365</v>
      </c>
      <c r="G53" s="150" t="s">
        <v>345</v>
      </c>
      <c r="H53" s="150" t="s">
        <v>369</v>
      </c>
      <c r="I53" s="150">
        <f>PRODUCT('Additional company data'!D30,'Additional company data'!E30,'Additional company data'!$D$32)*1000000</f>
        <v>6260571.3611876406</v>
      </c>
      <c r="J53" s="142">
        <v>2023</v>
      </c>
      <c r="K53" s="123" t="s">
        <v>364</v>
      </c>
      <c r="L53" s="133" t="s">
        <v>331</v>
      </c>
      <c r="M53" s="133" t="s">
        <v>157</v>
      </c>
      <c r="N53" s="114"/>
    </row>
    <row r="54" spans="1:14" s="61" customFormat="1" ht="16.149999999999999" customHeight="1" x14ac:dyDescent="0.2">
      <c r="A54" s="185" t="s">
        <v>290</v>
      </c>
      <c r="B54" s="140" t="s">
        <v>25</v>
      </c>
      <c r="C54" s="141" t="s">
        <v>281</v>
      </c>
      <c r="D54" s="142" t="s">
        <v>2</v>
      </c>
      <c r="E54" s="142" t="s">
        <v>8</v>
      </c>
      <c r="F54" s="142" t="s">
        <v>274</v>
      </c>
      <c r="G54" s="150" t="s">
        <v>345</v>
      </c>
      <c r="H54" s="150" t="s">
        <v>348</v>
      </c>
      <c r="I54" s="150">
        <f>'Additional company data'!D39*days_per_year*Cap_pigs</f>
        <v>26846592</v>
      </c>
      <c r="J54" s="142">
        <v>2023</v>
      </c>
      <c r="K54" s="123" t="s">
        <v>380</v>
      </c>
      <c r="L54" s="121" t="s">
        <v>332</v>
      </c>
      <c r="M54" s="123"/>
      <c r="N54" s="114"/>
    </row>
    <row r="55" spans="1:14" s="61" customFormat="1" ht="16.149999999999999" customHeight="1" x14ac:dyDescent="0.2">
      <c r="A55" s="185" t="s">
        <v>290</v>
      </c>
      <c r="B55" s="140" t="s">
        <v>25</v>
      </c>
      <c r="C55" s="141" t="s">
        <v>281</v>
      </c>
      <c r="D55" s="142" t="s">
        <v>2</v>
      </c>
      <c r="E55" s="142" t="s">
        <v>6</v>
      </c>
      <c r="F55" s="142" t="s">
        <v>281</v>
      </c>
      <c r="G55" s="150" t="s">
        <v>345</v>
      </c>
      <c r="H55" s="150" t="s">
        <v>347</v>
      </c>
      <c r="I55" s="150">
        <f>'Additional company data'!F39*days_per_year*Cap_pigs</f>
        <v>8813568</v>
      </c>
      <c r="J55" s="142">
        <v>2023</v>
      </c>
      <c r="K55" s="123" t="s">
        <v>380</v>
      </c>
      <c r="L55" s="121" t="s">
        <v>332</v>
      </c>
      <c r="M55" s="123"/>
      <c r="N55" s="114"/>
    </row>
    <row r="56" spans="1:14" s="61" customFormat="1" ht="16.149999999999999" customHeight="1" x14ac:dyDescent="0.2">
      <c r="A56" s="185" t="s">
        <v>290</v>
      </c>
      <c r="B56" s="140" t="s">
        <v>25</v>
      </c>
      <c r="C56" s="141" t="s">
        <v>281</v>
      </c>
      <c r="D56" s="142" t="s">
        <v>2</v>
      </c>
      <c r="E56" s="142" t="s">
        <v>9</v>
      </c>
      <c r="F56" s="142" t="s">
        <v>325</v>
      </c>
      <c r="G56" s="150" t="s">
        <v>345</v>
      </c>
      <c r="H56" s="150" t="s">
        <v>350</v>
      </c>
      <c r="I56" s="150">
        <f>'Additional company data'!L39*days_per_year*Cap_pigs</f>
        <v>3090547.1999999997</v>
      </c>
      <c r="J56" s="142">
        <v>2023</v>
      </c>
      <c r="K56" s="123" t="s">
        <v>380</v>
      </c>
      <c r="L56" s="121" t="s">
        <v>332</v>
      </c>
      <c r="M56" s="123"/>
      <c r="N56" s="114"/>
    </row>
    <row r="57" spans="1:14" s="61" customFormat="1" ht="16.149999999999999" customHeight="1" x14ac:dyDescent="0.2">
      <c r="A57" s="185" t="s">
        <v>290</v>
      </c>
      <c r="B57" s="140" t="s">
        <v>25</v>
      </c>
      <c r="C57" s="141" t="s">
        <v>281</v>
      </c>
      <c r="D57" s="142" t="s">
        <v>2</v>
      </c>
      <c r="E57" s="142" t="s">
        <v>13</v>
      </c>
      <c r="F57" s="142" t="s">
        <v>351</v>
      </c>
      <c r="G57" s="150" t="s">
        <v>345</v>
      </c>
      <c r="H57" s="150" t="s">
        <v>352</v>
      </c>
      <c r="I57" s="150">
        <f>'Additional company data'!W39*days_per_year*Cap_pigs_Pilgrims</f>
        <v>2036053.8</v>
      </c>
      <c r="J57" s="142">
        <v>2023</v>
      </c>
      <c r="K57" s="123" t="s">
        <v>364</v>
      </c>
      <c r="L57" s="121" t="s">
        <v>332</v>
      </c>
      <c r="M57" s="123"/>
      <c r="N57" s="114"/>
    </row>
    <row r="58" spans="1:14" s="61" customFormat="1" ht="16.149999999999999" customHeight="1" x14ac:dyDescent="0.2">
      <c r="A58" s="185" t="s">
        <v>290</v>
      </c>
      <c r="B58" s="140" t="s">
        <v>22</v>
      </c>
      <c r="C58" s="141" t="s">
        <v>274</v>
      </c>
      <c r="D58" s="142" t="s">
        <v>2</v>
      </c>
      <c r="E58" s="142" t="s">
        <v>8</v>
      </c>
      <c r="F58" s="142" t="s">
        <v>274</v>
      </c>
      <c r="G58" s="150" t="s">
        <v>345</v>
      </c>
      <c r="H58" s="150" t="s">
        <v>370</v>
      </c>
      <c r="I58" s="150">
        <f>'Additional company data'!C46*52*'Additional company data'!D46</f>
        <v>20573280</v>
      </c>
      <c r="J58" s="142">
        <v>2023</v>
      </c>
      <c r="K58" s="123" t="s">
        <v>364</v>
      </c>
      <c r="L58" s="133" t="s">
        <v>330</v>
      </c>
      <c r="M58" s="121" t="s">
        <v>199</v>
      </c>
      <c r="N58" s="114"/>
    </row>
    <row r="59" spans="1:14" s="61" customFormat="1" ht="16.149999999999999" customHeight="1" x14ac:dyDescent="0.2">
      <c r="A59" s="185" t="s">
        <v>290</v>
      </c>
      <c r="B59" s="120" t="s">
        <v>164</v>
      </c>
      <c r="C59" s="119" t="s">
        <v>278</v>
      </c>
      <c r="D59" s="121" t="s">
        <v>2</v>
      </c>
      <c r="E59" s="121" t="s">
        <v>13</v>
      </c>
      <c r="F59" s="121" t="s">
        <v>365</v>
      </c>
      <c r="G59" s="151">
        <f>'Additional company data'!C73+'Additional company data'!D73</f>
        <v>17790000</v>
      </c>
      <c r="H59" s="151"/>
      <c r="I59" s="133">
        <f>G59</f>
        <v>17790000</v>
      </c>
      <c r="J59" s="121">
        <v>2023</v>
      </c>
      <c r="K59" s="121" t="s">
        <v>335</v>
      </c>
      <c r="L59" s="121" t="s">
        <v>333</v>
      </c>
      <c r="M59" s="121" t="s">
        <v>334</v>
      </c>
      <c r="N59" s="114"/>
    </row>
    <row r="60" spans="1:14" s="61" customFormat="1" ht="16.149999999999999" customHeight="1" x14ac:dyDescent="0.2">
      <c r="A60" s="185" t="s">
        <v>290</v>
      </c>
      <c r="B60" s="140" t="s">
        <v>23</v>
      </c>
      <c r="C60" s="141" t="s">
        <v>222</v>
      </c>
      <c r="D60" s="142" t="s">
        <v>2</v>
      </c>
      <c r="E60" s="142" t="s">
        <v>13</v>
      </c>
      <c r="F60" s="142" t="s">
        <v>365</v>
      </c>
      <c r="G60" s="150">
        <f>15877000*0.92</f>
        <v>14606840</v>
      </c>
      <c r="H60" s="150"/>
      <c r="I60" s="143">
        <f>G60</f>
        <v>14606840</v>
      </c>
      <c r="J60" s="144">
        <v>2023</v>
      </c>
      <c r="K60" s="121" t="s">
        <v>363</v>
      </c>
      <c r="L60" s="121" t="s">
        <v>156</v>
      </c>
      <c r="M60" s="121" t="s">
        <v>110</v>
      </c>
      <c r="N60" s="114"/>
    </row>
    <row r="61" spans="1:14" s="61" customFormat="1" ht="16.149999999999999" customHeight="1" x14ac:dyDescent="0.2">
      <c r="A61" s="185" t="s">
        <v>290</v>
      </c>
      <c r="B61" s="140" t="s">
        <v>23</v>
      </c>
      <c r="C61" s="141" t="s">
        <v>222</v>
      </c>
      <c r="D61" s="142" t="s">
        <v>2</v>
      </c>
      <c r="E61" s="142" t="s">
        <v>5</v>
      </c>
      <c r="F61" s="142" t="s">
        <v>365</v>
      </c>
      <c r="G61" s="150">
        <f>15877000*0.08</f>
        <v>1270160</v>
      </c>
      <c r="H61" s="150"/>
      <c r="I61" s="143">
        <f>G61</f>
        <v>1270160</v>
      </c>
      <c r="J61" s="144">
        <v>2023</v>
      </c>
      <c r="K61" s="121" t="s">
        <v>363</v>
      </c>
      <c r="L61" s="121" t="s">
        <v>156</v>
      </c>
      <c r="M61" s="121" t="s">
        <v>110</v>
      </c>
      <c r="N61" s="114"/>
    </row>
    <row r="62" spans="1:14" s="61" customFormat="1" ht="16.149999999999999" customHeight="1" x14ac:dyDescent="0.2">
      <c r="A62" s="185" t="s">
        <v>290</v>
      </c>
      <c r="B62" s="120" t="s">
        <v>137</v>
      </c>
      <c r="C62" s="119" t="s">
        <v>282</v>
      </c>
      <c r="D62" s="121" t="s">
        <v>2</v>
      </c>
      <c r="E62" s="121" t="s">
        <v>13</v>
      </c>
      <c r="F62" s="121" t="s">
        <v>365</v>
      </c>
      <c r="G62" s="151">
        <f>6500000/0.427</f>
        <v>15222482.435597191</v>
      </c>
      <c r="H62" s="151"/>
      <c r="I62" s="122">
        <f t="shared" ref="I62:I63" si="4">G62</f>
        <v>15222482.435597191</v>
      </c>
      <c r="J62" s="121">
        <v>2021</v>
      </c>
      <c r="K62" s="121" t="s">
        <v>342</v>
      </c>
      <c r="L62" s="121" t="s">
        <v>208</v>
      </c>
      <c r="M62" s="123" t="s">
        <v>209</v>
      </c>
      <c r="N62" s="114"/>
    </row>
    <row r="63" spans="1:14" s="61" customFormat="1" ht="16.149999999999999" customHeight="1" x14ac:dyDescent="0.2">
      <c r="A63" s="185" t="s">
        <v>290</v>
      </c>
      <c r="B63" s="120" t="s">
        <v>130</v>
      </c>
      <c r="C63" s="119" t="s">
        <v>284</v>
      </c>
      <c r="D63" s="121" t="s">
        <v>2</v>
      </c>
      <c r="E63" s="121" t="s">
        <v>4</v>
      </c>
      <c r="F63" s="121" t="s">
        <v>284</v>
      </c>
      <c r="G63" s="151">
        <v>13260000</v>
      </c>
      <c r="H63" s="151"/>
      <c r="I63" s="122">
        <f t="shared" si="4"/>
        <v>13260000</v>
      </c>
      <c r="J63" s="121">
        <v>2023</v>
      </c>
      <c r="K63" s="121"/>
      <c r="L63" s="132" t="s">
        <v>224</v>
      </c>
      <c r="M63" s="121" t="s">
        <v>223</v>
      </c>
      <c r="N63" s="114"/>
    </row>
    <row r="64" spans="1:14" s="61" customFormat="1" ht="16.149999999999999" customHeight="1" x14ac:dyDescent="0.2">
      <c r="A64" s="185" t="s">
        <v>290</v>
      </c>
      <c r="B64" s="120" t="s">
        <v>175</v>
      </c>
      <c r="C64" s="119" t="s">
        <v>281</v>
      </c>
      <c r="D64" s="121" t="s">
        <v>2</v>
      </c>
      <c r="E64" s="121" t="s">
        <v>166</v>
      </c>
      <c r="F64" s="121" t="s">
        <v>281</v>
      </c>
      <c r="G64" s="151" t="s">
        <v>345</v>
      </c>
      <c r="H64" s="151" t="s">
        <v>371</v>
      </c>
      <c r="I64" s="151">
        <f>193100*52*Cap_pigs</f>
        <v>9639552</v>
      </c>
      <c r="J64" s="121">
        <v>2023</v>
      </c>
      <c r="K64" s="123" t="s">
        <v>380</v>
      </c>
      <c r="L64" s="121" t="s">
        <v>242</v>
      </c>
      <c r="M64" s="121" t="s">
        <v>243</v>
      </c>
      <c r="N64" s="114"/>
    </row>
    <row r="65" spans="1:14" s="61" customFormat="1" ht="16.149999999999999" customHeight="1" x14ac:dyDescent="0.2">
      <c r="A65" s="185" t="s">
        <v>290</v>
      </c>
      <c r="B65" s="120" t="s">
        <v>294</v>
      </c>
      <c r="C65" s="119" t="s">
        <v>288</v>
      </c>
      <c r="D65" s="121" t="s">
        <v>2</v>
      </c>
      <c r="E65" s="121" t="s">
        <v>13</v>
      </c>
      <c r="F65" s="121" t="s">
        <v>288</v>
      </c>
      <c r="G65" s="151">
        <f>'Additional company data'!F57</f>
        <v>8505747.1264367811</v>
      </c>
      <c r="H65" s="151"/>
      <c r="I65" s="122">
        <f t="shared" ref="I65:I72" si="5">G65</f>
        <v>8505747.1264367811</v>
      </c>
      <c r="J65" s="124" t="s">
        <v>232</v>
      </c>
      <c r="K65" s="123" t="s">
        <v>360</v>
      </c>
      <c r="L65" s="132" t="s">
        <v>336</v>
      </c>
      <c r="M65" s="121" t="s">
        <v>295</v>
      </c>
      <c r="N65" s="114"/>
    </row>
    <row r="66" spans="1:14" s="61" customFormat="1" ht="16.149999999999999" customHeight="1" x14ac:dyDescent="0.2">
      <c r="A66" s="185" t="s">
        <v>290</v>
      </c>
      <c r="B66" s="120" t="s">
        <v>131</v>
      </c>
      <c r="C66" s="119" t="s">
        <v>284</v>
      </c>
      <c r="D66" s="121" t="s">
        <v>2</v>
      </c>
      <c r="E66" s="121" t="s">
        <v>4</v>
      </c>
      <c r="F66" s="121" t="s">
        <v>284</v>
      </c>
      <c r="G66" s="151">
        <v>8450000</v>
      </c>
      <c r="H66" s="151"/>
      <c r="I66" s="122">
        <f>G66</f>
        <v>8450000</v>
      </c>
      <c r="J66" s="121">
        <v>2022</v>
      </c>
      <c r="K66" s="121"/>
      <c r="L66" s="132" t="s">
        <v>230</v>
      </c>
      <c r="M66" s="121" t="s">
        <v>231</v>
      </c>
      <c r="N66" s="114"/>
    </row>
    <row r="67" spans="1:14" s="61" customFormat="1" ht="16.149999999999999" customHeight="1" x14ac:dyDescent="0.2">
      <c r="A67" s="185" t="s">
        <v>290</v>
      </c>
      <c r="B67" s="140" t="s">
        <v>162</v>
      </c>
      <c r="C67" s="141" t="s">
        <v>276</v>
      </c>
      <c r="D67" s="142" t="s">
        <v>2</v>
      </c>
      <c r="E67" s="142" t="s">
        <v>13</v>
      </c>
      <c r="F67" s="142" t="s">
        <v>276</v>
      </c>
      <c r="G67" s="150">
        <f>'Additional company data'!F68</f>
        <v>8381962.8647214863</v>
      </c>
      <c r="H67" s="150"/>
      <c r="I67" s="143">
        <f t="shared" si="5"/>
        <v>8381962.8647214863</v>
      </c>
      <c r="J67" s="142">
        <v>2023</v>
      </c>
      <c r="K67" s="123" t="s">
        <v>356</v>
      </c>
      <c r="L67" s="121" t="s">
        <v>337</v>
      </c>
      <c r="M67" s="121" t="s">
        <v>207</v>
      </c>
      <c r="N67" s="114"/>
    </row>
    <row r="68" spans="1:14" s="61" customFormat="1" ht="16.149999999999999" customHeight="1" x14ac:dyDescent="0.2">
      <c r="A68" s="185" t="s">
        <v>290</v>
      </c>
      <c r="B68" s="120" t="s">
        <v>165</v>
      </c>
      <c r="C68" s="119" t="s">
        <v>281</v>
      </c>
      <c r="D68" s="121" t="s">
        <v>2</v>
      </c>
      <c r="E68" s="121" t="s">
        <v>166</v>
      </c>
      <c r="F68" s="121" t="s">
        <v>281</v>
      </c>
      <c r="G68" s="151">
        <v>7300000</v>
      </c>
      <c r="H68" s="151"/>
      <c r="I68" s="122">
        <f t="shared" si="5"/>
        <v>7300000</v>
      </c>
      <c r="J68" s="121">
        <v>2023</v>
      </c>
      <c r="K68" s="121" t="s">
        <v>260</v>
      </c>
      <c r="L68" s="132" t="s">
        <v>258</v>
      </c>
      <c r="M68" s="121" t="s">
        <v>259</v>
      </c>
      <c r="N68" s="114"/>
    </row>
    <row r="69" spans="1:14" s="61" customFormat="1" ht="16.149999999999999" customHeight="1" x14ac:dyDescent="0.2">
      <c r="A69" s="185" t="s">
        <v>290</v>
      </c>
      <c r="B69" s="140" t="s">
        <v>144</v>
      </c>
      <c r="C69" s="141" t="s">
        <v>275</v>
      </c>
      <c r="D69" s="142" t="s">
        <v>2</v>
      </c>
      <c r="E69" s="142" t="s">
        <v>8</v>
      </c>
      <c r="F69" s="142" t="s">
        <v>274</v>
      </c>
      <c r="G69" s="150">
        <v>3800000</v>
      </c>
      <c r="H69" s="150"/>
      <c r="I69" s="143">
        <f t="shared" si="5"/>
        <v>3800000</v>
      </c>
      <c r="J69" s="142">
        <v>2023</v>
      </c>
      <c r="K69" s="123"/>
      <c r="L69" s="121" t="s">
        <v>338</v>
      </c>
      <c r="M69" s="121" t="s">
        <v>146</v>
      </c>
      <c r="N69" s="114"/>
    </row>
    <row r="70" spans="1:14" s="61" customFormat="1" ht="16.149999999999999" customHeight="1" x14ac:dyDescent="0.2">
      <c r="A70" s="185" t="s">
        <v>290</v>
      </c>
      <c r="B70" s="120" t="s">
        <v>144</v>
      </c>
      <c r="C70" s="119" t="s">
        <v>275</v>
      </c>
      <c r="D70" s="121" t="s">
        <v>2</v>
      </c>
      <c r="E70" s="121" t="s">
        <v>10</v>
      </c>
      <c r="F70" s="121" t="s">
        <v>378</v>
      </c>
      <c r="G70" s="151">
        <f>263400*1000/'Additional data sources'!G12</f>
        <v>2270689.6551724137</v>
      </c>
      <c r="H70" s="151"/>
      <c r="I70" s="122">
        <f t="shared" si="5"/>
        <v>2270689.6551724137</v>
      </c>
      <c r="J70" s="121">
        <v>2022</v>
      </c>
      <c r="K70" s="123" t="s">
        <v>376</v>
      </c>
      <c r="L70" s="121" t="s">
        <v>211</v>
      </c>
      <c r="M70" s="121" t="s">
        <v>210</v>
      </c>
      <c r="N70" s="114"/>
    </row>
    <row r="71" spans="1:14" s="61" customFormat="1" ht="16.149999999999999" customHeight="1" x14ac:dyDescent="0.2">
      <c r="A71" s="185" t="s">
        <v>290</v>
      </c>
      <c r="B71" s="140" t="s">
        <v>144</v>
      </c>
      <c r="C71" s="141" t="s">
        <v>275</v>
      </c>
      <c r="D71" s="142" t="s">
        <v>2</v>
      </c>
      <c r="E71" s="142" t="s">
        <v>4</v>
      </c>
      <c r="F71" s="142" t="s">
        <v>365</v>
      </c>
      <c r="G71" s="150">
        <f>1130000</f>
        <v>1130000</v>
      </c>
      <c r="H71" s="150"/>
      <c r="I71" s="143">
        <f t="shared" si="5"/>
        <v>1130000</v>
      </c>
      <c r="J71" s="142">
        <v>2022</v>
      </c>
      <c r="K71" s="123"/>
      <c r="L71" s="121" t="s">
        <v>292</v>
      </c>
      <c r="M71" s="121" t="s">
        <v>145</v>
      </c>
      <c r="N71" s="114"/>
    </row>
    <row r="72" spans="1:14" s="61" customFormat="1" ht="16.149999999999999" customHeight="1" x14ac:dyDescent="0.2">
      <c r="A72" s="185" t="s">
        <v>290</v>
      </c>
      <c r="B72" s="120" t="s">
        <v>261</v>
      </c>
      <c r="C72" s="119" t="s">
        <v>278</v>
      </c>
      <c r="D72" s="121" t="s">
        <v>2</v>
      </c>
      <c r="E72" s="121" t="s">
        <v>13</v>
      </c>
      <c r="F72" s="121" t="s">
        <v>278</v>
      </c>
      <c r="G72" s="151">
        <v>6600000</v>
      </c>
      <c r="H72" s="151"/>
      <c r="I72" s="122">
        <f t="shared" si="5"/>
        <v>6600000</v>
      </c>
      <c r="J72" s="121">
        <v>2023</v>
      </c>
      <c r="K72" s="121"/>
      <c r="L72" s="121" t="s">
        <v>270</v>
      </c>
      <c r="M72" s="121" t="s">
        <v>271</v>
      </c>
      <c r="N72" s="114"/>
    </row>
    <row r="73" spans="1:14" s="61" customFormat="1" ht="16.149999999999999" customHeight="1" x14ac:dyDescent="0.2">
      <c r="A73" s="185" t="s">
        <v>290</v>
      </c>
      <c r="B73" s="120" t="s">
        <v>214</v>
      </c>
      <c r="C73" s="119" t="s">
        <v>288</v>
      </c>
      <c r="D73" s="121" t="s">
        <v>2</v>
      </c>
      <c r="E73" s="121" t="s">
        <v>13</v>
      </c>
      <c r="F73" s="121" t="s">
        <v>288</v>
      </c>
      <c r="G73" s="151">
        <v>6400000</v>
      </c>
      <c r="H73" s="151"/>
      <c r="I73" s="122">
        <f t="shared" ref="I73:I78" si="6">G73</f>
        <v>6400000</v>
      </c>
      <c r="J73" s="121">
        <v>2023</v>
      </c>
      <c r="K73" s="136"/>
      <c r="L73" s="135" t="s">
        <v>215</v>
      </c>
      <c r="M73" s="121" t="s">
        <v>216</v>
      </c>
      <c r="N73" s="114"/>
    </row>
    <row r="74" spans="1:14" s="61" customFormat="1" ht="16.149999999999999" customHeight="1" x14ac:dyDescent="0.2">
      <c r="A74" s="185" t="s">
        <v>291</v>
      </c>
      <c r="B74" s="120" t="s">
        <v>134</v>
      </c>
      <c r="C74" s="119" t="s">
        <v>274</v>
      </c>
      <c r="D74" s="121" t="s">
        <v>2</v>
      </c>
      <c r="E74" s="121" t="s">
        <v>8</v>
      </c>
      <c r="F74" s="121" t="s">
        <v>274</v>
      </c>
      <c r="G74" s="151">
        <v>6000000</v>
      </c>
      <c r="H74" s="151"/>
      <c r="I74" s="122">
        <f t="shared" si="6"/>
        <v>6000000</v>
      </c>
      <c r="J74" s="121">
        <v>2023</v>
      </c>
      <c r="K74" s="121" t="s">
        <v>226</v>
      </c>
      <c r="L74" s="134" t="s">
        <v>227</v>
      </c>
      <c r="M74" s="121" t="s">
        <v>225</v>
      </c>
      <c r="N74" s="114"/>
    </row>
    <row r="75" spans="1:14" s="61" customFormat="1" ht="16.149999999999999" customHeight="1" x14ac:dyDescent="0.2">
      <c r="A75" s="185" t="s">
        <v>291</v>
      </c>
      <c r="B75" s="120" t="s">
        <v>200</v>
      </c>
      <c r="C75" s="119" t="s">
        <v>284</v>
      </c>
      <c r="D75" s="121" t="s">
        <v>2</v>
      </c>
      <c r="E75" s="121" t="s">
        <v>4</v>
      </c>
      <c r="F75" s="121" t="s">
        <v>284</v>
      </c>
      <c r="G75" s="151">
        <v>5200000</v>
      </c>
      <c r="H75" s="151"/>
      <c r="I75" s="122">
        <f t="shared" si="6"/>
        <v>5200000</v>
      </c>
      <c r="J75" s="121">
        <v>2023</v>
      </c>
      <c r="K75" s="121" t="s">
        <v>339</v>
      </c>
      <c r="L75" s="132" t="s">
        <v>255</v>
      </c>
      <c r="M75" s="121" t="s">
        <v>254</v>
      </c>
      <c r="N75" s="114"/>
    </row>
    <row r="76" spans="1:14" s="61" customFormat="1" ht="16.149999999999999" customHeight="1" x14ac:dyDescent="0.2">
      <c r="A76" s="185" t="s">
        <v>291</v>
      </c>
      <c r="B76" s="120" t="s">
        <v>133</v>
      </c>
      <c r="C76" s="119" t="s">
        <v>274</v>
      </c>
      <c r="D76" s="121" t="s">
        <v>2</v>
      </c>
      <c r="E76" s="121" t="s">
        <v>8</v>
      </c>
      <c r="F76" s="121" t="s">
        <v>274</v>
      </c>
      <c r="G76" s="151">
        <v>5200000</v>
      </c>
      <c r="H76" s="151"/>
      <c r="I76" s="122">
        <f t="shared" si="6"/>
        <v>5200000</v>
      </c>
      <c r="J76" s="124" t="s">
        <v>232</v>
      </c>
      <c r="K76" s="121"/>
      <c r="L76" s="132" t="s">
        <v>273</v>
      </c>
      <c r="M76" s="121" t="s">
        <v>272</v>
      </c>
      <c r="N76" s="114"/>
    </row>
    <row r="77" spans="1:14" s="61" customFormat="1" ht="16.149999999999999" customHeight="1" x14ac:dyDescent="0.2">
      <c r="A77" s="185" t="s">
        <v>291</v>
      </c>
      <c r="B77" s="120" t="s">
        <v>135</v>
      </c>
      <c r="C77" s="119" t="s">
        <v>276</v>
      </c>
      <c r="D77" s="121" t="s">
        <v>2</v>
      </c>
      <c r="E77" s="121" t="s">
        <v>13</v>
      </c>
      <c r="F77" s="121" t="s">
        <v>276</v>
      </c>
      <c r="G77" s="151">
        <v>4300000</v>
      </c>
      <c r="H77" s="151"/>
      <c r="I77" s="122">
        <f t="shared" si="6"/>
        <v>4300000</v>
      </c>
      <c r="J77" s="124" t="s">
        <v>232</v>
      </c>
      <c r="K77" s="121"/>
      <c r="L77" s="134" t="s">
        <v>256</v>
      </c>
      <c r="M77" s="121" t="s">
        <v>257</v>
      </c>
      <c r="N77" s="114"/>
    </row>
    <row r="78" spans="1:14" s="61" customFormat="1" ht="16.149999999999999" customHeight="1" x14ac:dyDescent="0.2">
      <c r="A78" s="185" t="s">
        <v>291</v>
      </c>
      <c r="B78" s="120" t="s">
        <v>132</v>
      </c>
      <c r="C78" s="119" t="s">
        <v>284</v>
      </c>
      <c r="D78" s="121" t="s">
        <v>2</v>
      </c>
      <c r="E78" s="121" t="s">
        <v>4</v>
      </c>
      <c r="F78" s="121" t="s">
        <v>284</v>
      </c>
      <c r="G78" s="151">
        <v>3960000</v>
      </c>
      <c r="H78" s="151"/>
      <c r="I78" s="122">
        <f t="shared" si="6"/>
        <v>3960000</v>
      </c>
      <c r="J78" s="121">
        <v>2023</v>
      </c>
      <c r="K78" s="121"/>
      <c r="L78" s="132" t="s">
        <v>228</v>
      </c>
      <c r="M78" s="121" t="s">
        <v>229</v>
      </c>
      <c r="N78" s="114"/>
    </row>
    <row r="79" spans="1:14" s="61" customFormat="1" ht="16.149999999999999" customHeight="1" x14ac:dyDescent="0.2">
      <c r="A79" s="185" t="s">
        <v>291</v>
      </c>
      <c r="B79" s="120" t="s">
        <v>177</v>
      </c>
      <c r="C79" s="119" t="s">
        <v>284</v>
      </c>
      <c r="D79" s="121" t="s">
        <v>2</v>
      </c>
      <c r="E79" s="121" t="s">
        <v>4</v>
      </c>
      <c r="F79" s="121" t="s">
        <v>284</v>
      </c>
      <c r="G79" s="151" t="s">
        <v>345</v>
      </c>
      <c r="H79" s="151" t="s">
        <v>377</v>
      </c>
      <c r="I79" s="151">
        <f>4000000*Cap_pigs</f>
        <v>3840000</v>
      </c>
      <c r="J79" s="121">
        <v>2023</v>
      </c>
      <c r="K79" s="121" t="s">
        <v>381</v>
      </c>
      <c r="L79" s="121" t="s">
        <v>251</v>
      </c>
      <c r="M79" s="121" t="s">
        <v>252</v>
      </c>
      <c r="N79" s="114"/>
    </row>
    <row r="80" spans="1:14" s="61" customFormat="1" ht="16.149999999999999" customHeight="1" x14ac:dyDescent="0.2">
      <c r="A80" s="185" t="s">
        <v>291</v>
      </c>
      <c r="B80" s="120" t="s">
        <v>172</v>
      </c>
      <c r="C80" s="119" t="s">
        <v>274</v>
      </c>
      <c r="D80" s="121" t="s">
        <v>2</v>
      </c>
      <c r="E80" s="121" t="s">
        <v>8</v>
      </c>
      <c r="F80" s="121" t="s">
        <v>274</v>
      </c>
      <c r="G80" s="151">
        <f>11200*days_per_year</f>
        <v>3382400</v>
      </c>
      <c r="H80" s="151"/>
      <c r="I80" s="122">
        <f>G80</f>
        <v>3382400</v>
      </c>
      <c r="J80" s="121">
        <v>2022</v>
      </c>
      <c r="K80" s="121" t="s">
        <v>343</v>
      </c>
      <c r="L80" s="132" t="s">
        <v>263</v>
      </c>
      <c r="M80" s="121" t="s">
        <v>264</v>
      </c>
      <c r="N80" s="114"/>
    </row>
    <row r="81" spans="1:14" s="61" customFormat="1" ht="16.149999999999999" customHeight="1" x14ac:dyDescent="0.2">
      <c r="A81" s="185" t="s">
        <v>291</v>
      </c>
      <c r="B81" s="140" t="s">
        <v>296</v>
      </c>
      <c r="C81" s="141" t="s">
        <v>280</v>
      </c>
      <c r="D81" s="142" t="s">
        <v>2</v>
      </c>
      <c r="E81" s="142" t="s">
        <v>13</v>
      </c>
      <c r="F81" s="142" t="s">
        <v>280</v>
      </c>
      <c r="G81" s="150">
        <f>'Additional company data'!F53</f>
        <v>707338.63837312115</v>
      </c>
      <c r="H81" s="150"/>
      <c r="I81" s="143">
        <f>G81</f>
        <v>707338.63837312115</v>
      </c>
      <c r="J81" s="142">
        <v>2022</v>
      </c>
      <c r="K81" s="123" t="s">
        <v>360</v>
      </c>
      <c r="L81" s="121" t="s">
        <v>328</v>
      </c>
      <c r="M81" s="125" t="s">
        <v>262</v>
      </c>
      <c r="N81" s="114"/>
    </row>
    <row r="82" spans="1:14" ht="15.75" customHeight="1" x14ac:dyDescent="0.2">
      <c r="B82" s="8"/>
      <c r="C82" s="9"/>
      <c r="D82" s="9"/>
      <c r="E82" s="90"/>
      <c r="F82" s="90"/>
      <c r="G82" s="152"/>
      <c r="H82" s="152"/>
      <c r="I82" s="152"/>
      <c r="J82" s="7"/>
      <c r="K82" s="10"/>
      <c r="N82"/>
    </row>
    <row r="83" spans="1:14" x14ac:dyDescent="0.2">
      <c r="B83" s="139" t="s">
        <v>116</v>
      </c>
      <c r="E83" s="40"/>
      <c r="F83" s="40"/>
      <c r="N83"/>
    </row>
    <row r="84" spans="1:14" x14ac:dyDescent="0.2">
      <c r="E84" s="89"/>
      <c r="F84" s="89"/>
      <c r="N84"/>
    </row>
    <row r="85" spans="1:14" ht="38.25" x14ac:dyDescent="0.2">
      <c r="A85" s="186" t="s">
        <v>289</v>
      </c>
      <c r="B85" s="147" t="s">
        <v>38</v>
      </c>
      <c r="C85" s="2" t="s">
        <v>0</v>
      </c>
      <c r="D85" s="11" t="s">
        <v>148</v>
      </c>
      <c r="E85" s="11"/>
      <c r="F85" s="153"/>
      <c r="G85" s="153"/>
      <c r="H85" s="153" t="s">
        <v>42</v>
      </c>
      <c r="I85" s="11" t="s">
        <v>43</v>
      </c>
      <c r="J85" s="42" t="s">
        <v>101</v>
      </c>
      <c r="K85" s="42"/>
      <c r="L85" s="105"/>
      <c r="M85" s="105"/>
    </row>
    <row r="86" spans="1:14" ht="16.5" customHeight="1" x14ac:dyDescent="0.2">
      <c r="A86" s="181" t="s">
        <v>290</v>
      </c>
      <c r="B86" s="176" t="s">
        <v>28</v>
      </c>
      <c r="C86" s="15" t="s">
        <v>9</v>
      </c>
      <c r="D86" s="32">
        <v>17.600000000000001</v>
      </c>
      <c r="E86" s="32"/>
      <c r="F86" s="154"/>
      <c r="G86" s="154"/>
      <c r="H86" s="154">
        <v>2022</v>
      </c>
      <c r="I86" s="75" t="s">
        <v>44</v>
      </c>
      <c r="J86" s="76" t="s">
        <v>149</v>
      </c>
      <c r="K86" s="76"/>
      <c r="L86" s="105"/>
      <c r="M86" s="105"/>
    </row>
    <row r="87" spans="1:14" ht="16.5" customHeight="1" x14ac:dyDescent="0.2">
      <c r="A87" s="181" t="s">
        <v>290</v>
      </c>
      <c r="B87" s="176" t="s">
        <v>29</v>
      </c>
      <c r="C87" s="15" t="s">
        <v>8</v>
      </c>
      <c r="D87" s="32">
        <v>29.7</v>
      </c>
      <c r="E87" s="32"/>
      <c r="F87" s="154"/>
      <c r="G87" s="154"/>
      <c r="H87" s="154">
        <v>2022</v>
      </c>
      <c r="I87" s="75" t="s">
        <v>44</v>
      </c>
      <c r="J87" s="76" t="s">
        <v>149</v>
      </c>
      <c r="K87" s="76"/>
      <c r="L87" s="105"/>
      <c r="M87" s="105"/>
    </row>
    <row r="88" spans="1:14" ht="16.5" customHeight="1" x14ac:dyDescent="0.2">
      <c r="A88" s="181" t="s">
        <v>290</v>
      </c>
      <c r="B88" s="176" t="s">
        <v>30</v>
      </c>
      <c r="C88" s="15" t="s">
        <v>13</v>
      </c>
      <c r="D88" s="32">
        <v>22.6</v>
      </c>
      <c r="E88" s="32"/>
      <c r="F88" s="154"/>
      <c r="G88" s="154"/>
      <c r="H88" s="154">
        <v>2022</v>
      </c>
      <c r="I88" s="75" t="s">
        <v>44</v>
      </c>
      <c r="J88" s="76" t="s">
        <v>149</v>
      </c>
      <c r="K88" s="76"/>
      <c r="L88" s="105"/>
      <c r="M88" s="105"/>
    </row>
    <row r="89" spans="1:14" ht="16.5" customHeight="1" x14ac:dyDescent="0.2">
      <c r="A89" s="181" t="s">
        <v>290</v>
      </c>
      <c r="B89" s="176" t="s">
        <v>31</v>
      </c>
      <c r="C89" s="15" t="s">
        <v>13</v>
      </c>
      <c r="D89" s="32">
        <v>13.5</v>
      </c>
      <c r="E89" s="32"/>
      <c r="F89" s="154"/>
      <c r="G89" s="154"/>
      <c r="H89" s="154">
        <v>2022</v>
      </c>
      <c r="I89" s="75" t="s">
        <v>44</v>
      </c>
      <c r="J89" s="76" t="s">
        <v>149</v>
      </c>
      <c r="K89" s="76"/>
      <c r="L89" s="105"/>
      <c r="M89" s="105"/>
    </row>
    <row r="90" spans="1:14" ht="16.5" customHeight="1" x14ac:dyDescent="0.2">
      <c r="A90" s="181" t="s">
        <v>290</v>
      </c>
      <c r="B90" s="176" t="s">
        <v>32</v>
      </c>
      <c r="C90" s="15" t="s">
        <v>13</v>
      </c>
      <c r="D90" s="32">
        <v>13.5</v>
      </c>
      <c r="E90" s="32"/>
      <c r="F90" s="154"/>
      <c r="G90" s="154"/>
      <c r="H90" s="154">
        <v>2022</v>
      </c>
      <c r="I90" s="75" t="s">
        <v>44</v>
      </c>
      <c r="J90" s="76" t="s">
        <v>149</v>
      </c>
      <c r="K90" s="76"/>
      <c r="L90" s="105"/>
      <c r="M90" s="105"/>
    </row>
    <row r="91" spans="1:14" s="115" customFormat="1" ht="16.5" customHeight="1" x14ac:dyDescent="0.2">
      <c r="A91" s="187" t="s">
        <v>290</v>
      </c>
      <c r="B91" s="177" t="s">
        <v>33</v>
      </c>
      <c r="C91" s="79" t="s">
        <v>13</v>
      </c>
      <c r="D91" s="80">
        <v>10.7</v>
      </c>
      <c r="E91" s="80"/>
      <c r="F91" s="155"/>
      <c r="G91" s="155"/>
      <c r="H91" s="155">
        <v>2022</v>
      </c>
      <c r="I91" s="81" t="s">
        <v>44</v>
      </c>
      <c r="J91" s="82" t="s">
        <v>149</v>
      </c>
      <c r="K91" s="82"/>
    </row>
    <row r="92" spans="1:14" s="113" customFormat="1" ht="16.5" customHeight="1" x14ac:dyDescent="0.2">
      <c r="A92" s="188" t="s">
        <v>48</v>
      </c>
      <c r="B92" s="178" t="s">
        <v>34</v>
      </c>
      <c r="C92" s="77" t="s">
        <v>13</v>
      </c>
      <c r="D92" s="78">
        <f>'Additional company data'!$I$8*0.16/0.26*'Additional company data'!I$11/1000</f>
        <v>0.81599999999999995</v>
      </c>
      <c r="E92" s="78"/>
      <c r="F92" s="156"/>
      <c r="G92" s="156"/>
      <c r="H92" s="156">
        <v>2022</v>
      </c>
      <c r="I92" s="18" t="s">
        <v>154</v>
      </c>
      <c r="J92" s="88" t="s">
        <v>155</v>
      </c>
      <c r="K92" s="88"/>
    </row>
    <row r="93" spans="1:14" ht="16.5" customHeight="1" x14ac:dyDescent="0.2">
      <c r="A93" s="181" t="s">
        <v>48</v>
      </c>
      <c r="B93" s="176" t="s">
        <v>34</v>
      </c>
      <c r="C93" s="15" t="s">
        <v>5</v>
      </c>
      <c r="D93" s="32">
        <f>'Additional company data'!I8*0.1/0.26*'Additional company data'!I11/1000</f>
        <v>0.51</v>
      </c>
      <c r="E93" s="32"/>
      <c r="F93" s="157"/>
      <c r="G93" s="157"/>
      <c r="H93" s="157">
        <v>2022</v>
      </c>
      <c r="I93" s="14" t="s">
        <v>154</v>
      </c>
      <c r="J93" s="88" t="s">
        <v>155</v>
      </c>
      <c r="K93" s="88"/>
      <c r="L93" s="105"/>
      <c r="M93" s="105"/>
    </row>
    <row r="94" spans="1:14" ht="16.5" customHeight="1" x14ac:dyDescent="0.2">
      <c r="A94" s="181" t="s">
        <v>48</v>
      </c>
      <c r="B94" s="176" t="s">
        <v>34</v>
      </c>
      <c r="C94" s="15" t="s">
        <v>10</v>
      </c>
      <c r="D94" s="32">
        <f>'Additional company data'!$I$8*'Additional company data'!I12/1000</f>
        <v>1.173</v>
      </c>
      <c r="E94" s="32"/>
      <c r="F94" s="157"/>
      <c r="G94" s="157"/>
      <c r="H94" s="157">
        <v>2022</v>
      </c>
      <c r="I94" s="13" t="s">
        <v>154</v>
      </c>
      <c r="J94" s="88" t="s">
        <v>155</v>
      </c>
      <c r="K94" s="88"/>
      <c r="L94" s="105"/>
      <c r="M94" s="105"/>
    </row>
    <row r="95" spans="1:14" ht="16.5" customHeight="1" x14ac:dyDescent="0.2">
      <c r="A95" s="181" t="s">
        <v>48</v>
      </c>
      <c r="B95" s="176" t="s">
        <v>34</v>
      </c>
      <c r="C95" s="15" t="s">
        <v>8</v>
      </c>
      <c r="D95" s="32">
        <f>'Additional company data'!$I$8*'Additional company data'!I13/1000</f>
        <v>1.4790000000000001</v>
      </c>
      <c r="E95" s="32"/>
      <c r="F95" s="157"/>
      <c r="G95" s="157"/>
      <c r="H95" s="157">
        <v>2022</v>
      </c>
      <c r="I95" s="13" t="s">
        <v>154</v>
      </c>
      <c r="J95" s="100" t="s">
        <v>155</v>
      </c>
      <c r="K95" s="100"/>
      <c r="L95" s="105"/>
      <c r="M95" s="105"/>
    </row>
    <row r="96" spans="1:14" ht="16.5" customHeight="1" x14ac:dyDescent="0.2">
      <c r="A96" s="181" t="s">
        <v>48</v>
      </c>
      <c r="B96" s="176" t="s">
        <v>34</v>
      </c>
      <c r="C96" s="15" t="s">
        <v>6</v>
      </c>
      <c r="D96" s="32">
        <f>'Additional company data'!$I$8*'Additional company data'!I14/1000</f>
        <v>0.56100000000000005</v>
      </c>
      <c r="E96" s="32"/>
      <c r="F96" s="157"/>
      <c r="G96" s="157"/>
      <c r="H96" s="157">
        <v>2022</v>
      </c>
      <c r="I96" s="13" t="s">
        <v>154</v>
      </c>
      <c r="J96" s="88" t="s">
        <v>155</v>
      </c>
      <c r="K96" s="88"/>
      <c r="L96" s="105"/>
      <c r="M96" s="105"/>
    </row>
    <row r="97" spans="1:13" ht="16.5" customHeight="1" x14ac:dyDescent="0.2">
      <c r="A97" s="181" t="s">
        <v>48</v>
      </c>
      <c r="B97" s="176" t="s">
        <v>34</v>
      </c>
      <c r="C97" s="15" t="s">
        <v>7</v>
      </c>
      <c r="D97" s="32">
        <f>'Additional company data'!$I$8*'Additional company data'!I15/1000*2/3</f>
        <v>0.37400000000000005</v>
      </c>
      <c r="E97" s="32"/>
      <c r="F97" s="157"/>
      <c r="G97" s="157"/>
      <c r="H97" s="157">
        <v>2022</v>
      </c>
      <c r="I97" s="13" t="s">
        <v>154</v>
      </c>
      <c r="J97" s="88" t="s">
        <v>155</v>
      </c>
      <c r="K97" s="88"/>
      <c r="L97" s="105"/>
      <c r="M97" s="105"/>
    </row>
    <row r="98" spans="1:13" s="115" customFormat="1" ht="16.5" customHeight="1" x14ac:dyDescent="0.2">
      <c r="A98" s="187" t="s">
        <v>48</v>
      </c>
      <c r="B98" s="177" t="s">
        <v>34</v>
      </c>
      <c r="C98" s="79" t="s">
        <v>12</v>
      </c>
      <c r="D98" s="80">
        <f>Danone_intake*'Additional company data'!I15/1000*1/3</f>
        <v>0.20412333333333332</v>
      </c>
      <c r="E98" s="80"/>
      <c r="F98" s="155"/>
      <c r="G98" s="155"/>
      <c r="H98" s="155">
        <v>2022</v>
      </c>
      <c r="I98" s="85" t="s">
        <v>154</v>
      </c>
      <c r="J98" s="82" t="s">
        <v>155</v>
      </c>
      <c r="K98" s="82"/>
    </row>
    <row r="99" spans="1:13" s="113" customFormat="1" ht="16.5" customHeight="1" x14ac:dyDescent="0.2">
      <c r="A99" s="189" t="s">
        <v>290</v>
      </c>
      <c r="B99" s="91" t="s">
        <v>158</v>
      </c>
      <c r="C99" s="87" t="s">
        <v>13</v>
      </c>
      <c r="D99" s="78">
        <f>D92/SUM(D$92:D$98)*6.7</f>
        <v>1.0684127866112274</v>
      </c>
      <c r="E99" s="161"/>
      <c r="F99" s="154"/>
      <c r="G99" s="154"/>
      <c r="H99" s="156">
        <v>2022</v>
      </c>
      <c r="I99" s="75" t="s">
        <v>44</v>
      </c>
      <c r="J99" s="76" t="s">
        <v>149</v>
      </c>
      <c r="K99" s="76"/>
    </row>
    <row r="100" spans="1:13" ht="16.5" customHeight="1" x14ac:dyDescent="0.2">
      <c r="A100" s="190" t="s">
        <v>290</v>
      </c>
      <c r="B100" s="91" t="s">
        <v>158</v>
      </c>
      <c r="C100" s="86" t="s">
        <v>5</v>
      </c>
      <c r="D100" s="78">
        <f t="shared" ref="D100:D105" si="7">D93/SUM(D$92:D$98)*6.7</f>
        <v>0.6677579916320171</v>
      </c>
      <c r="E100" s="78"/>
      <c r="F100" s="157"/>
      <c r="G100" s="157"/>
      <c r="H100" s="157">
        <v>2022</v>
      </c>
      <c r="I100" s="75" t="s">
        <v>44</v>
      </c>
      <c r="J100" s="76" t="s">
        <v>149</v>
      </c>
      <c r="K100" s="76"/>
      <c r="L100" s="105"/>
      <c r="M100" s="105"/>
    </row>
    <row r="101" spans="1:13" ht="16.5" customHeight="1" x14ac:dyDescent="0.2">
      <c r="A101" s="190" t="s">
        <v>290</v>
      </c>
      <c r="B101" s="91" t="s">
        <v>158</v>
      </c>
      <c r="C101" s="86" t="s">
        <v>10</v>
      </c>
      <c r="D101" s="78">
        <f t="shared" si="7"/>
        <v>1.5358433807536396</v>
      </c>
      <c r="E101" s="78"/>
      <c r="F101" s="157"/>
      <c r="G101" s="157"/>
      <c r="H101" s="157">
        <v>2022</v>
      </c>
      <c r="I101" s="75" t="s">
        <v>44</v>
      </c>
      <c r="J101" s="76" t="s">
        <v>149</v>
      </c>
      <c r="K101" s="76"/>
      <c r="L101" s="105"/>
      <c r="M101" s="105"/>
    </row>
    <row r="102" spans="1:13" ht="16.5" customHeight="1" x14ac:dyDescent="0.2">
      <c r="A102" s="190" t="s">
        <v>290</v>
      </c>
      <c r="B102" s="91" t="s">
        <v>158</v>
      </c>
      <c r="C102" s="86" t="s">
        <v>8</v>
      </c>
      <c r="D102" s="78">
        <f>D95/SUM(D$92:D$98)*6.7</f>
        <v>1.9364981757328499</v>
      </c>
      <c r="E102" s="78"/>
      <c r="F102" s="157"/>
      <c r="G102" s="157"/>
      <c r="H102" s="157">
        <v>2022</v>
      </c>
      <c r="I102" s="75" t="s">
        <v>44</v>
      </c>
      <c r="J102" s="76" t="s">
        <v>149</v>
      </c>
      <c r="K102" s="76"/>
      <c r="L102" s="105"/>
      <c r="M102" s="105"/>
    </row>
    <row r="103" spans="1:13" ht="16.5" customHeight="1" x14ac:dyDescent="0.2">
      <c r="A103" s="190" t="s">
        <v>290</v>
      </c>
      <c r="B103" s="91" t="s">
        <v>158</v>
      </c>
      <c r="C103" s="86" t="s">
        <v>6</v>
      </c>
      <c r="D103" s="78">
        <f>D96/SUM(D$92:D$98)*6.7</f>
        <v>0.73453379079521897</v>
      </c>
      <c r="E103" s="78"/>
      <c r="F103" s="157"/>
      <c r="G103" s="157"/>
      <c r="H103" s="157">
        <v>2022</v>
      </c>
      <c r="I103" s="75" t="s">
        <v>44</v>
      </c>
      <c r="J103" s="76" t="s">
        <v>149</v>
      </c>
      <c r="K103" s="76"/>
      <c r="L103" s="105"/>
      <c r="M103" s="105"/>
    </row>
    <row r="104" spans="1:13" ht="16.5" customHeight="1" x14ac:dyDescent="0.2">
      <c r="A104" s="190" t="s">
        <v>290</v>
      </c>
      <c r="B104" s="91" t="s">
        <v>158</v>
      </c>
      <c r="C104" s="86" t="s">
        <v>7</v>
      </c>
      <c r="D104" s="78">
        <f t="shared" si="7"/>
        <v>0.48968919386347931</v>
      </c>
      <c r="E104" s="78"/>
      <c r="F104" s="157"/>
      <c r="G104" s="157"/>
      <c r="H104" s="157">
        <v>2022</v>
      </c>
      <c r="I104" s="75" t="s">
        <v>44</v>
      </c>
      <c r="J104" s="76" t="s">
        <v>149</v>
      </c>
      <c r="K104" s="76"/>
      <c r="L104" s="105"/>
      <c r="M104" s="105"/>
    </row>
    <row r="105" spans="1:13" s="115" customFormat="1" ht="16.5" customHeight="1" x14ac:dyDescent="0.2">
      <c r="A105" s="187" t="s">
        <v>290</v>
      </c>
      <c r="B105" s="92" t="s">
        <v>158</v>
      </c>
      <c r="C105" s="79" t="s">
        <v>12</v>
      </c>
      <c r="D105" s="80">
        <f t="shared" si="7"/>
        <v>0.26726468061156755</v>
      </c>
      <c r="E105" s="162"/>
      <c r="F105" s="158"/>
      <c r="G105" s="158"/>
      <c r="H105" s="155">
        <v>2022</v>
      </c>
      <c r="I105" s="93" t="s">
        <v>44</v>
      </c>
      <c r="J105" s="94" t="s">
        <v>149</v>
      </c>
      <c r="K105" s="94"/>
    </row>
    <row r="106" spans="1:13" s="113" customFormat="1" ht="16.5" customHeight="1" x14ac:dyDescent="0.2">
      <c r="A106" s="188" t="s">
        <v>291</v>
      </c>
      <c r="B106" s="179" t="s">
        <v>35</v>
      </c>
      <c r="C106" s="73" t="s">
        <v>13</v>
      </c>
      <c r="D106" s="83">
        <v>5.5</v>
      </c>
      <c r="E106" s="83"/>
      <c r="F106" s="159"/>
      <c r="G106" s="159"/>
      <c r="H106" s="159">
        <v>2022</v>
      </c>
      <c r="I106" s="74" t="s">
        <v>44</v>
      </c>
      <c r="J106" s="84" t="s">
        <v>102</v>
      </c>
      <c r="K106" s="84"/>
    </row>
    <row r="107" spans="1:13" ht="16.5" customHeight="1" x14ac:dyDescent="0.2">
      <c r="A107" s="188" t="s">
        <v>290</v>
      </c>
      <c r="B107" s="65" t="s">
        <v>36</v>
      </c>
      <c r="C107" s="16" t="s">
        <v>8</v>
      </c>
      <c r="D107" s="33">
        <v>11</v>
      </c>
      <c r="E107" s="33"/>
      <c r="F107" s="160"/>
      <c r="G107" s="160"/>
      <c r="H107" s="160">
        <v>2022</v>
      </c>
      <c r="I107" s="17" t="s">
        <v>44</v>
      </c>
      <c r="J107" s="46" t="s">
        <v>103</v>
      </c>
      <c r="K107" s="46"/>
      <c r="L107" s="105"/>
      <c r="M107" s="105"/>
    </row>
    <row r="108" spans="1:13" ht="16.5" customHeight="1" x14ac:dyDescent="0.2">
      <c r="A108" s="188" t="s">
        <v>290</v>
      </c>
      <c r="B108" s="65" t="s">
        <v>121</v>
      </c>
      <c r="C108" s="16" t="s">
        <v>8</v>
      </c>
      <c r="D108" s="33">
        <v>6.7</v>
      </c>
      <c r="E108" s="33"/>
      <c r="F108" s="160"/>
      <c r="G108" s="160"/>
      <c r="H108" s="160">
        <v>2022</v>
      </c>
      <c r="I108" s="17" t="s">
        <v>44</v>
      </c>
      <c r="J108" s="46" t="s">
        <v>149</v>
      </c>
      <c r="K108" s="46"/>
      <c r="L108" s="105"/>
      <c r="M108" s="105"/>
    </row>
    <row r="109" spans="1:13" ht="16.5" customHeight="1" x14ac:dyDescent="0.2">
      <c r="A109" s="188" t="s">
        <v>290</v>
      </c>
      <c r="B109" s="65" t="s">
        <v>122</v>
      </c>
      <c r="C109" s="16" t="s">
        <v>73</v>
      </c>
      <c r="D109" s="33">
        <v>9.6999999999999993</v>
      </c>
      <c r="E109" s="33"/>
      <c r="F109" s="160"/>
      <c r="G109" s="160"/>
      <c r="H109" s="160">
        <v>2022</v>
      </c>
      <c r="I109" s="17" t="s">
        <v>44</v>
      </c>
      <c r="J109" s="46" t="s">
        <v>149</v>
      </c>
      <c r="K109" s="46"/>
      <c r="L109" s="105"/>
      <c r="M109" s="105"/>
    </row>
    <row r="110" spans="1:13" ht="16.5" customHeight="1" x14ac:dyDescent="0.2">
      <c r="A110" s="188" t="s">
        <v>290</v>
      </c>
      <c r="B110" s="65" t="s">
        <v>123</v>
      </c>
      <c r="C110" s="16" t="s">
        <v>8</v>
      </c>
      <c r="D110" s="33">
        <v>9</v>
      </c>
      <c r="E110" s="33"/>
      <c r="F110" s="160"/>
      <c r="G110" s="160"/>
      <c r="H110" s="160">
        <v>2022</v>
      </c>
      <c r="I110" s="17" t="s">
        <v>44</v>
      </c>
      <c r="J110" s="46" t="s">
        <v>149</v>
      </c>
      <c r="K110" s="46"/>
      <c r="L110" s="105"/>
      <c r="M110" s="105"/>
    </row>
    <row r="111" spans="1:13" ht="16.5" customHeight="1" x14ac:dyDescent="0.2">
      <c r="A111" s="188" t="s">
        <v>290</v>
      </c>
      <c r="B111" s="65" t="s">
        <v>153</v>
      </c>
      <c r="C111" s="16" t="s">
        <v>8</v>
      </c>
      <c r="D111" s="33">
        <v>7.7</v>
      </c>
      <c r="E111" s="33"/>
      <c r="F111" s="160"/>
      <c r="G111" s="160"/>
      <c r="H111" s="160">
        <v>2022</v>
      </c>
      <c r="I111" s="17" t="s">
        <v>44</v>
      </c>
      <c r="J111" s="46" t="s">
        <v>149</v>
      </c>
      <c r="K111" s="46"/>
      <c r="L111" s="105"/>
      <c r="M111" s="105"/>
    </row>
    <row r="112" spans="1:13" ht="16.5" customHeight="1" x14ac:dyDescent="0.2">
      <c r="A112" s="188" t="s">
        <v>290</v>
      </c>
      <c r="B112" s="65" t="s">
        <v>37</v>
      </c>
      <c r="C112" s="16" t="s">
        <v>4</v>
      </c>
      <c r="D112" s="33">
        <v>10</v>
      </c>
      <c r="E112" s="33"/>
      <c r="F112" s="160"/>
      <c r="G112" s="160"/>
      <c r="H112" s="160">
        <v>2022</v>
      </c>
      <c r="I112" s="17" t="s">
        <v>44</v>
      </c>
      <c r="J112" s="46" t="s">
        <v>149</v>
      </c>
      <c r="K112" s="46"/>
      <c r="L112" s="105"/>
      <c r="M112" s="105"/>
    </row>
    <row r="113" spans="1:13" ht="16.5" customHeight="1" x14ac:dyDescent="0.2">
      <c r="A113" s="188" t="s">
        <v>290</v>
      </c>
      <c r="B113" s="65" t="s">
        <v>150</v>
      </c>
      <c r="C113" s="16" t="s">
        <v>13</v>
      </c>
      <c r="D113" s="33">
        <v>6.7</v>
      </c>
      <c r="E113" s="33"/>
      <c r="F113" s="160"/>
      <c r="G113" s="160"/>
      <c r="H113" s="160">
        <v>2022</v>
      </c>
      <c r="I113" s="17" t="s">
        <v>44</v>
      </c>
      <c r="J113" s="46" t="s">
        <v>149</v>
      </c>
      <c r="K113" s="46"/>
      <c r="L113" s="105"/>
      <c r="M113" s="105"/>
    </row>
    <row r="114" spans="1:13" ht="16.5" customHeight="1" x14ac:dyDescent="0.2">
      <c r="A114" s="188" t="s">
        <v>290</v>
      </c>
      <c r="B114" s="65" t="s">
        <v>151</v>
      </c>
      <c r="C114" s="16" t="s">
        <v>152</v>
      </c>
      <c r="D114" s="33">
        <v>9.6</v>
      </c>
      <c r="E114" s="33"/>
      <c r="F114" s="160"/>
      <c r="G114" s="160"/>
      <c r="H114" s="160">
        <v>2022</v>
      </c>
      <c r="I114" s="17" t="s">
        <v>44</v>
      </c>
      <c r="J114" s="46" t="s">
        <v>149</v>
      </c>
      <c r="K114" s="46"/>
      <c r="L114" s="105"/>
      <c r="M114" s="105"/>
    </row>
    <row r="115" spans="1:13" x14ac:dyDescent="0.2">
      <c r="A115" s="188"/>
      <c r="E115" s="62">
        <f>SUM(D86:D114)</f>
        <v>195.31712333333329</v>
      </c>
      <c r="F115" s="62"/>
    </row>
    <row r="117" spans="1:13" x14ac:dyDescent="0.2">
      <c r="D117" s="73" t="s">
        <v>34</v>
      </c>
      <c r="E117" s="89">
        <f>SUM(D92:D98)</f>
        <v>5.1171233333333337</v>
      </c>
      <c r="F117" s="89"/>
    </row>
    <row r="118" spans="1:13" x14ac:dyDescent="0.2">
      <c r="E118" s="89"/>
      <c r="F118" s="89"/>
    </row>
  </sheetData>
  <sortState xmlns:xlrd2="http://schemas.microsoft.com/office/spreadsheetml/2017/richdata2" ref="B6:M81">
    <sortCondition ref="D16:D81"/>
    <sortCondition ref="B16:B81"/>
  </sortState>
  <mergeCells count="1">
    <mergeCell ref="G4:H4"/>
  </mergeCells>
  <phoneticPr fontId="8" type="noConversion"/>
  <hyperlinks>
    <hyperlink ref="J107" r:id="rId1" display="https://www.saputo.com/-/media/ecosystem/divisions/corporate-services/sites/saputo-com/saputo-com-documents/investors/fy2023/saputo_factsheet2021_eng.ashx?revision=693513e9-6bb3-4b53-8b65-f18bbb86b3e3" xr:uid="{40D05E2E-C024-41FD-B6FC-DA6871852339}"/>
    <hyperlink ref="L63" r:id="rId2" display="http://static.cninfo.com.cn/finalpage/2024-04-27/1219861318.PDF" xr:uid="{8CD7C1D7-B52E-44FD-BBFE-E860B1A9B0A1}"/>
    <hyperlink ref="J95" r:id="rId3" xr:uid="{7A33F32E-A995-45DF-9CEF-A95F79846EEF}"/>
    <hyperlink ref="M52" r:id="rId4" xr:uid="{23540F54-CF66-455E-A7C2-0AC64B9A39D0}"/>
  </hyperlinks>
  <pageMargins left="0.7" right="0.7" top="0.75" bottom="0.75" header="0.3" footer="0.3"/>
  <pageSetup orientation="portrait" horizontalDpi="1200" verticalDpi="1200" r:id="rId5"/>
  <headerFooter>
    <oddFooter>&amp;L_x000D_&amp;1#&amp;"Aptos"&amp;10&amp;K000000 Classified as Internal | Intern</oddFooter>
  </headerFooter>
  <ignoredErrors>
    <ignoredError sqref="I29" formula="1"/>
  </ignoredErrors>
  <legacy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AD8C9-CF12-40A8-83A2-BDC969B8AB07}">
  <sheetPr codeName="Sheet1">
    <tabColor theme="8" tint="0.79998168889431442"/>
  </sheetPr>
  <dimension ref="A3:AA105"/>
  <sheetViews>
    <sheetView zoomScale="85" zoomScaleNormal="85" workbookViewId="0">
      <selection activeCell="H39" sqref="H39"/>
    </sheetView>
  </sheetViews>
  <sheetFormatPr defaultRowHeight="12.75" x14ac:dyDescent="0.2"/>
  <cols>
    <col min="1" max="1" width="13.140625" customWidth="1"/>
    <col min="2" max="2" width="14.7109375" customWidth="1"/>
    <col min="3" max="3" width="15.28515625" customWidth="1"/>
    <col min="4" max="4" width="17.28515625" customWidth="1"/>
    <col min="5" max="5" width="14" bestFit="1" customWidth="1"/>
    <col min="6" max="6" width="15.85546875" customWidth="1"/>
    <col min="7" max="7" width="12.7109375" customWidth="1"/>
    <col min="8" max="13" width="11.85546875" customWidth="1"/>
    <col min="14" max="15" width="11.7109375" customWidth="1"/>
    <col min="16" max="16" width="10.28515625" bestFit="1" customWidth="1"/>
    <col min="17" max="20" width="10.85546875" customWidth="1"/>
    <col min="21" max="21" width="9.140625" customWidth="1"/>
    <col min="23" max="23" width="11" customWidth="1"/>
    <col min="24" max="24" width="11.85546875" customWidth="1"/>
  </cols>
  <sheetData>
    <row r="3" spans="1:10" x14ac:dyDescent="0.2">
      <c r="A3" s="1" t="s">
        <v>54</v>
      </c>
      <c r="B3" t="s">
        <v>298</v>
      </c>
      <c r="C3" s="43" t="s">
        <v>297</v>
      </c>
    </row>
    <row r="4" spans="1:10" ht="25.5" x14ac:dyDescent="0.2">
      <c r="B4" s="213" t="s">
        <v>55</v>
      </c>
      <c r="C4" s="214"/>
      <c r="D4" s="215"/>
      <c r="E4" s="11"/>
      <c r="F4" s="11">
        <v>2020</v>
      </c>
      <c r="G4" s="11">
        <v>2021</v>
      </c>
      <c r="H4" s="11" t="s">
        <v>93</v>
      </c>
      <c r="I4" s="11">
        <v>2022</v>
      </c>
    </row>
    <row r="5" spans="1:10" ht="12.75" customHeight="1" x14ac:dyDescent="0.2">
      <c r="B5" s="213" t="s">
        <v>57</v>
      </c>
      <c r="C5" s="214"/>
      <c r="D5" s="215"/>
      <c r="E5" s="11"/>
      <c r="F5" s="11"/>
      <c r="G5" s="11"/>
      <c r="H5" s="11" t="s">
        <v>56</v>
      </c>
      <c r="I5" s="11"/>
    </row>
    <row r="6" spans="1:10" ht="28.5" customHeight="1" x14ac:dyDescent="0.2">
      <c r="B6" s="216" t="s">
        <v>58</v>
      </c>
      <c r="C6" s="216"/>
      <c r="D6" s="216"/>
      <c r="E6" s="50" t="s">
        <v>59</v>
      </c>
      <c r="F6" s="51">
        <v>50000</v>
      </c>
      <c r="G6" s="52">
        <v>59000</v>
      </c>
      <c r="I6" s="52">
        <v>58000</v>
      </c>
    </row>
    <row r="7" spans="1:10" s="5" customFormat="1" ht="28.5" customHeight="1" x14ac:dyDescent="0.2">
      <c r="B7" s="216" t="s">
        <v>92</v>
      </c>
      <c r="C7" s="216"/>
      <c r="D7" s="216"/>
      <c r="E7" s="50" t="s">
        <v>26</v>
      </c>
      <c r="F7" s="53">
        <v>0.8</v>
      </c>
      <c r="G7" s="54">
        <v>0.94</v>
      </c>
      <c r="I7" s="54">
        <v>0.94</v>
      </c>
    </row>
    <row r="8" spans="1:10" s="5" customFormat="1" ht="28.5" customHeight="1" x14ac:dyDescent="0.2">
      <c r="B8" s="216" t="s">
        <v>60</v>
      </c>
      <c r="C8" s="216"/>
      <c r="D8" s="216"/>
      <c r="E8" s="50" t="s">
        <v>61</v>
      </c>
      <c r="F8" s="55">
        <v>5100</v>
      </c>
      <c r="G8" s="56">
        <v>5567</v>
      </c>
      <c r="I8" s="56">
        <v>5100</v>
      </c>
      <c r="J8" s="4"/>
    </row>
    <row r="9" spans="1:10" ht="30" customHeight="1" x14ac:dyDescent="0.2">
      <c r="B9" s="217" t="s">
        <v>62</v>
      </c>
      <c r="C9" s="217"/>
      <c r="D9" s="217"/>
      <c r="E9" s="217"/>
      <c r="F9" s="217"/>
      <c r="G9" s="217"/>
      <c r="I9" s="66"/>
    </row>
    <row r="10" spans="1:10" ht="17.25" customHeight="1" x14ac:dyDescent="0.2">
      <c r="B10" s="218" t="s">
        <v>63</v>
      </c>
      <c r="C10" s="218"/>
      <c r="D10" s="218"/>
      <c r="E10" s="218"/>
      <c r="F10" s="218"/>
      <c r="G10" s="218"/>
      <c r="I10" s="67"/>
    </row>
    <row r="11" spans="1:10" s="5" customFormat="1" ht="17.25" customHeight="1" x14ac:dyDescent="0.2">
      <c r="B11" s="216" t="s">
        <v>64</v>
      </c>
      <c r="C11" s="216"/>
      <c r="D11" s="216"/>
      <c r="E11" s="50" t="s">
        <v>26</v>
      </c>
      <c r="F11" s="53">
        <v>0.28999999999999998</v>
      </c>
      <c r="G11" s="57">
        <v>0.26</v>
      </c>
      <c r="H11" s="57">
        <f>G11*1/SUM($G$11:$G$15)</f>
        <v>0.26262626262626265</v>
      </c>
      <c r="I11" s="57">
        <v>0.26</v>
      </c>
    </row>
    <row r="12" spans="1:10" s="5" customFormat="1" ht="17.25" customHeight="1" x14ac:dyDescent="0.2">
      <c r="B12" s="216" t="s">
        <v>65</v>
      </c>
      <c r="C12" s="216"/>
      <c r="D12" s="216"/>
      <c r="E12" s="50" t="s">
        <v>26</v>
      </c>
      <c r="F12" s="53">
        <v>0.24</v>
      </c>
      <c r="G12" s="57">
        <v>0.23</v>
      </c>
      <c r="H12" s="57">
        <f>G12*1/SUM($G$11:$G$15)</f>
        <v>0.23232323232323235</v>
      </c>
      <c r="I12" s="57">
        <v>0.23</v>
      </c>
    </row>
    <row r="13" spans="1:10" s="5" customFormat="1" ht="17.25" customHeight="1" x14ac:dyDescent="0.2">
      <c r="B13" s="216" t="s">
        <v>8</v>
      </c>
      <c r="C13" s="216"/>
      <c r="D13" s="216"/>
      <c r="E13" s="50" t="s">
        <v>26</v>
      </c>
      <c r="F13" s="53">
        <v>0.21</v>
      </c>
      <c r="G13" s="57">
        <v>0.28999999999999998</v>
      </c>
      <c r="H13" s="57">
        <f t="shared" ref="H13:H15" si="0">G13*1/SUM($G$11:$G$15)</f>
        <v>0.29292929292929293</v>
      </c>
      <c r="I13" s="57">
        <v>0.28999999999999998</v>
      </c>
    </row>
    <row r="14" spans="1:10" s="5" customFormat="1" ht="17.25" customHeight="1" x14ac:dyDescent="0.2">
      <c r="B14" s="216" t="s">
        <v>66</v>
      </c>
      <c r="C14" s="216"/>
      <c r="D14" s="216"/>
      <c r="E14" s="58"/>
      <c r="F14" s="53">
        <v>0.11</v>
      </c>
      <c r="G14" s="57">
        <v>0.1</v>
      </c>
      <c r="H14" s="57">
        <f t="shared" si="0"/>
        <v>0.10101010101010102</v>
      </c>
      <c r="I14" s="57">
        <v>0.11</v>
      </c>
    </row>
    <row r="15" spans="1:10" s="5" customFormat="1" ht="17.25" customHeight="1" x14ac:dyDescent="0.2">
      <c r="B15" s="216" t="s">
        <v>67</v>
      </c>
      <c r="C15" s="216"/>
      <c r="D15" s="216"/>
      <c r="E15" s="50" t="s">
        <v>26</v>
      </c>
      <c r="F15" s="53">
        <v>0.15</v>
      </c>
      <c r="G15" s="57">
        <v>0.11</v>
      </c>
      <c r="H15" s="57">
        <f t="shared" si="0"/>
        <v>0.11111111111111112</v>
      </c>
      <c r="I15" s="57">
        <v>0.11</v>
      </c>
    </row>
    <row r="16" spans="1:10" s="5" customFormat="1" ht="54.75" customHeight="1" x14ac:dyDescent="0.2">
      <c r="B16" s="216" t="s">
        <v>68</v>
      </c>
      <c r="C16" s="216"/>
      <c r="D16" s="216"/>
      <c r="E16" s="50" t="s">
        <v>26</v>
      </c>
      <c r="F16" s="53">
        <v>0.28999999999999998</v>
      </c>
      <c r="G16" s="54">
        <v>0.26</v>
      </c>
      <c r="I16" s="54">
        <v>0.23</v>
      </c>
    </row>
    <row r="17" spans="1:9" s="5" customFormat="1" ht="53.25" customHeight="1" x14ac:dyDescent="0.2">
      <c r="B17" s="216" t="s">
        <v>90</v>
      </c>
      <c r="C17" s="216"/>
      <c r="D17" s="216"/>
      <c r="E17" s="50" t="s">
        <v>26</v>
      </c>
      <c r="F17" s="53">
        <v>0.43</v>
      </c>
      <c r="G17" s="54">
        <v>0.36</v>
      </c>
      <c r="I17" s="54">
        <v>0.44</v>
      </c>
    </row>
    <row r="18" spans="1:9" s="5" customFormat="1" ht="53.25" customHeight="1" x14ac:dyDescent="0.2">
      <c r="B18" s="216" t="s">
        <v>91</v>
      </c>
      <c r="C18" s="216"/>
      <c r="D18" s="216"/>
      <c r="E18" s="50" t="s">
        <v>26</v>
      </c>
      <c r="F18" s="53">
        <v>0.55000000000000004</v>
      </c>
      <c r="G18" s="54">
        <v>0.54</v>
      </c>
      <c r="I18" s="54">
        <v>0.54</v>
      </c>
    </row>
    <row r="19" spans="1:9" s="5" customFormat="1" ht="28.5" customHeight="1" x14ac:dyDescent="0.2">
      <c r="B19" s="216" t="s">
        <v>69</v>
      </c>
      <c r="C19" s="216"/>
      <c r="D19" s="216"/>
      <c r="E19" s="50" t="s">
        <v>70</v>
      </c>
      <c r="F19" s="59">
        <v>14</v>
      </c>
      <c r="G19" s="60">
        <v>15</v>
      </c>
      <c r="I19" s="60">
        <v>15</v>
      </c>
    </row>
    <row r="20" spans="1:9" s="5" customFormat="1" ht="28.5" customHeight="1" x14ac:dyDescent="0.2">
      <c r="B20" s="216" t="s">
        <v>71</v>
      </c>
      <c r="C20" s="216"/>
      <c r="D20" s="216"/>
      <c r="E20" s="50" t="s">
        <v>70</v>
      </c>
      <c r="F20" s="59">
        <v>14</v>
      </c>
      <c r="G20" s="60">
        <v>15</v>
      </c>
      <c r="I20" s="60">
        <v>15</v>
      </c>
    </row>
    <row r="23" spans="1:9" x14ac:dyDescent="0.2">
      <c r="A23" s="1" t="s">
        <v>72</v>
      </c>
      <c r="B23" t="s">
        <v>299</v>
      </c>
      <c r="C23" s="43" t="s">
        <v>140</v>
      </c>
    </row>
    <row r="24" spans="1:9" x14ac:dyDescent="0.2">
      <c r="A24" s="1"/>
      <c r="B24" s="1" t="s">
        <v>2</v>
      </c>
    </row>
    <row r="25" spans="1:9" ht="33" customHeight="1" x14ac:dyDescent="0.2">
      <c r="A25" s="70"/>
      <c r="B25" s="220" t="s">
        <v>141</v>
      </c>
      <c r="C25" s="220"/>
      <c r="D25" s="35">
        <v>49.168999999999997</v>
      </c>
    </row>
    <row r="26" spans="1:9" ht="15" x14ac:dyDescent="0.2">
      <c r="A26" s="70"/>
    </row>
    <row r="27" spans="1:9" ht="25.5" x14ac:dyDescent="0.2">
      <c r="A27" s="70"/>
      <c r="B27" s="221"/>
      <c r="C27" s="221"/>
      <c r="D27" s="11" t="s">
        <v>77</v>
      </c>
      <c r="E27" s="11" t="s">
        <v>75</v>
      </c>
    </row>
    <row r="28" spans="1:9" ht="15" customHeight="1" x14ac:dyDescent="0.2">
      <c r="A28" s="70"/>
      <c r="B28" s="219" t="s">
        <v>73</v>
      </c>
      <c r="C28" s="219"/>
      <c r="D28" s="13">
        <v>25.05</v>
      </c>
      <c r="E28" s="12">
        <v>0.50900000000000001</v>
      </c>
    </row>
    <row r="29" spans="1:9" ht="15" customHeight="1" x14ac:dyDescent="0.2">
      <c r="A29" s="70"/>
      <c r="B29" s="219" t="s">
        <v>74</v>
      </c>
      <c r="C29" s="219"/>
      <c r="D29" s="13">
        <v>30.09</v>
      </c>
      <c r="E29" s="12">
        <v>0.95599999999999996</v>
      </c>
    </row>
    <row r="30" spans="1:9" ht="15" customHeight="1" x14ac:dyDescent="0.2">
      <c r="A30" s="70"/>
      <c r="B30" s="219" t="s">
        <v>64</v>
      </c>
      <c r="C30" s="219"/>
      <c r="D30" s="13">
        <v>5.72</v>
      </c>
      <c r="E30" s="12">
        <v>1.0589999999999999</v>
      </c>
    </row>
    <row r="32" spans="1:9" x14ac:dyDescent="0.2">
      <c r="B32" s="220" t="s">
        <v>76</v>
      </c>
      <c r="C32" s="220"/>
      <c r="D32" s="36">
        <f>D25/SUMPRODUCT(D28:D30,E28:E30)</f>
        <v>1.0335273680123815</v>
      </c>
      <c r="F32" s="3" t="s">
        <v>78</v>
      </c>
    </row>
    <row r="35" spans="1:27" s="47" customFormat="1" x14ac:dyDescent="0.2">
      <c r="A35" s="69" t="s">
        <v>114</v>
      </c>
      <c r="B35" s="128" t="s">
        <v>300</v>
      </c>
      <c r="C35" s="131" t="s">
        <v>301</v>
      </c>
      <c r="D35" s="131"/>
      <c r="E35" s="131"/>
      <c r="F35" s="131"/>
      <c r="G35" s="131"/>
      <c r="H35" s="128" t="s">
        <v>302</v>
      </c>
      <c r="I35" s="128" t="s">
        <v>301</v>
      </c>
      <c r="J35" s="128"/>
      <c r="K35" s="128"/>
      <c r="L35" s="128"/>
      <c r="M35" s="128"/>
      <c r="N35" s="128" t="s">
        <v>142</v>
      </c>
      <c r="O35" s="128"/>
      <c r="P35" s="128"/>
      <c r="Q35" s="128" t="s">
        <v>304</v>
      </c>
      <c r="R35" s="128" t="s">
        <v>303</v>
      </c>
      <c r="S35" s="128"/>
      <c r="T35" s="128"/>
      <c r="U35" s="128" t="s">
        <v>305</v>
      </c>
      <c r="V35" s="129" t="s">
        <v>306</v>
      </c>
      <c r="W35" s="130"/>
      <c r="X35" s="130"/>
      <c r="Y35" s="98"/>
      <c r="Z35" s="98"/>
      <c r="AA35" s="99"/>
    </row>
    <row r="36" spans="1:27" x14ac:dyDescent="0.2">
      <c r="B36" s="3" t="s">
        <v>94</v>
      </c>
      <c r="H36" s="3" t="s">
        <v>95</v>
      </c>
      <c r="N36" s="68"/>
      <c r="Q36" s="3" t="s">
        <v>95</v>
      </c>
      <c r="U36" t="s">
        <v>108</v>
      </c>
    </row>
    <row r="37" spans="1:27" ht="38.25" customHeight="1" x14ac:dyDescent="0.2">
      <c r="B37" s="11" t="s">
        <v>79</v>
      </c>
      <c r="C37" s="11" t="s">
        <v>80</v>
      </c>
      <c r="D37" s="11" t="s">
        <v>81</v>
      </c>
      <c r="E37" s="11" t="s">
        <v>82</v>
      </c>
      <c r="F37" s="11" t="s">
        <v>83</v>
      </c>
      <c r="H37" s="11" t="s">
        <v>79</v>
      </c>
      <c r="I37" s="11" t="s">
        <v>96</v>
      </c>
      <c r="J37" s="11" t="s">
        <v>97</v>
      </c>
      <c r="K37" s="11" t="s">
        <v>98</v>
      </c>
      <c r="L37" s="11" t="s">
        <v>99</v>
      </c>
      <c r="N37" s="39" t="s">
        <v>100</v>
      </c>
      <c r="O37" s="39" t="s">
        <v>82</v>
      </c>
      <c r="Q37" s="213" t="s">
        <v>107</v>
      </c>
      <c r="R37" s="215"/>
      <c r="S37" s="39" t="s">
        <v>82</v>
      </c>
      <c r="U37" s="213"/>
      <c r="V37" s="215"/>
      <c r="W37" s="39" t="s">
        <v>105</v>
      </c>
      <c r="X37" s="39" t="s">
        <v>85</v>
      </c>
    </row>
    <row r="38" spans="1:27" ht="15" customHeight="1" x14ac:dyDescent="0.2">
      <c r="A38" s="70"/>
      <c r="B38" s="15" t="s">
        <v>1</v>
      </c>
      <c r="C38" s="48">
        <v>33545</v>
      </c>
      <c r="D38" s="48">
        <v>42196</v>
      </c>
      <c r="E38" s="48" t="s">
        <v>14</v>
      </c>
      <c r="F38" s="48" t="s">
        <v>14</v>
      </c>
      <c r="H38" s="15" t="s">
        <v>1</v>
      </c>
      <c r="I38" s="37">
        <v>32598</v>
      </c>
      <c r="J38" s="37"/>
      <c r="K38" s="37"/>
      <c r="L38" s="37">
        <v>9598</v>
      </c>
      <c r="N38" s="15" t="s">
        <v>1</v>
      </c>
      <c r="O38" s="37"/>
      <c r="Q38" s="222" t="s">
        <v>8</v>
      </c>
      <c r="R38" s="223"/>
      <c r="S38" s="37">
        <v>32</v>
      </c>
      <c r="U38" s="222" t="s">
        <v>106</v>
      </c>
      <c r="V38" s="223"/>
      <c r="W38" s="37">
        <v>8400000</v>
      </c>
      <c r="X38" s="45">
        <v>0.92200000000000004</v>
      </c>
    </row>
    <row r="39" spans="1:27" ht="15" customHeight="1" x14ac:dyDescent="0.2">
      <c r="A39" s="70"/>
      <c r="B39" s="15" t="s">
        <v>2</v>
      </c>
      <c r="C39" s="48" t="s">
        <v>14</v>
      </c>
      <c r="D39" s="48">
        <v>92600</v>
      </c>
      <c r="E39" s="48">
        <v>8500</v>
      </c>
      <c r="F39" s="48">
        <v>30400</v>
      </c>
      <c r="H39" s="15" t="s">
        <v>2</v>
      </c>
      <c r="I39" s="37"/>
      <c r="J39" s="37">
        <v>92600</v>
      </c>
      <c r="K39" s="37"/>
      <c r="L39" s="37">
        <v>10660</v>
      </c>
      <c r="N39" s="15" t="s">
        <v>2</v>
      </c>
      <c r="O39" s="37">
        <v>45000</v>
      </c>
      <c r="Q39" s="222" t="s">
        <v>13</v>
      </c>
      <c r="R39" s="223"/>
      <c r="S39" s="37">
        <v>7</v>
      </c>
      <c r="U39" s="222" t="s">
        <v>2</v>
      </c>
      <c r="V39" s="223"/>
      <c r="W39" s="37">
        <v>7425</v>
      </c>
      <c r="X39" s="45">
        <v>0.90800000000000003</v>
      </c>
    </row>
    <row r="40" spans="1:27" ht="15" customHeight="1" x14ac:dyDescent="0.2">
      <c r="A40" s="70"/>
      <c r="B40" s="15" t="s">
        <v>3</v>
      </c>
      <c r="C40" s="48" t="s">
        <v>14</v>
      </c>
      <c r="D40" s="48" t="s">
        <v>14</v>
      </c>
      <c r="E40" s="48">
        <v>8400000</v>
      </c>
      <c r="F40" s="48">
        <v>5400000</v>
      </c>
      <c r="H40" s="15" t="s">
        <v>3</v>
      </c>
      <c r="I40" s="37"/>
      <c r="J40" s="37"/>
      <c r="K40" s="37"/>
      <c r="L40" s="37"/>
      <c r="N40" s="15" t="s">
        <v>3</v>
      </c>
      <c r="O40" s="37">
        <v>44900000</v>
      </c>
    </row>
    <row r="41" spans="1:27" x14ac:dyDescent="0.2">
      <c r="C41" s="4"/>
      <c r="D41" s="4"/>
      <c r="E41" s="4"/>
    </row>
    <row r="42" spans="1:27" x14ac:dyDescent="0.2">
      <c r="S42" s="41"/>
    </row>
    <row r="43" spans="1:27" x14ac:dyDescent="0.2">
      <c r="A43" s="1" t="s">
        <v>22</v>
      </c>
      <c r="B43" s="126" t="s">
        <v>307</v>
      </c>
      <c r="C43" s="71" t="s">
        <v>308</v>
      </c>
    </row>
    <row r="44" spans="1:27" ht="25.5" x14ac:dyDescent="0.2">
      <c r="B44" s="11"/>
      <c r="C44" s="11" t="s">
        <v>84</v>
      </c>
      <c r="D44" s="11" t="s">
        <v>85</v>
      </c>
      <c r="E44" s="11" t="s">
        <v>86</v>
      </c>
      <c r="F44" s="11" t="s">
        <v>87</v>
      </c>
      <c r="G44" s="11" t="s">
        <v>88</v>
      </c>
    </row>
    <row r="45" spans="1:27" ht="15" customHeight="1" x14ac:dyDescent="0.2">
      <c r="A45" s="70"/>
      <c r="B45" s="15" t="s">
        <v>1</v>
      </c>
      <c r="C45" s="37">
        <v>155000</v>
      </c>
      <c r="D45" s="34">
        <v>0.79</v>
      </c>
      <c r="E45" s="34">
        <f>13/14</f>
        <v>0.9285714285714286</v>
      </c>
      <c r="F45" s="49">
        <f>1/14</f>
        <v>7.1428571428571425E-2</v>
      </c>
      <c r="G45" s="49" t="s">
        <v>14</v>
      </c>
    </row>
    <row r="46" spans="1:27" ht="15" customHeight="1" x14ac:dyDescent="0.2">
      <c r="A46" s="70"/>
      <c r="B46" s="15" t="s">
        <v>2</v>
      </c>
      <c r="C46" s="37">
        <v>471000</v>
      </c>
      <c r="D46" s="34">
        <v>0.84</v>
      </c>
      <c r="E46" s="34">
        <v>1</v>
      </c>
      <c r="F46" s="49" t="s">
        <v>14</v>
      </c>
      <c r="G46" s="49" t="s">
        <v>14</v>
      </c>
    </row>
    <row r="47" spans="1:27" ht="15" customHeight="1" x14ac:dyDescent="0.2">
      <c r="A47" s="70"/>
      <c r="B47" s="15" t="s">
        <v>3</v>
      </c>
      <c r="C47" s="37">
        <v>45000000</v>
      </c>
      <c r="D47" s="34">
        <v>0.83</v>
      </c>
      <c r="E47" s="34">
        <f>166/186</f>
        <v>0.89247311827956988</v>
      </c>
      <c r="F47" s="49" t="s">
        <v>14</v>
      </c>
      <c r="G47" s="49">
        <f>20/186</f>
        <v>0.10752688172043011</v>
      </c>
      <c r="I47" s="4"/>
    </row>
    <row r="49" spans="1:13" x14ac:dyDescent="0.2">
      <c r="K49" s="44"/>
      <c r="L49" s="44"/>
      <c r="M49" s="44"/>
    </row>
    <row r="50" spans="1:13" x14ac:dyDescent="0.2">
      <c r="A50" s="1" t="s">
        <v>296</v>
      </c>
      <c r="B50" s="126" t="s">
        <v>310</v>
      </c>
      <c r="C50" s="127" t="s">
        <v>309</v>
      </c>
    </row>
    <row r="51" spans="1:13" ht="25.5" x14ac:dyDescent="0.2">
      <c r="B51" s="2"/>
      <c r="C51" s="11" t="s">
        <v>143</v>
      </c>
      <c r="D51" s="11" t="s">
        <v>159</v>
      </c>
      <c r="E51" s="11" t="s">
        <v>160</v>
      </c>
      <c r="F51" s="39" t="s">
        <v>161</v>
      </c>
    </row>
    <row r="52" spans="1:13" ht="15" x14ac:dyDescent="0.2">
      <c r="A52" s="70"/>
      <c r="B52" s="15" t="s">
        <v>1</v>
      </c>
      <c r="C52" s="37">
        <f>205513+233738</f>
        <v>439251</v>
      </c>
      <c r="D52" s="72">
        <f>C52/'Additional data sources'!D4</f>
        <v>585668</v>
      </c>
      <c r="E52" s="72">
        <f>D52/'Additional data sources'!H$17*100</f>
        <v>989861.40845070418</v>
      </c>
      <c r="F52" s="72">
        <f>E52/'Additional data sources'!H$11*1000</f>
        <v>1864145.7786265616</v>
      </c>
      <c r="G52" s="95"/>
    </row>
    <row r="53" spans="1:13" ht="15" x14ac:dyDescent="0.2">
      <c r="A53" s="70"/>
      <c r="B53" s="15" t="s">
        <v>2</v>
      </c>
      <c r="C53" s="37">
        <v>40000</v>
      </c>
      <c r="D53" s="72">
        <f>C53/'Additional data sources'!D5</f>
        <v>61538.461538461539</v>
      </c>
      <c r="E53" s="72">
        <f>D53/'Additional data sources'!H$18*100</f>
        <v>82051.282051282062</v>
      </c>
      <c r="F53" s="72">
        <f>E53/'Additional data sources'!H$12*1000</f>
        <v>707338.63837312115</v>
      </c>
    </row>
    <row r="55" spans="1:13" x14ac:dyDescent="0.2">
      <c r="A55" s="1" t="s">
        <v>294</v>
      </c>
      <c r="B55" t="s">
        <v>311</v>
      </c>
      <c r="C55" s="43" t="s">
        <v>312</v>
      </c>
      <c r="E55" s="95"/>
    </row>
    <row r="56" spans="1:13" ht="25.5" x14ac:dyDescent="0.2">
      <c r="B56" s="2"/>
      <c r="C56" s="11" t="s">
        <v>143</v>
      </c>
      <c r="D56" s="11" t="s">
        <v>159</v>
      </c>
      <c r="E56" s="11" t="s">
        <v>160</v>
      </c>
      <c r="F56" s="39" t="s">
        <v>161</v>
      </c>
    </row>
    <row r="57" spans="1:13" ht="15" x14ac:dyDescent="0.2">
      <c r="A57" s="70"/>
      <c r="B57" s="15" t="s">
        <v>2</v>
      </c>
      <c r="C57" s="37">
        <v>481000</v>
      </c>
      <c r="D57" s="72">
        <f>C57/'Additional data sources'!D5</f>
        <v>740000</v>
      </c>
      <c r="E57" s="72">
        <f>D57/'Additional data sources'!H$18*100</f>
        <v>986666.66666666663</v>
      </c>
      <c r="F57" s="72">
        <f>E57/'Additional data sources'!H$12*1000</f>
        <v>8505747.1264367811</v>
      </c>
    </row>
    <row r="58" spans="1:13" s="105" customFormat="1" ht="15" x14ac:dyDescent="0.2">
      <c r="A58" s="101"/>
      <c r="B58" s="9"/>
      <c r="C58" s="102"/>
      <c r="D58" s="103"/>
      <c r="E58" s="103"/>
      <c r="F58" s="104"/>
    </row>
    <row r="59" spans="1:13" x14ac:dyDescent="0.2">
      <c r="A59" s="1" t="s">
        <v>265</v>
      </c>
      <c r="B59" t="s">
        <v>313</v>
      </c>
      <c r="C59" s="43" t="s">
        <v>266</v>
      </c>
      <c r="E59" s="95"/>
    </row>
    <row r="60" spans="1:13" ht="25.5" x14ac:dyDescent="0.2">
      <c r="B60" s="2"/>
      <c r="C60" s="11" t="s">
        <v>143</v>
      </c>
      <c r="D60" s="11" t="s">
        <v>159</v>
      </c>
      <c r="E60" s="11" t="s">
        <v>160</v>
      </c>
      <c r="F60" s="39" t="s">
        <v>161</v>
      </c>
    </row>
    <row r="61" spans="1:13" ht="15" x14ac:dyDescent="0.2">
      <c r="A61" s="70"/>
      <c r="B61" s="15" t="s">
        <v>2</v>
      </c>
      <c r="C61" s="37">
        <v>85000</v>
      </c>
      <c r="D61" s="72">
        <f>C61/'Additional data sources'!D5</f>
        <v>130769.23076923077</v>
      </c>
      <c r="E61" s="72">
        <f>D61/'Additional data sources'!H$18*100</f>
        <v>174358.97435897437</v>
      </c>
      <c r="F61" s="72">
        <f>E61/'Additional data sources'!H$12*1000</f>
        <v>1503094.6065428825</v>
      </c>
    </row>
    <row r="62" spans="1:13" ht="15" x14ac:dyDescent="0.2">
      <c r="A62" s="70"/>
      <c r="B62" s="15" t="s">
        <v>1</v>
      </c>
      <c r="C62" s="37">
        <v>35000</v>
      </c>
      <c r="D62" s="72">
        <f>C62/'Additional data sources'!D4</f>
        <v>46666.666666666664</v>
      </c>
      <c r="E62" s="72">
        <f>D62/'Additional data sources'!H$17*100</f>
        <v>78873.239436619711</v>
      </c>
      <c r="F62" s="72">
        <f>E62/'Additional data sources'!H$11*1000</f>
        <v>148537.1740802631</v>
      </c>
    </row>
    <row r="63" spans="1:13" ht="15" x14ac:dyDescent="0.2">
      <c r="A63" s="70"/>
      <c r="B63" s="15" t="s">
        <v>3</v>
      </c>
      <c r="C63" s="37">
        <v>108000</v>
      </c>
      <c r="D63" s="72">
        <f>C63/'Additional data sources'!D6</f>
        <v>144000</v>
      </c>
      <c r="E63" s="72">
        <f>D63/'Additional data sources'!H$18*100</f>
        <v>192000</v>
      </c>
      <c r="F63" s="72">
        <f>E63/'Additional data sources'!H$13*1000</f>
        <v>82403433.476394847</v>
      </c>
    </row>
    <row r="65" spans="1:7" x14ac:dyDescent="0.2">
      <c r="A65" s="1" t="s">
        <v>162</v>
      </c>
      <c r="B65" s="126" t="s">
        <v>314</v>
      </c>
      <c r="C65" s="43" t="s">
        <v>163</v>
      </c>
    </row>
    <row r="66" spans="1:7" ht="25.5" x14ac:dyDescent="0.2">
      <c r="B66" s="2"/>
      <c r="C66" s="11" t="s">
        <v>143</v>
      </c>
      <c r="D66" s="11" t="s">
        <v>159</v>
      </c>
      <c r="E66" s="11" t="s">
        <v>160</v>
      </c>
      <c r="F66" s="39" t="s">
        <v>161</v>
      </c>
    </row>
    <row r="67" spans="1:7" ht="15" x14ac:dyDescent="0.2">
      <c r="A67" s="70"/>
      <c r="B67" s="15" t="s">
        <v>1</v>
      </c>
      <c r="C67" s="37">
        <v>455040</v>
      </c>
      <c r="D67" s="72">
        <f>C67/'Additional data sources'!D4</f>
        <v>606720</v>
      </c>
      <c r="E67" s="72">
        <f>D67/'Additional data sources'!H$17*100</f>
        <v>1025442.2535211268</v>
      </c>
      <c r="F67" s="72">
        <f>E67/'Additional data sources'!H$11*1000</f>
        <v>1931153.0198137981</v>
      </c>
      <c r="G67" s="64"/>
    </row>
    <row r="68" spans="1:7" ht="15" x14ac:dyDescent="0.2">
      <c r="A68" s="70"/>
      <c r="B68" s="15" t="s">
        <v>2</v>
      </c>
      <c r="C68" s="37">
        <v>474000</v>
      </c>
      <c r="D68" s="72">
        <f>C68/'Additional data sources'!D5</f>
        <v>729230.76923076925</v>
      </c>
      <c r="E68" s="72">
        <f>D68/'Additional data sources'!H$18*100</f>
        <v>972307.69230769237</v>
      </c>
      <c r="F68" s="72">
        <f>E68/'Additional data sources'!H$12*1000</f>
        <v>8381962.8647214863</v>
      </c>
    </row>
    <row r="69" spans="1:7" x14ac:dyDescent="0.2">
      <c r="C69" s="4"/>
    </row>
    <row r="70" spans="1:7" x14ac:dyDescent="0.2">
      <c r="A70" s="1" t="s">
        <v>217</v>
      </c>
      <c r="B70" t="s">
        <v>315</v>
      </c>
      <c r="C70" s="43" t="s">
        <v>219</v>
      </c>
      <c r="D70" s="43" t="s">
        <v>220</v>
      </c>
    </row>
    <row r="71" spans="1:7" x14ac:dyDescent="0.2">
      <c r="B71" s="2" t="s">
        <v>218</v>
      </c>
      <c r="C71" s="11" t="s">
        <v>111</v>
      </c>
      <c r="D71" s="11" t="s">
        <v>222</v>
      </c>
      <c r="E71" s="11" t="s">
        <v>73</v>
      </c>
    </row>
    <row r="72" spans="1:7" ht="15" x14ac:dyDescent="0.2">
      <c r="A72" s="70"/>
      <c r="B72" s="15" t="s">
        <v>1</v>
      </c>
      <c r="C72" s="37" t="s">
        <v>318</v>
      </c>
      <c r="D72" s="37"/>
      <c r="E72" s="37"/>
    </row>
    <row r="73" spans="1:7" ht="15" x14ac:dyDescent="0.2">
      <c r="A73" s="70"/>
      <c r="B73" s="15" t="s">
        <v>2</v>
      </c>
      <c r="C73" s="37">
        <v>13990000</v>
      </c>
      <c r="D73" s="37">
        <v>3800000</v>
      </c>
      <c r="E73" s="37" t="s">
        <v>221</v>
      </c>
    </row>
    <row r="74" spans="1:7" x14ac:dyDescent="0.2">
      <c r="C74" s="4"/>
    </row>
    <row r="75" spans="1:7" x14ac:dyDescent="0.2">
      <c r="A75" s="1" t="s">
        <v>127</v>
      </c>
      <c r="B75" t="s">
        <v>316</v>
      </c>
    </row>
    <row r="76" spans="1:7" ht="25.5" x14ac:dyDescent="0.2">
      <c r="B76" s="11" t="s">
        <v>235</v>
      </c>
      <c r="C76" s="11" t="s">
        <v>143</v>
      </c>
      <c r="D76" s="11" t="s">
        <v>159</v>
      </c>
      <c r="E76" s="11" t="s">
        <v>160</v>
      </c>
      <c r="F76" s="39" t="s">
        <v>161</v>
      </c>
    </row>
    <row r="77" spans="1:7" ht="15" x14ac:dyDescent="0.2">
      <c r="A77" s="70"/>
      <c r="B77" s="37"/>
      <c r="C77" s="37"/>
      <c r="D77" s="72"/>
      <c r="E77" s="72"/>
      <c r="F77" s="72"/>
    </row>
    <row r="78" spans="1:7" x14ac:dyDescent="0.2">
      <c r="C78" s="4"/>
    </row>
    <row r="79" spans="1:7" x14ac:dyDescent="0.2">
      <c r="A79" s="117" t="s">
        <v>184</v>
      </c>
      <c r="B79" t="s">
        <v>317</v>
      </c>
      <c r="C79" s="118" t="s">
        <v>185</v>
      </c>
    </row>
    <row r="80" spans="1:7" x14ac:dyDescent="0.2">
      <c r="B80" s="11" t="s">
        <v>168</v>
      </c>
      <c r="C80" s="11" t="s">
        <v>45</v>
      </c>
      <c r="D80" s="11" t="s">
        <v>187</v>
      </c>
      <c r="E80" s="11" t="s">
        <v>173</v>
      </c>
      <c r="F80" s="11" t="s">
        <v>186</v>
      </c>
    </row>
    <row r="81" spans="2:7" x14ac:dyDescent="0.2">
      <c r="B81" s="15">
        <v>1</v>
      </c>
      <c r="C81" s="15" t="s">
        <v>174</v>
      </c>
      <c r="D81" s="15" t="s">
        <v>83</v>
      </c>
      <c r="E81" s="15" t="s">
        <v>171</v>
      </c>
      <c r="F81" s="72">
        <v>2044000000</v>
      </c>
    </row>
    <row r="82" spans="2:7" x14ac:dyDescent="0.2">
      <c r="B82" s="15"/>
      <c r="C82" s="15"/>
      <c r="D82" s="15" t="s">
        <v>176</v>
      </c>
      <c r="E82" s="15" t="s">
        <v>170</v>
      </c>
      <c r="F82" s="137">
        <v>1510000000</v>
      </c>
    </row>
    <row r="83" spans="2:7" x14ac:dyDescent="0.2">
      <c r="B83" s="15"/>
      <c r="C83" s="15"/>
      <c r="D83" s="15" t="s">
        <v>188</v>
      </c>
      <c r="E83" s="15" t="s">
        <v>189</v>
      </c>
      <c r="F83" s="137">
        <v>560000000</v>
      </c>
    </row>
    <row r="84" spans="2:7" x14ac:dyDescent="0.2">
      <c r="B84" s="15"/>
      <c r="C84" s="15"/>
      <c r="D84" s="15" t="s">
        <v>190</v>
      </c>
      <c r="E84" s="15" t="s">
        <v>113</v>
      </c>
      <c r="F84" s="137">
        <v>260000000</v>
      </c>
    </row>
    <row r="85" spans="2:7" x14ac:dyDescent="0.2">
      <c r="B85" s="15">
        <v>2</v>
      </c>
      <c r="C85" s="15" t="s">
        <v>167</v>
      </c>
      <c r="D85" s="15" t="s">
        <v>167</v>
      </c>
      <c r="E85" s="15" t="s">
        <v>170</v>
      </c>
      <c r="F85" s="72">
        <v>1940000000</v>
      </c>
    </row>
    <row r="86" spans="2:7" x14ac:dyDescent="0.2">
      <c r="B86" s="15"/>
      <c r="C86" s="15"/>
      <c r="D86" s="15" t="s">
        <v>191</v>
      </c>
      <c r="E86" s="15" t="s">
        <v>192</v>
      </c>
      <c r="F86" s="72">
        <v>139000000</v>
      </c>
    </row>
    <row r="87" spans="2:7" x14ac:dyDescent="0.2">
      <c r="B87" s="15">
        <v>3</v>
      </c>
      <c r="C87" s="15" t="s">
        <v>175</v>
      </c>
      <c r="D87" s="15"/>
      <c r="E87" s="15" t="s">
        <v>171</v>
      </c>
      <c r="F87" s="72">
        <v>1670000000</v>
      </c>
    </row>
    <row r="88" spans="2:7" x14ac:dyDescent="0.2">
      <c r="B88" s="15">
        <v>4</v>
      </c>
      <c r="C88" s="15" t="s">
        <v>177</v>
      </c>
      <c r="D88" s="15"/>
      <c r="E88" s="15" t="s">
        <v>73</v>
      </c>
      <c r="F88" s="72">
        <v>1183000000</v>
      </c>
    </row>
    <row r="89" spans="2:7" x14ac:dyDescent="0.2">
      <c r="B89" s="15">
        <v>5</v>
      </c>
      <c r="C89" s="15" t="s">
        <v>319</v>
      </c>
      <c r="D89" s="15" t="s">
        <v>178</v>
      </c>
      <c r="E89" s="15" t="s">
        <v>170</v>
      </c>
      <c r="F89" s="72">
        <v>1071200000</v>
      </c>
      <c r="G89" t="s">
        <v>293</v>
      </c>
    </row>
    <row r="90" spans="2:7" x14ac:dyDescent="0.2">
      <c r="B90" s="15">
        <v>6</v>
      </c>
      <c r="C90" s="15" t="s">
        <v>182</v>
      </c>
      <c r="D90" s="15"/>
      <c r="E90" s="15" t="s">
        <v>193</v>
      </c>
      <c r="F90" s="72">
        <v>981000000</v>
      </c>
    </row>
    <row r="91" spans="2:7" x14ac:dyDescent="0.2">
      <c r="B91" s="15">
        <v>7</v>
      </c>
      <c r="C91" s="15" t="s">
        <v>126</v>
      </c>
      <c r="D91" s="15" t="s">
        <v>320</v>
      </c>
      <c r="E91" s="15" t="s">
        <v>73</v>
      </c>
      <c r="F91" s="72">
        <v>810000000</v>
      </c>
    </row>
    <row r="92" spans="2:7" x14ac:dyDescent="0.2">
      <c r="B92" s="15">
        <v>8</v>
      </c>
      <c r="C92" s="15" t="s">
        <v>179</v>
      </c>
      <c r="D92" s="15"/>
      <c r="E92" s="15" t="s">
        <v>112</v>
      </c>
      <c r="F92" s="72">
        <v>704000000</v>
      </c>
    </row>
    <row r="93" spans="2:7" x14ac:dyDescent="0.2">
      <c r="B93" s="15">
        <v>9</v>
      </c>
      <c r="C93" s="15" t="s">
        <v>124</v>
      </c>
      <c r="D93" s="15" t="s">
        <v>194</v>
      </c>
      <c r="E93" s="15" t="s">
        <v>169</v>
      </c>
      <c r="F93" s="72">
        <f>685000000-460000000</f>
        <v>225000000</v>
      </c>
    </row>
    <row r="94" spans="2:7" x14ac:dyDescent="0.2">
      <c r="B94" s="15"/>
      <c r="C94" s="15"/>
      <c r="D94" s="15" t="s">
        <v>195</v>
      </c>
      <c r="E94" s="15" t="s">
        <v>73</v>
      </c>
      <c r="F94" s="72">
        <v>460000000</v>
      </c>
    </row>
    <row r="95" spans="2:7" x14ac:dyDescent="0.2">
      <c r="B95" s="15">
        <v>10</v>
      </c>
      <c r="C95" s="15" t="s">
        <v>183</v>
      </c>
      <c r="D95" s="15"/>
      <c r="E95" s="15" t="s">
        <v>73</v>
      </c>
      <c r="F95" s="72">
        <v>680000000</v>
      </c>
    </row>
    <row r="96" spans="2:7" x14ac:dyDescent="0.2">
      <c r="B96" s="15">
        <v>11</v>
      </c>
      <c r="C96" s="15" t="s">
        <v>125</v>
      </c>
      <c r="D96" s="15"/>
      <c r="E96" s="15" t="s">
        <v>170</v>
      </c>
      <c r="F96" s="72">
        <v>670000000</v>
      </c>
    </row>
    <row r="97" spans="2:9" x14ac:dyDescent="0.2">
      <c r="B97" s="15">
        <v>12</v>
      </c>
      <c r="C97" s="15" t="s">
        <v>180</v>
      </c>
      <c r="D97" s="15"/>
      <c r="E97" s="15" t="s">
        <v>181</v>
      </c>
      <c r="F97" s="72">
        <v>662200000</v>
      </c>
    </row>
    <row r="98" spans="2:9" x14ac:dyDescent="0.2">
      <c r="B98" s="15">
        <v>13</v>
      </c>
      <c r="C98" s="15" t="s">
        <v>196</v>
      </c>
      <c r="D98" s="15"/>
      <c r="E98" s="15" t="s">
        <v>73</v>
      </c>
      <c r="F98" s="72">
        <v>654000000</v>
      </c>
    </row>
    <row r="99" spans="2:9" x14ac:dyDescent="0.2">
      <c r="B99" s="15">
        <v>14</v>
      </c>
      <c r="C99" s="15" t="s">
        <v>127</v>
      </c>
      <c r="D99" s="15"/>
      <c r="E99" s="15" t="s">
        <v>189</v>
      </c>
      <c r="F99" s="72">
        <f>640000000-F100</f>
        <v>505000000</v>
      </c>
    </row>
    <row r="100" spans="2:9" x14ac:dyDescent="0.2">
      <c r="B100" s="15"/>
      <c r="C100" s="15"/>
      <c r="D100" s="15" t="s">
        <v>197</v>
      </c>
      <c r="E100" s="15" t="s">
        <v>170</v>
      </c>
      <c r="F100" s="72">
        <v>135000000</v>
      </c>
      <c r="I100" s="96"/>
    </row>
    <row r="101" spans="2:9" x14ac:dyDescent="0.2">
      <c r="B101" s="15">
        <v>15</v>
      </c>
      <c r="C101" s="15" t="s">
        <v>198</v>
      </c>
      <c r="D101" s="15"/>
      <c r="E101" s="15" t="s">
        <v>170</v>
      </c>
      <c r="F101" s="72">
        <v>615000000</v>
      </c>
    </row>
    <row r="102" spans="2:9" x14ac:dyDescent="0.2">
      <c r="B102" s="15">
        <v>16</v>
      </c>
      <c r="C102" s="15" t="s">
        <v>129</v>
      </c>
      <c r="D102" s="15" t="s">
        <v>236</v>
      </c>
      <c r="E102" s="15" t="s">
        <v>66</v>
      </c>
      <c r="F102" s="72">
        <v>269000000</v>
      </c>
    </row>
    <row r="103" spans="2:9" x14ac:dyDescent="0.2">
      <c r="B103" s="15"/>
      <c r="C103" s="15"/>
      <c r="D103" s="15" t="s">
        <v>237</v>
      </c>
      <c r="E103" s="15" t="s">
        <v>169</v>
      </c>
      <c r="F103" s="72">
        <v>180000000</v>
      </c>
    </row>
    <row r="104" spans="2:9" x14ac:dyDescent="0.2">
      <c r="B104" s="15"/>
      <c r="C104" s="15"/>
      <c r="D104" s="15" t="s">
        <v>238</v>
      </c>
      <c r="E104" s="15" t="s">
        <v>113</v>
      </c>
      <c r="F104" s="72">
        <v>144000000</v>
      </c>
    </row>
    <row r="105" spans="2:9" x14ac:dyDescent="0.2">
      <c r="B105" s="9"/>
      <c r="C105" s="9"/>
      <c r="D105" s="9"/>
      <c r="E105" s="9"/>
      <c r="F105" s="103"/>
    </row>
  </sheetData>
  <mergeCells count="29">
    <mergeCell ref="U37:V37"/>
    <mergeCell ref="U38:V38"/>
    <mergeCell ref="U39:V39"/>
    <mergeCell ref="B30:C30"/>
    <mergeCell ref="Q37:R37"/>
    <mergeCell ref="Q38:R38"/>
    <mergeCell ref="Q39:R39"/>
    <mergeCell ref="B28:C28"/>
    <mergeCell ref="B29:C29"/>
    <mergeCell ref="B32:C32"/>
    <mergeCell ref="B25:C25"/>
    <mergeCell ref="B27:C27"/>
    <mergeCell ref="B16:D16"/>
    <mergeCell ref="B17:D17"/>
    <mergeCell ref="B18:D18"/>
    <mergeCell ref="B19:D19"/>
    <mergeCell ref="B20:D20"/>
    <mergeCell ref="B4:D4"/>
    <mergeCell ref="B5:D5"/>
    <mergeCell ref="B15:D15"/>
    <mergeCell ref="B6:D6"/>
    <mergeCell ref="B7:D7"/>
    <mergeCell ref="B8:D8"/>
    <mergeCell ref="B9:G9"/>
    <mergeCell ref="B10:G10"/>
    <mergeCell ref="B11:D11"/>
    <mergeCell ref="B12:D12"/>
    <mergeCell ref="B13:D13"/>
    <mergeCell ref="B14:D14"/>
  </mergeCells>
  <hyperlinks>
    <hyperlink ref="V35" r:id="rId1" location="i365101cbe4f04749b160988d470f6822_25" display="https://sec.report/Document/0000802481-22-000012/#i365101cbe4f04749b160988d470f6822_25" xr:uid="{6C9343C6-F715-4143-95A8-98A0D8AA7E23}"/>
    <hyperlink ref="C23" r:id="rId2" xr:uid="{A2C7A9AC-21DC-4902-B6CD-C3E7211EA628}"/>
    <hyperlink ref="C35:G35" r:id="rId3" display="Table 5.5: JBS Institutional Presentation including 4Q23 and 2023 Results" xr:uid="{3AFA6D5B-0F69-46E8-B08B-A68AA44176EF}"/>
    <hyperlink ref="C79" r:id="rId4" location="articleId2013060" xr:uid="{6E216641-F495-405C-ACF0-A3C7702240CE}"/>
    <hyperlink ref="C70" r:id="rId5" xr:uid="{FC8509D9-57D2-4D9E-9BCA-FCC0FF33FC01}"/>
    <hyperlink ref="D70" r:id="rId6" xr:uid="{67C5C298-79E4-49E4-9123-2EB447340118}"/>
    <hyperlink ref="C65" r:id="rId7" display="https://www.groupebigard.fr/sites/default/files/medias/2024-07/bigard-dpef2023-pp-bd.pdf" xr:uid="{22D90006-E5D4-45BB-B5F5-F2771904EDDA}"/>
    <hyperlink ref="C59" r:id="rId8" xr:uid="{C8913522-8B65-44C9-9BA0-0610A49A9E87}"/>
    <hyperlink ref="C55" r:id="rId9" display="Pork Industry" xr:uid="{00582601-483F-4251-B5ED-0B9C4EFA3205}"/>
    <hyperlink ref="C50" r:id="rId10" display="Table 5.10: Company communication; Inalca CSR report" xr:uid="{7AD767F9-CF89-46AF-9843-0506A58E31BB}"/>
    <hyperlink ref="C3" r:id="rId11" xr:uid="{4198E6D4-3157-43C8-B171-409F4347CD79}"/>
  </hyperlinks>
  <pageMargins left="0.7" right="0.7" top="0.75" bottom="0.75" header="0.3" footer="0.3"/>
  <pageSetup orientation="portrait" horizontalDpi="1200" verticalDpi="1200" r:id="rId12"/>
  <headerFooter>
    <oddFooter>&amp;L_x000D_&amp;1#&amp;"Aptos"&amp;10&amp;K000000 Classified as Internal | Intern</oddFooter>
  </headerFooter>
  <legacyDrawing r:id="rId1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E12A-1DB2-4C61-A26C-5D9FDDF07CA6}">
  <sheetPr codeName="Sheet8">
    <tabColor theme="8" tint="0.79998168889431442"/>
  </sheetPr>
  <dimension ref="B2:Q28"/>
  <sheetViews>
    <sheetView topLeftCell="B1" zoomScale="96" zoomScaleNormal="160" workbookViewId="0">
      <selection activeCell="H39" sqref="H39"/>
    </sheetView>
  </sheetViews>
  <sheetFormatPr defaultRowHeight="12.75" x14ac:dyDescent="0.2"/>
  <cols>
    <col min="1" max="1" width="8.7109375" customWidth="1"/>
    <col min="2" max="2" width="37.5703125" customWidth="1"/>
    <col min="3" max="3" width="14.5703125" customWidth="1"/>
    <col min="4" max="4" width="17.28515625" customWidth="1"/>
    <col min="5" max="5" width="17.28515625" style="5" customWidth="1"/>
    <col min="6" max="6" width="17.7109375" customWidth="1"/>
    <col min="7" max="15" width="13.7109375" customWidth="1"/>
    <col min="16" max="16" width="23.42578125" customWidth="1"/>
  </cols>
  <sheetData>
    <row r="2" spans="2:17" x14ac:dyDescent="0.2">
      <c r="B2" s="1" t="s">
        <v>117</v>
      </c>
    </row>
    <row r="3" spans="2:17" ht="27" customHeight="1" x14ac:dyDescent="0.2">
      <c r="C3" s="2" t="s">
        <v>15</v>
      </c>
      <c r="D3" s="11" t="s">
        <v>89</v>
      </c>
    </row>
    <row r="4" spans="2:17" ht="16.5" customHeight="1" x14ac:dyDescent="0.2">
      <c r="C4" s="20" t="s">
        <v>1</v>
      </c>
      <c r="D4" s="34">
        <v>0.75</v>
      </c>
    </row>
    <row r="5" spans="2:17" ht="16.5" customHeight="1" x14ac:dyDescent="0.2">
      <c r="C5" s="20" t="s">
        <v>2</v>
      </c>
      <c r="D5" s="34">
        <v>0.65</v>
      </c>
    </row>
    <row r="6" spans="2:17" ht="16.5" customHeight="1" x14ac:dyDescent="0.2">
      <c r="C6" s="20" t="s">
        <v>3</v>
      </c>
      <c r="D6" s="34">
        <v>0.75</v>
      </c>
    </row>
    <row r="7" spans="2:17" x14ac:dyDescent="0.2">
      <c r="C7" s="22" t="s">
        <v>50</v>
      </c>
    </row>
    <row r="8" spans="2:17" x14ac:dyDescent="0.2">
      <c r="C8" s="23"/>
    </row>
    <row r="9" spans="2:17" x14ac:dyDescent="0.2">
      <c r="B9" s="1" t="s">
        <v>118</v>
      </c>
      <c r="C9" s="23"/>
    </row>
    <row r="10" spans="2:17" s="5" customFormat="1" ht="38.25" x14ac:dyDescent="0.2">
      <c r="B10" s="201"/>
      <c r="C10" s="11" t="s">
        <v>15</v>
      </c>
      <c r="D10" s="11" t="s">
        <v>46</v>
      </c>
      <c r="E10" s="11" t="s">
        <v>48</v>
      </c>
      <c r="F10" s="11" t="s">
        <v>8</v>
      </c>
      <c r="G10" s="11" t="s">
        <v>10</v>
      </c>
      <c r="H10" s="11" t="s">
        <v>13</v>
      </c>
      <c r="I10" s="11" t="s">
        <v>5</v>
      </c>
      <c r="J10" s="11" t="s">
        <v>7</v>
      </c>
      <c r="K10" s="11" t="s">
        <v>4</v>
      </c>
      <c r="L10" s="11" t="s">
        <v>9</v>
      </c>
      <c r="M10" s="11" t="s">
        <v>11</v>
      </c>
      <c r="N10" s="11" t="s">
        <v>6</v>
      </c>
      <c r="O10" s="11" t="s">
        <v>12</v>
      </c>
      <c r="P10" s="11" t="s">
        <v>47</v>
      </c>
      <c r="Q10" s="26"/>
    </row>
    <row r="11" spans="2:17" s="5" customFormat="1" ht="38.25" x14ac:dyDescent="0.2">
      <c r="C11" s="27" t="s">
        <v>1</v>
      </c>
      <c r="D11" s="25" t="s">
        <v>17</v>
      </c>
      <c r="E11" s="25" t="s">
        <v>49</v>
      </c>
      <c r="F11" s="28">
        <v>598.16666666666663</v>
      </c>
      <c r="G11" s="28">
        <v>530</v>
      </c>
      <c r="H11" s="28">
        <v>531</v>
      </c>
      <c r="I11" s="28">
        <v>530</v>
      </c>
      <c r="J11" s="28">
        <v>341</v>
      </c>
      <c r="K11" s="28">
        <v>350.83333333333331</v>
      </c>
      <c r="L11" s="28">
        <v>382</v>
      </c>
      <c r="M11" s="28">
        <v>133.66666666666666</v>
      </c>
      <c r="N11" s="28">
        <v>449.5</v>
      </c>
      <c r="O11" s="28">
        <v>247</v>
      </c>
      <c r="P11" s="25" t="s">
        <v>20</v>
      </c>
      <c r="Q11" s="26"/>
    </row>
    <row r="12" spans="2:17" s="5" customFormat="1" ht="25.5" x14ac:dyDescent="0.2">
      <c r="C12" s="27" t="s">
        <v>2</v>
      </c>
      <c r="D12" s="25" t="s">
        <v>18</v>
      </c>
      <c r="E12" s="25" t="s">
        <v>51</v>
      </c>
      <c r="F12" s="28">
        <v>115</v>
      </c>
      <c r="G12" s="28">
        <v>116</v>
      </c>
      <c r="H12" s="28">
        <v>116</v>
      </c>
      <c r="I12" s="28">
        <v>116</v>
      </c>
      <c r="J12" s="28">
        <v>111</v>
      </c>
      <c r="K12" s="28">
        <v>113</v>
      </c>
      <c r="L12" s="28">
        <v>73</v>
      </c>
      <c r="M12" s="28">
        <v>115</v>
      </c>
      <c r="N12" s="28">
        <v>115</v>
      </c>
      <c r="O12" s="28">
        <v>116</v>
      </c>
      <c r="P12" s="25" t="s">
        <v>14</v>
      </c>
      <c r="Q12" s="26"/>
    </row>
    <row r="13" spans="2:17" s="5" customFormat="1" ht="25.5" x14ac:dyDescent="0.2">
      <c r="C13" s="27" t="s">
        <v>3</v>
      </c>
      <c r="D13" s="25" t="s">
        <v>19</v>
      </c>
      <c r="E13" s="25" t="s">
        <v>52</v>
      </c>
      <c r="F13" s="38">
        <v>2.67</v>
      </c>
      <c r="G13" s="38">
        <v>2.19</v>
      </c>
      <c r="H13" s="38">
        <v>2.33</v>
      </c>
      <c r="I13" s="38">
        <v>2.19</v>
      </c>
      <c r="J13" s="38">
        <v>1.87</v>
      </c>
      <c r="K13" s="38">
        <v>1.89</v>
      </c>
      <c r="L13" s="38">
        <v>2.2799999999999998</v>
      </c>
      <c r="M13" s="38">
        <v>2</v>
      </c>
      <c r="N13" s="38">
        <v>2.4700000000000002</v>
      </c>
      <c r="O13" s="38">
        <v>1.5</v>
      </c>
      <c r="P13" s="25" t="s">
        <v>14</v>
      </c>
      <c r="Q13" s="26"/>
    </row>
    <row r="14" spans="2:17" s="5" customFormat="1" x14ac:dyDescent="0.2">
      <c r="D14" s="24"/>
      <c r="E14" s="24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4"/>
    </row>
    <row r="15" spans="2:17" s="5" customFormat="1" x14ac:dyDescent="0.2">
      <c r="B15" s="6" t="s">
        <v>119</v>
      </c>
      <c r="D15" s="24"/>
      <c r="E15" s="24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4"/>
    </row>
    <row r="16" spans="2:17" s="5" customFormat="1" ht="38.25" x14ac:dyDescent="0.2">
      <c r="C16" s="11" t="s">
        <v>15</v>
      </c>
      <c r="D16" s="11" t="s">
        <v>46</v>
      </c>
      <c r="E16" s="11" t="s">
        <v>48</v>
      </c>
      <c r="F16" s="30" t="s">
        <v>8</v>
      </c>
      <c r="G16" s="30" t="s">
        <v>10</v>
      </c>
      <c r="H16" s="30" t="s">
        <v>13</v>
      </c>
      <c r="I16" s="30" t="s">
        <v>5</v>
      </c>
      <c r="J16" s="30" t="s">
        <v>7</v>
      </c>
      <c r="K16" s="30" t="s">
        <v>4</v>
      </c>
      <c r="L16" s="30" t="s">
        <v>9</v>
      </c>
      <c r="M16" s="30" t="s">
        <v>11</v>
      </c>
      <c r="N16" s="30" t="s">
        <v>6</v>
      </c>
      <c r="O16" s="30" t="s">
        <v>12</v>
      </c>
      <c r="P16" s="11" t="s">
        <v>47</v>
      </c>
      <c r="Q16" s="26"/>
    </row>
    <row r="17" spans="2:17" s="5" customFormat="1" ht="38.25" x14ac:dyDescent="0.2">
      <c r="C17" s="27" t="s">
        <v>1</v>
      </c>
      <c r="D17" s="25" t="s">
        <v>27</v>
      </c>
      <c r="E17" s="25" t="s">
        <v>53</v>
      </c>
      <c r="F17" s="28">
        <v>59.166666666666664</v>
      </c>
      <c r="G17" s="28">
        <v>59.166666666666664</v>
      </c>
      <c r="H17" s="28">
        <v>59.166666666666664</v>
      </c>
      <c r="I17" s="28">
        <v>59.166666666666664</v>
      </c>
      <c r="J17" s="28">
        <v>54.166666666666664</v>
      </c>
      <c r="K17" s="28">
        <v>54.166666666666664</v>
      </c>
      <c r="L17" s="28">
        <v>54.166666666666664</v>
      </c>
      <c r="M17" s="28">
        <v>54.166666666666664</v>
      </c>
      <c r="N17" s="28">
        <v>54.166666666666664</v>
      </c>
      <c r="O17" s="28">
        <v>47</v>
      </c>
      <c r="P17" s="25" t="s">
        <v>20</v>
      </c>
      <c r="Q17" s="26"/>
    </row>
    <row r="18" spans="2:17" s="5" customFormat="1" ht="38.25" x14ac:dyDescent="0.2">
      <c r="C18" s="27" t="s">
        <v>2</v>
      </c>
      <c r="D18" s="25" t="s">
        <v>18</v>
      </c>
      <c r="E18" s="25" t="s">
        <v>53</v>
      </c>
      <c r="F18" s="28">
        <v>75</v>
      </c>
      <c r="G18" s="28">
        <v>75</v>
      </c>
      <c r="H18" s="28">
        <v>75</v>
      </c>
      <c r="I18" s="28">
        <v>75</v>
      </c>
      <c r="J18" s="28">
        <v>75</v>
      </c>
      <c r="K18" s="28">
        <v>75</v>
      </c>
      <c r="L18" s="28">
        <v>75</v>
      </c>
      <c r="M18" s="28">
        <v>75</v>
      </c>
      <c r="N18" s="28">
        <v>75</v>
      </c>
      <c r="O18" s="28">
        <v>75</v>
      </c>
      <c r="P18" s="25" t="s">
        <v>104</v>
      </c>
      <c r="Q18" s="26"/>
    </row>
    <row r="19" spans="2:17" s="5" customFormat="1" ht="25.5" x14ac:dyDescent="0.2">
      <c r="C19" s="27" t="s">
        <v>3</v>
      </c>
      <c r="D19" s="25" t="s">
        <v>19</v>
      </c>
      <c r="E19" s="25" t="s">
        <v>53</v>
      </c>
      <c r="F19" s="28">
        <v>68</v>
      </c>
      <c r="G19" s="28">
        <v>70</v>
      </c>
      <c r="H19" s="28">
        <v>67</v>
      </c>
      <c r="I19" s="28">
        <v>70</v>
      </c>
      <c r="J19" s="28">
        <v>67</v>
      </c>
      <c r="K19" s="28">
        <v>63</v>
      </c>
      <c r="L19" s="28">
        <v>66</v>
      </c>
      <c r="M19" s="28">
        <v>68</v>
      </c>
      <c r="N19" s="28">
        <v>88</v>
      </c>
      <c r="O19" s="28">
        <v>65</v>
      </c>
      <c r="P19" s="25" t="s">
        <v>14</v>
      </c>
      <c r="Q19" s="26"/>
    </row>
    <row r="20" spans="2:17" x14ac:dyDescent="0.2">
      <c r="D20" s="21"/>
      <c r="E20" s="24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2" spans="2:17" x14ac:dyDescent="0.2">
      <c r="B22" s="1" t="s">
        <v>120</v>
      </c>
    </row>
    <row r="23" spans="2:17" ht="25.5" x14ac:dyDescent="0.2">
      <c r="C23" s="11" t="s">
        <v>40</v>
      </c>
      <c r="D23" s="31">
        <f>365-52-11</f>
        <v>302</v>
      </c>
    </row>
    <row r="24" spans="2:17" x14ac:dyDescent="0.2">
      <c r="E24"/>
    </row>
    <row r="25" spans="2:17" ht="25.5" x14ac:dyDescent="0.2">
      <c r="C25" s="11" t="s">
        <v>15</v>
      </c>
      <c r="D25" s="11" t="s">
        <v>109</v>
      </c>
    </row>
    <row r="26" spans="2:17" ht="12.75" customHeight="1" x14ac:dyDescent="0.2">
      <c r="C26" s="20" t="s">
        <v>1</v>
      </c>
      <c r="D26" s="19">
        <v>0.91</v>
      </c>
    </row>
    <row r="27" spans="2:17" x14ac:dyDescent="0.2">
      <c r="C27" s="20" t="s">
        <v>2</v>
      </c>
      <c r="D27" s="19">
        <v>0.96</v>
      </c>
    </row>
    <row r="28" spans="2:17" x14ac:dyDescent="0.2">
      <c r="C28" s="20" t="s">
        <v>41</v>
      </c>
      <c r="D28" s="19">
        <v>0.86599999999999999</v>
      </c>
    </row>
  </sheetData>
  <phoneticPr fontId="8" type="noConversion"/>
  <pageMargins left="0.7" right="0.7" top="0.75" bottom="0.75" header="0.3" footer="0.3"/>
  <pageSetup orientation="portrait" r:id="rId1"/>
  <headerFooter>
    <oddFooter>&amp;L_x000D_&amp;1#&amp;"Aptos"&amp;10&amp;K000000 Classified as Internal | Intern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AE6CC240AEF34DBB014A9B4A59D0D7" ma:contentTypeVersion="15" ma:contentTypeDescription="Create a new document." ma:contentTypeScope="" ma:versionID="32f931529ed7f0bddfbe6bd93b0f5113">
  <xsd:schema xmlns:xsd="http://www.w3.org/2001/XMLSchema" xmlns:xs="http://www.w3.org/2001/XMLSchema" xmlns:p="http://schemas.microsoft.com/office/2006/metadata/properties" xmlns:ns2="80dae56d-bd1f-4950-a58a-2e676f5645b0" xmlns:ns3="3901f9be-8a20-4ae5-be04-ca2c9c62f6cc" targetNamespace="http://schemas.microsoft.com/office/2006/metadata/properties" ma:root="true" ma:fieldsID="42d0a92dbc9b175c16bc252b0bdb4d97" ns2:_="" ns3:_="">
    <xsd:import namespace="80dae56d-bd1f-4950-a58a-2e676f5645b0"/>
    <xsd:import namespace="3901f9be-8a20-4ae5-be04-ca2c9c62f6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dae56d-bd1f-4950-a58a-2e676f5645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95b04ae-3e76-49f2-a403-d9225aabd3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1f9be-8a20-4ae5-be04-ca2c9c62f6c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9f8f89d-b809-4c37-9097-c3208a69d011}" ma:internalName="TaxCatchAll" ma:showField="CatchAllData" ma:web="3901f9be-8a20-4ae5-be04-ca2c9c62f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01f9be-8a20-4ae5-be04-ca2c9c62f6cc" xsi:nil="true"/>
    <lcf76f155ced4ddcb4097134ff3c332f xmlns="80dae56d-bd1f-4950-a58a-2e676f5645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19B525-86FF-4233-8DE3-58223DDE57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dae56d-bd1f-4950-a58a-2e676f5645b0"/>
    <ds:schemaRef ds:uri="3901f9be-8a20-4ae5-be04-ca2c9c62f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4C0464-06D8-4D98-A8AF-C807D74680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E6A7B1-3AE4-41A2-91CB-A9E1B907BE47}">
  <ds:schemaRefs>
    <ds:schemaRef ds:uri="http://schemas.microsoft.com/office/infopath/2007/PartnerControls"/>
    <ds:schemaRef ds:uri="http://schemas.openxmlformats.org/package/2006/metadata/core-properties"/>
    <ds:schemaRef ds:uri="80dae56d-bd1f-4950-a58a-2e676f5645b0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3901f9be-8a20-4ae5-be04-ca2c9c62f6cc"/>
  </ds:schemaRefs>
</ds:datastoreItem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Overview</vt:lpstr>
      <vt:lpstr>Production by region</vt:lpstr>
      <vt:lpstr>Dairy</vt:lpstr>
      <vt:lpstr>Cattle weight</vt:lpstr>
      <vt:lpstr>Chickens weight</vt:lpstr>
      <vt:lpstr>Pigs weight</vt:lpstr>
      <vt:lpstr>Production data</vt:lpstr>
      <vt:lpstr>Additional company data</vt:lpstr>
      <vt:lpstr>Additional data sources</vt:lpstr>
      <vt:lpstr>BFM_protein_table</vt:lpstr>
      <vt:lpstr>Cap_cattle</vt:lpstr>
      <vt:lpstr>Cap_pigs</vt:lpstr>
      <vt:lpstr>Cap_pigs_Pilgrims</vt:lpstr>
      <vt:lpstr>Cap_poultry</vt:lpstr>
      <vt:lpstr>Danone_intake</vt:lpstr>
      <vt:lpstr>days_per_year</vt:lpstr>
      <vt:lpstr>Dressing_perc</vt:lpstr>
      <vt:lpstr>Milk_prod</vt:lpstr>
      <vt:lpstr>Slaughter_mass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</dc:creator>
  <cp:lastModifiedBy>Drotenko, C. (Christina)</cp:lastModifiedBy>
  <dcterms:created xsi:type="dcterms:W3CDTF">2016-12-21T02:34:35Z</dcterms:created>
  <dcterms:modified xsi:type="dcterms:W3CDTF">2026-02-04T13:38:12Z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0x01010018AE6CC240AEF34DBB014A9B4A59D0D7</vt:lpwstr>
  </property>
  <property fmtid="{D5CDD505-2E9C-101B-9397-08002B2CF9AE}" pid="3" name="MediaServiceImageTags">
    <vt:lpwstr/>
  </property>
</Properties>
</file>